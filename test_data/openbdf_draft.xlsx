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g" sheetId="1" r:id="rId5"/>
    <sheet state="visible" name="Info (ReadMe)" sheetId="2" r:id="rId6"/>
    <sheet state="visible" name="General Information" sheetId="3" r:id="rId7"/>
    <sheet state="visible" name="Materials Database" sheetId="4" r:id="rId8"/>
    <sheet state="visible" name="Building Elements Database" sheetId="5" r:id="rId9"/>
    <sheet state="visible" name="Building Bill of Materials_FULL" sheetId="6" r:id="rId10"/>
    <sheet state="visible" name="Building Bill of Materials_SLIM" sheetId="7" r:id="rId11"/>
    <sheet state="visible" name="TEST - Building Bill of Materia" sheetId="8" r:id="rId12"/>
    <sheet state="visible" name="Building LCA Results_Wide_FULL" sheetId="9" r:id="rId13"/>
    <sheet state="visible" name="Building LCA Results_Tall_FULL" sheetId="10" r:id="rId14"/>
    <sheet state="visible" name="Dropdowns" sheetId="11" r:id="rId15"/>
    <sheet state="visible" name="BEC_openBDF" sheetId="12" r:id="rId16"/>
    <sheet state="visible" name="Attribute Translator" sheetId="13" r:id="rId17"/>
    <sheet state="visible" name="Lists" sheetId="14" r:id="rId18"/>
    <sheet state="visible" name="Comments" sheetId="15" r:id="rId19"/>
  </sheets>
  <definedNames>
    <definedName localSheetId="12" name="typology">#REF!</definedName>
    <definedName localSheetId="12" name="UNITS">#REF!</definedName>
    <definedName name="typology">Dropdowns!$K$4:$K$12</definedName>
    <definedName name="structure">Dropdowns!$R$5:$R$11</definedName>
    <definedName name="ORT">Dropdowns!$W$4:$W$11</definedName>
    <definedName name="countries">Dropdowns!$D$4:$D$252</definedName>
    <definedName name="GBDI_L3">BEC_openBDF!$C$2:$C$90</definedName>
    <definedName name="GBDI_L5">BEC_openBDF!$E$2:$E$90</definedName>
    <definedName name="GBDI_L4">BEC_openBDF!$D$2:$D$90</definedName>
    <definedName name="roof">Dropdowns!$AF$4:$AF$7</definedName>
    <definedName name="materials">Dropdowns!$AG$38:$AG$56</definedName>
    <definedName localSheetId="12" name="projectype">#REF!</definedName>
    <definedName name="CLIMATE">Dropdowns!$I$4:$I$17</definedName>
    <definedName localSheetId="12" name="SOURCE">#REF!</definedName>
    <definedName name="SOURCE">Dropdowns!$AI$4:$AI$10</definedName>
    <definedName localSheetId="12" name="structuretype">#REF!</definedName>
    <definedName name="UNITS">Dropdowns!$B$4:$B$5</definedName>
    <definedName localSheetId="12" name="countries">'Attribute Translator'!$A$7:$A$255</definedName>
    <definedName name="seismic">#REF!</definedName>
    <definedName localSheetId="12" name="roof">#REF!</definedName>
    <definedName localSheetId="12" name="ORT">#REF!</definedName>
    <definedName name="BIOGENIC">Dropdowns!$AB$4:$AB$8</definedName>
    <definedName name="GBDI_L2">BEC_openBDF!$B$1:$B$90</definedName>
    <definedName localSheetId="12" name="seismic">#REF!</definedName>
    <definedName name="projectype">Dropdowns!$C$4:$C$7</definedName>
    <definedName localSheetId="12" name="lcamodel">#REF!</definedName>
    <definedName name="structuretype">Dropdowns!$V$4:$V$5</definedName>
    <definedName name="lcamodel">Dropdowns!$AA$4:$AA$7</definedName>
    <definedName localSheetId="12" name="BIOGENIC">#REF!</definedName>
    <definedName localSheetId="12" name="materials">#REF!</definedName>
    <definedName localSheetId="12" name="structure">#REF!</definedName>
    <definedName localSheetId="12" name="CLIMATE">#REF!</definedName>
    <definedName hidden="1" localSheetId="2" name="_xlnm._FilterDatabase">'General Information'!$A$1:$O$1006</definedName>
    <definedName hidden="1" localSheetId="3" name="_xlnm._FilterDatabase">'Materials Database'!$A$1:$P$233</definedName>
    <definedName hidden="1" localSheetId="4" name="_xlnm._FilterDatabase">'Building Elements Database'!$A$1:$I$233</definedName>
    <definedName hidden="1" localSheetId="5" name="_xlnm._FilterDatabase">'Building Bill of Materials_FULL'!$A$1:$AC$233</definedName>
    <definedName hidden="1" localSheetId="6" name="_xlnm._FilterDatabase">'Building Bill of Materials_SLIM'!$A$1:$V$229</definedName>
    <definedName hidden="1" localSheetId="7" name="_xlnm._FilterDatabase">'TEST - Building Bill of Materia'!$A$1:$Y$229</definedName>
    <definedName hidden="1" localSheetId="8" name="_xlnm._FilterDatabase">'Building LCA Results_Wide_FULL'!$A$1:$JS$233</definedName>
    <definedName hidden="1" localSheetId="9" name="_xlnm._FilterDatabase">'Building LCA Results_Tall_FULL'!$A$1:$W$915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Sub-group</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R7">
      <text>
        <t xml:space="preserve">Cement mortar, plaster</t>
      </text>
    </comment>
  </commentList>
</comments>
</file>

<file path=xl/sharedStrings.xml><?xml version="1.0" encoding="utf-8"?>
<sst xmlns="http://schemas.openxmlformats.org/spreadsheetml/2006/main" count="10340" uniqueCount="3499">
  <si>
    <t>Change ID</t>
  </si>
  <si>
    <t>Sheet name</t>
  </si>
  <si>
    <t>Cell (row, column)</t>
  </si>
  <si>
    <t>User</t>
  </si>
  <si>
    <t>Change type</t>
  </si>
  <si>
    <t>Status</t>
  </si>
  <si>
    <t>Old input</t>
  </si>
  <si>
    <t>New input</t>
  </si>
  <si>
    <t>Notes</t>
  </si>
  <si>
    <t>001</t>
  </si>
  <si>
    <t>Info (ReadMe)</t>
  </si>
  <si>
    <t>B3C5</t>
  </si>
  <si>
    <t>Zuhaib Batra</t>
  </si>
  <si>
    <t>Added</t>
  </si>
  <si>
    <t>Completed</t>
  </si>
  <si>
    <t>002</t>
  </si>
  <si>
    <t>Admin_info</t>
  </si>
  <si>
    <t>Martin Röck</t>
  </si>
  <si>
    <t>Edited</t>
  </si>
  <si>
    <t>Merged the sheets admin_info, building_info, LCA_methodology into one joint sheet "General information"</t>
  </si>
  <si>
    <t>003</t>
  </si>
  <si>
    <t>Activated the filtering function for the "General information" attributes</t>
  </si>
  <si>
    <t>Adjusted the min/rec/opt settings in "General information"</t>
  </si>
  <si>
    <t>Edited colors of sheets to align with documentation requirement colors (green = min/mandatory; blue = recommended; grey = optional)</t>
  </si>
  <si>
    <t xml:space="preserve">Open Building Data Format (OpenBDF) </t>
  </si>
  <si>
    <t>Version</t>
  </si>
  <si>
    <t>Internal Working Draft</t>
  </si>
  <si>
    <t>Date</t>
  </si>
  <si>
    <t>Authors</t>
  </si>
  <si>
    <t>Zuhaib Batra, Nicole Di Santo, Martin Röck</t>
  </si>
  <si>
    <t>Contact</t>
  </si>
  <si>
    <t>martin.roeck@riselabs.at</t>
  </si>
  <si>
    <t>Documentation Requirements</t>
  </si>
  <si>
    <t>Hidden Cells</t>
  </si>
  <si>
    <t>Not for the user, only for internal use</t>
  </si>
  <si>
    <t>Automatic</t>
  </si>
  <si>
    <t>Read‑only information for display.</t>
  </si>
  <si>
    <t>Minimum Required</t>
  </si>
  <si>
    <t>Essential information for compliance with regulations and standards.</t>
  </si>
  <si>
    <t>Recommended</t>
  </si>
  <si>
    <t>Recommended information to provide additional insights that are useful for specific projects or detailed analyses.</t>
  </si>
  <si>
    <t>Optional</t>
  </si>
  <si>
    <t>Other optional information relevant to other considerations.</t>
  </si>
  <si>
    <t>Sheet Name Colour</t>
  </si>
  <si>
    <t>Sheet</t>
  </si>
  <si>
    <t>OpenBDF SLIM VERSION</t>
  </si>
  <si>
    <t>OpenBDF FULL VERSION (as a Template from the Platform)</t>
  </si>
  <si>
    <t>General Information</t>
  </si>
  <si>
    <t>Materials Database (platform)</t>
  </si>
  <si>
    <t>Building Elements Database (platform)</t>
  </si>
  <si>
    <t>Building Bill of Materials (platform)</t>
  </si>
  <si>
    <t>Building Bill of Materials SLIM</t>
  </si>
  <si>
    <t>Building LCA Results Wide</t>
  </si>
  <si>
    <r>
      <rPr>
        <rFont val="Arial"/>
        <b/>
        <color rgb="FF3D3D3D"/>
        <sz val="11.0"/>
      </rPr>
      <t xml:space="preserve">Building LCA Results_Tall (platform - </t>
    </r>
    <r>
      <rPr>
        <rFont val="Arial"/>
        <b/>
        <color rgb="FFFF0000"/>
        <sz val="11.0"/>
      </rPr>
      <t xml:space="preserve">ONLY PYTHON) </t>
    </r>
  </si>
  <si>
    <t>Dropdowns</t>
  </si>
  <si>
    <t>User input (Data and Model)</t>
  </si>
  <si>
    <t>Type of Cell</t>
  </si>
  <si>
    <t>Colour Code</t>
  </si>
  <si>
    <t>Meaning</t>
  </si>
  <si>
    <t>User Input</t>
  </si>
  <si>
    <t>Yellow</t>
  </si>
  <si>
    <t>Editable fields</t>
  </si>
  <si>
    <t>Error / Missing Value</t>
  </si>
  <si>
    <t>Red</t>
  </si>
  <si>
    <t>Needs user attention</t>
  </si>
  <si>
    <t>Display</t>
  </si>
  <si>
    <t>Light Blue</t>
  </si>
  <si>
    <t>Read‑only display</t>
  </si>
  <si>
    <t>Excluded</t>
  </si>
  <si>
    <t>Black</t>
  </si>
  <si>
    <t>Not Applicable</t>
  </si>
  <si>
    <t>Instructions</t>
  </si>
  <si>
    <t>Orange</t>
  </si>
  <si>
    <t>Not editable</t>
  </si>
  <si>
    <t>Changelog (add new versions on top)</t>
  </si>
  <si>
    <t xml:space="preserve">v2.0.1 </t>
  </si>
  <si>
    <t>2nd generation OpenBDF</t>
  </si>
  <si>
    <t>Updated OpenBDF inventory and LCIA data structure</t>
  </si>
  <si>
    <t xml:space="preserve">Revised the building level attribute </t>
  </si>
  <si>
    <t>OpenBDF_v2.0.1_Draft_19.02.2026_MR02_Slim</t>
  </si>
  <si>
    <t>Definiton</t>
  </si>
  <si>
    <t>Group</t>
  </si>
  <si>
    <t>Sub-group</t>
  </si>
  <si>
    <t>Attribute Name</t>
  </si>
  <si>
    <t>Field CODE</t>
  </si>
  <si>
    <t>Description</t>
  </si>
  <si>
    <t>Datatype assigned to the indicator</t>
  </si>
  <si>
    <t>Constraint</t>
  </si>
  <si>
    <t>Units</t>
  </si>
  <si>
    <t>Requirements</t>
  </si>
  <si>
    <t>Inputs</t>
  </si>
  <si>
    <t>Reference Formats</t>
  </si>
  <si>
    <t>Examples</t>
  </si>
  <si>
    <t>Description of the attribute</t>
  </si>
  <si>
    <t xml:space="preserve">Unit associated with the indicator </t>
  </si>
  <si>
    <t xml:space="preserve">Follow documentation requirements! </t>
  </si>
  <si>
    <t>Enter/select values of your project here.</t>
  </si>
  <si>
    <t>Enter the units where applicable.</t>
  </si>
  <si>
    <t>ECHO</t>
  </si>
  <si>
    <t>CarbEnMats</t>
  </si>
  <si>
    <t>CLF</t>
  </si>
  <si>
    <t>These examples are for your reference only.</t>
  </si>
  <si>
    <t>Project</t>
  </si>
  <si>
    <t>Administrative data</t>
  </si>
  <si>
    <t>Project ID</t>
  </si>
  <si>
    <t>project_id</t>
  </si>
  <si>
    <t>Unique ID assigned to this specific project.</t>
  </si>
  <si>
    <t>String (Free text)</t>
  </si>
  <si>
    <t>string &lt; 200 characters</t>
  </si>
  <si>
    <t>none</t>
  </si>
  <si>
    <t>e.g. ABC1234</t>
  </si>
  <si>
    <t>Project Unit System</t>
  </si>
  <si>
    <t>project_units</t>
  </si>
  <si>
    <t>Unit system used in the assessment (Imperial Units System (IP, USA); International Units System (SI)).</t>
  </si>
  <si>
    <t>dropdown</t>
  </si>
  <si>
    <t>Metric, International Units System (SI)</t>
  </si>
  <si>
    <t>Project Name</t>
  </si>
  <si>
    <t>project_name</t>
  </si>
  <si>
    <t>Name of the project (can be anonymized).</t>
  </si>
  <si>
    <t>e.g. Brilliant Group Hotel</t>
  </si>
  <si>
    <t>Project Description</t>
  </si>
  <si>
    <t>project_description</t>
  </si>
  <si>
    <t xml:space="preserve">A general description of the project focusing on its use, function, and extent of work. </t>
  </si>
  <si>
    <t>string &lt; 500 characters</t>
  </si>
  <si>
    <t xml:space="preserve">e.g. A new hotel on the harbour </t>
  </si>
  <si>
    <t>Project Construction Type</t>
  </si>
  <si>
    <t>project_construction_type</t>
  </si>
  <si>
    <t>New construction, Minor renovation, Major renovation</t>
  </si>
  <si>
    <t>New construction</t>
  </si>
  <si>
    <t>Country</t>
  </si>
  <si>
    <t>project_country</t>
  </si>
  <si>
    <t>Country where the project is located.</t>
  </si>
  <si>
    <t>Argentina</t>
  </si>
  <si>
    <t>Afghanistan</t>
  </si>
  <si>
    <t>City</t>
  </si>
  <si>
    <t>project_city</t>
  </si>
  <si>
    <t>City where the project is located.</t>
  </si>
  <si>
    <t>e.g. Potsdam</t>
  </si>
  <si>
    <t>State</t>
  </si>
  <si>
    <t>project_state</t>
  </si>
  <si>
    <t>State, province, or country subdivision where the project is located.</t>
  </si>
  <si>
    <t>e.g. Brandenburg</t>
  </si>
  <si>
    <t>Address</t>
  </si>
  <si>
    <t>project_address</t>
  </si>
  <si>
    <t>Address of the project.</t>
  </si>
  <si>
    <t>e.g. Voorstrasse 20, 1417 Potsdam</t>
  </si>
  <si>
    <t>Owner / Client Name</t>
  </si>
  <si>
    <t>project_owner_name</t>
  </si>
  <si>
    <t>Individual or entity that owns the project.</t>
  </si>
  <si>
    <t>e.g. Mr. Brown Alter</t>
  </si>
  <si>
    <t>Date of Assessment</t>
  </si>
  <si>
    <t>project_date_assessment</t>
  </si>
  <si>
    <t>Date of the life-cycle assessment conducted by the assessor.</t>
  </si>
  <si>
    <t>Numerical [integer]</t>
  </si>
  <si>
    <t>ISO date</t>
  </si>
  <si>
    <t>#</t>
  </si>
  <si>
    <t>Third Party Verified</t>
  </si>
  <si>
    <t>project_third_verified</t>
  </si>
  <si>
    <t>Is the project LCA verified by a third-party?</t>
  </si>
  <si>
    <t>Boolean [Yes/NO]</t>
  </si>
  <si>
    <t xml:space="preserve">boolean </t>
  </si>
  <si>
    <t>Yes</t>
  </si>
  <si>
    <t>Third Party Verifier Name</t>
  </si>
  <si>
    <t>project_third_verifier_name</t>
  </si>
  <si>
    <t>Name of the third-party verification person/organisation.</t>
  </si>
  <si>
    <t>e.g. Pullmann Consultants, Zurich</t>
  </si>
  <si>
    <t>Verification Date</t>
  </si>
  <si>
    <t>project_verification_date</t>
  </si>
  <si>
    <t>Date of the verification of the assessment by third-party.</t>
  </si>
  <si>
    <t>Certification</t>
  </si>
  <si>
    <t>project_certification</t>
  </si>
  <si>
    <t>Type of sustainability certification being applied for the project.</t>
  </si>
  <si>
    <t>e.g. LEED</t>
  </si>
  <si>
    <t>Certification Name</t>
  </si>
  <si>
    <t>project_certification_name</t>
  </si>
  <si>
    <t>Certification Application Date</t>
  </si>
  <si>
    <t>pooject_certification_date</t>
  </si>
  <si>
    <t>Date of application for the sustainability certification for the project.</t>
  </si>
  <si>
    <t>Certification Application ID</t>
  </si>
  <si>
    <t>project_certification_id</t>
  </si>
  <si>
    <t>Unique ID assigned to the certification application.</t>
  </si>
  <si>
    <t>Project Permit Application Date</t>
  </si>
  <si>
    <t>project_ardpit_date</t>
  </si>
  <si>
    <t>Date of application for construction ardpit.</t>
  </si>
  <si>
    <t>Project Permit ID</t>
  </si>
  <si>
    <t>project_ardpit_id</t>
  </si>
  <si>
    <t>Unique ID of the project ardpit.</t>
  </si>
  <si>
    <t>Project Total Plot Area</t>
  </si>
  <si>
    <t>project_plot_area</t>
  </si>
  <si>
    <t>Total plot area of the project according to national standard.</t>
  </si>
  <si>
    <t>Numerical [decimal]</t>
  </si>
  <si>
    <t>numerical</t>
  </si>
  <si>
    <t>m2</t>
  </si>
  <si>
    <t xml:space="preserve">e.g. 500 </t>
  </si>
  <si>
    <t>No. of Buildings</t>
  </si>
  <si>
    <t>project_no_of_buildings</t>
  </si>
  <si>
    <t>Total number of buildings in the project.</t>
  </si>
  <si>
    <t>e.g. 5</t>
  </si>
  <si>
    <t>Project Phase</t>
  </si>
  <si>
    <t>project_phase</t>
  </si>
  <si>
    <t>Stage of the project when LCA is conducted (according to national standard)</t>
  </si>
  <si>
    <t>Preliminary studies</t>
  </si>
  <si>
    <t>Project Design Start Date</t>
  </si>
  <si>
    <t>project_design_start_date</t>
  </si>
  <si>
    <t>Project design start date.</t>
  </si>
  <si>
    <t>Project Stakeholders</t>
  </si>
  <si>
    <t>Construction Company Name</t>
  </si>
  <si>
    <t>project_construction_company_name</t>
  </si>
  <si>
    <t>Name of the company constructing the project.</t>
  </si>
  <si>
    <t>e.g. Terranova Construction Company</t>
  </si>
  <si>
    <t>Construction Company Address</t>
  </si>
  <si>
    <t>project_construction_company_address</t>
  </si>
  <si>
    <t>Physical location of the construction company.</t>
  </si>
  <si>
    <t>e.g. Seebachstrasse 21, 5100 Zurich</t>
  </si>
  <si>
    <t>Contractor Name</t>
  </si>
  <si>
    <t>project_contractor_name</t>
  </si>
  <si>
    <t>Name of the contractor executing the construction.</t>
  </si>
  <si>
    <t>e.g. Regionale Contractors</t>
  </si>
  <si>
    <t>Architect/ Engineer</t>
  </si>
  <si>
    <t>project_architect_engineer_name</t>
  </si>
  <si>
    <t>Name of the architect/engineer appointed on the project</t>
  </si>
  <si>
    <t>e.g. Peter Sylon</t>
  </si>
  <si>
    <t>Structural Engineer</t>
  </si>
  <si>
    <t>project_structural_engineer_name</t>
  </si>
  <si>
    <t>Name of the engineer appointed on the project</t>
  </si>
  <si>
    <t>MEP Engineer</t>
  </si>
  <si>
    <t>project_mep_engineer_name</t>
  </si>
  <si>
    <t>Name of the MEP Engineer appointed on the project</t>
  </si>
  <si>
    <t>Environmental Consultant Company</t>
  </si>
  <si>
    <t>project_environmental_consultant_company</t>
  </si>
  <si>
    <t>Name of the company conducting the LCA assessment</t>
  </si>
  <si>
    <t>e.g. Environmental Design Consultants</t>
  </si>
  <si>
    <t>Environmental Assessor Name</t>
  </si>
  <si>
    <t>project_environmental_assessor_name</t>
  </si>
  <si>
    <t>Name of the environmental assessor</t>
  </si>
  <si>
    <t>e.g. Thomas Casper</t>
  </si>
  <si>
    <t>Environmental Assessor Contact</t>
  </si>
  <si>
    <t>project_environmental_assessor_contact</t>
  </si>
  <si>
    <t>Contact details of the Environmental assessor (e.g. email, phone)</t>
  </si>
  <si>
    <t>e.g. email or phone number</t>
  </si>
  <si>
    <t>Building</t>
  </si>
  <si>
    <t>Building data (general)</t>
  </si>
  <si>
    <t>Building ID</t>
  </si>
  <si>
    <t>building_id</t>
  </si>
  <si>
    <t>Assigned identifier for the building renovated/constructed.</t>
  </si>
  <si>
    <t>Building GPS Coordinates</t>
  </si>
  <si>
    <t>building_gps_coordinates</t>
  </si>
  <si>
    <t>Latitude and longitude of the building project (decimal degrees)</t>
  </si>
  <si>
    <t>e.g.  41.40338, 2.17403</t>
  </si>
  <si>
    <t>ASHRAE Geographic Climate Zone Typologies</t>
  </si>
  <si>
    <t>building_geographic_climate_zone</t>
  </si>
  <si>
    <t>Classification of the area's climate based on ASHRAE classification</t>
  </si>
  <si>
    <t>2A (Hot - Humid)</t>
  </si>
  <si>
    <t>Altitude</t>
  </si>
  <si>
    <t>building_altitude</t>
  </si>
  <si>
    <t>Elevation of the project site above sea level</t>
  </si>
  <si>
    <t>m</t>
  </si>
  <si>
    <t>e.g. 200m or 400 ft.</t>
  </si>
  <si>
    <t>Seismic Zone</t>
  </si>
  <si>
    <t>building_seismic_zone</t>
  </si>
  <si>
    <t>Classification of the area's seismic activity level according to national standard</t>
  </si>
  <si>
    <t>SDC A: Minor expected ground shaking.</t>
  </si>
  <si>
    <t>Building Typology</t>
  </si>
  <si>
    <t>building_typology</t>
  </si>
  <si>
    <t>Building category according to national classification (multi-family housing, single-family home etc.).</t>
  </si>
  <si>
    <t>Multi-family buildings</t>
  </si>
  <si>
    <t>No. of Invidual Residential Units</t>
  </si>
  <si>
    <t>building_residential_units</t>
  </si>
  <si>
    <t>Total number of individual residential units within the building (if residential asset).</t>
  </si>
  <si>
    <t>e.g. 25</t>
  </si>
  <si>
    <t>No. of Rooms in the Residential Units</t>
  </si>
  <si>
    <t>building_rooms</t>
  </si>
  <si>
    <t xml:space="preserve">Total number of rooms (if residential asset). </t>
  </si>
  <si>
    <t>e.g. 100</t>
  </si>
  <si>
    <t>Energy Classification</t>
  </si>
  <si>
    <t>building_energy_classification</t>
  </si>
  <si>
    <t>Energy classifications to assess the building's energy performance (e.g., EPC, SAP Rating, HERS Index, ENERGY STAR, A++, ...).</t>
  </si>
  <si>
    <t>EU EPC (European Union Energy Performance Certificate - mandatory across the EU, grades usually A to G)</t>
  </si>
  <si>
    <t>e.g. A, B, A+</t>
  </si>
  <si>
    <t>Construction Start Date</t>
  </si>
  <si>
    <t>building_construction_start_date</t>
  </si>
  <si>
    <t>The year the building construction officially started.</t>
  </si>
  <si>
    <t>Construction End Date</t>
  </si>
  <si>
    <t>building_construction_end_date</t>
  </si>
  <si>
    <t>The year the building construction was officially completed and started operating.</t>
  </si>
  <si>
    <t>Demolished Area</t>
  </si>
  <si>
    <t>building_demolished_area</t>
  </si>
  <si>
    <t>Floor area that has been dismantled or destroyed as a part of end-of-life phase.</t>
  </si>
  <si>
    <t>Roof Area</t>
  </si>
  <si>
    <t>building_roof_area</t>
  </si>
  <si>
    <t>The total surface area covered by the roof of a building</t>
  </si>
  <si>
    <t>No. of Floors (Below Ground)</t>
  </si>
  <si>
    <t>building_floors_bg</t>
  </si>
  <si>
    <t>Number of floor levels situated below the ground level</t>
  </si>
  <si>
    <t>e.g. 2</t>
  </si>
  <si>
    <t>No. of Floors (Above Ground)</t>
  </si>
  <si>
    <t>building_floors_ag</t>
  </si>
  <si>
    <t>Number of floor levels situated above the ground level</t>
  </si>
  <si>
    <t>e.g. 3</t>
  </si>
  <si>
    <t>No. of Parking Spots (In Building)</t>
  </si>
  <si>
    <t>building_parking_building</t>
  </si>
  <si>
    <t>Total number of parking spots included in the building perimeter (e.g. in the basement)</t>
  </si>
  <si>
    <t>No. of Parking Spots (Dislocated)</t>
  </si>
  <si>
    <t>building_parking_dislocated</t>
  </si>
  <si>
    <t>Total number of parking spot dislocated from the building (on-site, off-site)</t>
  </si>
  <si>
    <t>e.g. 6</t>
  </si>
  <si>
    <t>Building Element Classification Code Name</t>
  </si>
  <si>
    <t>building_element_classification_code_name</t>
  </si>
  <si>
    <t>Name of the custom or national building element classification code utilized</t>
  </si>
  <si>
    <t>AT - ÖNORM B 1801</t>
  </si>
  <si>
    <t>Building Element Classification Code Link</t>
  </si>
  <si>
    <t>building_element_classification_code_link</t>
  </si>
  <si>
    <t>Link of the custom or national building element classification code utilized</t>
  </si>
  <si>
    <t>Building Element Classification Code Version</t>
  </si>
  <si>
    <t>building_element_classification_code_version</t>
  </si>
  <si>
    <t>Version of the custom or national building element classification code utilized</t>
  </si>
  <si>
    <t>Building Element Classification Tier</t>
  </si>
  <si>
    <t>building_element_classification_tier</t>
  </si>
  <si>
    <t>Tiers of the custom or national building element classification covered</t>
  </si>
  <si>
    <t>Element Class (Tier 3): The tertiary hierarchical category of the custom or national building element classification.</t>
  </si>
  <si>
    <t>Building data (technical)</t>
  </si>
  <si>
    <t>Building Structure Typology</t>
  </si>
  <si>
    <t>building_structure_typology</t>
  </si>
  <si>
    <t>Overall design and construction method of a building: Massive, Timber, Other</t>
  </si>
  <si>
    <t>Concrete (In-Situ)</t>
  </si>
  <si>
    <t>Prefabricated Elements</t>
  </si>
  <si>
    <t>building_prefabricated_elements</t>
  </si>
  <si>
    <t xml:space="preserve">Building components manufactured off-site in a factory setting and transported to the construction site for assembly, including panels, modules, and sections </t>
  </si>
  <si>
    <t>boolean</t>
  </si>
  <si>
    <t>Soil Data</t>
  </si>
  <si>
    <t>building_soil_data</t>
  </si>
  <si>
    <t>Information about the catregory of soil (according to national standard)</t>
  </si>
  <si>
    <t>sandy gravel</t>
  </si>
  <si>
    <t>Foundation Type</t>
  </si>
  <si>
    <t>building_foundation_type</t>
  </si>
  <si>
    <t xml:space="preserve">Construction method used to support a building's structure below ground, such as Strip, Raft, Pile or basement foundation </t>
  </si>
  <si>
    <t>EN1997 - Spread foundation - Strip Footings (Continuous)</t>
  </si>
  <si>
    <t>Spread foundation- Pad Footings (Isolated)</t>
  </si>
  <si>
    <t>Energy Demand - Thermal</t>
  </si>
  <si>
    <t>building_energy_demand_thermal</t>
  </si>
  <si>
    <t>Energy demand for space (e.g., heating /cooling, domestic hot water - DHW).</t>
  </si>
  <si>
    <t>kWh/y</t>
  </si>
  <si>
    <t>kWh</t>
  </si>
  <si>
    <t>Energy Demand - Electric</t>
  </si>
  <si>
    <t>building_energy_demand_electricity</t>
  </si>
  <si>
    <t>Energy demand for electrical equipment (lighting, ventilation, etc.).</t>
  </si>
  <si>
    <t>e.g. 101</t>
  </si>
  <si>
    <t>Energy Supply - Thermal</t>
  </si>
  <si>
    <t>building_energy_supply_thermal</t>
  </si>
  <si>
    <t>Energy supply from local thermal RES (e.g., PV, etc.).</t>
  </si>
  <si>
    <t>e.g. 102</t>
  </si>
  <si>
    <t>Energy Supply - Electric</t>
  </si>
  <si>
    <t>building_energy_supply_electricity</t>
  </si>
  <si>
    <t>Energy supply from local electrical RES (e.g., solar panel, etc.).</t>
  </si>
  <si>
    <t>e.g. 103</t>
  </si>
  <si>
    <t>Building Primary Energy Source</t>
  </si>
  <si>
    <t>building_primary_energy_source</t>
  </si>
  <si>
    <t>Primary energy source for heating/ cooling, DHW.</t>
  </si>
  <si>
    <t>Coal</t>
  </si>
  <si>
    <t>Building BIPV Description</t>
  </si>
  <si>
    <t>building_bipv_description</t>
  </si>
  <si>
    <t xml:space="preserve">Type and scope of BIPV (building integrated PV). If present, mentioning, e.g., area (m²) and power (kWpeak) as well as specific type of the system.
</t>
  </si>
  <si>
    <t>Building data (geometry)</t>
  </si>
  <si>
    <t>Building Orientation</t>
  </si>
  <si>
    <t>building_orientation</t>
  </si>
  <si>
    <t>Building orientiation of the 'main' façade</t>
  </si>
  <si>
    <t>E = East-facing</t>
  </si>
  <si>
    <t>Gross Floor Area (GFA) Measurement Method</t>
  </si>
  <si>
    <t>building_gross_floor_area_measurement_method</t>
  </si>
  <si>
    <t>Definition according to national standards</t>
  </si>
  <si>
    <t>ABNT NBR 12.721 (Brazil), Área Real Global / Área Construída</t>
  </si>
  <si>
    <t>RICS (UK), Type 2: GIA (Gross Internal Area)</t>
  </si>
  <si>
    <t>Useful Floor Area (UFA)</t>
  </si>
  <si>
    <t>building_useful_floor_area</t>
  </si>
  <si>
    <t>Total area intended for primary use of the building zone including living rooms, bedrooms, offices, classrooms, retail spaces.</t>
  </si>
  <si>
    <t>e.g. 503</t>
  </si>
  <si>
    <t>Gross Floor Area (GFA)</t>
  </si>
  <si>
    <t>building_gross_floor_area</t>
  </si>
  <si>
    <t>Total gross floor area based on the external perimeter of the building geometry, including the area all structural and non-structural elements.</t>
  </si>
  <si>
    <t>e.g. 504</t>
  </si>
  <si>
    <t>Building Footprint Area</t>
  </si>
  <si>
    <t>building_footprint</t>
  </si>
  <si>
    <t>Building footprint, i.e. the area covered by the building on the plot. Considered equivalent to  projected roof area.</t>
  </si>
  <si>
    <t>Unconditioned Floor Area</t>
  </si>
  <si>
    <t>building_unconditioned_area</t>
  </si>
  <si>
    <t>The floor area within the building that is not conditioned. Spaces that are not actively managed for temperature, humidity, and air quality using HVAC systems, providing a controlled and comfortable environment for occupants.</t>
  </si>
  <si>
    <t>e.g. 501</t>
  </si>
  <si>
    <t>Conditioned Floor Area</t>
  </si>
  <si>
    <t>building_conditioned_area</t>
  </si>
  <si>
    <t>The area used to calculate a building zone energy performance (sum of all enclosed, heated/cooled floor areas of a building where the ambient temperature is maintained above 12°C).</t>
  </si>
  <si>
    <t>e.g. 502</t>
  </si>
  <si>
    <t>Circulation Area</t>
  </si>
  <si>
    <t>building_circulation_area</t>
  </si>
  <si>
    <t>Total area used for the movement within the building zone including hallway, staircases, elevators and lobbies.</t>
  </si>
  <si>
    <t>Technical Area</t>
  </si>
  <si>
    <t>building_technical_area</t>
  </si>
  <si>
    <t xml:space="preserve">Total area reserved for building zone services and technical equipment including boiler rooms, electrical rooms, HVAC etc. </t>
  </si>
  <si>
    <t>Built Floor Area (BFA)</t>
  </si>
  <si>
    <t>building_built_floor_area</t>
  </si>
  <si>
    <t>Equals the gross floor area plus parking area located inside the building shell/enclosed attached parking.</t>
  </si>
  <si>
    <t>Building Envelope Area</t>
  </si>
  <si>
    <t>building_envelope_area</t>
  </si>
  <si>
    <t>Total area of the building envelope (facade and roof).</t>
  </si>
  <si>
    <t>Window Area</t>
  </si>
  <si>
    <t>building_window_area</t>
  </si>
  <si>
    <t>The combined surface area of all windows in a building.</t>
  </si>
  <si>
    <t>Wall Area (Interior)</t>
  </si>
  <si>
    <t>building_wall_area_interior</t>
  </si>
  <si>
    <t>The total surface area of internal walls within a building, excluding openings like doors and windows.</t>
  </si>
  <si>
    <t>e.g. 505</t>
  </si>
  <si>
    <t>Enclosed Parking Area</t>
  </si>
  <si>
    <t>Building_enclosed_parking_area</t>
  </si>
  <si>
    <t xml:space="preserve">Parking area that is enclosed and/or attached to the building shell. This measurement excludes surface parking lots or parking structures that are entirely separate from the building.  </t>
  </si>
  <si>
    <t>e.g. 506</t>
  </si>
  <si>
    <t>Building Height</t>
  </si>
  <si>
    <t>building_height</t>
  </si>
  <si>
    <t>Total height of the building above finished ground level.</t>
  </si>
  <si>
    <t>e.g. 20</t>
  </si>
  <si>
    <t>Average Floor Height</t>
  </si>
  <si>
    <t>building_floor_heaight</t>
  </si>
  <si>
    <t>Vertical distance between the upper surface of one finished floor and the upper surface of the finished floor above it.</t>
  </si>
  <si>
    <t>Building Volume</t>
  </si>
  <si>
    <t>building_volume</t>
  </si>
  <si>
    <t>Volume of the building (gross building volume), i.e. the total space enclosed incl. volume of walls, roofs.</t>
  </si>
  <si>
    <t>m3</t>
  </si>
  <si>
    <t>e.g. 50</t>
  </si>
  <si>
    <t>Occupancy Count</t>
  </si>
  <si>
    <t>building_occupancy_count</t>
  </si>
  <si>
    <t>Estimated number of people that a building or space can accommodate (residential: number of beds; office: number of work places/desks).</t>
  </si>
  <si>
    <t>e.g. 10</t>
  </si>
  <si>
    <t xml:space="preserve">LCA </t>
  </si>
  <si>
    <t>Goal &amp; Scope</t>
  </si>
  <si>
    <t>LCA Goal</t>
  </si>
  <si>
    <t>lca_goal</t>
  </si>
  <si>
    <t>Goal of the study</t>
  </si>
  <si>
    <t>e.g. Permission from municipal corporation</t>
  </si>
  <si>
    <t>Reference Unit</t>
  </si>
  <si>
    <t>lca_reference_unit</t>
  </si>
  <si>
    <t xml:space="preserve">Reference unit the results are primary expressed for, as stated in source </t>
  </si>
  <si>
    <t>1 square meter of Gross Floor Area</t>
  </si>
  <si>
    <t>LCA inventory</t>
  </si>
  <si>
    <t>Required Service Life (RSL)</t>
  </si>
  <si>
    <t>lca_rsl</t>
  </si>
  <si>
    <t>Duration over which the environmental impacts of a building are assessed, typically ranging from 50 to 100 years</t>
  </si>
  <si>
    <t>years</t>
  </si>
  <si>
    <t>Functional Unit</t>
  </si>
  <si>
    <t>lca_functional_unit</t>
  </si>
  <si>
    <t>Functional unit, i.e., functional equivalence specified for the assessment</t>
  </si>
  <si>
    <t>office space for 100 people for 50 years</t>
  </si>
  <si>
    <t>Building Regulation / Code</t>
  </si>
  <si>
    <t>project_building_regulation_code</t>
  </si>
  <si>
    <t>Building regulation and code compliance methodology for calculating carbon emissions across the entire building life cycle (N/A if not known).</t>
  </si>
  <si>
    <t>e.g. ASHRAE 204p</t>
  </si>
  <si>
    <t>LCA Software Name</t>
  </si>
  <si>
    <t>lca_software_name</t>
  </si>
  <si>
    <t>Details of the software used for LCA calculation</t>
  </si>
  <si>
    <t>e.g. GBDI tool</t>
  </si>
  <si>
    <t>LCA Software Publisher</t>
  </si>
  <si>
    <t>lca_software_publisher</t>
  </si>
  <si>
    <t>Company or entity that publishes the software</t>
  </si>
  <si>
    <t>e.g. GBDI</t>
  </si>
  <si>
    <t>LCA Software Version</t>
  </si>
  <si>
    <t>lca_software_version</t>
  </si>
  <si>
    <t>Specific version number of the software being used</t>
  </si>
  <si>
    <t>e.g. v2.1.1</t>
  </si>
  <si>
    <t>LCA impact assessment</t>
  </si>
  <si>
    <t>LCA Database Name</t>
  </si>
  <si>
    <t>lca_database_name</t>
  </si>
  <si>
    <t>Background database name</t>
  </si>
  <si>
    <t>e.g. ecoinvent</t>
  </si>
  <si>
    <t>LCA Database Version</t>
  </si>
  <si>
    <t>lca_database_version</t>
  </si>
  <si>
    <t>Background data version (or I-O source)</t>
  </si>
  <si>
    <t>e.g. v3.1</t>
  </si>
  <si>
    <t>LCA Temporal Approach</t>
  </si>
  <si>
    <t>lca_temporal_approach</t>
  </si>
  <si>
    <t>Type of LCA (e.g., probabilistic, dynamic, probabilistic, prospective)</t>
  </si>
  <si>
    <t>Dynamic</t>
  </si>
  <si>
    <t>e.g. Probablistic</t>
  </si>
  <si>
    <t>Life Cycle Inventory (LCI) Modeling Approach</t>
  </si>
  <si>
    <t>lca_lci_modeling_approach</t>
  </si>
  <si>
    <t>Type of Life Cycle Inventory (LCI) Modeling Approach</t>
  </si>
  <si>
    <t>Hybrid (A mix of process data and IO data)</t>
  </si>
  <si>
    <t>Process-based</t>
  </si>
  <si>
    <t>Life Cycle Stages</t>
  </si>
  <si>
    <t>lca_cyle_stages</t>
  </si>
  <si>
    <t>Different Life Cycle Assessment (LCA) stages depending on where you start and stop measuring</t>
  </si>
  <si>
    <t>Cradle to Gate with Options (A1–A3 + others)</t>
  </si>
  <si>
    <t>LCIA Methodology</t>
  </si>
  <si>
    <t>lcia_methodology</t>
  </si>
  <si>
    <t>Impact assessment method (for GHG emissions, GWP indicator)</t>
  </si>
  <si>
    <t>EN 15804+A2 (EF 3.0) - Current EU standard</t>
  </si>
  <si>
    <t>e.g. EN15804+A2, NMD</t>
  </si>
  <si>
    <t>Biogenic Carbon</t>
  </si>
  <si>
    <t>lca_biogenic_carbon</t>
  </si>
  <si>
    <t>Biogenic carbon included in assessment</t>
  </si>
  <si>
    <t>Biogenic Carbon Accounting Method</t>
  </si>
  <si>
    <t>lca_biogenic_method</t>
  </si>
  <si>
    <t>Method used for biogenic carbon accounting</t>
  </si>
  <si>
    <t>-1/+1;</t>
  </si>
  <si>
    <t>LCA Material Quantities Source</t>
  </si>
  <si>
    <t>lca_material_source</t>
  </si>
  <si>
    <t>Main source of material quantities</t>
  </si>
  <si>
    <t>BIM Model</t>
  </si>
  <si>
    <t>Global Warming Potential - Total</t>
  </si>
  <si>
    <t>lca_gwp_total</t>
  </si>
  <si>
    <t>Life cycle impact included</t>
  </si>
  <si>
    <t>Global Warming Potential - Fossil</t>
  </si>
  <si>
    <t>lca_gwp_f_total</t>
  </si>
  <si>
    <t>Global Warming Potential - Biogenic</t>
  </si>
  <si>
    <t>lca_gwp_b_total</t>
  </si>
  <si>
    <t>Global Warming Potential - Land Use and Land Use Change</t>
  </si>
  <si>
    <t>lca_gwp_luc_total</t>
  </si>
  <si>
    <t>Ozone Depletion Potential (Stratospheric)</t>
  </si>
  <si>
    <t>lca_odp_total</t>
  </si>
  <si>
    <t>Acidification Potential</t>
  </si>
  <si>
    <t>lca_ap_total</t>
  </si>
  <si>
    <t>Eutrophication Potential (Total/Generic)</t>
  </si>
  <si>
    <t>lca_ep_total</t>
  </si>
  <si>
    <t>No</t>
  </si>
  <si>
    <t>Eutrophication Potential - Freshwater</t>
  </si>
  <si>
    <t>lca_ep_af_total</t>
  </si>
  <si>
    <t>Eutrophication Potential - Marine</t>
  </si>
  <si>
    <t>lca_ep_am_total</t>
  </si>
  <si>
    <t>Eutrophication Potential - Terrestrial</t>
  </si>
  <si>
    <t>lca_ep_t_total</t>
  </si>
  <si>
    <t>Photochemical Ozone Creation Potential</t>
  </si>
  <si>
    <t>lca_pocp_total</t>
  </si>
  <si>
    <t>Smog Formation Potential</t>
  </si>
  <si>
    <t>lca_sfp_total</t>
  </si>
  <si>
    <t>Photochemical Ozone Formation Potential</t>
  </si>
  <si>
    <t>lca_pofp_total</t>
  </si>
  <si>
    <t>Abiotic Depletion Potential - Minerals and Metals (Non-fossil)</t>
  </si>
  <si>
    <t>lca_adpmm_total</t>
  </si>
  <si>
    <t>Abiotic Depletion Potential - Fossil Resources</t>
  </si>
  <si>
    <t>lca_adpf_total</t>
  </si>
  <si>
    <t>Water Deprivation Potential</t>
  </si>
  <si>
    <t>lca_wdp_total</t>
  </si>
  <si>
    <t>Primary Energy Renewable (excluding resources used as raw materials)</t>
  </si>
  <si>
    <t>lca_pere_total</t>
  </si>
  <si>
    <t>Primary Energy Non-Renewable (excluding resources used as raw materials)</t>
  </si>
  <si>
    <t>lca_penre_total</t>
  </si>
  <si>
    <t>Primary Energy Renewable - Total</t>
  </si>
  <si>
    <t>lca_pert_total</t>
  </si>
  <si>
    <t>Primary Energy Non-Renewable - Total</t>
  </si>
  <si>
    <t>lca_penrt_total</t>
  </si>
  <si>
    <t>A1-A3: Product Stage</t>
  </si>
  <si>
    <t>lca_a1_3</t>
  </si>
  <si>
    <t>Life cycle module included</t>
  </si>
  <si>
    <t>A1 Raw Material Supply</t>
  </si>
  <si>
    <t>lca_a1</t>
  </si>
  <si>
    <t>A2 Transport</t>
  </si>
  <si>
    <t>lca_a2</t>
  </si>
  <si>
    <t>A3 Manufacturing</t>
  </si>
  <si>
    <t>lca_a3</t>
  </si>
  <si>
    <t>A4 Transport</t>
  </si>
  <si>
    <t>lca_a4</t>
  </si>
  <si>
    <t>A5 Construction/Installation: Installation of the product into the building</t>
  </si>
  <si>
    <t>lca_a5</t>
  </si>
  <si>
    <t>B1 Use: Environmental impacts arising from the product in use (eg, release of substances)</t>
  </si>
  <si>
    <t>lca_b1</t>
  </si>
  <si>
    <t>B2 Maintenance: Actions to maintain the product's functional quality (cleaning, painting)</t>
  </si>
  <si>
    <t>lca_b2</t>
  </si>
  <si>
    <t>B3 Repair: Corrective actions to return the product to a functional state</t>
  </si>
  <si>
    <t>lca_b3</t>
  </si>
  <si>
    <t>B4 Replacement: Replacing the product or parts of it at the end of its service life</t>
  </si>
  <si>
    <t>lca_b4</t>
  </si>
  <si>
    <t>B5 Refurbishment: Major changes to restore or improve performance</t>
  </si>
  <si>
    <t>lca_b5</t>
  </si>
  <si>
    <t>B6 Operational Energy Use: Energy consumption related to the building's operation (heating, cooling, lighting)</t>
  </si>
  <si>
    <t>lca_b6</t>
  </si>
  <si>
    <t>B7 Operational Water Use: Water consumption related to the building's operation</t>
  </si>
  <si>
    <t>lca_b7</t>
  </si>
  <si>
    <t>C1 De-construction/Demolition: Dismantling or demolishing the building/product</t>
  </si>
  <si>
    <t>lca_c1</t>
  </si>
  <si>
    <t>C2 Transport: Transporting the waste to processing or disposal sites</t>
  </si>
  <si>
    <t>lca_c2</t>
  </si>
  <si>
    <t>C3 Waste Processing: Processing waste for reuse, recovery, or recycling</t>
  </si>
  <si>
    <t>lca_c3</t>
  </si>
  <si>
    <t>C4 Disposal: Final disposal of waste that cannot be recovered (eg, landfill)</t>
  </si>
  <si>
    <t>lca_c4</t>
  </si>
  <si>
    <t>D Benefits and Loads Beyond the System Boundary</t>
  </si>
  <si>
    <t>lca_d</t>
  </si>
  <si>
    <t>D1 Reuse, Recovery, and Recycling Potential: Net benefits or loads resulting from reusing or recycling materials (avoided emissions)</t>
  </si>
  <si>
    <t>lca_d1</t>
  </si>
  <si>
    <t>D2 Exported Energy (or Energy Recovery Potential)</t>
  </si>
  <si>
    <t>lca_d2</t>
  </si>
  <si>
    <t>Attribute</t>
  </si>
  <si>
    <t>Material Group</t>
  </si>
  <si>
    <t>Material Name (or ID)</t>
  </si>
  <si>
    <t>Material Name from EPD database</t>
  </si>
  <si>
    <t>EPD Database Name</t>
  </si>
  <si>
    <t>EPD Database Link</t>
  </si>
  <si>
    <t>Declared Amount</t>
  </si>
  <si>
    <t>Declared Unit</t>
  </si>
  <si>
    <t>Reference Service life</t>
  </si>
  <si>
    <t>Material Density (kg/m3)</t>
  </si>
  <si>
    <t>Material Weight (kg)</t>
  </si>
  <si>
    <t>Material Thickness</t>
  </si>
  <si>
    <t>Material Volume</t>
  </si>
  <si>
    <t>Type of EPD</t>
  </si>
  <si>
    <t>LCA stages</t>
  </si>
  <si>
    <t>LCA module</t>
  </si>
  <si>
    <t>Material classification / reference</t>
  </si>
  <si>
    <t>The specific, user-defined identifier for the material.</t>
  </si>
  <si>
    <t>The precise material designation as cataloged in the associated Environmental Product Declaration (EPD) database.</t>
  </si>
  <si>
    <t>The nomenclature of the specific Environmental Product Declaration (EPD) dataset used.</t>
  </si>
  <si>
    <t>The URL of the specific Environmental Product Declaration (EPD) dataset used.</t>
  </si>
  <si>
    <t>Declared amount in EPD</t>
  </si>
  <si>
    <t>Declared unit in EPD</t>
  </si>
  <si>
    <t>Declared reference service life</t>
  </si>
  <si>
    <t>The mass per unit volume of the custom material.</t>
  </si>
  <si>
    <t>The absolute physical mass of the custom material.</t>
  </si>
  <si>
    <t>Declared thickness</t>
  </si>
  <si>
    <t>Declared volume</t>
  </si>
  <si>
    <t xml:space="preserve">List and explanation of the life cycle declared in 
the EPD. </t>
  </si>
  <si>
    <r>
      <rPr>
        <rFont val="Arial"/>
        <i/>
        <color theme="1"/>
        <sz val="10.0"/>
      </rPr>
      <t xml:space="preserve">Life cycle stage(s) of the material </t>
    </r>
    <r>
      <rPr>
        <rFont val="Arial"/>
        <b/>
        <i/>
        <color theme="1"/>
        <sz val="10.0"/>
      </rPr>
      <t>(e.g. A1-A3, B1-B4, C2-C4, D)</t>
    </r>
  </si>
  <si>
    <r>
      <rPr>
        <rFont val="Arial"/>
        <i/>
        <color theme="1"/>
        <sz val="10.0"/>
      </rPr>
      <t xml:space="preserve">Life cycle module(s) of the material </t>
    </r>
    <r>
      <rPr>
        <rFont val="Arial"/>
        <b/>
        <i/>
        <color theme="1"/>
        <sz val="10.0"/>
      </rPr>
      <t>(e.g. A1, A2, B2, D)</t>
    </r>
  </si>
  <si>
    <t>Datatype</t>
  </si>
  <si>
    <t>Categorical (Predefined)</t>
  </si>
  <si>
    <t>Unit</t>
  </si>
  <si>
    <t>kg/m3</t>
  </si>
  <si>
    <t>kg</t>
  </si>
  <si>
    <t>(mm)</t>
  </si>
  <si>
    <t>(m3)</t>
  </si>
  <si>
    <t>Enter your custom material group. Maximum 200 characters. ↓</t>
  </si>
  <si>
    <t>Enter your custom material name. Maximum 200 characters. ↓</t>
  </si>
  <si>
    <t>Enter the exact material name as it appears in the EPD database. 
Maximum 200 characters. ↓</t>
  </si>
  <si>
    <t>Enter the name of the EPD dataset. 
Maximum 200 characters. ↓</t>
  </si>
  <si>
    <t>Enter the name of the EPD dataset or provide a direct link to it. 
Maximum 200 characters. ↓</t>
  </si>
  <si>
    <t>Enter the amount of the material from the EPD. ↓</t>
  </si>
  <si>
    <t>Enter the unit of the material from the EPD. ↓</t>
  </si>
  <si>
    <t>Enter the reference service life of the material from the EPD. ↓</t>
  </si>
  <si>
    <t>Enter the density of the material in (kg/m³). ↓</t>
  </si>
  <si>
    <t>The total weight of the custom material in kilograms (kg). ↓</t>
  </si>
  <si>
    <t>The material thickness in millimeters (mm). ↓</t>
  </si>
  <si>
    <t>The material volume in cubic meters (m3). ↓</t>
  </si>
  <si>
    <t>material_name_custom</t>
  </si>
  <si>
    <t>material_name_database</t>
  </si>
  <si>
    <t>epd_dataset</t>
  </si>
  <si>
    <t>epd_dataset_link</t>
  </si>
  <si>
    <t>custom_material_density</t>
  </si>
  <si>
    <t>1 Bio-based materials/1.1 Wood</t>
  </si>
  <si>
    <t>Gypsum plasterboard</t>
  </si>
  <si>
    <t>Cradle to Gate (A1–A3)</t>
  </si>
  <si>
    <t>A1–A3: Product Stage</t>
  </si>
  <si>
    <t>A1: Raw Material Supply – Extraction and processing of raw materials.</t>
  </si>
  <si>
    <t>[End of table - Add rows above]</t>
  </si>
  <si>
    <t>Building ID/Zone ID</t>
  </si>
  <si>
    <t>Element Class (Tier 1)</t>
  </si>
  <si>
    <t>Element Class (Tier 2)</t>
  </si>
  <si>
    <t>Element Class (Tier 3)</t>
  </si>
  <si>
    <t>Element Class (Tier 4)</t>
  </si>
  <si>
    <t>Element Name (or ID)</t>
  </si>
  <si>
    <t>Above/Below Ground</t>
  </si>
  <si>
    <t>Area of Building Element</t>
  </si>
  <si>
    <t>Assign Building/Zone ID (similar to attribute in building_info tab)</t>
  </si>
  <si>
    <t>Primary (top-level) hierarchical category of the custom or national building element classification.</t>
  </si>
  <si>
    <t>Secondary hierarchical category of the custom or national building element classification.</t>
  </si>
  <si>
    <t>The tertiary hierarchical category of the custom or national building element classification.</t>
  </si>
  <si>
    <t>The quaternary (lowest-level) hierarchical category of the custom or national building element classification.</t>
  </si>
  <si>
    <t>The specific, user-defined identifier for the building element.</t>
  </si>
  <si>
    <t>Above ground (AG) or below ground (BG)</t>
  </si>
  <si>
    <t xml:space="preserve">Enter the surface area of the building element </t>
  </si>
  <si>
    <t>Enter the primary (Tier 1) name of you national element class. 
Maximum 200 characters. ↓</t>
  </si>
  <si>
    <t>Enter the secondary (Tier 2) name for your element class. 
Maximum 200 characters. ↓</t>
  </si>
  <si>
    <t>Enter the tertiary (Tier 3) name for your element class. 
Maximum 200 characters. ↓</t>
  </si>
  <si>
    <t>Enter the quaternary (Tier 4) name for your element class. 
Maximum 200 characters. ↓</t>
  </si>
  <si>
    <t>Enter the custom name of your building element. 
Maximum 200 characters. ↓</t>
  </si>
  <si>
    <t>Select from the dropdown the finished floor level is located above or below the surrounding natural or finished ground level. ↓</t>
  </si>
  <si>
    <t>bec_custom_tier1</t>
  </si>
  <si>
    <t>bec_custom_tier2</t>
  </si>
  <si>
    <t>bec_custom_tier3</t>
  </si>
  <si>
    <t>bec_custom_tier4</t>
  </si>
  <si>
    <t>element_name_custom</t>
  </si>
  <si>
    <t>1 Sub-structure</t>
  </si>
  <si>
    <t>1.1 Foundations and piling</t>
  </si>
  <si>
    <t>1.1.1 Foundations and piling</t>
  </si>
  <si>
    <t>Above ground</t>
  </si>
  <si>
    <t>Floor level</t>
  </si>
  <si>
    <t>Element Class Description</t>
  </si>
  <si>
    <t>OpenBDF Building Element Classification</t>
  </si>
  <si>
    <t>openBDF Building Element class (T1)</t>
  </si>
  <si>
    <t>openBDF Building Element class (T2)</t>
  </si>
  <si>
    <t>openBDF Building Element class (T3)</t>
  </si>
  <si>
    <t>openBDF Building Element class (T4)</t>
  </si>
  <si>
    <t>OpenBDF Common Material Classification</t>
  </si>
  <si>
    <t>Service life (years)</t>
  </si>
  <si>
    <t>Material Quantity (m3)</t>
  </si>
  <si>
    <t>Material Quantity (m2)</t>
  </si>
  <si>
    <t>Material Quantity (m)</t>
  </si>
  <si>
    <t>Material Quantity (count)</t>
  </si>
  <si>
    <t>Density (kg/m3)</t>
  </si>
  <si>
    <t>Share of Layer (%)</t>
  </si>
  <si>
    <t>LCA modules</t>
  </si>
  <si>
    <t>Storey of the building element.</t>
  </si>
  <si>
    <t>Position of the finished floor level relative to the natural or finished ground elevation.</t>
  </si>
  <si>
    <t>The Description of the custom or national element class.</t>
  </si>
  <si>
    <t>The highest applicable tier of the building element within the standardized openBDF framework.</t>
  </si>
  <si>
    <t>The equivalent openBDF Tier 1 (primary) classification mapped to the custom element.</t>
  </si>
  <si>
    <t>The equivalent openBDF Tier 2 (secondary) classification mapped to the custom element.</t>
  </si>
  <si>
    <t>The equivalent openBDF Tier 3 (tertiary) classification mapped to the custom element.</t>
  </si>
  <si>
    <t>The equivalent openBDF Tier 4 (quaternary) classification mapped to the custom element.</t>
  </si>
  <si>
    <t>The corresponding material classification from the standardized openBDF taxonomy.</t>
  </si>
  <si>
    <t>The measured scalar amount (volume) of the custom material.</t>
  </si>
  <si>
    <t>The measured scalar amount (area) of the custom material.</t>
  </si>
  <si>
    <t>The measured scalar amount (length) of the custom material.</t>
  </si>
  <si>
    <t>The measured scalar amount (count) of the custom material.</t>
  </si>
  <si>
    <t>The share of layer in the composition of the building element.</t>
  </si>
  <si>
    <r>
      <rPr>
        <rFont val="Arial"/>
        <i/>
        <color theme="1"/>
        <sz val="10.0"/>
      </rPr>
      <t xml:space="preserve">Life cycle stage(s) of the material </t>
    </r>
    <r>
      <rPr>
        <rFont val="Arial"/>
        <b/>
        <i/>
        <color theme="1"/>
        <sz val="10.0"/>
      </rPr>
      <t>(e.g. A1-A3, B1-B4, C2-C4, D)</t>
    </r>
  </si>
  <si>
    <r>
      <rPr>
        <rFont val="Arial"/>
        <i/>
        <color theme="1"/>
        <sz val="10.0"/>
      </rPr>
      <t xml:space="preserve">Life cycle module(s) of the material </t>
    </r>
    <r>
      <rPr>
        <rFont val="Arial"/>
        <b/>
        <i/>
        <color theme="1"/>
        <sz val="10.0"/>
      </rPr>
      <t>(e.g. A1, A2, B2, D)</t>
    </r>
  </si>
  <si>
    <t>%</t>
  </si>
  <si>
    <t>User Instructions</t>
  </si>
  <si>
    <t>Enter the floor level with reference 
ground floor = 0 
floor level above = + number 
floor level below = - number. ↓</t>
  </si>
  <si>
    <t>Provide the description of the element class. 
Maximum 200 characters. ↓</t>
  </si>
  <si>
    <t>Select the highest openBDF Tier that corresponds to your building element from the dropdown menu. ↓</t>
  </si>
  <si>
    <t>No action needed. This automatically displays the equivalent openBDF Tier 1 classification.</t>
  </si>
  <si>
    <t>No action needed. This automatically displays the equivalent openBDF Tier 2 classification.</t>
  </si>
  <si>
    <t>No action needed. This automatically displays the equivalent openBDF Tier 3 classification.</t>
  </si>
  <si>
    <t>No action needed. This automatically displays the equivalent openBDF Tier 4 classification.</t>
  </si>
  <si>
    <t>Select the openBDF material classification that matches your custom material from the dropdown menu. ↓</t>
  </si>
  <si>
    <t>Enter the service life of the custom material. ↓</t>
  </si>
  <si>
    <t>Enter the total amount of the custom material. ↓</t>
  </si>
  <si>
    <t>Enter the total weight of the custom material in kilograms (kg) as a decimal number. ↓</t>
  </si>
  <si>
    <t>Enter the density of the custom material in kg/m³ as a decimal number. ↓</t>
  </si>
  <si>
    <t>Enter the share of layer in the building element . ↓</t>
  </si>
  <si>
    <t>Select the life cycle stage of the material. ↓</t>
  </si>
  <si>
    <t>Select the  life cycle module of the material. ↓</t>
  </si>
  <si>
    <t>floor_level</t>
  </si>
  <si>
    <t>above_below_ground</t>
  </si>
  <si>
    <t>bec_custom_description</t>
  </si>
  <si>
    <t>bec_openbdf_selection</t>
  </si>
  <si>
    <t>bec_openbdf_tier1</t>
  </si>
  <si>
    <t>bec_openbdf_tier2</t>
  </si>
  <si>
    <t>bec_openbdf_tier3</t>
  </si>
  <si>
    <t>bec_openbdf_tier4</t>
  </si>
  <si>
    <t>openbdf_material_name</t>
  </si>
  <si>
    <t>lca_dataset</t>
  </si>
  <si>
    <t>lca_dataset_link</t>
  </si>
  <si>
    <t>lca_service_life</t>
  </si>
  <si>
    <t>custom_material_quantity_m3</t>
  </si>
  <si>
    <t>custom_material_quantity_m2</t>
  </si>
  <si>
    <t>custom_material_quantity_m</t>
  </si>
  <si>
    <t>custom_material_quantity_count</t>
  </si>
  <si>
    <t>custom_material_weight_kg</t>
  </si>
  <si>
    <t>share_layer</t>
  </si>
  <si>
    <t>lca_stages</t>
  </si>
  <si>
    <t>lca_module</t>
  </si>
  <si>
    <t>1.1.1.0 Foundations and piling</t>
  </si>
  <si>
    <t>A1-A3</t>
  </si>
  <si>
    <t>..</t>
  </si>
  <si>
    <t xml:space="preserve">0.1.1.1 Toxic/contaminated material treatment
</t>
  </si>
  <si>
    <t>Material Quantity - Volume (m3)</t>
  </si>
  <si>
    <t>Material Quantity - Area (m2)</t>
  </si>
  <si>
    <t>Material Quantity - Lenght (m)</t>
  </si>
  <si>
    <t>Material Quantity - Count (count)</t>
  </si>
  <si>
    <t>Density</t>
  </si>
  <si>
    <t>Provide the name of the element class. 
Maximum 200 characters. ↓</t>
  </si>
  <si>
    <t>Below ground</t>
  </si>
  <si>
    <t>2 Bauwerk-Rohbau</t>
  </si>
  <si>
    <t>2C Gründungen, Unterbau</t>
  </si>
  <si>
    <t>2C.03 Flachgründungen</t>
  </si>
  <si>
    <t>26ufYJxy900PXlZTLlFUMa</t>
  </si>
  <si>
    <t>Kies</t>
  </si>
  <si>
    <t>Kies (Korngröße 2/32)</t>
  </si>
  <si>
    <t>habitat2030 BIG TEN</t>
  </si>
  <si>
    <t>https://oekobaudat.de/OEKOBAU.DAT/resource/processes/ed8da770-fc78-40cd-acb1-40f062330f9c?version=20.23.050</t>
  </si>
  <si>
    <t>Leichtbeton</t>
  </si>
  <si>
    <t>Beton der Druckfestigkeitsklasse C20/25</t>
  </si>
  <si>
    <t>https://ibudata.lca-data.com/resource/processes/d5d98d4b-a9ba-4fb3-b2d2-6766f8ef5a59?version=00.02.000</t>
  </si>
  <si>
    <t>XPS</t>
  </si>
  <si>
    <t>Extrudierter Polystyrol Dämmstoff (XPS)</t>
  </si>
  <si>
    <t>https://oekobaudat.de/OEKOBAU.DAT/resource/processes/37f50a3e-5445-4bce-8eda-98f01dba441f?version=20.23.050</t>
  </si>
  <si>
    <t>Bewehrungsstahl</t>
  </si>
  <si>
    <t>Betonstahlmatten und Gitterträger</t>
  </si>
  <si>
    <t>https://oekobaudat.de/OEKOBAU.DAT/resource/processes/065c4bb7-df48-458d-87f2-37e237a6ab90?version=00.02.000</t>
  </si>
  <si>
    <t>Stahlbeton C25/30</t>
  </si>
  <si>
    <t>Beton der Druckfestigkeitsklasse C25/30</t>
  </si>
  <si>
    <t>https://oekobaudat.de/OEKOBAU.DAT/resource/processes/8347f9a7-f4ec-4a36-a266-a0281f5fd16d?version=00.02.000</t>
  </si>
  <si>
    <t>Abdichtung</t>
  </si>
  <si>
    <t>Bitumenbahnen G 200 S4</t>
  </si>
  <si>
    <t>https://oekobaudat.de/OEKOBAU.DAT/resource/processes/bdf0a7e9-3fae-4780-b5ca-3d686c6d46d0?version=20.23.050</t>
  </si>
  <si>
    <t>EPS</t>
  </si>
  <si>
    <t>EPS-Hartschaum (grau, Rohdichte 20 bis 25 kg/m³)</t>
  </si>
  <si>
    <t>https://oekobaudat.de/OEKOBAU.DAT/resource/processes/30452630-b12d-43bf-b140-58e0db0ba549?version=00.02.000</t>
  </si>
  <si>
    <t>Trittschalldämmung Mineralwolle</t>
  </si>
  <si>
    <t>Mineralwolle (Boden-Dämmung)</t>
  </si>
  <si>
    <t>https://oekobaudat.de/OEKOBAU.DAT/resource/processes/58b1ba79-459b-4d58-bc39-91a8f98e71ba?version=20.23.050</t>
  </si>
  <si>
    <t>Estrich</t>
  </si>
  <si>
    <t>Zementestrich</t>
  </si>
  <si>
    <t>https://oekobaudat.de/OEKOBAU.DAT/resource/processes/abc6d78d-f274-4400-8f31-fe8d4c2949c9?version=20.23.050</t>
  </si>
  <si>
    <t>1CX$FBGM58KxTFbMICzmA8</t>
  </si>
  <si>
    <t>Betonplatten</t>
  </si>
  <si>
    <t>0xCE6iQAH209If6Rp4xNXI</t>
  </si>
  <si>
    <t>Holzwerkstoff</t>
  </si>
  <si>
    <t>Schnittholz Lärche (generisch, 12% Feuchte/10,7% H2O)</t>
  </si>
  <si>
    <t>ÖKOBAUDAT</t>
  </si>
  <si>
    <t>https://oekobaudat.de/OEKOBAU.DAT/resource/processes/9f6cf0e4-7455-4c31-a99f-552926c4040e?version=20.24.070</t>
  </si>
  <si>
    <t>Holzlattung</t>
  </si>
  <si>
    <t>Konstruktionsvollholz (Durchschnitt DE) (stoffl. Verwertung)</t>
  </si>
  <si>
    <t>https://oekobaudat.de/OEKOBAU.DAT/resource/processes/7aba3603-0689-4da5-8d24-fd92ae398d07?version=00.00.032</t>
  </si>
  <si>
    <t>2MJOYv7vf84v21wN0vxWZv</t>
  </si>
  <si>
    <t>2Fed7kOFzFW8ss7i$TnQdO</t>
  </si>
  <si>
    <t>374932,04</t>
  </si>
  <si>
    <t>1juhZV4UfBXxuzL99ZMfkO</t>
  </si>
  <si>
    <t>3tQrMXg4n1k9ifyw6fW7C9</t>
  </si>
  <si>
    <t>2D Horizontale Baukonstruktionen</t>
  </si>
  <si>
    <t>2D.01 Deckenkonstruktionen</t>
  </si>
  <si>
    <t xml:space="preserve">2.2 Upper floors 
</t>
  </si>
  <si>
    <t>New materials_33</t>
  </si>
  <si>
    <t xml:space="preserve">Schüttung [kg]
bei angenommener Dichte Splitt (2/15 mm) von 1.600 kg/m³
</t>
  </si>
  <si>
    <t>Splitt 2/15</t>
  </si>
  <si>
    <t>https://oekobaudat.de/OEKOBAU.DAT/resource/processes/f501dc99-706c-4b15-aaec-2cca2b409b41?version=20.24.070</t>
  </si>
  <si>
    <t>New materials_34</t>
  </si>
  <si>
    <t>New materials_35</t>
  </si>
  <si>
    <t>New materials_36</t>
  </si>
  <si>
    <t>New materials_37</t>
  </si>
  <si>
    <t>New materials_38</t>
  </si>
  <si>
    <t>New materials_39</t>
  </si>
  <si>
    <t>New materials_40</t>
  </si>
  <si>
    <t>New materials_41</t>
  </si>
  <si>
    <t>New materials_42</t>
  </si>
  <si>
    <t>New materials_43</t>
  </si>
  <si>
    <t>New materials_44</t>
  </si>
  <si>
    <t>New materials_45</t>
  </si>
  <si>
    <t>02o2JH6MbFKAyOmI9g4wiW</t>
  </si>
  <si>
    <t>Vordach</t>
  </si>
  <si>
    <t>2BcubfWnD9$xrJ0ub4W6T0</t>
  </si>
  <si>
    <t>2jy1Med5TEqO85Hvbuy1Qc</t>
  </si>
  <si>
    <t>Leichtschüttung</t>
  </si>
  <si>
    <t>Schüttung aus Polystyrolschaumstoff-Partikeln (zementgebunden)</t>
  </si>
  <si>
    <t>https://oekobaudat.de/OEKOBAU.DAT/resource/processes/84e317e1-9d87-4246-bd95-0777aaf2dc3f?version=20.23.050</t>
  </si>
  <si>
    <t>Trennschicht</t>
  </si>
  <si>
    <t>Dampfbremse PE</t>
  </si>
  <si>
    <t>https://oekobaudat.de/OEKOBAU.DAT/resource/processes/7b949ae4-3793-4670-86d8-241578803aa2?version=20.23.050</t>
  </si>
  <si>
    <t>1MIdjt72b1tuUv4XSdwxey</t>
  </si>
  <si>
    <t>Dampfbremse</t>
  </si>
  <si>
    <t xml:space="preserve">GWP-total 
A1-A3
</t>
  </si>
  <si>
    <t xml:space="preserve">GWP-total 
A4
</t>
  </si>
  <si>
    <t xml:space="preserve">GWP-total 
A5
</t>
  </si>
  <si>
    <t xml:space="preserve">GWP-total 
B1
</t>
  </si>
  <si>
    <t xml:space="preserve">GWP-total 
B2
</t>
  </si>
  <si>
    <t xml:space="preserve">GWP-total 
B3
</t>
  </si>
  <si>
    <t xml:space="preserve">GWP-total 
B4
</t>
  </si>
  <si>
    <t xml:space="preserve">GWP-total 
B5
</t>
  </si>
  <si>
    <t xml:space="preserve">GWP-total 
B6
</t>
  </si>
  <si>
    <t xml:space="preserve">GWP-total 
C1
</t>
  </si>
  <si>
    <t xml:space="preserve">GWP-total 
C2
</t>
  </si>
  <si>
    <t xml:space="preserve">GWP-total 
C3
</t>
  </si>
  <si>
    <t xml:space="preserve">GWP-total 
C4
</t>
  </si>
  <si>
    <t>GWP-total 
D</t>
  </si>
  <si>
    <t>GWP-total 
D1</t>
  </si>
  <si>
    <t>GWP-total 
D2</t>
  </si>
  <si>
    <t xml:space="preserve">GWP-total
</t>
  </si>
  <si>
    <t xml:space="preserve">GWPf
A1-A3
</t>
  </si>
  <si>
    <t xml:space="preserve">GWPf
A4
</t>
  </si>
  <si>
    <t xml:space="preserve">GWPf
A5
</t>
  </si>
  <si>
    <t xml:space="preserve">GWPf
B1
</t>
  </si>
  <si>
    <t xml:space="preserve">GWPf
B2
</t>
  </si>
  <si>
    <t xml:space="preserve">GWPf
B3
</t>
  </si>
  <si>
    <t xml:space="preserve">GWPf
B4
</t>
  </si>
  <si>
    <t xml:space="preserve">GWPf
B5
</t>
  </si>
  <si>
    <t xml:space="preserve">GWPf
B6
</t>
  </si>
  <si>
    <t xml:space="preserve">GWPf
C1
</t>
  </si>
  <si>
    <t xml:space="preserve">GWPf
C2
</t>
  </si>
  <si>
    <t xml:space="preserve">GWPf
C3
</t>
  </si>
  <si>
    <t xml:space="preserve">GWPf
C4
</t>
  </si>
  <si>
    <t>GWPf
D</t>
  </si>
  <si>
    <t>GWPf
D1</t>
  </si>
  <si>
    <t>GWPf
D2</t>
  </si>
  <si>
    <t xml:space="preserve">GWPf
</t>
  </si>
  <si>
    <t xml:space="preserve">GWPb 
A1-A3
</t>
  </si>
  <si>
    <t xml:space="preserve">GWPb 
A4
</t>
  </si>
  <si>
    <t xml:space="preserve">GWPb 
A5
</t>
  </si>
  <si>
    <t xml:space="preserve">GWPb 
B1
</t>
  </si>
  <si>
    <t xml:space="preserve">GWPb 
B2
</t>
  </si>
  <si>
    <t xml:space="preserve">GWPb 
B3
</t>
  </si>
  <si>
    <t xml:space="preserve">GWPb 
B4
</t>
  </si>
  <si>
    <t xml:space="preserve">GWPb 
B5
</t>
  </si>
  <si>
    <t xml:space="preserve">GWPb 
B6
</t>
  </si>
  <si>
    <t xml:space="preserve">GWPb 
C1
</t>
  </si>
  <si>
    <t xml:space="preserve">GWPb 
C2
</t>
  </si>
  <si>
    <t xml:space="preserve">GWPb 
C3
</t>
  </si>
  <si>
    <t xml:space="preserve">GWPb 
C4
</t>
  </si>
  <si>
    <t>GWPb 
D</t>
  </si>
  <si>
    <t>GWPb 
D1</t>
  </si>
  <si>
    <t>GWPb 
D2</t>
  </si>
  <si>
    <t xml:space="preserve">GWPb
</t>
  </si>
  <si>
    <t xml:space="preserve">GWPluc
A1-A3
</t>
  </si>
  <si>
    <t xml:space="preserve">GWPluc
A4
</t>
  </si>
  <si>
    <t xml:space="preserve">GWPluc
A5
</t>
  </si>
  <si>
    <t xml:space="preserve">GWPluc
B1
</t>
  </si>
  <si>
    <t xml:space="preserve">GWPluc
B2
</t>
  </si>
  <si>
    <t xml:space="preserve">GWPluc
B3
</t>
  </si>
  <si>
    <t xml:space="preserve">GWPluc
B4
</t>
  </si>
  <si>
    <t xml:space="preserve">GWPluc
B5
</t>
  </si>
  <si>
    <t xml:space="preserve">GWPluc
B6
</t>
  </si>
  <si>
    <t xml:space="preserve">GWPluc
C1
</t>
  </si>
  <si>
    <t xml:space="preserve">GWPluc
C2
</t>
  </si>
  <si>
    <t xml:space="preserve">GWPluc
C3
</t>
  </si>
  <si>
    <t xml:space="preserve">GWPluc
C4
</t>
  </si>
  <si>
    <t>GWPluc
D</t>
  </si>
  <si>
    <t>GWPluc
D1</t>
  </si>
  <si>
    <t>GWPluc
D2</t>
  </si>
  <si>
    <t xml:space="preserve">GWPluc
</t>
  </si>
  <si>
    <t xml:space="preserve">ODP
A1-A3
</t>
  </si>
  <si>
    <t xml:space="preserve">ODP
A4
</t>
  </si>
  <si>
    <t xml:space="preserve">ODP
A5
</t>
  </si>
  <si>
    <t>ODP
B1</t>
  </si>
  <si>
    <t xml:space="preserve">ODP
B2
</t>
  </si>
  <si>
    <t xml:space="preserve">ODP
B3
</t>
  </si>
  <si>
    <t xml:space="preserve">ODP
B4
</t>
  </si>
  <si>
    <t xml:space="preserve">ODP
B5
</t>
  </si>
  <si>
    <t xml:space="preserve">ODP
B6
</t>
  </si>
  <si>
    <t xml:space="preserve">ODP
C1
</t>
  </si>
  <si>
    <t xml:space="preserve">ODP
C2
</t>
  </si>
  <si>
    <t xml:space="preserve">ODP
C3
</t>
  </si>
  <si>
    <t xml:space="preserve">ODP
C4
</t>
  </si>
  <si>
    <t>ODP
D</t>
  </si>
  <si>
    <t>ODP
D1</t>
  </si>
  <si>
    <t>ODP
D2</t>
  </si>
  <si>
    <t xml:space="preserve">ODP
</t>
  </si>
  <si>
    <t xml:space="preserve">AP
A1-A3
</t>
  </si>
  <si>
    <t xml:space="preserve">AP
A4
</t>
  </si>
  <si>
    <t xml:space="preserve">AP
A5
</t>
  </si>
  <si>
    <t xml:space="preserve">AP
B1
</t>
  </si>
  <si>
    <t xml:space="preserve">AP
B2
</t>
  </si>
  <si>
    <t xml:space="preserve">AP
B3
</t>
  </si>
  <si>
    <t xml:space="preserve">AP
B4
</t>
  </si>
  <si>
    <t xml:space="preserve">AP
B6
</t>
  </si>
  <si>
    <t xml:space="preserve">AP
C1
</t>
  </si>
  <si>
    <t xml:space="preserve">AP
C2
</t>
  </si>
  <si>
    <t xml:space="preserve">AP
C3
</t>
  </si>
  <si>
    <t xml:space="preserve">AP
C4
</t>
  </si>
  <si>
    <t xml:space="preserve">AP
D
</t>
  </si>
  <si>
    <t xml:space="preserve">AP
D1
</t>
  </si>
  <si>
    <t xml:space="preserve">AP
D2
</t>
  </si>
  <si>
    <t xml:space="preserve">AP
</t>
  </si>
  <si>
    <t xml:space="preserve">EP 
A1-A3
</t>
  </si>
  <si>
    <t xml:space="preserve">EP
A4
</t>
  </si>
  <si>
    <t xml:space="preserve">EP 
A5
</t>
  </si>
  <si>
    <t xml:space="preserve">EP
B1
</t>
  </si>
  <si>
    <t xml:space="preserve">EP 
B2
</t>
  </si>
  <si>
    <t xml:space="preserve">EP 
B3
</t>
  </si>
  <si>
    <t xml:space="preserve">EP
B4
</t>
  </si>
  <si>
    <t xml:space="preserve">EP 
B5
</t>
  </si>
  <si>
    <t xml:space="preserve">EP 
B6
</t>
  </si>
  <si>
    <t xml:space="preserve">EP 
C1
</t>
  </si>
  <si>
    <t xml:space="preserve">EP 
C2
</t>
  </si>
  <si>
    <t xml:space="preserve">EP 
C3
</t>
  </si>
  <si>
    <t xml:space="preserve">EP 
C4
</t>
  </si>
  <si>
    <t xml:space="preserve">EP
D
</t>
  </si>
  <si>
    <t xml:space="preserve">EP 
D1
</t>
  </si>
  <si>
    <t xml:space="preserve">EP
D2
</t>
  </si>
  <si>
    <t xml:space="preserve">EP 
</t>
  </si>
  <si>
    <t xml:space="preserve">EPfw 
A1-A3
</t>
  </si>
  <si>
    <t xml:space="preserve">EPfw 
A4
</t>
  </si>
  <si>
    <t xml:space="preserve">EPfw 
A5
</t>
  </si>
  <si>
    <t xml:space="preserve">EPfw 
B1
</t>
  </si>
  <si>
    <t xml:space="preserve">EPfw 
B2
</t>
  </si>
  <si>
    <t xml:space="preserve">EPfw 
B3
</t>
  </si>
  <si>
    <t xml:space="preserve">EPfw 
B4
</t>
  </si>
  <si>
    <t xml:space="preserve">EPfw 
B5
</t>
  </si>
  <si>
    <t xml:space="preserve">EPfw 
B6
</t>
  </si>
  <si>
    <t xml:space="preserve">EPfw 
C1
</t>
  </si>
  <si>
    <t xml:space="preserve">EPfw 
C2
</t>
  </si>
  <si>
    <t xml:space="preserve">EPfw 
C3
</t>
  </si>
  <si>
    <t xml:space="preserve">EPfw 
C4
</t>
  </si>
  <si>
    <t xml:space="preserve">EPfw 
D
</t>
  </si>
  <si>
    <t xml:space="preserve">EPfw 
D1
</t>
  </si>
  <si>
    <t xml:space="preserve">EPfw 
D2
</t>
  </si>
  <si>
    <t xml:space="preserve">EPfw
</t>
  </si>
  <si>
    <t xml:space="preserve">EPm
A1-A3
</t>
  </si>
  <si>
    <t xml:space="preserve">EPm
A4
</t>
  </si>
  <si>
    <t xml:space="preserve">EPm
A5
</t>
  </si>
  <si>
    <t xml:space="preserve">EPm
B1
</t>
  </si>
  <si>
    <t xml:space="preserve">EPm
B2
</t>
  </si>
  <si>
    <t xml:space="preserve">EPm
B3
</t>
  </si>
  <si>
    <t xml:space="preserve">EPm
B4
</t>
  </si>
  <si>
    <t xml:space="preserve">EPm
B5
</t>
  </si>
  <si>
    <t xml:space="preserve">EPm
B6
</t>
  </si>
  <si>
    <t xml:space="preserve">EPm
C1
</t>
  </si>
  <si>
    <t xml:space="preserve">EPm
C2
</t>
  </si>
  <si>
    <t xml:space="preserve">EPm
C3
</t>
  </si>
  <si>
    <t xml:space="preserve">EPm
C4
</t>
  </si>
  <si>
    <t xml:space="preserve">EPm
D
</t>
  </si>
  <si>
    <t xml:space="preserve">EPm
D1
</t>
  </si>
  <si>
    <t xml:space="preserve">EPm
D2
</t>
  </si>
  <si>
    <t xml:space="preserve">EPm
</t>
  </si>
  <si>
    <t xml:space="preserve">EPt 
A1-A3
</t>
  </si>
  <si>
    <t xml:space="preserve">EPt 
A4
</t>
  </si>
  <si>
    <t xml:space="preserve">EPt 
A5
</t>
  </si>
  <si>
    <t xml:space="preserve">EPt 
B1
</t>
  </si>
  <si>
    <t xml:space="preserve">EPt 
B2
</t>
  </si>
  <si>
    <t xml:space="preserve">EPt 
B3
</t>
  </si>
  <si>
    <t xml:space="preserve">EPt 
B4
</t>
  </si>
  <si>
    <t xml:space="preserve">EPt 
B5
</t>
  </si>
  <si>
    <t xml:space="preserve">EPt 
B6
</t>
  </si>
  <si>
    <t xml:space="preserve">EPt 
C1
</t>
  </si>
  <si>
    <t xml:space="preserve">EPt 
C2
</t>
  </si>
  <si>
    <t xml:space="preserve">EPt 
C3
</t>
  </si>
  <si>
    <t xml:space="preserve">EPt 
C4
</t>
  </si>
  <si>
    <t xml:space="preserve">EPt 
D
</t>
  </si>
  <si>
    <t xml:space="preserve">EPt 
D1
</t>
  </si>
  <si>
    <t xml:space="preserve">EPt 
D2
</t>
  </si>
  <si>
    <t xml:space="preserve">EPt
</t>
  </si>
  <si>
    <t xml:space="preserve">POCP
A1-A3
</t>
  </si>
  <si>
    <t xml:space="preserve">POCP
A4
</t>
  </si>
  <si>
    <t xml:space="preserve">POCP
A5
</t>
  </si>
  <si>
    <t xml:space="preserve">POCP
B1
</t>
  </si>
  <si>
    <t xml:space="preserve">POCP
B2
</t>
  </si>
  <si>
    <t xml:space="preserve">POCP
B3
</t>
  </si>
  <si>
    <t xml:space="preserve">POCP
B4
</t>
  </si>
  <si>
    <t xml:space="preserve">POCP
B6
</t>
  </si>
  <si>
    <t xml:space="preserve">POCP
C1
</t>
  </si>
  <si>
    <t xml:space="preserve">POCP
C2
</t>
  </si>
  <si>
    <t xml:space="preserve">POCP
C3
</t>
  </si>
  <si>
    <t xml:space="preserve">POCP
C4
</t>
  </si>
  <si>
    <t xml:space="preserve">POCP
D
</t>
  </si>
  <si>
    <t xml:space="preserve">POCP
D1
</t>
  </si>
  <si>
    <t xml:space="preserve">POCP
D2
</t>
  </si>
  <si>
    <t xml:space="preserve">POCP
</t>
  </si>
  <si>
    <t xml:space="preserve">SFP
A1-A3
</t>
  </si>
  <si>
    <t xml:space="preserve">SFP
A4
</t>
  </si>
  <si>
    <t xml:space="preserve">SFP
A5
</t>
  </si>
  <si>
    <t xml:space="preserve">SFP
B1
</t>
  </si>
  <si>
    <t xml:space="preserve">SFP
B2
</t>
  </si>
  <si>
    <t xml:space="preserve">SFP
B3
</t>
  </si>
  <si>
    <t xml:space="preserve">SFP
B4
</t>
  </si>
  <si>
    <t xml:space="preserve">SFP
B6
</t>
  </si>
  <si>
    <t xml:space="preserve">SFP
C1
</t>
  </si>
  <si>
    <t xml:space="preserve">SFP
C2
</t>
  </si>
  <si>
    <t xml:space="preserve">SFP
C3
</t>
  </si>
  <si>
    <t xml:space="preserve">SFP
C4
</t>
  </si>
  <si>
    <t xml:space="preserve">SFP
D
</t>
  </si>
  <si>
    <t xml:space="preserve">SFP
D1
</t>
  </si>
  <si>
    <t xml:space="preserve">SFP
D2
</t>
  </si>
  <si>
    <t xml:space="preserve">SFP
</t>
  </si>
  <si>
    <t xml:space="preserve">POFP
A1-A3
</t>
  </si>
  <si>
    <t xml:space="preserve">POFP
A4
</t>
  </si>
  <si>
    <t xml:space="preserve">POFP
A5
</t>
  </si>
  <si>
    <t xml:space="preserve">POFP
B1
</t>
  </si>
  <si>
    <t xml:space="preserve">POFP
B2
</t>
  </si>
  <si>
    <t xml:space="preserve">POFP
B3
</t>
  </si>
  <si>
    <t xml:space="preserve">POFP
B4
</t>
  </si>
  <si>
    <t xml:space="preserve">POFP
B5
</t>
  </si>
  <si>
    <t xml:space="preserve">POFP
B6
</t>
  </si>
  <si>
    <t xml:space="preserve">POFP
C1
</t>
  </si>
  <si>
    <t xml:space="preserve">POFP
C2
</t>
  </si>
  <si>
    <t xml:space="preserve">POFP
C3
</t>
  </si>
  <si>
    <t xml:space="preserve">POFP
C4
</t>
  </si>
  <si>
    <t xml:space="preserve">POFP
D
</t>
  </si>
  <si>
    <t xml:space="preserve">POFP
D1
</t>
  </si>
  <si>
    <t xml:space="preserve">POFP
D2
</t>
  </si>
  <si>
    <t xml:space="preserve">POFP
</t>
  </si>
  <si>
    <t>ADPmm
A1-A3</t>
  </si>
  <si>
    <t xml:space="preserve">ADPmm
A4
</t>
  </si>
  <si>
    <t xml:space="preserve">ARDP  - Minerals and Metals
A5
</t>
  </si>
  <si>
    <t xml:space="preserve">ADPmm
B1
</t>
  </si>
  <si>
    <t xml:space="preserve">ADPmm
B2
</t>
  </si>
  <si>
    <t xml:space="preserve">ADPmm
B3
</t>
  </si>
  <si>
    <t xml:space="preserve">ADPmm
B4
</t>
  </si>
  <si>
    <t xml:space="preserve">ADPmm
B5
</t>
  </si>
  <si>
    <t xml:space="preserve">ADPmm
B6
</t>
  </si>
  <si>
    <t xml:space="preserve">ADPmm
C1
</t>
  </si>
  <si>
    <t xml:space="preserve">ADPmm
C2
</t>
  </si>
  <si>
    <t xml:space="preserve">ADPmm
C3
</t>
  </si>
  <si>
    <t xml:space="preserve">ADPmm
C4
</t>
  </si>
  <si>
    <t xml:space="preserve">ADPmm
D
</t>
  </si>
  <si>
    <t xml:space="preserve">ADPmm
D1
</t>
  </si>
  <si>
    <t xml:space="preserve">ADPmm
D2
</t>
  </si>
  <si>
    <t xml:space="preserve">ADPmm
</t>
  </si>
  <si>
    <t xml:space="preserve">ADPf
A1-A3
</t>
  </si>
  <si>
    <t xml:space="preserve">ADPf
A4
</t>
  </si>
  <si>
    <t xml:space="preserve">ADPf
A5
</t>
  </si>
  <si>
    <t xml:space="preserve">ADPf
B1
</t>
  </si>
  <si>
    <t xml:space="preserve">ADPf
B2
</t>
  </si>
  <si>
    <t xml:space="preserve">ADPf
B3
</t>
  </si>
  <si>
    <t xml:space="preserve">ADPf
B4
</t>
  </si>
  <si>
    <t xml:space="preserve">ADPf
B5
</t>
  </si>
  <si>
    <t xml:space="preserve">ADPf
B6
</t>
  </si>
  <si>
    <t xml:space="preserve">ADPf
C1
</t>
  </si>
  <si>
    <t xml:space="preserve">ADPf
C2
</t>
  </si>
  <si>
    <t xml:space="preserve">ADPf
C3
</t>
  </si>
  <si>
    <t xml:space="preserve">ADPf
C4
</t>
  </si>
  <si>
    <t xml:space="preserve">ADPf
D
</t>
  </si>
  <si>
    <t xml:space="preserve">ADPf
D1
</t>
  </si>
  <si>
    <t xml:space="preserve">ADPf
D2
</t>
  </si>
  <si>
    <t xml:space="preserve">ADPf
</t>
  </si>
  <si>
    <t xml:space="preserve">WDP
A1-A3
</t>
  </si>
  <si>
    <t xml:space="preserve">WDP
A4
</t>
  </si>
  <si>
    <t xml:space="preserve">WDP
A5
</t>
  </si>
  <si>
    <t>WDP
B1</t>
  </si>
  <si>
    <t xml:space="preserve">WDP
B2
</t>
  </si>
  <si>
    <t xml:space="preserve">WDP
B3
</t>
  </si>
  <si>
    <t xml:space="preserve">WDP
B4
</t>
  </si>
  <si>
    <t xml:space="preserve">WDP
B5
</t>
  </si>
  <si>
    <t xml:space="preserve">WDP
B6
</t>
  </si>
  <si>
    <t xml:space="preserve">WDP
C1
</t>
  </si>
  <si>
    <t xml:space="preserve">WDP
C2
</t>
  </si>
  <si>
    <t xml:space="preserve">WDP
C3
</t>
  </si>
  <si>
    <t xml:space="preserve">WDP
C4
</t>
  </si>
  <si>
    <t>WDP
D</t>
  </si>
  <si>
    <t>WDP
D1</t>
  </si>
  <si>
    <t>WDP
D2</t>
  </si>
  <si>
    <t xml:space="preserve">WDP
</t>
  </si>
  <si>
    <t xml:space="preserve">PERE
A1-A3
</t>
  </si>
  <si>
    <t xml:space="preserve">PERE
A4
</t>
  </si>
  <si>
    <t xml:space="preserve">PERE
A5
</t>
  </si>
  <si>
    <t>PERE
B1</t>
  </si>
  <si>
    <t xml:space="preserve">PERE
B2
</t>
  </si>
  <si>
    <t xml:space="preserve">PERE
B3
</t>
  </si>
  <si>
    <t xml:space="preserve">PERE
B4
</t>
  </si>
  <si>
    <t xml:space="preserve">PERE
B5
</t>
  </si>
  <si>
    <t xml:space="preserve">PERE
B6
</t>
  </si>
  <si>
    <t xml:space="preserve">PERE
C1
</t>
  </si>
  <si>
    <t xml:space="preserve">PERE
C2
</t>
  </si>
  <si>
    <t xml:space="preserve">PERE
C3
</t>
  </si>
  <si>
    <t xml:space="preserve">PERE
C4
</t>
  </si>
  <si>
    <t>PERE
D</t>
  </si>
  <si>
    <t>PERE
D1</t>
  </si>
  <si>
    <t>PERE
D2</t>
  </si>
  <si>
    <t xml:space="preserve">PERE
</t>
  </si>
  <si>
    <t xml:space="preserve">PENRE
A1-A3
</t>
  </si>
  <si>
    <t xml:space="preserve">PENRE
A4
</t>
  </si>
  <si>
    <t xml:space="preserve">PENRE
A5
</t>
  </si>
  <si>
    <t>PENRE
B1</t>
  </si>
  <si>
    <t xml:space="preserve">PENRE
B2
</t>
  </si>
  <si>
    <t xml:space="preserve">PENRE
B3
</t>
  </si>
  <si>
    <t xml:space="preserve">PENRE
B4
</t>
  </si>
  <si>
    <t xml:space="preserve">PENRE
B5
</t>
  </si>
  <si>
    <t xml:space="preserve">PENRE
B6
</t>
  </si>
  <si>
    <t xml:space="preserve">PENRE
C1
</t>
  </si>
  <si>
    <t xml:space="preserve">PENRE
C2
</t>
  </si>
  <si>
    <t xml:space="preserve">PENRE
C3
</t>
  </si>
  <si>
    <t xml:space="preserve">PENRE
C4
</t>
  </si>
  <si>
    <t>PENRE
D</t>
  </si>
  <si>
    <t>PENRE
D1</t>
  </si>
  <si>
    <t>PENRE
D2</t>
  </si>
  <si>
    <t xml:space="preserve">PENRE
</t>
  </si>
  <si>
    <t xml:space="preserve">PERT
A1-A3
</t>
  </si>
  <si>
    <t xml:space="preserve">PERT
A4
</t>
  </si>
  <si>
    <t xml:space="preserve">PERT
A5
</t>
  </si>
  <si>
    <t>PERT
B1</t>
  </si>
  <si>
    <t xml:space="preserve">PERT
B2
</t>
  </si>
  <si>
    <t xml:space="preserve">PERT
B3
</t>
  </si>
  <si>
    <t xml:space="preserve">PERT
B4
</t>
  </si>
  <si>
    <t xml:space="preserve">PERT
B5
</t>
  </si>
  <si>
    <t xml:space="preserve">PERT
B6
</t>
  </si>
  <si>
    <t xml:space="preserve">PERT
C1
</t>
  </si>
  <si>
    <t xml:space="preserve">PERT
C2
</t>
  </si>
  <si>
    <t xml:space="preserve">PERT
C3
</t>
  </si>
  <si>
    <t xml:space="preserve">PERT
C4
</t>
  </si>
  <si>
    <t>PERT
D</t>
  </si>
  <si>
    <t>PERT
D1</t>
  </si>
  <si>
    <t>PERT
D2</t>
  </si>
  <si>
    <t xml:space="preserve">PERT
</t>
  </si>
  <si>
    <t xml:space="preserve">PENRT
A1-A3
</t>
  </si>
  <si>
    <t xml:space="preserve">PENRT
A4
</t>
  </si>
  <si>
    <t xml:space="preserve">PENRT
A5
</t>
  </si>
  <si>
    <t>PENRT
B1</t>
  </si>
  <si>
    <t xml:space="preserve">PENRT
B2
</t>
  </si>
  <si>
    <t xml:space="preserve">PENRT
B3
</t>
  </si>
  <si>
    <t xml:space="preserve">PENRT
B4
</t>
  </si>
  <si>
    <t xml:space="preserve">PENRT
B5
</t>
  </si>
  <si>
    <t xml:space="preserve">PENRT
B6
</t>
  </si>
  <si>
    <t xml:space="preserve">PENRT
C1
</t>
  </si>
  <si>
    <t xml:space="preserve">PENRT
C2
</t>
  </si>
  <si>
    <t xml:space="preserve">PENRT
C3
</t>
  </si>
  <si>
    <t xml:space="preserve">PENRT
C4
</t>
  </si>
  <si>
    <t>PENRT
D</t>
  </si>
  <si>
    <t>PENRT
D1</t>
  </si>
  <si>
    <t>PENRT
D2</t>
  </si>
  <si>
    <t xml:space="preserve">PENRT
</t>
  </si>
  <si>
    <t>The nomenclature or reference URL of the specific Environmental Product Declaration (EPD) dataset used.</t>
  </si>
  <si>
    <t>Total Global Warming Potential</t>
  </si>
  <si>
    <t xml:space="preserve">Global Warming Potential - Fossil </t>
  </si>
  <si>
    <t xml:space="preserve">Total Global Warming Potential - Fossil </t>
  </si>
  <si>
    <t>Global Warming Potential - Biogenic A1-A3: Product Stage</t>
  </si>
  <si>
    <t>Total Global Warming Potential - Biogenic</t>
  </si>
  <si>
    <t xml:space="preserve">Global Warming Potential - Land Use and Land Use Change </t>
  </si>
  <si>
    <t xml:space="preserve">Total Global Warming Potential - Land Use and Land Use Change </t>
  </si>
  <si>
    <t>Ozone Depletion Potential</t>
  </si>
  <si>
    <t>Total Ozone Depletion Potential</t>
  </si>
  <si>
    <t>Total Acidification Potential</t>
  </si>
  <si>
    <t xml:space="preserve">Eutrophication Potential </t>
  </si>
  <si>
    <t xml:space="preserve">Total Eutrophication Potential </t>
  </si>
  <si>
    <t>Eutrophication Potential - Aquatic Freshwater</t>
  </si>
  <si>
    <t>Total Eutrophication Potential - Aquatic Freshwater</t>
  </si>
  <si>
    <t>Eutrophication Potential - Aquatic Marine</t>
  </si>
  <si>
    <t xml:space="preserve">Total Eutrophication Potential - Aquatic Marine </t>
  </si>
  <si>
    <t xml:space="preserve">Eutrophication Potential - Terrestrial </t>
  </si>
  <si>
    <t xml:space="preserve">Total Eutrophication Potential - Terrestrial </t>
  </si>
  <si>
    <t>Total Photochemical Ozone Formation Potential, aka photochemical smog potential</t>
  </si>
  <si>
    <t>Smog Forming Potential</t>
  </si>
  <si>
    <t>Total Smog Forming Potential</t>
  </si>
  <si>
    <t>Total Photochemical Ozone Formation Potential</t>
  </si>
  <si>
    <t xml:space="preserve">Abiotic Depletion Potential (Minerals and Metals) </t>
  </si>
  <si>
    <t xml:space="preserve">Total Abiotic Depletion Potential (Minerals and Metals) </t>
  </si>
  <si>
    <t>Abiotic Depletion Potential (Fossil Fuels)</t>
  </si>
  <si>
    <t>Total Abiotic Depletion Potential (Fossil Fuels)</t>
  </si>
  <si>
    <t>Water Depletion Potential</t>
  </si>
  <si>
    <t>Total Water Depletion Potential</t>
  </si>
  <si>
    <t>Primary Energy Renewable (Energy resources)</t>
  </si>
  <si>
    <t>Total Primary Energy Renewable (Energy resources)</t>
  </si>
  <si>
    <t>Primary Energy Non‑Renewable (Energy resources)</t>
  </si>
  <si>
    <t>Total Primary Energy Non‑Renewable (Energy resources)</t>
  </si>
  <si>
    <t>Primary Energy Renewable Total</t>
  </si>
  <si>
    <t>Total Primary Energy Renewable Total</t>
  </si>
  <si>
    <t>Primary Energy Non‑Renewable Total</t>
  </si>
  <si>
    <t>Total Primary Energy Non‑Renewable Total</t>
  </si>
  <si>
    <t>kg CO₂ eq</t>
  </si>
  <si>
    <t xml:space="preserve"> kg R11 eq / kg CFC-11 eq.</t>
  </si>
  <si>
    <t>kg SO₂ eq.</t>
  </si>
  <si>
    <t>kg N eq</t>
  </si>
  <si>
    <t>kg PO4 eq</t>
  </si>
  <si>
    <t>mol Ne eq</t>
  </si>
  <si>
    <t>kg C2H4 eq</t>
  </si>
  <si>
    <t>kg O3 eq</t>
  </si>
  <si>
    <t>kg NMVOC eq</t>
  </si>
  <si>
    <t>kg Sb eq</t>
  </si>
  <si>
    <t>MJ</t>
  </si>
  <si>
    <t>m3 world eq</t>
  </si>
  <si>
    <t>No action needed. This automatically displays the custom material name. Maximum 200 characters.</t>
  </si>
  <si>
    <t>No action needed. This automatically displays the exact material name as it appears in the Environmental Product Declaration (EPD) database. Maximum 200 characters.</t>
  </si>
  <si>
    <t>No action needed. This automatically displays the name of the EPD dataset or provide a direct link to it. Maximum 200 characters.</t>
  </si>
  <si>
    <t>No action needed. This automatically displays the total amount of the custom material in m3 as a decimal number.</t>
  </si>
  <si>
    <t>No action needed. This automatically displays the total amount of the custom material in m2 as a decimal number.</t>
  </si>
  <si>
    <t>No action needed. This automatically displays the total amount of the custom material in m as a decimal number.</t>
  </si>
  <si>
    <t>No action needed. This automatically displays the total amount of the custom material as count.</t>
  </si>
  <si>
    <t>No action needed. This automatically displays the total weight of the custom material in kilograms (kg) as a decimal number.</t>
  </si>
  <si>
    <t>No action needed. This automatically displays the density of the custom material in kg/m³ as a decimal number.</t>
  </si>
  <si>
    <t>Enter the values below.↓</t>
  </si>
  <si>
    <t>gwp_total_a1-a3</t>
  </si>
  <si>
    <t>gwp_total_a4</t>
  </si>
  <si>
    <t>gwp_total_a5</t>
  </si>
  <si>
    <t>gwp_total_b1</t>
  </si>
  <si>
    <t>gwp_total_b2</t>
  </si>
  <si>
    <t>gwp_total_b3</t>
  </si>
  <si>
    <t>gwp_total_b4</t>
  </si>
  <si>
    <t>gwp_total_b5</t>
  </si>
  <si>
    <t>gwp_total_b6</t>
  </si>
  <si>
    <t>gwp_total_c1</t>
  </si>
  <si>
    <t>gwp_total_c2</t>
  </si>
  <si>
    <t>gwp_total_c3</t>
  </si>
  <si>
    <t>gwp_total_c4</t>
  </si>
  <si>
    <t>gwp_total_d</t>
  </si>
  <si>
    <t>gwp_total_d1</t>
  </si>
  <si>
    <t>gwp_total_d2</t>
  </si>
  <si>
    <t>gwp_total</t>
  </si>
  <si>
    <t>gwp_f_a1-a3</t>
  </si>
  <si>
    <t>gwp_f_a4</t>
  </si>
  <si>
    <t>gwp_f_a5</t>
  </si>
  <si>
    <t>gwp_f_b1</t>
  </si>
  <si>
    <t>gwp_f_b2</t>
  </si>
  <si>
    <t>gwp_f_b3</t>
  </si>
  <si>
    <t>gwp_f_b4</t>
  </si>
  <si>
    <t>gwp_f_b5</t>
  </si>
  <si>
    <t>gwp_f_b6</t>
  </si>
  <si>
    <t>gwp_f_c1</t>
  </si>
  <si>
    <t>gwp_f_c2</t>
  </si>
  <si>
    <t>gwp_f_c3</t>
  </si>
  <si>
    <t>gwp_f_c4</t>
  </si>
  <si>
    <t>gwp_f_d</t>
  </si>
  <si>
    <t>gwp_f_d1</t>
  </si>
  <si>
    <t>gwp_f_d2</t>
  </si>
  <si>
    <t>gwp_f_total</t>
  </si>
  <si>
    <t>gwp_b_a1-a3</t>
  </si>
  <si>
    <t>gwp_b_a4</t>
  </si>
  <si>
    <t>gwp_b_a5</t>
  </si>
  <si>
    <t>gwp_b_b1</t>
  </si>
  <si>
    <t>gwp_b_b2</t>
  </si>
  <si>
    <t>gwp_b_b3</t>
  </si>
  <si>
    <t>gwp_b_b4</t>
  </si>
  <si>
    <t>gwp_b_b5</t>
  </si>
  <si>
    <t>gwp_b_b6</t>
  </si>
  <si>
    <t>gwp_b_c1</t>
  </si>
  <si>
    <t>gwp_b_c2</t>
  </si>
  <si>
    <t>gwp_b_c3</t>
  </si>
  <si>
    <t>gwp_b_c4</t>
  </si>
  <si>
    <t>gwp_b_d</t>
  </si>
  <si>
    <t>gwp_b_d1</t>
  </si>
  <si>
    <t>gwp_b_d2</t>
  </si>
  <si>
    <t>gwp_b_total</t>
  </si>
  <si>
    <t>gwp_luc_a1-a3</t>
  </si>
  <si>
    <t>gwp_luc_a4</t>
  </si>
  <si>
    <t>gwp_luc_a5</t>
  </si>
  <si>
    <t>gwp_luc_b1</t>
  </si>
  <si>
    <t>gwp_luc_b2</t>
  </si>
  <si>
    <t>gwp_luc_b3</t>
  </si>
  <si>
    <t>gwp_luc_b4</t>
  </si>
  <si>
    <t>gwp_luc_b5</t>
  </si>
  <si>
    <t>gwp_luc_b6</t>
  </si>
  <si>
    <t>gwp_luc_c1</t>
  </si>
  <si>
    <t>gwp_luc_c2</t>
  </si>
  <si>
    <t>gwp_luc_c3</t>
  </si>
  <si>
    <t>gwp_luc_c4</t>
  </si>
  <si>
    <t>gwp_luc_d</t>
  </si>
  <si>
    <t>gwp_luc_d1</t>
  </si>
  <si>
    <t>gwp_luc_d2</t>
  </si>
  <si>
    <t>gwp_luc_total</t>
  </si>
  <si>
    <t>odp_a1-a3</t>
  </si>
  <si>
    <t>odp_a4</t>
  </si>
  <si>
    <t>odp_a5</t>
  </si>
  <si>
    <t>odp_b1</t>
  </si>
  <si>
    <t>odp_b2</t>
  </si>
  <si>
    <t>odp_b3</t>
  </si>
  <si>
    <t>odp_b4</t>
  </si>
  <si>
    <t>odp_b5</t>
  </si>
  <si>
    <t>odp_b6</t>
  </si>
  <si>
    <t>odp_c1</t>
  </si>
  <si>
    <t>odp_c2</t>
  </si>
  <si>
    <t>odp_c3</t>
  </si>
  <si>
    <t>odp_c4</t>
  </si>
  <si>
    <t>odp_d</t>
  </si>
  <si>
    <t>odp_d1</t>
  </si>
  <si>
    <t>odp_d2</t>
  </si>
  <si>
    <t>odp_total</t>
  </si>
  <si>
    <t>ap_a1-a3</t>
  </si>
  <si>
    <t>ap_a4</t>
  </si>
  <si>
    <t>ap_a5</t>
  </si>
  <si>
    <t>ap_b1</t>
  </si>
  <si>
    <t>ap_b2</t>
  </si>
  <si>
    <t>ap_b3</t>
  </si>
  <si>
    <t>ap_b4</t>
  </si>
  <si>
    <t>ap_b5</t>
  </si>
  <si>
    <t>ap_b6</t>
  </si>
  <si>
    <t>ap_c1</t>
  </si>
  <si>
    <t>ap_c2</t>
  </si>
  <si>
    <t>ap_c3</t>
  </si>
  <si>
    <t>ap_c4</t>
  </si>
  <si>
    <t>ap_d</t>
  </si>
  <si>
    <t>ap_d1</t>
  </si>
  <si>
    <t>ap_d2</t>
  </si>
  <si>
    <t>ap_total</t>
  </si>
  <si>
    <t>ep_a1-a3</t>
  </si>
  <si>
    <t>ep_a4</t>
  </si>
  <si>
    <t>ep_a5</t>
  </si>
  <si>
    <t>ep_b1</t>
  </si>
  <si>
    <t>ep_b2</t>
  </si>
  <si>
    <t>ep_b3</t>
  </si>
  <si>
    <t>ep_b4</t>
  </si>
  <si>
    <t>ep_b5</t>
  </si>
  <si>
    <t>ep_b6</t>
  </si>
  <si>
    <t>ep_c1</t>
  </si>
  <si>
    <t>ep_c2</t>
  </si>
  <si>
    <t>ep_c3</t>
  </si>
  <si>
    <t>ep_c4</t>
  </si>
  <si>
    <t>ep_d</t>
  </si>
  <si>
    <t>ep_d1</t>
  </si>
  <si>
    <t>ep_d2</t>
  </si>
  <si>
    <t>ep_total</t>
  </si>
  <si>
    <t>ep_af_a1-a3</t>
  </si>
  <si>
    <t>ep_af_a4</t>
  </si>
  <si>
    <t>ep_af_a5</t>
  </si>
  <si>
    <t>ep_af_b1</t>
  </si>
  <si>
    <t>ep_af_b2</t>
  </si>
  <si>
    <t>ep_af_b3</t>
  </si>
  <si>
    <t>ep_af_b4</t>
  </si>
  <si>
    <t>ep_af_b5</t>
  </si>
  <si>
    <t>ep_af_b6</t>
  </si>
  <si>
    <t>ep_af_c1</t>
  </si>
  <si>
    <t>ep_af_c2</t>
  </si>
  <si>
    <t>ep_af_c3</t>
  </si>
  <si>
    <t>ep_af_c4</t>
  </si>
  <si>
    <t>ep_af_d</t>
  </si>
  <si>
    <t>ep_af_d1</t>
  </si>
  <si>
    <t>ep_af_d2</t>
  </si>
  <si>
    <t>ep_af_total</t>
  </si>
  <si>
    <t>ep_am_a1-a3</t>
  </si>
  <si>
    <t>ep_am_a4</t>
  </si>
  <si>
    <t>ep_am_a5</t>
  </si>
  <si>
    <t>ep_am_b1</t>
  </si>
  <si>
    <t>ep_am_b2</t>
  </si>
  <si>
    <t>ep_am_b3</t>
  </si>
  <si>
    <t>ep_am_b4</t>
  </si>
  <si>
    <t>ep_am_b5</t>
  </si>
  <si>
    <t>ep_am_b6</t>
  </si>
  <si>
    <t>ep_am_c1</t>
  </si>
  <si>
    <t>ep_am_c2</t>
  </si>
  <si>
    <t>ep_am_c3</t>
  </si>
  <si>
    <t>ep_am_c4</t>
  </si>
  <si>
    <t>ep_am_d</t>
  </si>
  <si>
    <t>ep_am_d1</t>
  </si>
  <si>
    <t>ep_am_d2</t>
  </si>
  <si>
    <t>ep_am_total</t>
  </si>
  <si>
    <t>ep_t_a1-a3</t>
  </si>
  <si>
    <t>ep_t_a4</t>
  </si>
  <si>
    <t>ep_t_a5</t>
  </si>
  <si>
    <t>ep_t_b1</t>
  </si>
  <si>
    <t>ep_t_b2</t>
  </si>
  <si>
    <t>ep_t_b3</t>
  </si>
  <si>
    <t>ep_t_b4</t>
  </si>
  <si>
    <t>ep_t_b5</t>
  </si>
  <si>
    <t>ep_t_b6</t>
  </si>
  <si>
    <t>ep_t_c1</t>
  </si>
  <si>
    <t>ep_t_c2</t>
  </si>
  <si>
    <t>ep_t_c3</t>
  </si>
  <si>
    <t>ep_t_c4</t>
  </si>
  <si>
    <t>ep_t_d</t>
  </si>
  <si>
    <t>ep_t_d1</t>
  </si>
  <si>
    <t>ep_t_d2</t>
  </si>
  <si>
    <t>ep_t_total</t>
  </si>
  <si>
    <t>pocp_a1-a3</t>
  </si>
  <si>
    <t>pocp_a4</t>
  </si>
  <si>
    <t>pocp_a5</t>
  </si>
  <si>
    <t>pocp_b1</t>
  </si>
  <si>
    <t>pocp_b2</t>
  </si>
  <si>
    <t>pocp_b3</t>
  </si>
  <si>
    <t>pocp_b4</t>
  </si>
  <si>
    <t>pocp_b5</t>
  </si>
  <si>
    <t>pocp_b6</t>
  </si>
  <si>
    <t>pocp_c1</t>
  </si>
  <si>
    <t>pocp_c2</t>
  </si>
  <si>
    <t>pocp_c3</t>
  </si>
  <si>
    <t>pocp_c4</t>
  </si>
  <si>
    <t>pocp_d</t>
  </si>
  <si>
    <t>pocp_d1</t>
  </si>
  <si>
    <t>pocp_d2</t>
  </si>
  <si>
    <t>pocp_total</t>
  </si>
  <si>
    <t>sfp_a1-a3</t>
  </si>
  <si>
    <t>sfp_a4</t>
  </si>
  <si>
    <t>sfp_a5</t>
  </si>
  <si>
    <t>sfp_b1</t>
  </si>
  <si>
    <t>sfp_b2</t>
  </si>
  <si>
    <t>sfp_b3</t>
  </si>
  <si>
    <t>sfp_b4</t>
  </si>
  <si>
    <t>sfp_b5</t>
  </si>
  <si>
    <t>sfp_b6</t>
  </si>
  <si>
    <t>sfp_c1</t>
  </si>
  <si>
    <t>sfp_c2</t>
  </si>
  <si>
    <t>sfp_c3</t>
  </si>
  <si>
    <t>sfp_c4</t>
  </si>
  <si>
    <t>sfp_d</t>
  </si>
  <si>
    <t>sfp_d1</t>
  </si>
  <si>
    <t>sfp_d2</t>
  </si>
  <si>
    <t>sfp_total</t>
  </si>
  <si>
    <t>pofp_a1-a3</t>
  </si>
  <si>
    <t>pofp_a4</t>
  </si>
  <si>
    <t>pofp_a5</t>
  </si>
  <si>
    <t>pofp_b1</t>
  </si>
  <si>
    <t>pofp_b2</t>
  </si>
  <si>
    <t>pofp_b3</t>
  </si>
  <si>
    <t>pofp_b4</t>
  </si>
  <si>
    <t>pofp_b5</t>
  </si>
  <si>
    <t>pofp_b6</t>
  </si>
  <si>
    <t>pofp_c1</t>
  </si>
  <si>
    <t>pofp_c2</t>
  </si>
  <si>
    <t>pofp_c3</t>
  </si>
  <si>
    <t>pofp_c4</t>
  </si>
  <si>
    <t>pofp_d</t>
  </si>
  <si>
    <t>pofp_d1</t>
  </si>
  <si>
    <t>pofp_d2</t>
  </si>
  <si>
    <t>pofp_total</t>
  </si>
  <si>
    <t>adpmm_a1-a3</t>
  </si>
  <si>
    <t>adpmm_a4</t>
  </si>
  <si>
    <t>adpmm_a5</t>
  </si>
  <si>
    <t>adpmm_b1</t>
  </si>
  <si>
    <t>adpmm_b2</t>
  </si>
  <si>
    <t>adpmm_b3</t>
  </si>
  <si>
    <t>adpmm_b4</t>
  </si>
  <si>
    <t>adpmm_b5</t>
  </si>
  <si>
    <t>adpmm_b6</t>
  </si>
  <si>
    <t>adpmm_c1</t>
  </si>
  <si>
    <t>adpmm_c2</t>
  </si>
  <si>
    <t>adpmm_c3</t>
  </si>
  <si>
    <t>adpmm_c4</t>
  </si>
  <si>
    <t>adpmm_d</t>
  </si>
  <si>
    <t>adpmm_d1</t>
  </si>
  <si>
    <t>adpmm_d2</t>
  </si>
  <si>
    <t>adpmm_total</t>
  </si>
  <si>
    <t>adpf_a1-a3</t>
  </si>
  <si>
    <t>adpf_a4</t>
  </si>
  <si>
    <t>adpf_a5</t>
  </si>
  <si>
    <t>adpf_b1</t>
  </si>
  <si>
    <t>adpf_b2</t>
  </si>
  <si>
    <t>adpf_b3</t>
  </si>
  <si>
    <t>adpf_b4</t>
  </si>
  <si>
    <t>adpf_b5</t>
  </si>
  <si>
    <t>adpf_b6</t>
  </si>
  <si>
    <t>adpf_c1</t>
  </si>
  <si>
    <t>adpf_c2</t>
  </si>
  <si>
    <t>adpf_c3</t>
  </si>
  <si>
    <t>adpf_c4</t>
  </si>
  <si>
    <t>adpf_d</t>
  </si>
  <si>
    <t>adpf_d1</t>
  </si>
  <si>
    <t>adpf_d2</t>
  </si>
  <si>
    <t>adpf_total</t>
  </si>
  <si>
    <t>wdp_a1-a3</t>
  </si>
  <si>
    <t>wdp_a4</t>
  </si>
  <si>
    <t>wdp_a5</t>
  </si>
  <si>
    <t>wdp_b1</t>
  </si>
  <si>
    <t>wdp_b2</t>
  </si>
  <si>
    <t>wdp_b3</t>
  </si>
  <si>
    <t>wdp_b4</t>
  </si>
  <si>
    <t>wdp_b5</t>
  </si>
  <si>
    <t>wdp_b6</t>
  </si>
  <si>
    <t>wdp_c1</t>
  </si>
  <si>
    <t>wdp_c2</t>
  </si>
  <si>
    <t>wdp_c3</t>
  </si>
  <si>
    <t>wdp_c4</t>
  </si>
  <si>
    <t>wdp_d</t>
  </si>
  <si>
    <t>wdp_d1</t>
  </si>
  <si>
    <t>wdp_d2</t>
  </si>
  <si>
    <t>wdp_total</t>
  </si>
  <si>
    <t>pere_a1-a3</t>
  </si>
  <si>
    <t>pere_a4</t>
  </si>
  <si>
    <t>pere_a5</t>
  </si>
  <si>
    <t>pere_b1</t>
  </si>
  <si>
    <t>pere_b2</t>
  </si>
  <si>
    <t>pere_b3</t>
  </si>
  <si>
    <t>pere_b4</t>
  </si>
  <si>
    <t>pere_b5</t>
  </si>
  <si>
    <t>pere_b6</t>
  </si>
  <si>
    <t>pere_c1</t>
  </si>
  <si>
    <t>pere_c2</t>
  </si>
  <si>
    <t>pere_c3</t>
  </si>
  <si>
    <t>pere_c4</t>
  </si>
  <si>
    <t>pere_d</t>
  </si>
  <si>
    <t>pere_d1</t>
  </si>
  <si>
    <t>pere_d2</t>
  </si>
  <si>
    <t>pere_total</t>
  </si>
  <si>
    <t>penre_a1-a3</t>
  </si>
  <si>
    <t>penre_a4</t>
  </si>
  <si>
    <t>penre_a5</t>
  </si>
  <si>
    <t>penre_b1</t>
  </si>
  <si>
    <t>penre_b2</t>
  </si>
  <si>
    <t>penre_b3</t>
  </si>
  <si>
    <t>penre_b4</t>
  </si>
  <si>
    <t>penre_b5</t>
  </si>
  <si>
    <t>penre_b6</t>
  </si>
  <si>
    <t>penre_c1</t>
  </si>
  <si>
    <t>penre_c2</t>
  </si>
  <si>
    <t>penre_c3</t>
  </si>
  <si>
    <t>penre_c4</t>
  </si>
  <si>
    <t>penre_d</t>
  </si>
  <si>
    <t>penre_d1</t>
  </si>
  <si>
    <t>penre_d2</t>
  </si>
  <si>
    <t>penre_total</t>
  </si>
  <si>
    <t>pert_a1-a3</t>
  </si>
  <si>
    <t>pert_a4</t>
  </si>
  <si>
    <t>pert_a5</t>
  </si>
  <si>
    <t>pert_b1</t>
  </si>
  <si>
    <t>pert_b2</t>
  </si>
  <si>
    <t>pert_b3</t>
  </si>
  <si>
    <t>pert_b4</t>
  </si>
  <si>
    <t>pert_b5</t>
  </si>
  <si>
    <t>pert_b6</t>
  </si>
  <si>
    <t>pert_c1</t>
  </si>
  <si>
    <t>pert_c2</t>
  </si>
  <si>
    <t>pert_c3</t>
  </si>
  <si>
    <t>pert_c4</t>
  </si>
  <si>
    <t>pert_d</t>
  </si>
  <si>
    <t>pert_d1</t>
  </si>
  <si>
    <t>pert_d2</t>
  </si>
  <si>
    <t>pert_total</t>
  </si>
  <si>
    <t>penrt_a1-a3</t>
  </si>
  <si>
    <t>penrt_a4</t>
  </si>
  <si>
    <t>penrt_a5</t>
  </si>
  <si>
    <t>penrt_b1</t>
  </si>
  <si>
    <t>penrt_b2</t>
  </si>
  <si>
    <t>penrt_b3</t>
  </si>
  <si>
    <t>penrt_b4</t>
  </si>
  <si>
    <t>penrt_b5</t>
  </si>
  <si>
    <t>penrt_b6</t>
  </si>
  <si>
    <t>penrt_c1</t>
  </si>
  <si>
    <t>penrt_c2</t>
  </si>
  <si>
    <t>penrt_c3</t>
  </si>
  <si>
    <t>penrt_c4</t>
  </si>
  <si>
    <t>penrt_d</t>
  </si>
  <si>
    <t>penrt_d1</t>
  </si>
  <si>
    <t>penrt_d2</t>
  </si>
  <si>
    <t>penrt_total</t>
  </si>
  <si>
    <r>
      <rPr>
        <rFont val="Arial"/>
        <i/>
        <color theme="1"/>
        <sz val="10.0"/>
      </rPr>
      <t xml:space="preserve">Life cycle stage(s) of the material </t>
    </r>
    <r>
      <rPr>
        <rFont val="Arial"/>
        <i/>
        <color theme="1"/>
        <sz val="10.0"/>
      </rPr>
      <t>(e.g. A1-A3, B1-B4, C2-C4, D)</t>
    </r>
  </si>
  <si>
    <r>
      <rPr>
        <rFont val="Arial"/>
        <i/>
        <color theme="1"/>
        <sz val="10.0"/>
      </rPr>
      <t xml:space="preserve">Life cycle module(s) of the material </t>
    </r>
    <r>
      <rPr>
        <rFont val="Arial"/>
        <i/>
        <color theme="1"/>
        <sz val="10.0"/>
      </rPr>
      <t>(e.g. A1, A2, B2, D)</t>
    </r>
  </si>
  <si>
    <t>category (selection)</t>
  </si>
  <si>
    <t>Select the stage from dropdwon below.↓</t>
  </si>
  <si>
    <t>Select the module from dropdown below.↓</t>
  </si>
  <si>
    <t>lca_modules</t>
  </si>
  <si>
    <t>A3 Manufacturing: Production of the product itself</t>
  </si>
  <si>
    <t>A4–A5: Construction Process Stage</t>
  </si>
  <si>
    <t>A1 Raw Material Supply: Extraction and processing of raw materials.</t>
  </si>
  <si>
    <t>A2 Transport: Transportation of raw materials to the manufacturer</t>
  </si>
  <si>
    <t>Lists</t>
  </si>
  <si>
    <t>Bolean</t>
  </si>
  <si>
    <t>Project units</t>
  </si>
  <si>
    <t>Project construction type</t>
  </si>
  <si>
    <t>Alpha-2 code</t>
  </si>
  <si>
    <t>Alpha-3 code</t>
  </si>
  <si>
    <t>Numeric</t>
  </si>
  <si>
    <t xml:space="preserve">Project phase </t>
  </si>
  <si>
    <t>ASHRAE Climate Zone Typologies</t>
  </si>
  <si>
    <t>Seismic activity - Federal Emergency Management Agency (FEMA)</t>
  </si>
  <si>
    <t xml:space="preserve">Building Energy Classification </t>
  </si>
  <si>
    <t>Building Element Classification Code</t>
  </si>
  <si>
    <t>Building Element Classification Tiers Covered</t>
  </si>
  <si>
    <t>Building structure Typology</t>
  </si>
  <si>
    <t>Main Type</t>
  </si>
  <si>
    <t>Sub Type</t>
  </si>
  <si>
    <t>Type Specification</t>
  </si>
  <si>
    <t>Type of foundation (EN1997 - Eurocode 7 &amp; IBC Chapter 18 - International Building Code)</t>
  </si>
  <si>
    <t>Building Primary Energy Sources</t>
  </si>
  <si>
    <t>Building orientation</t>
  </si>
  <si>
    <t>Gross floor area GFA Measurement Method</t>
  </si>
  <si>
    <t>Life Cycle Inventory (LCI) Modeling Approach (ISO 14040/44)</t>
  </si>
  <si>
    <t>Biogenic Carbon Accounting</t>
  </si>
  <si>
    <t>Life cycle stages - EN 15978 and ISO 14040/43</t>
  </si>
  <si>
    <t>Life cycle stages - EN 15978 and ISO 14040/44</t>
  </si>
  <si>
    <t>Life cycle modules - EN 15978 and ISO 14040/44</t>
  </si>
  <si>
    <t>Roof type</t>
  </si>
  <si>
    <t>Material Classification Systems (Uniclass 2015 - UK / International / ISO 19650 
&amp; OmniClass (North America / International): Specifically Table 41, Materials)</t>
  </si>
  <si>
    <t>Material Quantities Source</t>
  </si>
  <si>
    <t>Data Type / Unit Remarks</t>
  </si>
  <si>
    <t>Type of soil</t>
  </si>
  <si>
    <t>Material Database Unit</t>
  </si>
  <si>
    <t>Layer Material No.</t>
  </si>
  <si>
    <t>Surrounding level</t>
  </si>
  <si>
    <t>Material class (INDICATE)</t>
  </si>
  <si>
    <t>Imperial Units System (IP, USA)</t>
  </si>
  <si>
    <t>New Construction</t>
  </si>
  <si>
    <t>AF</t>
  </si>
  <si>
    <t>AFG</t>
  </si>
  <si>
    <t>Strategic definition</t>
  </si>
  <si>
    <t>1A (Very Hot - Humid)</t>
  </si>
  <si>
    <t>Single family houses (SFH)</t>
  </si>
  <si>
    <t>US - OmniClass / UniFormat / MasterFormat (CSI)</t>
  </si>
  <si>
    <t>Element Class (Tier 1): Primary (top-level) hierarchical category of the custom or national building element classification.</t>
  </si>
  <si>
    <t>Concrete</t>
  </si>
  <si>
    <t>In situ</t>
  </si>
  <si>
    <t>EN1997 - Spread foundation - Pad Footings (Isolated)</t>
  </si>
  <si>
    <t>Natural Gas</t>
  </si>
  <si>
    <t>N = North-facing</t>
  </si>
  <si>
    <t>Static</t>
  </si>
  <si>
    <t>Process-based (Typically bottom-up, highly specific data)</t>
  </si>
  <si>
    <t>0/0;</t>
  </si>
  <si>
    <t>Flat roof</t>
  </si>
  <si>
    <t>Metals: Aluminum, Brass/Copper, Iron, Steel (Structural), Steel (Reinforcement)</t>
  </si>
  <si>
    <t>Extrapolation from Construction Type Land Use Area</t>
  </si>
  <si>
    <t>Numerical [m2]</t>
  </si>
  <si>
    <t>sedimentary/foliated rock</t>
  </si>
  <si>
    <t>length</t>
  </si>
  <si>
    <t>Layer 1</t>
  </si>
  <si>
    <t>Floor -6</t>
  </si>
  <si>
    <t xml:space="preserve">Tenant Improvements </t>
  </si>
  <si>
    <t>Albania</t>
  </si>
  <si>
    <t>AL</t>
  </si>
  <si>
    <t>ALB</t>
  </si>
  <si>
    <t>SDC B: Moderate expected ground shaking for standard buildings.</t>
  </si>
  <si>
    <t>Multifamily houses (MFH)</t>
  </si>
  <si>
    <t>Energy Star (US Environmental Protection Agency standard - 1-100 score)</t>
  </si>
  <si>
    <t>CA - OmniClass</t>
  </si>
  <si>
    <t>Element Class (Tier 2): Secondary hierarchical category of the custom or national building element classification.</t>
  </si>
  <si>
    <t>Concrete (Precast)</t>
  </si>
  <si>
    <t>Precast</t>
  </si>
  <si>
    <t>S = South-facing</t>
  </si>
  <si>
    <t>BOMA Z65.3 / CSA Z249 (Canada), Gross Building Area (GBA)</t>
  </si>
  <si>
    <t>EN 15804+A1 (CML 2001) - Older EU standard</t>
  </si>
  <si>
    <t>Environmentally Extended Input-Output (EEIO) (Top-down, based on economic sector averages)</t>
  </si>
  <si>
    <t>Single pitched roof</t>
  </si>
  <si>
    <t>Concrete and Binders: Concrete (In-situ), Concrete (Pre-cast), Cement Mortar/Plaster</t>
  </si>
  <si>
    <t>Manual Approximation</t>
  </si>
  <si>
    <t>Numerical [m]</t>
  </si>
  <si>
    <t>weight</t>
  </si>
  <si>
    <t>Layer 2</t>
  </si>
  <si>
    <t>Floor -5</t>
  </si>
  <si>
    <t>2 Bio-based materials/1.2 Bio-based insulation</t>
  </si>
  <si>
    <t>Do not know</t>
  </si>
  <si>
    <t>Minor Renovation (without addition)</t>
  </si>
  <si>
    <t>Algeria</t>
  </si>
  <si>
    <t>DZ</t>
  </si>
  <si>
    <t>DZA</t>
  </si>
  <si>
    <t>Concept design</t>
  </si>
  <si>
    <t>2B (Hot - Dry)</t>
  </si>
  <si>
    <t>SDC C: Moderate to severe expected ground shaking for standard buildings, and moderate for higher-risk buildings.</t>
  </si>
  <si>
    <t>Apartment blocks (ABL)</t>
  </si>
  <si>
    <t>NABERS (National Australian Built Environment Rating System - widely used in Australia and expanding to the UK)</t>
  </si>
  <si>
    <t>GB - Uniclass 2015</t>
  </si>
  <si>
    <t>Concrete (Post-Tensioned)</t>
  </si>
  <si>
    <t>Post-tensioned</t>
  </si>
  <si>
    <t>EN1997 - Spread foundation - Raft Foundations (Mat)</t>
  </si>
  <si>
    <t>Oil/Petroleum</t>
  </si>
  <si>
    <t>Building Standards Act (Japan), Nobe-yuka-menseki (Total Floor Area)</t>
  </si>
  <si>
    <t xml:space="preserve">Probabilistic </t>
  </si>
  <si>
    <t>TRACI 2.1 - Standard for North America/LEED</t>
  </si>
  <si>
    <t>Dynamic LCA;</t>
  </si>
  <si>
    <t>Cradle to Grave (A1–C4)</t>
  </si>
  <si>
    <t>Gable or saddle roof</t>
  </si>
  <si>
    <t>Masonry and Ceramics: Fired Clay Bricks, Ceramics</t>
  </si>
  <si>
    <t>Numerical [m3]</t>
  </si>
  <si>
    <t>sand</t>
  </si>
  <si>
    <t>area</t>
  </si>
  <si>
    <t>Layer 3</t>
  </si>
  <si>
    <t>Floor -4</t>
  </si>
  <si>
    <t>3 Bio-based materials/1.0 Other bio-based materials</t>
  </si>
  <si>
    <t>Major Renovation (with addition)</t>
  </si>
  <si>
    <t>American Samoa</t>
  </si>
  <si>
    <t>AS</t>
  </si>
  <si>
    <t>ASM</t>
  </si>
  <si>
    <t>Developed design</t>
  </si>
  <si>
    <t>3A (Warm - Humid)</t>
  </si>
  <si>
    <t>SDC D: Severe and destructive expected ground shaking, often associated with poorer soil conditions but not near major faults.</t>
  </si>
  <si>
    <t>Offices (OFF)</t>
  </si>
  <si>
    <t>HQE (Haute Qualité Environnementale - standard in France)</t>
  </si>
  <si>
    <t>DK - CCS (Cuneco Classification System)</t>
  </si>
  <si>
    <t>Element Class (Tier 4): The quaternary (lowest-level) hierarchical category of the custom or national building element classification.</t>
  </si>
  <si>
    <t>Concrete Frame</t>
  </si>
  <si>
    <t>Frame</t>
  </si>
  <si>
    <t>EN1997 - Piled Foundations - Displacement Piles (Driven)</t>
  </si>
  <si>
    <t>Nuclear Energy</t>
  </si>
  <si>
    <t>W = West-facing</t>
  </si>
  <si>
    <t>Buildings Department (Hong Kong), Gross Floor Area (GFA)</t>
  </si>
  <si>
    <t>Prospective</t>
  </si>
  <si>
    <t>ReCiPe 2016</t>
  </si>
  <si>
    <t>Other</t>
  </si>
  <si>
    <t>Ton-Year Accounting or Discounting Method</t>
  </si>
  <si>
    <t>Cradle to Grave + Module D</t>
  </si>
  <si>
    <t>A4 Transport: Transportation of the product to the construction site</t>
  </si>
  <si>
    <t>Pyramid roof</t>
  </si>
  <si>
    <t>Earth and Stone: Stone (Granite, Limestone), Rammed Earth, Adobe, Unfired Clay</t>
  </si>
  <si>
    <t>Design Estimates/ Manual Takeoff from Design Documentation</t>
  </si>
  <si>
    <t>Numerical [W/m2K]</t>
  </si>
  <si>
    <t>silty sand</t>
  </si>
  <si>
    <t>Layer 4</t>
  </si>
  <si>
    <t>Floor -3</t>
  </si>
  <si>
    <t>2 Fossil-based materials/2.1 Plastics (various: PC, PE, PP, PU, PVC)</t>
  </si>
  <si>
    <t>Andorra</t>
  </si>
  <si>
    <t>AD</t>
  </si>
  <si>
    <t>AND</t>
  </si>
  <si>
    <t>Technical design</t>
  </si>
  <si>
    <t>3B (Warm - Dry)</t>
  </si>
  <si>
    <t>SDC E: Severe expected ground shaking in areas near major active faults.</t>
  </si>
  <si>
    <t>Trade (TRA)</t>
  </si>
  <si>
    <t>DGNB (German Sustainable Building Council standard)</t>
  </si>
  <si>
    <t>SE - CoClass</t>
  </si>
  <si>
    <t>Concrete In-Situ Reinforced</t>
  </si>
  <si>
    <t>Reinforced</t>
  </si>
  <si>
    <t>EN1997 - Piled Foundations - Replacement Piles (Bored/Drilled)</t>
  </si>
  <si>
    <t>Solar Energy (Photovoltaic and Thermal)</t>
  </si>
  <si>
    <t>NE = Northeast-facing</t>
  </si>
  <si>
    <t>Code de l'urbanisme (France), Surface de Plancher (SDP)</t>
  </si>
  <si>
    <t xml:space="preserve">IPCC AR6 (2021) </t>
  </si>
  <si>
    <t>Gate to Gate</t>
  </si>
  <si>
    <t>Wood and Bio-based: Timber/Wood, Bamboo, Straw/Hemp, Fungi/Mycelium</t>
  </si>
  <si>
    <t>Construction Estimate/Contractors Bill of Materials</t>
  </si>
  <si>
    <t>Numerical [kWh/m2/a]</t>
  </si>
  <si>
    <t>clay</t>
  </si>
  <si>
    <t>piece</t>
  </si>
  <si>
    <t>Layer 5</t>
  </si>
  <si>
    <t>Floor -2</t>
  </si>
  <si>
    <t>3 Fossil-based materials/2.2 Fossil-based insulation</t>
  </si>
  <si>
    <t>Angola</t>
  </si>
  <si>
    <t>AO</t>
  </si>
  <si>
    <t>AGO</t>
  </si>
  <si>
    <t>Manufacturing and construction</t>
  </si>
  <si>
    <t>3C (Warm - Marine)</t>
  </si>
  <si>
    <t>SDC F: Severe expected ground shaking in areas near major active faults for high-risk buildings.</t>
  </si>
  <si>
    <t>Education (EDU)</t>
  </si>
  <si>
    <t>Green Star (Standard in Australia, New Zealand, and South Africa)</t>
  </si>
  <si>
    <t>FI - Talo 2000</t>
  </si>
  <si>
    <t xml:space="preserve">Concrete Massive </t>
  </si>
  <si>
    <t>Massive</t>
  </si>
  <si>
    <t>EN1997 - Other Geotechnical Structures - Retaining Walls</t>
  </si>
  <si>
    <t>Wind Energy</t>
  </si>
  <si>
    <t>NW = Northwest-facing</t>
  </si>
  <si>
    <t>DIN 277 (Germany), Brutto-Grundfläche (BGF)</t>
  </si>
  <si>
    <t>B1–B7: Use Stage</t>
  </si>
  <si>
    <t>Polymers and Plastics: PC, PE, PP, PU, PVC</t>
  </si>
  <si>
    <t>As-Built</t>
  </si>
  <si>
    <t>Numerical [kg]</t>
  </si>
  <si>
    <t>soft clay</t>
  </si>
  <si>
    <t>volume</t>
  </si>
  <si>
    <t>Layer 6</t>
  </si>
  <si>
    <t xml:space="preserve">Floor -1 </t>
  </si>
  <si>
    <t>4 Fossil-based materials/2.0 Other fossil energy materials</t>
  </si>
  <si>
    <t>Anguilla</t>
  </si>
  <si>
    <t>AI</t>
  </si>
  <si>
    <t>AIA</t>
  </si>
  <si>
    <t>Handover and comissioning</t>
  </si>
  <si>
    <t>4A (Mixed - Humid)</t>
  </si>
  <si>
    <t>Health (HEA)</t>
  </si>
  <si>
    <t>Green Mark (Singapore's standard, widely used in Southeast Asia)</t>
  </si>
  <si>
    <t>NO - NS 3451</t>
  </si>
  <si>
    <t>Steel Frame</t>
  </si>
  <si>
    <t>Steel</t>
  </si>
  <si>
    <t>Composite</t>
  </si>
  <si>
    <t>EN1997 - Other Geotechnical Structures - Deep Shafts (Caissons)</t>
  </si>
  <si>
    <t>Hydropower</t>
  </si>
  <si>
    <t>SE = Southeast-facing</t>
  </si>
  <si>
    <t>Dubai Land Department / RICS (UAE), Gross Floor Area (GFA)</t>
  </si>
  <si>
    <t>Glass: Glass (Single), Glass (Double), Glass (Triple)</t>
  </si>
  <si>
    <t>Other Data Source</t>
  </si>
  <si>
    <t>Numerical [kg/m2]</t>
  </si>
  <si>
    <t>Layer 7</t>
  </si>
  <si>
    <t>Floor 0 (Ground floor)</t>
  </si>
  <si>
    <t>3 Metal materials/3.1 Aluminum</t>
  </si>
  <si>
    <t>Antarctica</t>
  </si>
  <si>
    <t>AQ</t>
  </si>
  <si>
    <t>ATA</t>
  </si>
  <si>
    <t>Operation and management</t>
  </si>
  <si>
    <t>4B (Mixed - Dry)</t>
  </si>
  <si>
    <t>Hotels and Restaurants (HOR)</t>
  </si>
  <si>
    <t>CASBEE (Comprehensive Assessment System for Built Environment Efficiency - Japan)</t>
  </si>
  <si>
    <t>DE - DIN 276</t>
  </si>
  <si>
    <t>Steel Frame (Composite)</t>
  </si>
  <si>
    <t>EN1997 - Other Geotechnical Structures - Ground Anchors</t>
  </si>
  <si>
    <t>Geothermal Energy</t>
  </si>
  <si>
    <t>SW = Southwest-facing</t>
  </si>
  <si>
    <t>GB/T 50353 (China), Gross Floor Area (GFA) / Jianzhu Mianji</t>
  </si>
  <si>
    <t>Insulation: EPS/XPS, Stone Wool</t>
  </si>
  <si>
    <t>Numerical [kg/cap]</t>
  </si>
  <si>
    <t>energy</t>
  </si>
  <si>
    <t>Layer 8</t>
  </si>
  <si>
    <t>Floor 1</t>
  </si>
  <si>
    <t>4 Metal materials/3.2 Steel</t>
  </si>
  <si>
    <t>Antigua and Barbuda</t>
  </si>
  <si>
    <t>AG</t>
  </si>
  <si>
    <t>ATG</t>
  </si>
  <si>
    <t>End of use, re-cycling</t>
  </si>
  <si>
    <t>4C (Mixed - Marine)</t>
  </si>
  <si>
    <t>Other non-residential buildings (OTH)</t>
  </si>
  <si>
    <t>LEED (Leadership in Energy and Environmental Design - heavily used in the Americas and globally)</t>
  </si>
  <si>
    <t>FR - NF P 03‑001</t>
  </si>
  <si>
    <t>Steel Frame (Other)</t>
  </si>
  <si>
    <t>IBC - Shallow Foundations - Isolated (Spread) Footings</t>
  </si>
  <si>
    <t>Aerothermal Energy</t>
  </si>
  <si>
    <t>IPMS 1 / BOMA (International / USA), Gross Building Area (GBA)</t>
  </si>
  <si>
    <t>Numerical [kgCO2e/m2]</t>
  </si>
  <si>
    <t>Layer 9</t>
  </si>
  <si>
    <t>Floor 2</t>
  </si>
  <si>
    <t>5 Metal materials/3.3 Brass, copper</t>
  </si>
  <si>
    <t>AR</t>
  </si>
  <si>
    <t>ARG</t>
  </si>
  <si>
    <t>5A (Cool - Humid)</t>
  </si>
  <si>
    <t>BREEAM (Building Research Establishment Environmental Assessment Method - heavily used in the UK and globally)</t>
  </si>
  <si>
    <t xml:space="preserve">CH - eBKP‑H </t>
  </si>
  <si>
    <t>Steel Frame (Precast)</t>
  </si>
  <si>
    <t>Timber</t>
  </si>
  <si>
    <t>IBC - Shallow Foundations - Combined Footings</t>
  </si>
  <si>
    <t>Biomass (Wood, Pellets)</t>
  </si>
  <si>
    <t>IRAM (Argentina), Superficie Cubierta Total</t>
  </si>
  <si>
    <t>B5: Refurbishment – Major changes to restore or improve performance.</t>
  </si>
  <si>
    <t>Numerical [kgCO2e/m2/a]</t>
  </si>
  <si>
    <t>Layer 10</t>
  </si>
  <si>
    <t>Floor 3</t>
  </si>
  <si>
    <t>6 Metal materials/3.0 Other metal materials</t>
  </si>
  <si>
    <t>Armenia</t>
  </si>
  <si>
    <t>AM</t>
  </si>
  <si>
    <t>ARM</t>
  </si>
  <si>
    <t>5B (Cool - Dry)</t>
  </si>
  <si>
    <t>UNFCCC CDM Methodology AM0091</t>
  </si>
  <si>
    <t>EDGE (Excellence in Design for Greater Efficiencies - IFC standard, very common in emerging markets)</t>
  </si>
  <si>
    <t>NL - NL‑SfB</t>
  </si>
  <si>
    <t>Steel Frame (Timber)</t>
  </si>
  <si>
    <t>IBC - Shallow Foundations - Strip / Continuous Footings</t>
  </si>
  <si>
    <t>Waste Heat</t>
  </si>
  <si>
    <t>IS 3861 / RERA (India), Plinth Area / Super Built-up Area</t>
  </si>
  <si>
    <t>B6: Operational Energy Use – Energy consumption related to the building's operation (heating, cooling, lighting).</t>
  </si>
  <si>
    <t>Numerical [kgCO2e/cap/a]</t>
  </si>
  <si>
    <t>Layer 11</t>
  </si>
  <si>
    <t>Floor 4</t>
  </si>
  <si>
    <t>4 Non-metallic minerals/4.1 Brick</t>
  </si>
  <si>
    <t>Aruba</t>
  </si>
  <si>
    <t>AW</t>
  </si>
  <si>
    <t>ABW</t>
  </si>
  <si>
    <t>5C (Cool - Marine)</t>
  </si>
  <si>
    <t>Sub-Group</t>
  </si>
  <si>
    <t>WELL (Often paired with LEED/BREEAM, focuses on human health but intersects with building performance)</t>
  </si>
  <si>
    <t>Wood Frame</t>
  </si>
  <si>
    <t>IBC - Shallow Foundations - Raft / Mat Foundations</t>
  </si>
  <si>
    <t>MOMRA / Saudi Building Code (Saudi Arabia), Total Built-up Area (TBA)</t>
  </si>
  <si>
    <t>B7: Operational Water Use – Water consumption related to the building's operation.</t>
  </si>
  <si>
    <t>Numerical [MJ/m2/a]</t>
  </si>
  <si>
    <t>Layer 12</t>
  </si>
  <si>
    <t>Floor 5</t>
  </si>
  <si>
    <t>5 Non-metallic minerals/4.2 Concrete</t>
  </si>
  <si>
    <t>Australia</t>
  </si>
  <si>
    <t>AU</t>
  </si>
  <si>
    <t>AUS</t>
  </si>
  <si>
    <t>6A (Cold - Humid)</t>
  </si>
  <si>
    <t>Residential Buildings</t>
  </si>
  <si>
    <t>Detached homes intended for one family.</t>
  </si>
  <si>
    <t>IT - UNI 8290</t>
  </si>
  <si>
    <t>Massive Wood</t>
  </si>
  <si>
    <t>IBC - Shallow Foundations - Slab‑on‑Grade Foundations</t>
  </si>
  <si>
    <t>NBC (Philippines), Gross Floor Area (GFA)</t>
  </si>
  <si>
    <t>C1–C4: End-of-Life Stage</t>
  </si>
  <si>
    <t>Layer 13</t>
  </si>
  <si>
    <t>Floor 6</t>
  </si>
  <si>
    <t>6 Non-metallic minerals/4.3 Glass</t>
  </si>
  <si>
    <t>Austria</t>
  </si>
  <si>
    <t>AT</t>
  </si>
  <si>
    <t>AUT</t>
  </si>
  <si>
    <t>6B (Cold - Dry)</t>
  </si>
  <si>
    <t>Apartment complexes or residential blocks (low-rise/high-rise).</t>
  </si>
  <si>
    <t>None</t>
  </si>
  <si>
    <t>ES - GuBIMclass</t>
  </si>
  <si>
    <t>Massive Brick</t>
  </si>
  <si>
    <t>Masonry</t>
  </si>
  <si>
    <t>Mixed</t>
  </si>
  <si>
    <t>IBC - Deep Foundations - Driven Piles</t>
  </si>
  <si>
    <t>NEN 2580 (Netherlands), Bruto Vloeroppervlak (BVO)</t>
  </si>
  <si>
    <t>Layer 14</t>
  </si>
  <si>
    <t>Floor 7</t>
  </si>
  <si>
    <t>7 Non-metallic minerals/4.4 Mineral insulation</t>
  </si>
  <si>
    <t>Azerbaijan</t>
  </si>
  <si>
    <t>AZ</t>
  </si>
  <si>
    <t>AZE</t>
  </si>
  <si>
    <t>Row houses</t>
  </si>
  <si>
    <t>Linked residential units with shared side walls and limited floors.</t>
  </si>
  <si>
    <t>AU - NATSPEC / UniFormat (AU adaptation)</t>
  </si>
  <si>
    <t>Masonry &amp; Timber</t>
  </si>
  <si>
    <t>IBC - Deep Foundations - Drilled Shafts / Caissons</t>
  </si>
  <si>
    <t>NS 3940 (Norway), Bruttoareal (BTA)</t>
  </si>
  <si>
    <t>Layer 15</t>
  </si>
  <si>
    <t>Floor 8</t>
  </si>
  <si>
    <t>8 Non-metallic minerals/4.0 Other non-metallic minerals</t>
  </si>
  <si>
    <t>Bahamas (the)</t>
  </si>
  <si>
    <t>BS</t>
  </si>
  <si>
    <t>BHS</t>
  </si>
  <si>
    <t>Commercial Buildings</t>
  </si>
  <si>
    <t>Administrative, professional, and corporate workspace buildings.</t>
  </si>
  <si>
    <t>JP - JCCS (Japan Construction Classification System)</t>
  </si>
  <si>
    <t>Masonry (Concrete)</t>
  </si>
  <si>
    <t>IBC - Deep Foundations - Piers</t>
  </si>
  <si>
    <t>ÖNORM B 1800 (Austria), Brutto-Grundfläche (BGF)</t>
  </si>
  <si>
    <t>Layer 16</t>
  </si>
  <si>
    <t>Floor 9</t>
  </si>
  <si>
    <t>0 Undefined materials/0.0 Undefined materials</t>
  </si>
  <si>
    <t>Bahrain</t>
  </si>
  <si>
    <t>BH</t>
  </si>
  <si>
    <t>BHR</t>
  </si>
  <si>
    <t>Hotels</t>
  </si>
  <si>
    <t>Lodging, hospitality, and tourism-related facilities.</t>
  </si>
  <si>
    <t>BR - ABNT NBR 15965</t>
  </si>
  <si>
    <t>Masonry (Timber)</t>
  </si>
  <si>
    <t>Glulam/CLT</t>
  </si>
  <si>
    <t>IBC - Specialized Foundations - Frost‑Protected Foundations</t>
  </si>
  <si>
    <t>Property Council of Australia (Australia), Gross Floor Area (GFA)</t>
  </si>
  <si>
    <t>D1-D2: Benefits and Loads Beyond the System Boundary</t>
  </si>
  <si>
    <t>Layer 17</t>
  </si>
  <si>
    <t>Floor 10</t>
  </si>
  <si>
    <t>Bangladesh</t>
  </si>
  <si>
    <t>BD</t>
  </si>
  <si>
    <t>BGD</t>
  </si>
  <si>
    <t>Mercantile/Retail</t>
  </si>
  <si>
    <t>Shopping malls, department stores, and various retail outlets.</t>
  </si>
  <si>
    <t>CZ - TSKP</t>
  </si>
  <si>
    <t>Timber Frame (Glulam/CLT)</t>
  </si>
  <si>
    <t xml:space="preserve">Frame </t>
  </si>
  <si>
    <t>Softwood</t>
  </si>
  <si>
    <t>IBC - Specialized Foundations - Soil‑Specific Foundations (Clay, Sand, Silt, Rock)</t>
  </si>
  <si>
    <t>QCVN 03:2012/BXD (Vietnam), Gross Floor Area (GFA) / Dien tich san</t>
  </si>
  <si>
    <t>Layer 18</t>
  </si>
  <si>
    <t>Floor 11</t>
  </si>
  <si>
    <t>Barbados</t>
  </si>
  <si>
    <t>BB</t>
  </si>
  <si>
    <t>BRB</t>
  </si>
  <si>
    <t>Warehouses</t>
  </si>
  <si>
    <t>Storage facilities requiring temperature control or lighting upgrades.</t>
  </si>
  <si>
    <t>INT - ISO 12006‑2 (international framework)</t>
  </si>
  <si>
    <t>Timber Frame (Softwood)</t>
  </si>
  <si>
    <t>Real Decreto 1020/1993 (Spain), Superficie Construida</t>
  </si>
  <si>
    <t>Layer 19</t>
  </si>
  <si>
    <t>Floor 12</t>
  </si>
  <si>
    <t>Belarus</t>
  </si>
  <si>
    <t>BY</t>
  </si>
  <si>
    <t>BLR</t>
  </si>
  <si>
    <t>Institutional Buildings</t>
  </si>
  <si>
    <t>Schools, colleges, and university campus structures.</t>
  </si>
  <si>
    <t>Lowercase</t>
  </si>
  <si>
    <t>Reglamento de Construcciones (Mexico), Superficie de Construcción</t>
  </si>
  <si>
    <t>Layer 20</t>
  </si>
  <si>
    <t>Floor 13</t>
  </si>
  <si>
    <t>Belgium</t>
  </si>
  <si>
    <t>BE</t>
  </si>
  <si>
    <t>BEL</t>
  </si>
  <si>
    <t>Hospitals, clinics, and long-term care facilities.</t>
  </si>
  <si>
    <t>General</t>
  </si>
  <si>
    <t>RICS (UK), Type 1: GEA (Gross External Area)</t>
  </si>
  <si>
    <t>Floor 14</t>
  </si>
  <si>
    <t>Belize</t>
  </si>
  <si>
    <t>BZ</t>
  </si>
  <si>
    <t>BLZ</t>
  </si>
  <si>
    <t>Public Assembly</t>
  </si>
  <si>
    <t>Community centers, libraries, and government assembly halls.</t>
  </si>
  <si>
    <t>Unknown</t>
  </si>
  <si>
    <t>Floor 15</t>
  </si>
  <si>
    <t>Benin</t>
  </si>
  <si>
    <t>BJ</t>
  </si>
  <si>
    <t>BEN</t>
  </si>
  <si>
    <t>Mixed-Use Buildings</t>
  </si>
  <si>
    <t>Mixed-use</t>
  </si>
  <si>
    <t>Structures combining multiple functions (e.g., retail with residential).</t>
  </si>
  <si>
    <t>SANS 10400 (South Africa), Gross Floor Area (GFA)</t>
  </si>
  <si>
    <t>Floor 16</t>
  </si>
  <si>
    <t>Bermuda</t>
  </si>
  <si>
    <t>BM</t>
  </si>
  <si>
    <t>BMU</t>
  </si>
  <si>
    <t>SFS 5139 (Finland), Bruttoala (BrlA)</t>
  </si>
  <si>
    <t>Floor 17</t>
  </si>
  <si>
    <t>Bhutan</t>
  </si>
  <si>
    <t>BT</t>
  </si>
  <si>
    <t>BTN</t>
  </si>
  <si>
    <t>SIA 416 (Switzerland), Bruttogeschossfläche (BGF) / Surface de plancher brute (SPB)</t>
  </si>
  <si>
    <t>Floor 18</t>
  </si>
  <si>
    <t>Bolivia (Plurinational State of)</t>
  </si>
  <si>
    <t>BO</t>
  </si>
  <si>
    <t>BOL</t>
  </si>
  <si>
    <t>SNI 03-1728 (Indonesia), Luas Lantai Bangunan (Building Floor Area)</t>
  </si>
  <si>
    <t>Floor 19</t>
  </si>
  <si>
    <t>Bonaire, Sint Eustatius and Saba</t>
  </si>
  <si>
    <t>BQ</t>
  </si>
  <si>
    <t>BES</t>
  </si>
  <si>
    <t>SNiP / SP 54.13330 (Russia), Obshchaya Ploshchad (Total Area)</t>
  </si>
  <si>
    <t>Floor 20</t>
  </si>
  <si>
    <t>Bosnia and Herzegovina</t>
  </si>
  <si>
    <t>BA</t>
  </si>
  <si>
    <t>BIH</t>
  </si>
  <si>
    <t>SS 21054 (Sweden), Bruttoarea (BTA)</t>
  </si>
  <si>
    <t>Floor 21</t>
  </si>
  <si>
    <t>Botswana</t>
  </si>
  <si>
    <t>BW</t>
  </si>
  <si>
    <t>BWA</t>
  </si>
  <si>
    <t>Turkish Standard TS 01 (Turkey), Brüt Alan (Gross Area)</t>
  </si>
  <si>
    <t>Floor 22</t>
  </si>
  <si>
    <t>Bouvet Island</t>
  </si>
  <si>
    <t>BV</t>
  </si>
  <si>
    <t>BVT</t>
  </si>
  <si>
    <t>UNI 11136 (Italy), Superficie Lorda (SL)</t>
  </si>
  <si>
    <t>Floor 23</t>
  </si>
  <si>
    <t>Brazil</t>
  </si>
  <si>
    <t>BR</t>
  </si>
  <si>
    <t>BRA</t>
  </si>
  <si>
    <t>URA (Singapore), Gross Floor Area (GFA)</t>
  </si>
  <si>
    <t>Floor 24</t>
  </si>
  <si>
    <t>British Indian Ocean Territory (the)</t>
  </si>
  <si>
    <t>IO</t>
  </si>
  <si>
    <t>IOT</t>
  </si>
  <si>
    <t>Floor 25</t>
  </si>
  <si>
    <t>Brunei Darussalam</t>
  </si>
  <si>
    <t>BN</t>
  </si>
  <si>
    <t>BRN</t>
  </si>
  <si>
    <t>OLD one (below)</t>
  </si>
  <si>
    <t>Floor 26</t>
  </si>
  <si>
    <t>Bulgaria</t>
  </si>
  <si>
    <t>BG</t>
  </si>
  <si>
    <t>BGR</t>
  </si>
  <si>
    <t>Floor 27</t>
  </si>
  <si>
    <t>Burkina Faso</t>
  </si>
  <si>
    <t>BF</t>
  </si>
  <si>
    <t>BFA</t>
  </si>
  <si>
    <t>Aluminium (e.g., alum alloy)</t>
  </si>
  <si>
    <t>Floor 28</t>
  </si>
  <si>
    <t>Burundi</t>
  </si>
  <si>
    <t>BI</t>
  </si>
  <si>
    <t>BDI</t>
  </si>
  <si>
    <t>Bamboo</t>
  </si>
  <si>
    <t>Floor 29</t>
  </si>
  <si>
    <t>Cabo Verde</t>
  </si>
  <si>
    <t>CV</t>
  </si>
  <si>
    <t>CPV</t>
  </si>
  <si>
    <t>Brass, copper</t>
  </si>
  <si>
    <t>Floor 30</t>
  </si>
  <si>
    <t>Cambodia</t>
  </si>
  <si>
    <t>KH</t>
  </si>
  <si>
    <t>KHM</t>
  </si>
  <si>
    <t>Cement mortar, plaster</t>
  </si>
  <si>
    <t>Floor 31</t>
  </si>
  <si>
    <t>Cameroon</t>
  </si>
  <si>
    <t>CM</t>
  </si>
  <si>
    <t>CMR</t>
  </si>
  <si>
    <t>Ceramics (e.g., fired clay bricks)</t>
  </si>
  <si>
    <t>Floor 32</t>
  </si>
  <si>
    <t>Canada</t>
  </si>
  <si>
    <t>CA</t>
  </si>
  <si>
    <t>CAN</t>
  </si>
  <si>
    <t>Concrete reinforced</t>
  </si>
  <si>
    <t>Floor 33</t>
  </si>
  <si>
    <t>Cayman Islands (the)</t>
  </si>
  <si>
    <t>KY</t>
  </si>
  <si>
    <t>CYM</t>
  </si>
  <si>
    <t>Concrete w/o reinforcement</t>
  </si>
  <si>
    <t>Floor 34</t>
  </si>
  <si>
    <t>Central African Republic (the)</t>
  </si>
  <si>
    <t>CF</t>
  </si>
  <si>
    <t>CAF</t>
  </si>
  <si>
    <t>Earth (e.g., unfired clay, adobe, rammed earth, etc.)</t>
  </si>
  <si>
    <t>Floor 35</t>
  </si>
  <si>
    <t>Chad</t>
  </si>
  <si>
    <t>TD</t>
  </si>
  <si>
    <t>TCD</t>
  </si>
  <si>
    <t>EPS or XPS (insulation)</t>
  </si>
  <si>
    <t>Floor 36</t>
  </si>
  <si>
    <t>Chile</t>
  </si>
  <si>
    <t>CL</t>
  </si>
  <si>
    <t>CHL</t>
  </si>
  <si>
    <t>Fungi (e.g. Mycelium)</t>
  </si>
  <si>
    <t>Floor 37</t>
  </si>
  <si>
    <t>China</t>
  </si>
  <si>
    <t>CN</t>
  </si>
  <si>
    <t>CHN</t>
  </si>
  <si>
    <t>Glass (single, double, triple)</t>
  </si>
  <si>
    <t>Floor 38</t>
  </si>
  <si>
    <t>Christmas Island</t>
  </si>
  <si>
    <t>CX</t>
  </si>
  <si>
    <t>CXR</t>
  </si>
  <si>
    <t>Metals (iron, steel)</t>
  </si>
  <si>
    <t>Floor 39</t>
  </si>
  <si>
    <t>Cocos (Keeling) Islands (the)</t>
  </si>
  <si>
    <t>CC</t>
  </si>
  <si>
    <t>CCK</t>
  </si>
  <si>
    <t>Plastics (various: PC, PE, PP, PU, PVC)</t>
  </si>
  <si>
    <t>Floor 40</t>
  </si>
  <si>
    <t>Colombia</t>
  </si>
  <si>
    <t>CO</t>
  </si>
  <si>
    <t>COL</t>
  </si>
  <si>
    <t>Steel (reinforcement)</t>
  </si>
  <si>
    <t>Floor 41</t>
  </si>
  <si>
    <t>Comoros (the)</t>
  </si>
  <si>
    <t>KM</t>
  </si>
  <si>
    <t>COM</t>
  </si>
  <si>
    <t>Stone (granite, limestone, etc)</t>
  </si>
  <si>
    <t>Floor 42</t>
  </si>
  <si>
    <t>Congo (the Democratic Republic of the)</t>
  </si>
  <si>
    <t>CD</t>
  </si>
  <si>
    <t>COD</t>
  </si>
  <si>
    <t>Stone wool (e.g. insulation)</t>
  </si>
  <si>
    <t>Floor 43</t>
  </si>
  <si>
    <t>Congo (the)</t>
  </si>
  <si>
    <t>CG</t>
  </si>
  <si>
    <t>COG</t>
  </si>
  <si>
    <t>Straw or hemp (e.g., strawbale)</t>
  </si>
  <si>
    <t>Floor 44</t>
  </si>
  <si>
    <t>Cook Islands (the)</t>
  </si>
  <si>
    <t>CK</t>
  </si>
  <si>
    <t>COK</t>
  </si>
  <si>
    <t>Timber, wood</t>
  </si>
  <si>
    <t>Floor 45</t>
  </si>
  <si>
    <t>Costa Rica</t>
  </si>
  <si>
    <t>CR</t>
  </si>
  <si>
    <t>CRI</t>
  </si>
  <si>
    <t>Floor 46</t>
  </si>
  <si>
    <t>Croatia</t>
  </si>
  <si>
    <t>HR</t>
  </si>
  <si>
    <t>HRV</t>
  </si>
  <si>
    <t>Floor 47</t>
  </si>
  <si>
    <t>Cuba</t>
  </si>
  <si>
    <t>CU</t>
  </si>
  <si>
    <t>CUB</t>
  </si>
  <si>
    <t>Floor 48</t>
  </si>
  <si>
    <t>Curaçao</t>
  </si>
  <si>
    <t>CW</t>
  </si>
  <si>
    <t>CUW</t>
  </si>
  <si>
    <t>Floor 49</t>
  </si>
  <si>
    <t>Cyprus</t>
  </si>
  <si>
    <t>CY</t>
  </si>
  <si>
    <t>CYP</t>
  </si>
  <si>
    <t>Floor 50</t>
  </si>
  <si>
    <t>Czechia</t>
  </si>
  <si>
    <t>CZ</t>
  </si>
  <si>
    <t>CZE</t>
  </si>
  <si>
    <t>Floor 51</t>
  </si>
  <si>
    <t>Côte d'Ivoire</t>
  </si>
  <si>
    <t>CI</t>
  </si>
  <si>
    <t>CIV</t>
  </si>
  <si>
    <t>Floor 52</t>
  </si>
  <si>
    <t>Denmark</t>
  </si>
  <si>
    <t>DK</t>
  </si>
  <si>
    <t>DNK</t>
  </si>
  <si>
    <t>Floor 53</t>
  </si>
  <si>
    <t>Djibouti</t>
  </si>
  <si>
    <t>DJ</t>
  </si>
  <si>
    <t>DJI</t>
  </si>
  <si>
    <t>Floor 54</t>
  </si>
  <si>
    <t>Dominica</t>
  </si>
  <si>
    <t>DM</t>
  </si>
  <si>
    <t>DMA</t>
  </si>
  <si>
    <t>Floor 55</t>
  </si>
  <si>
    <t>Dominican Republic (the)</t>
  </si>
  <si>
    <t>DO</t>
  </si>
  <si>
    <t>DOM</t>
  </si>
  <si>
    <t>Floor 56</t>
  </si>
  <si>
    <t>Ecuador</t>
  </si>
  <si>
    <t>EC</t>
  </si>
  <si>
    <t>ECU</t>
  </si>
  <si>
    <t>Floor 57</t>
  </si>
  <si>
    <t>Egypt</t>
  </si>
  <si>
    <t>EG</t>
  </si>
  <si>
    <t>EGY</t>
  </si>
  <si>
    <t>Floor 58</t>
  </si>
  <si>
    <t>El Salvador</t>
  </si>
  <si>
    <t>SV</t>
  </si>
  <si>
    <t>SLV</t>
  </si>
  <si>
    <t>Floor 59</t>
  </si>
  <si>
    <t>Equatorial Guinea</t>
  </si>
  <si>
    <t>GQ</t>
  </si>
  <si>
    <t>GNQ</t>
  </si>
  <si>
    <t>Floor 60</t>
  </si>
  <si>
    <t>Eritrea</t>
  </si>
  <si>
    <t>ER</t>
  </si>
  <si>
    <t>ERI</t>
  </si>
  <si>
    <t>Floor 61</t>
  </si>
  <si>
    <t>Estonia</t>
  </si>
  <si>
    <t>EE</t>
  </si>
  <si>
    <t>EST</t>
  </si>
  <si>
    <t>Floor 62</t>
  </si>
  <si>
    <t>Eswatini</t>
  </si>
  <si>
    <t>SZ</t>
  </si>
  <si>
    <t>SWZ</t>
  </si>
  <si>
    <t>Floor 63</t>
  </si>
  <si>
    <t>Ethiopia</t>
  </si>
  <si>
    <t>ET</t>
  </si>
  <si>
    <t>ETH</t>
  </si>
  <si>
    <t>Floor 64</t>
  </si>
  <si>
    <t>Falkland Islands (the) [Malvinas]</t>
  </si>
  <si>
    <t>FK</t>
  </si>
  <si>
    <t>FLK</t>
  </si>
  <si>
    <t>Floor 65</t>
  </si>
  <si>
    <t>Faroe Islands (the)</t>
  </si>
  <si>
    <t>FO</t>
  </si>
  <si>
    <t>FRO</t>
  </si>
  <si>
    <t>Floor 66</t>
  </si>
  <si>
    <t>Fiji</t>
  </si>
  <si>
    <t>FJ</t>
  </si>
  <si>
    <t>FJI</t>
  </si>
  <si>
    <t>Floor 67</t>
  </si>
  <si>
    <t>Finland</t>
  </si>
  <si>
    <t>FI</t>
  </si>
  <si>
    <t>FIN</t>
  </si>
  <si>
    <t>Floor 68</t>
  </si>
  <si>
    <t>France</t>
  </si>
  <si>
    <t>FR</t>
  </si>
  <si>
    <t>FRA</t>
  </si>
  <si>
    <t>Floor 69</t>
  </si>
  <si>
    <t>French Guiana</t>
  </si>
  <si>
    <t>GF</t>
  </si>
  <si>
    <t>GUF</t>
  </si>
  <si>
    <t>Floor 70</t>
  </si>
  <si>
    <t>French Polynesia</t>
  </si>
  <si>
    <t>PF</t>
  </si>
  <si>
    <t>PYF</t>
  </si>
  <si>
    <t>Floor 71</t>
  </si>
  <si>
    <t>French Southern Territories (the)</t>
  </si>
  <si>
    <t>TF</t>
  </si>
  <si>
    <t>ATF</t>
  </si>
  <si>
    <t>Floor 72</t>
  </si>
  <si>
    <t>Gabon</t>
  </si>
  <si>
    <t>GA</t>
  </si>
  <si>
    <t>GAB</t>
  </si>
  <si>
    <t>Floor 73</t>
  </si>
  <si>
    <t>Gambia (the)</t>
  </si>
  <si>
    <t>GM</t>
  </si>
  <si>
    <t>GMB</t>
  </si>
  <si>
    <t>Floor 74</t>
  </si>
  <si>
    <t>Georgia</t>
  </si>
  <si>
    <t>GE</t>
  </si>
  <si>
    <t>GEO</t>
  </si>
  <si>
    <t>Floor 75</t>
  </si>
  <si>
    <t>Germany</t>
  </si>
  <si>
    <t>DE</t>
  </si>
  <si>
    <t>DEU</t>
  </si>
  <si>
    <t>Floor 76</t>
  </si>
  <si>
    <t>Ghana</t>
  </si>
  <si>
    <t>GH</t>
  </si>
  <si>
    <t>GHA</t>
  </si>
  <si>
    <t>Floor 77</t>
  </si>
  <si>
    <t>Gibraltar</t>
  </si>
  <si>
    <t>GI</t>
  </si>
  <si>
    <t>GIB</t>
  </si>
  <si>
    <t>Floor 78</t>
  </si>
  <si>
    <t>Greece</t>
  </si>
  <si>
    <t>GR</t>
  </si>
  <si>
    <t>GRC</t>
  </si>
  <si>
    <t>Floor 79</t>
  </si>
  <si>
    <t>Greenland</t>
  </si>
  <si>
    <t>GL</t>
  </si>
  <si>
    <t>GRL</t>
  </si>
  <si>
    <t>Floor 80</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</si>
  <si>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</si>
  <si>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</si>
  <si>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</si>
  <si>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</si>
  <si>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</si>
  <si>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</si>
  <si>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</si>
  <si>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</si>
  <si>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</si>
  <si>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</si>
  <si>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</si>
  <si>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</si>
  <si>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</si>
  <si>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</si>
  <si>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</si>
  <si>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</si>
  <si>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</si>
  <si>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</si>
  <si>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</si>
  <si>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</si>
  <si>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</si>
  <si>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</si>
  <si>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</si>
  <si>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</si>
  <si>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</si>
  <si>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</si>
  <si>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</si>
  <si>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Heard Island and McDonald Islands</t>
  </si>
  <si>
    <t>HM</t>
  </si>
  <si>
    <t>HMD</t>
  </si>
  <si>
    <t>Holy See (the)</t>
  </si>
  <si>
    <t>VA</t>
  </si>
  <si>
    <t>VAT</t>
  </si>
  <si>
    <t>Honduras</t>
  </si>
  <si>
    <t>HN</t>
  </si>
  <si>
    <t>HND</t>
  </si>
  <si>
    <t>Hong Kong</t>
  </si>
  <si>
    <t>HK</t>
  </si>
  <si>
    <t>HKG</t>
  </si>
  <si>
    <t>Hungary</t>
  </si>
  <si>
    <t>HU</t>
  </si>
  <si>
    <t>HUN</t>
  </si>
  <si>
    <t>Iceland</t>
  </si>
  <si>
    <t>IS</t>
  </si>
  <si>
    <t>ISL</t>
  </si>
  <si>
    <t>India</t>
  </si>
  <si>
    <t>IN</t>
  </si>
  <si>
    <t>IND</t>
  </si>
  <si>
    <t>Indonesia</t>
  </si>
  <si>
    <t>ID</t>
  </si>
  <si>
    <t>IDN</t>
  </si>
  <si>
    <t>Iran (Islamic Republic of)</t>
  </si>
  <si>
    <t>IR</t>
  </si>
  <si>
    <t>IRN</t>
  </si>
  <si>
    <t>Iraq</t>
  </si>
  <si>
    <t>IQ</t>
  </si>
  <si>
    <t>IRQ</t>
  </si>
  <si>
    <t>Ireland</t>
  </si>
  <si>
    <t>IE</t>
  </si>
  <si>
    <t>IRL</t>
  </si>
  <si>
    <t>Isle of Man</t>
  </si>
  <si>
    <t>IM</t>
  </si>
  <si>
    <t>IMN</t>
  </si>
  <si>
    <t>Israel</t>
  </si>
  <si>
    <t>IL</t>
  </si>
  <si>
    <t>ISR</t>
  </si>
  <si>
    <t>Italy</t>
  </si>
  <si>
    <t>IT</t>
  </si>
  <si>
    <t>ITA</t>
  </si>
  <si>
    <t>Jamaica</t>
  </si>
  <si>
    <t>JM</t>
  </si>
  <si>
    <t>JAM</t>
  </si>
  <si>
    <t>Japan</t>
  </si>
  <si>
    <t>JP</t>
  </si>
  <si>
    <t>JPN</t>
  </si>
  <si>
    <t>Jersey</t>
  </si>
  <si>
    <t>JE</t>
  </si>
  <si>
    <t>JEY</t>
  </si>
  <si>
    <t>Jordan</t>
  </si>
  <si>
    <t>JO</t>
  </si>
  <si>
    <t>JOR</t>
  </si>
  <si>
    <t>Kazakhstan</t>
  </si>
  <si>
    <t>KZ</t>
  </si>
  <si>
    <t>KAZ</t>
  </si>
  <si>
    <t>Kenya</t>
  </si>
  <si>
    <t>KE</t>
  </si>
  <si>
    <t>KEN</t>
  </si>
  <si>
    <t>Kiribati</t>
  </si>
  <si>
    <t>KI</t>
  </si>
  <si>
    <t>KIR</t>
  </si>
  <si>
    <t>Korea (the Democratic People's Republic of)</t>
  </si>
  <si>
    <t>KP</t>
  </si>
  <si>
    <t>PRK</t>
  </si>
  <si>
    <t>Korea (the Republic of)</t>
  </si>
  <si>
    <t>KR</t>
  </si>
  <si>
    <t>KOR</t>
  </si>
  <si>
    <t>Kuwait</t>
  </si>
  <si>
    <t>KW</t>
  </si>
  <si>
    <t>KWT</t>
  </si>
  <si>
    <t>Kyrgyzstan</t>
  </si>
  <si>
    <t>KG</t>
  </si>
  <si>
    <t>KGZ</t>
  </si>
  <si>
    <t>Lao People's Democratic Republic (the)</t>
  </si>
  <si>
    <t>LA</t>
  </si>
  <si>
    <t>LAO</t>
  </si>
  <si>
    <t>Latvia</t>
  </si>
  <si>
    <t>LV</t>
  </si>
  <si>
    <t>LVA</t>
  </si>
  <si>
    <t>Lebanon</t>
  </si>
  <si>
    <t>LB</t>
  </si>
  <si>
    <t>LBN</t>
  </si>
  <si>
    <t>Lesotho</t>
  </si>
  <si>
    <t>LS</t>
  </si>
  <si>
    <t>LSO</t>
  </si>
  <si>
    <t>Liberia</t>
  </si>
  <si>
    <t>LR</t>
  </si>
  <si>
    <t>LBR</t>
  </si>
  <si>
    <t>Libya</t>
  </si>
  <si>
    <t>LY</t>
  </si>
  <si>
    <t>LBY</t>
  </si>
  <si>
    <t>Liechtenstein</t>
  </si>
  <si>
    <t>LI</t>
  </si>
  <si>
    <t>LIE</t>
  </si>
  <si>
    <t>Lithuania</t>
  </si>
  <si>
    <t>LT</t>
  </si>
  <si>
    <t>LTU</t>
  </si>
  <si>
    <t>Luxembourg</t>
  </si>
  <si>
    <t>LU</t>
  </si>
  <si>
    <t>LUX</t>
  </si>
  <si>
    <t>Macao</t>
  </si>
  <si>
    <t>MO</t>
  </si>
  <si>
    <t>MAC</t>
  </si>
  <si>
    <t>Madagascar</t>
  </si>
  <si>
    <t>MG</t>
  </si>
  <si>
    <t>MDG</t>
  </si>
  <si>
    <t>Malawi</t>
  </si>
  <si>
    <t>MW</t>
  </si>
  <si>
    <t>MWI</t>
  </si>
  <si>
    <t>Malaysia</t>
  </si>
  <si>
    <t>MY</t>
  </si>
  <si>
    <t>MYS</t>
  </si>
  <si>
    <t>Maldives</t>
  </si>
  <si>
    <t>MV</t>
  </si>
  <si>
    <t>MDV</t>
  </si>
  <si>
    <t>Mali</t>
  </si>
  <si>
    <t>ML</t>
  </si>
  <si>
    <t>MLI</t>
  </si>
  <si>
    <t>Malta</t>
  </si>
  <si>
    <t>MT</t>
  </si>
  <si>
    <t>MLT</t>
  </si>
  <si>
    <t>Marshall Islands (the)</t>
  </si>
  <si>
    <t>MH</t>
  </si>
  <si>
    <t>MHL</t>
  </si>
  <si>
    <t>Martinique</t>
  </si>
  <si>
    <t>MQ</t>
  </si>
  <si>
    <t>MTQ</t>
  </si>
  <si>
    <t>Mauritania</t>
  </si>
  <si>
    <t>MR</t>
  </si>
  <si>
    <t>MRT</t>
  </si>
  <si>
    <t>Mauritius</t>
  </si>
  <si>
    <t>MU</t>
  </si>
  <si>
    <t>MUS</t>
  </si>
  <si>
    <t>Mayotte</t>
  </si>
  <si>
    <t>YT</t>
  </si>
  <si>
    <t>MYT</t>
  </si>
  <si>
    <t>Mexico</t>
  </si>
  <si>
    <t>MX</t>
  </si>
  <si>
    <t>MEX</t>
  </si>
  <si>
    <t>Micronesia (Federated States of)</t>
  </si>
  <si>
    <t>FM</t>
  </si>
  <si>
    <t>FSM</t>
  </si>
  <si>
    <t>Moldova (the Republic of)</t>
  </si>
  <si>
    <t>MD</t>
  </si>
  <si>
    <t>MDA</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</si>
  <si>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</si>
  <si>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</si>
  <si>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</si>
  <si>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</si>
  <si>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</si>
  <si>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</si>
  <si>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</si>
  <si>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</si>
  <si>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</si>
  <si>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</si>
  <si>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</si>
  <si>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</si>
  <si>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</si>
  <si>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</si>
  <si>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</si>
  <si>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</si>
  <si>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</si>
  <si>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</si>
  <si>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</si>
  <si>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</si>
  <si>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</si>
  <si>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</si>
  <si>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</si>
  <si>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</si>
  <si>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</si>
  <si>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</si>
  <si>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</si>
  <si>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</si>
  <si>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</si>
  <si>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</si>
  <si>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 (the)</t>
  </si>
  <si>
    <t>NL</t>
  </si>
  <si>
    <t>NLD</t>
  </si>
  <si>
    <t>New Caledonia</t>
  </si>
  <si>
    <t>NC</t>
  </si>
  <si>
    <t>NCL</t>
  </si>
  <si>
    <t>New Zealand</t>
  </si>
  <si>
    <t>NZ</t>
  </si>
  <si>
    <t>NZL</t>
  </si>
  <si>
    <t>Nicaragua</t>
  </si>
  <si>
    <t>NI</t>
  </si>
  <si>
    <t>NIC</t>
  </si>
  <si>
    <t>Niger (the)</t>
  </si>
  <si>
    <t>NE</t>
  </si>
  <si>
    <t>NER</t>
  </si>
  <si>
    <t>Nigeria</t>
  </si>
  <si>
    <t>NG</t>
  </si>
  <si>
    <t>NGA</t>
  </si>
  <si>
    <t>Niue</t>
  </si>
  <si>
    <t>NU</t>
  </si>
  <si>
    <t>NIU</t>
  </si>
  <si>
    <t>Norfolk Island</t>
  </si>
  <si>
    <t>NF</t>
  </si>
  <si>
    <t>NFK</t>
  </si>
  <si>
    <t>Northern Mariana Islands (the)</t>
  </si>
  <si>
    <t>MP</t>
  </si>
  <si>
    <t>MNP</t>
  </si>
  <si>
    <t>Norway</t>
  </si>
  <si>
    <t>NO</t>
  </si>
  <si>
    <t>NOR</t>
  </si>
  <si>
    <t>Oman</t>
  </si>
  <si>
    <t>OM</t>
  </si>
  <si>
    <t>OMN</t>
  </si>
  <si>
    <t>Pakistan</t>
  </si>
  <si>
    <t>PK</t>
  </si>
  <si>
    <t>PAK</t>
  </si>
  <si>
    <t>Palau</t>
  </si>
  <si>
    <t>PW</t>
  </si>
  <si>
    <t>PLW</t>
  </si>
  <si>
    <t>Palestine, State of</t>
  </si>
  <si>
    <t>PS</t>
  </si>
  <si>
    <t>PSE</t>
  </si>
  <si>
    <t>Panama</t>
  </si>
  <si>
    <t>PA</t>
  </si>
  <si>
    <t>PAN</t>
  </si>
  <si>
    <t>Papua New Guinea</t>
  </si>
  <si>
    <t>PG</t>
  </si>
  <si>
    <t>PNG</t>
  </si>
  <si>
    <t>Paraguay</t>
  </si>
  <si>
    <t>PY</t>
  </si>
  <si>
    <t>PRY</t>
  </si>
  <si>
    <t>Peru</t>
  </si>
  <si>
    <t>PE</t>
  </si>
  <si>
    <t>PER</t>
  </si>
  <si>
    <t>Philippines (the)</t>
  </si>
  <si>
    <t>PH</t>
  </si>
  <si>
    <t>PHL</t>
  </si>
  <si>
    <t>Pitcairn</t>
  </si>
  <si>
    <t>PN</t>
  </si>
  <si>
    <t>PCN</t>
  </si>
  <si>
    <t>Poland</t>
  </si>
  <si>
    <t>PL</t>
  </si>
  <si>
    <t>POL</t>
  </si>
  <si>
    <t>Portugal</t>
  </si>
  <si>
    <t>PT</t>
  </si>
  <si>
    <t>PRT</t>
  </si>
  <si>
    <t>Puerto Rico</t>
  </si>
  <si>
    <t>PR</t>
  </si>
  <si>
    <t>PRI</t>
  </si>
  <si>
    <t>Qatar</t>
  </si>
  <si>
    <t>QA</t>
  </si>
  <si>
    <t>QAT</t>
  </si>
  <si>
    <t>Republic of North Macedonia</t>
  </si>
  <si>
    <t>MK</t>
  </si>
  <si>
    <t>MKD</t>
  </si>
  <si>
    <t>Romania</t>
  </si>
  <si>
    <t>RO</t>
  </si>
  <si>
    <t>ROU</t>
  </si>
  <si>
    <t>Russian Federation (the)</t>
  </si>
  <si>
    <t>RU</t>
  </si>
  <si>
    <t>RUS</t>
  </si>
  <si>
    <t>Rwanda</t>
  </si>
  <si>
    <t>RW</t>
  </si>
  <si>
    <t>RWA</t>
  </si>
  <si>
    <t>Réunion</t>
  </si>
  <si>
    <t>RE</t>
  </si>
  <si>
    <t>REU</t>
  </si>
  <si>
    <t>Saint Barthélemy</t>
  </si>
  <si>
    <t>BL</t>
  </si>
  <si>
    <t>BLM</t>
  </si>
  <si>
    <t>Saint Helena, Ascension and Tristan da Cunha</t>
  </si>
  <si>
    <t>SH</t>
  </si>
  <si>
    <t>SHN</t>
  </si>
  <si>
    <t>Saint Kitts and Nevis</t>
  </si>
  <si>
    <t>KN</t>
  </si>
  <si>
    <t>KNA</t>
  </si>
  <si>
    <t>Saint Lucia</t>
  </si>
  <si>
    <t>LC</t>
  </si>
  <si>
    <t>LCA</t>
  </si>
  <si>
    <t>Saint Martin (French part)</t>
  </si>
  <si>
    <t>MF</t>
  </si>
  <si>
    <t>MAF</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</si>
  <si>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</si>
  <si>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</si>
  <si>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</si>
  <si>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</si>
  <si>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</si>
  <si>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</si>
  <si>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</si>
  <si>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</si>
  <si>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</si>
  <si>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</si>
  <si>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</si>
  <si>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</si>
  <si>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</si>
  <si>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</si>
  <si>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</si>
  <si>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</si>
  <si>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</si>
  <si>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</si>
  <si>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</si>
  <si>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</si>
  <si>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</si>
  <si>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</si>
  <si>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</si>
  <si>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</si>
  <si>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</si>
  <si>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</si>
  <si>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</si>
  <si>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</si>
  <si>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</si>
  <si>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</si>
  <si>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</si>
  <si>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</si>
  <si>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</si>
  <si>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Sint Maarten (Dutch part)</t>
  </si>
  <si>
    <t>SX</t>
  </si>
  <si>
    <t>SXM</t>
  </si>
  <si>
    <t>Slovakia</t>
  </si>
  <si>
    <t>SK</t>
  </si>
  <si>
    <t>SVK</t>
  </si>
  <si>
    <t>Slovenia</t>
  </si>
  <si>
    <t>SI</t>
  </si>
  <si>
    <t>SVN</t>
  </si>
  <si>
    <t>Solomon Islands</t>
  </si>
  <si>
    <t>SB</t>
  </si>
  <si>
    <t>SLB</t>
  </si>
  <si>
    <t>Somalia</t>
  </si>
  <si>
    <t>SO</t>
  </si>
  <si>
    <t>SOM</t>
  </si>
  <si>
    <t>South Africa</t>
  </si>
  <si>
    <t>ZA</t>
  </si>
  <si>
    <t>ZAF</t>
  </si>
  <si>
    <t>South Georgia and the South Sandwich Islands</t>
  </si>
  <si>
    <t>GS</t>
  </si>
  <si>
    <t>SGS</t>
  </si>
  <si>
    <t>South Sudan</t>
  </si>
  <si>
    <t>SS</t>
  </si>
  <si>
    <t>SSD</t>
  </si>
  <si>
    <t>Spain</t>
  </si>
  <si>
    <t>ES</t>
  </si>
  <si>
    <t>ESP</t>
  </si>
  <si>
    <t>Sri Lanka</t>
  </si>
  <si>
    <t>LK</t>
  </si>
  <si>
    <t>LKA</t>
  </si>
  <si>
    <t>Sudan (the)</t>
  </si>
  <si>
    <t>SD</t>
  </si>
  <si>
    <t>SDN</t>
  </si>
  <si>
    <t>Suriname</t>
  </si>
  <si>
    <t>SR</t>
  </si>
  <si>
    <t>SUR</t>
  </si>
  <si>
    <t>Svalbard and Jan Mayen</t>
  </si>
  <si>
    <t>SJ</t>
  </si>
  <si>
    <t>SJM</t>
  </si>
  <si>
    <t>Sweden</t>
  </si>
  <si>
    <t>SE</t>
  </si>
  <si>
    <t>SWE</t>
  </si>
  <si>
    <t>Switzerland</t>
  </si>
  <si>
    <t>CH</t>
  </si>
  <si>
    <t>CHE</t>
  </si>
  <si>
    <t>Syrian Arab Republic</t>
  </si>
  <si>
    <t>SY</t>
  </si>
  <si>
    <t>SYR</t>
  </si>
  <si>
    <t>Taiwan (Province of China)</t>
  </si>
  <si>
    <t>TW</t>
  </si>
  <si>
    <t>TWN</t>
  </si>
  <si>
    <t>Tajikistan</t>
  </si>
  <si>
    <t>TJ</t>
  </si>
  <si>
    <t>TJK</t>
  </si>
  <si>
    <t>Tanzania, United Republic of</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</si>
  <si>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</si>
  <si>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</si>
  <si>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</si>
  <si>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</si>
  <si>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</si>
  <si>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</si>
  <si>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</si>
  <si>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</si>
  <si>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</si>
  <si>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</si>
  <si>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</si>
  <si>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</si>
  <si>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</si>
  <si>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</si>
  <si>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</si>
  <si>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</si>
  <si>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</si>
  <si>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</si>
  <si>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</si>
  <si>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</si>
  <si>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</si>
  <si>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</si>
  <si>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</si>
  <si>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</si>
  <si>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</si>
  <si>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</si>
  <si>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</si>
  <si>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</si>
  <si>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</si>
  <si>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 (the)</t>
  </si>
  <si>
    <t>TC</t>
  </si>
  <si>
    <t>TCA</t>
  </si>
  <si>
    <t>Tuvalu</t>
  </si>
  <si>
    <t>TV</t>
  </si>
  <si>
    <t>TUV</t>
  </si>
  <si>
    <t>Uganda</t>
  </si>
  <si>
    <t>UG</t>
  </si>
  <si>
    <t>UGA</t>
  </si>
  <si>
    <t>Ukraine</t>
  </si>
  <si>
    <t>UA</t>
  </si>
  <si>
    <t>UKR</t>
  </si>
  <si>
    <t>United Arab Emirates (the)</t>
  </si>
  <si>
    <t>AE</t>
  </si>
  <si>
    <t>ARE</t>
  </si>
  <si>
    <t>United Kingdom of Great Britain and Northern Ireland (the)</t>
  </si>
  <si>
    <t>GB</t>
  </si>
  <si>
    <t>GBR</t>
  </si>
  <si>
    <t>United States Minor Outlying Islands (the)</t>
  </si>
  <si>
    <t>UM</t>
  </si>
  <si>
    <t>UMI</t>
  </si>
  <si>
    <t>United States of America (the)</t>
  </si>
  <si>
    <t>US</t>
  </si>
  <si>
    <t>USA</t>
  </si>
  <si>
    <t>Uruguay</t>
  </si>
  <si>
    <t>UY</t>
  </si>
  <si>
    <t>URY</t>
  </si>
  <si>
    <t>Uzbekistan</t>
  </si>
  <si>
    <t>UZ</t>
  </si>
  <si>
    <t>UZB</t>
  </si>
  <si>
    <t>Vanuatu</t>
  </si>
  <si>
    <t>VU</t>
  </si>
  <si>
    <t>VUT</t>
  </si>
  <si>
    <t>Venezuela (Bolivarian Republic of)</t>
  </si>
  <si>
    <t>VE</t>
  </si>
  <si>
    <t>VEN</t>
  </si>
  <si>
    <t>Viet Nam</t>
  </si>
  <si>
    <t>VN</t>
  </si>
  <si>
    <t>VNM</t>
  </si>
  <si>
    <t>Virgin Islands (British)</t>
  </si>
  <si>
    <t>VG</t>
  </si>
  <si>
    <t>VGB</t>
  </si>
  <si>
    <t>Virgin Islands (U.S.)</t>
  </si>
  <si>
    <t>VI</t>
  </si>
  <si>
    <t>VIR</t>
  </si>
  <si>
    <t>Wallis and Futuna</t>
  </si>
  <si>
    <t>WF</t>
  </si>
  <si>
    <t>WLF</t>
  </si>
  <si>
    <t>Western Sahara</t>
  </si>
  <si>
    <t>EH</t>
  </si>
  <si>
    <t>ESH</t>
  </si>
  <si>
    <t>Yemen</t>
  </si>
  <si>
    <t>YE</t>
  </si>
  <si>
    <t>YEM</t>
  </si>
  <si>
    <t>Zambia</t>
  </si>
  <si>
    <t>ZM</t>
  </si>
  <si>
    <t>ZMB</t>
  </si>
  <si>
    <t>Zimbabwe</t>
  </si>
  <si>
    <t>ZW</t>
  </si>
  <si>
    <t>ZWE</t>
  </si>
  <si>
    <t>Åland Islands</t>
  </si>
  <si>
    <t>AX</t>
  </si>
  <si>
    <t>ALA</t>
  </si>
  <si>
    <t>OpenBDF Common Element Classification</t>
  </si>
  <si>
    <t>Description of classification</t>
  </si>
  <si>
    <t>List of unique entries</t>
  </si>
  <si>
    <t>bec_openbdf_description</t>
  </si>
  <si>
    <t>bec_openbdf_unique</t>
  </si>
  <si>
    <t>0 Treatment and demolition works &amp; Facilitating works</t>
  </si>
  <si>
    <t>0.1 Treatment and demolition works &amp; Facilitating works</t>
  </si>
  <si>
    <t>0.1.1 Toxic/contaminated material treatment &amp; Demolition works</t>
  </si>
  <si>
    <t>Removal and disposal of any hazardous materials (eg asbestos), including any material from existing services installations or tanks or removal of toxic chemicals. Environmental treatment or removal of contaminated ground. Eradication of plant growth.</t>
  </si>
  <si>
    <t>0.1.1.2 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</si>
  <si>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</si>
  <si>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 Facilitating works</t>
  </si>
  <si>
    <t>0.1.2.1 Temporary supports</t>
  </si>
  <si>
    <t>Temporary fencing, provision of support to unstable structures but not forming part of the ardpanent works. Does not include supports for facade retention, which is included below. Any removal or disposal also included.</t>
  </si>
  <si>
    <t>0.1.2.2 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</si>
  <si>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</si>
  <si>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 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</si>
  <si>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</si>
  <si>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 Temporary diversion works</t>
  </si>
  <si>
    <t>Temporary surface drainage, temporary protection, diversion and relocation of public utilities. Include works required to divert and re-instate for new asset/clear ground condition.</t>
  </si>
  <si>
    <t>0.1.2.5 Extraordinary site investigations</t>
  </si>
  <si>
    <t>Archaeological investigations, wildlife mitigation measures (relocation to new habitat/protection/barriers).</t>
  </si>
  <si>
    <t>0.1.2.6  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</si>
  <si>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</si>
  <si>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</si>
  <si>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 Basement retaining walls and lowest slab</t>
  </si>
  <si>
    <t>1.2.1 Lowest slab</t>
  </si>
  <si>
    <t>1.2.1.0 Lowest slab</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</si>
  <si>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</si>
  <si>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 xml:space="preserve">1.2.2 Suspended slabs </t>
  </si>
  <si>
    <t xml:space="preserve">1.2.2.0 Suspended slabs </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</si>
  <si>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</si>
  <si>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 Basement retaining walls</t>
  </si>
  <si>
    <t>1.2.3.0 Basement retaining walls</t>
  </si>
  <si>
    <t>Basement retaining walls (inc. vertical retaining structure, insulation and waterproofing external to the wall). To include lift pit lateral supports and any ardpanent, vertical retaining structures within building envelope.</t>
  </si>
  <si>
    <t>2 Super structure</t>
  </si>
  <si>
    <t>2.1 Frame</t>
  </si>
  <si>
    <t>2.1.1 Frame (vertical)  - columns/ structural walls &amp; braces</t>
  </si>
  <si>
    <t>2.1.1.0 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</si>
  <si>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</si>
  <si>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 Frame (Horizontal) - beams, joists &amp; braces</t>
  </si>
  <si>
    <t>2.1.2.0 Frame (Horizontal) - beams, joists &amp; braces</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</si>
  <si>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</si>
  <si>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 Upper floor - structural slabs</t>
  </si>
  <si>
    <t>2.2.1.0 Upper floor - structural slabs</t>
  </si>
  <si>
    <t xml:space="preserve">Horizontal structural slabs above the lowest and suspended slabs. Including monolithic horizontal beams or joists (inc. connections, formwork, ardpanent structural casing and any fire proofing). </t>
  </si>
  <si>
    <t>2.2.2 Upper floor - non-structural slabs</t>
  </si>
  <si>
    <t>2.2.2.0 Upper floor - non-structural slabs</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</si>
  <si>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</si>
  <si>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 xml:space="preserve">2.3 Roof
</t>
  </si>
  <si>
    <t>2.3.1 Roof - structural slabs</t>
  </si>
  <si>
    <t>2.3.1.0 Roof - structural slabs</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</si>
  <si>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</si>
  <si>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2.3.2 Roof - non-structural slabs</t>
  </si>
  <si>
    <t>2.3.2.0 Roof - non-structural slabs</t>
  </si>
  <si>
    <t>2.4 Stairs, ramps and safety guarding</t>
  </si>
  <si>
    <t>2.4.1 Stairs</t>
  </si>
  <si>
    <t>2.4.1.0 Stairs</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</si>
  <si>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</si>
  <si>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 Ramps</t>
  </si>
  <si>
    <t>2.4.2.0 Ramps</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</si>
  <si>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</si>
  <si>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 Safety and access ladders, chutes, slides and guarding</t>
  </si>
  <si>
    <t>2.4.3.0 Safety and access ladders, chutes, slides and guarding</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</si>
  <si>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</si>
  <si>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  External envelope including roof finishes</t>
  </si>
  <si>
    <t xml:space="preserve">2.5.1 External - opaque envelope </t>
  </si>
  <si>
    <t xml:space="preserve">2.5.1.0 External - opaque envelope </t>
  </si>
  <si>
    <t>External wall build up outside to inside, including final internal boarding, excluding specialist internal linings and final finishes. Including: 
- all fixings and bracketry to connect back to primary and SFS package; ties, DPMs, cavity trays, closers, fire barriers and reveals
- external shading, canopies, shutters, not part of the window/glazing/door system (inc. finishes and connections)
- architectural boarding and finishes to balcony guarding (structural elements included above)
- any louvred or grille assemblies as part of the external wall build up
- roller shutters and associated boxing and equipment. Power distribution in MEP below.
- external rainwater goods and rainwater drainage equipment/guttering that runs vertically outside or within the external wall build up (internal, vertical rainwater drainage is included in MEP)
- insulated underside of returns/ soffits that form part of the thermal and weather protection line
- parapets and railings that are the extension of the external wall to provide safety protection and gable walls
- chimneys and/or green walls (inc substrate and drainage layers) that form part of the external wall</t>
  </si>
  <si>
    <t>2.5.2 External - full height glazing systems</t>
  </si>
  <si>
    <t>2.5.2.0 External - full height glazing systems</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</si>
  <si>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(punched, framed windows within category 2.6). 
Where external doors are integrated into glazed screens and cannot be separated, please see note in external doors below.</t>
  </si>
  <si>
    <t>2.5.3 External - roof finishes/coverings</t>
  </si>
  <si>
    <t>2.5.3.0 External - roof finishes/coverings</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</si>
  <si>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Where it runs internally, included in MEP and vertical equipment included in solid external walls. Access or AOV hatches that form part of the thermal roofline.</t>
  </si>
  <si>
    <t>2.5.4 External - safety systems</t>
  </si>
  <si>
    <t>2.5.4.0 External - safety systems</t>
  </si>
  <si>
    <t>Including fall protection/safety equipment for cleaning and maintenance operatives (e.g. handrails, latchways, cradle systems). For powered equipment include all parts of the system, but power distribution is included in MEP below.</t>
  </si>
  <si>
    <t>2.6 Windows and ext doors</t>
  </si>
  <si>
    <t>2.6.1  Windows - vertical</t>
  </si>
  <si>
    <t>2.6.1.0  Windows - vertical</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</si>
  <si>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</si>
  <si>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 Windows - roof or horizontal</t>
  </si>
  <si>
    <t>2.6.2.0 Windows - roof or horizontal</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</si>
  <si>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</si>
  <si>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 External doors</t>
  </si>
  <si>
    <t>2.6.3.0 External doors</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</si>
  <si>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 In the specific case that a door assembly includes surrounding glazing (this could be the case for sliding doors integrated into glazed screens), include the whole assembly in this category. Where the two can be separated, report in both full height glazing systems and external doors.</t>
  </si>
  <si>
    <t>2.7 Internal walls</t>
  </si>
  <si>
    <t>2.7.1 Internal walls  -solid</t>
  </si>
  <si>
    <t>2.7.1.0 Internal walls  -solid</t>
  </si>
  <si>
    <t>Non-structural/non-loadbearing internal wall assemblies including studs from floor to ceiling and boarding. Includes:
- unfinished boarded linings to structural walls
- internal boarding to balcony walls and stair/ramp balustrades
- insulation required to meet performance criteria
- internal cubicle systems and vertical panelised access systems to bathrooms
- internal planters including protection, filter membranes and drainage
- internal green walls including substrate, membranes and drainage requirements
- deflection heads
(Final finish included in 3 Finishes)</t>
  </si>
  <si>
    <t>2.7.2 Internal walls  - non-structural glazed walls, windows and vision panels</t>
  </si>
  <si>
    <t>2.7.2.0 Internal walls  - non-structural glazed walls, windows and vision panels</t>
  </si>
  <si>
    <t>Non-structural/non-loadbearing internal glazed wall assemblies. Includes:
- framing and fixings, integral blinds, films 
- punched windows in solid walls, including framing, connections and trims
(secondary framing including lintels included above)
Where internal doors are integrated into glazed screens and cannot be separated, please see note in internal doors below.</t>
  </si>
  <si>
    <t>2.8 Internal doors</t>
  </si>
  <si>
    <t>2.8.0 Internal doors</t>
  </si>
  <si>
    <t>2.8.0.0 Internal doors</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</si>
  <si>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 When reporting electrically powered doors, the wiring up to the door is excluded, the fitting is included. In the specific case that a door assembly includes surrounding glazing (this could be the case for sliding doors integrated into glazed screens), include the whole assembly in this category. Where the two can be separated, report in both full height glazing systems and external doors.</t>
  </si>
  <si>
    <t xml:space="preserve">3 Finishes
</t>
  </si>
  <si>
    <t xml:space="preserve">3.1 Wall finishes
</t>
  </si>
  <si>
    <t xml:space="preserve">3.1.0 Wall finishes
</t>
  </si>
  <si>
    <t xml:space="preserve">3.1.0.0 Wall finishes
</t>
  </si>
  <si>
    <t>Internal wall finishes and specialist architectural linings applied/sprayed/painted over general boarding (external wall builds or internal assemblies) or structural elements. Include: 
- taping, skim coats and plastering
- final wall finish, skirtings and trims including shadow gap trims, dado and picture rails
- adhesive/framing to hold the lining/finish in place
- fire protection
- tiled finishes
- vertical acoustic panelling fixed to partitioning
- wall protection including bumper rails, corner guards, protection strips, coatings</t>
  </si>
  <si>
    <t>3.2 Floor finishes</t>
  </si>
  <si>
    <t>3.2.1 Raised access floor or specialist sprung floors</t>
  </si>
  <si>
    <t>3.2.1.0 Raised access floor or specialist sprung floors</t>
  </si>
  <si>
    <t>Raised access/floating floors, specialist sprung floors. Including internal and any external areas under cover and cavity barriers in any floor voids. Include the concrete dust sealer in this category.</t>
  </si>
  <si>
    <t>3.2.2 Non-structural screed</t>
  </si>
  <si>
    <t>3.2.2.0 Non-structural screed</t>
  </si>
  <si>
    <t>Non-structural screed or insulation to make up floor to tinal finish. Including internal and any external areas under cover.</t>
  </si>
  <si>
    <t>3.2.3 Floor finishes</t>
  </si>
  <si>
    <t>3.2.3.0 Floor finishes</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</si>
  <si>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 Floor boxes to be included in MEP categories.</t>
  </si>
  <si>
    <t>3.3 Ceiling finishes</t>
  </si>
  <si>
    <t>3.3.0 Ceiling finishes</t>
  </si>
  <si>
    <t>3.3.0.0 Ceiling finishes</t>
  </si>
  <si>
    <t>Internal ceiling finishes and specialist architectural linings applied/sprayed/ mounted/hung/painted from horizontal structural elements (slabs and beams). Include: 
- boarding, insulation, taping, skim coats and plastering
- final finish and any trims including shadow gap trims, cornices, ceiling roses and coving
- adhesive/framing/fixing to hold the lining/finish in place
- access hatches, trims and accessories
- fire protection and cavity barriers in ceiling voids
- acoustic panelling/systems hung from or fixed to ceiling.</t>
  </si>
  <si>
    <t>4 FF&amp;E</t>
  </si>
  <si>
    <t>4.1 General FF&amp;E</t>
  </si>
  <si>
    <t>4.1.0 General FF&amp;E</t>
  </si>
  <si>
    <t>4.1.0.0 General FF&amp;E</t>
  </si>
  <si>
    <t xml:space="preserve">Fittings that are part of the building fabric (do not fall out when building turned upside down) and loose items required for the building to perform its intended function.
Built in counters, desks, drawers, cupboards, kitchen units, storage, lockers, seating, mirrors, fireplace/hearth, statutory safety signage. Blinds/curtains, boxes and tracks that are integral to a comfortable internal environment. Bird, insect and animal control or deterrent systems. Bins, chairs, tables, desks, mobile units, storage, rugs, lamps, towel/ storage rails, wayfinding signage. whiteboards/ pinboards, loose fire fighting equipment like blankets/extinguishers/hand operated appliances. Any decorative or art work that is not built into the building fabric. Planting that is not part of the building fabric. Vending machines. 
In regards split between fixed FF&amp;E/sanitaryware, this category includes items that do not involve plumbing like shower screens, hand dryers, hooks for clothes.
</t>
  </si>
  <si>
    <t>4.2 Kitchen equipment</t>
  </si>
  <si>
    <t>4.2.0 Kitchen equipment</t>
  </si>
  <si>
    <t>4.2.0.0 Kitchen equipment</t>
  </si>
  <si>
    <t>Including plug-in and fixed appliances and white goods, cookers, fridge, freezer, dishwasher.</t>
  </si>
  <si>
    <t>4.3  Special equipment</t>
  </si>
  <si>
    <t>4.3.0  Special equipment</t>
  </si>
  <si>
    <t>4.3.0.0  Special equipment</t>
  </si>
  <si>
    <t>Equipment that would be required only related to a specialist use including sports, leisure, entertainment, theatrical, medical, research or laboratory functions. Fixed accessibility equipment like hoists. Specialist gas terminals/taps.</t>
  </si>
  <si>
    <t>4.4 Loose FF&amp;E</t>
  </si>
  <si>
    <t>4.4.0 Loose FF&amp;E</t>
  </si>
  <si>
    <t>4.4.0.0 Loose FF&amp;E</t>
  </si>
  <si>
    <t>Loose (usually client supply) fittings, furniture and equipment (that would not fall out of the building if turned upside down). Including specialist theatrical equipment.</t>
  </si>
  <si>
    <t>4.5 IT</t>
  </si>
  <si>
    <t>4.5.0 IT</t>
  </si>
  <si>
    <t>4.5.0.0 IT</t>
  </si>
  <si>
    <t>Loose (usually client supply) IT items including computers CRAH units. Telephones and WiFi. Cabling contained below in MEP electrical.</t>
  </si>
  <si>
    <t>4.6 Audio and visual</t>
  </si>
  <si>
    <t>4.6.0 Audio and visual</t>
  </si>
  <si>
    <t>4.6.0.0 Audio and visual</t>
  </si>
  <si>
    <t>Audio/visual equipment (usually client supply) including screens, mics, speakers, projection systems. Cabling contained below in MEP electrical.</t>
  </si>
  <si>
    <t>5 Building Services/ MEP</t>
  </si>
  <si>
    <t>5.1 Public Health</t>
  </si>
  <si>
    <t>5.1.1 Sanitaryware</t>
  </si>
  <si>
    <t>5.1.1.0 Sanitaryware</t>
  </si>
  <si>
    <t>Sanitaryware - any appliance that is ardpanently plumbed into the washing or toilet areas. Including toilet, cistern, shower tray, bath, taps, controls, shower heads, basin units, sink, instant hot water heater, washing machine, dishwasher, autoclave.</t>
  </si>
  <si>
    <t>5.1.2  Cold water systems</t>
  </si>
  <si>
    <t>5.1.2.1  Cold water systems</t>
  </si>
  <si>
    <t>Thermostat, thermal meters, cold water meters, pumps/booster set, other meters, pipework, pipe insulation, support/hanger, frost protection and trace heating equipment.</t>
  </si>
  <si>
    <t>5.1.2.2  Cold water storage</t>
  </si>
  <si>
    <t>Storage tank, CAT 5 system, Treatment and filtration system for wholesome water.</t>
  </si>
  <si>
    <t>5.1.3  Drainage and rainwater</t>
  </si>
  <si>
    <t>5.1.3.1 Surface water/rainwater/foul water drainage</t>
  </si>
  <si>
    <t>Piping, insulation, support, rainwater storage tank, attenuation, outlets, pumps, downpipes), sewage piping, condensate piping, insulation, support, cistern, traps, pump, drain.</t>
  </si>
  <si>
    <t>5.1.3.2 Water reuse systems</t>
  </si>
  <si>
    <t>Grey water/rain water harvesting storage tank, pipework and treatment equipment inside the building line.</t>
  </si>
  <si>
    <t>5.2  Heating, Ventilation and Cooling (HVAC)</t>
  </si>
  <si>
    <t>5.2.1 Space heating and hot water</t>
  </si>
  <si>
    <t>5.2.1.1 Heat &amp; Hot water generation equipment</t>
  </si>
  <si>
    <t>Gas/electric boiler, air/water/ground heat pumps, chiller, local water heater, wood burning stove, biomass boiler, solar thermal. Communal heating systems where housed within the building footprint are included here until it gets to the meter (after which it is included in distribution). Pit and manifold should be included here even if outside of the building footprint. Plate heat exchanger that connects to a district heating network. Hot water generation equipment (e.g. calorifier) should be included as well.</t>
  </si>
  <si>
    <t>5.2.1.2 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</si>
  <si>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</si>
  <si>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 Heat storage equipment</t>
  </si>
  <si>
    <t>Hot water store, buffer vessel, expansion vessel.</t>
  </si>
  <si>
    <r>
      <rPr>
        <rFont val="Open Sans"/>
        <color theme="1"/>
      </rPr>
      <t xml:space="preserve">5.2.2 Dedicated cooling installations
</t>
    </r>
    <r>
      <rPr>
        <rFont val="Open Sans"/>
        <i/>
        <color theme="1"/>
        <sz val="10.0"/>
      </rPr>
      <t>(If the system does both heating and cooling, include it in heating)</t>
    </r>
  </si>
  <si>
    <t>5.2.2.1  Cooling generation equipment</t>
  </si>
  <si>
    <t>Cooling tower, fan coil units.</t>
  </si>
  <si>
    <r>
      <rPr>
        <rFont val="Open Sans"/>
        <color theme="1"/>
      </rPr>
      <t xml:space="preserve">5.2.2 Dedicated cooling installations
</t>
    </r>
    <r>
      <rPr>
        <rFont val="Open Sans"/>
        <i/>
        <color theme="1"/>
        <sz val="10.0"/>
      </rPr>
      <t>(If the system does both heating and cooling, include it in heating)</t>
    </r>
  </si>
  <si>
    <t>5.2.2.2 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</si>
  <si>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</si>
  <si>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 Air movement</t>
  </si>
  <si>
    <t>5.2.3.0 Air movement</t>
  </si>
  <si>
    <t>Fans, MVHR, AHU, ceiling fans, Kitchen ventilation, air curtains.</t>
  </si>
  <si>
    <t>5.2.4 Ventilation air terminals, ductwork and ancillaries, control dampers, attenuation, fire safety related to ventilation equipment</t>
  </si>
  <si>
    <t xml:space="preserve">5.2.4.1 Air terminals
</t>
  </si>
  <si>
    <t>Diffusers, grilles, VAV, Louvre, CAV, etc.</t>
  </si>
  <si>
    <t xml:space="preserve">5.2.4.2 Ductwork &amp; ancilleries  </t>
  </si>
  <si>
    <t>Ductwork, insulation, support, fire rated ductwork, support.</t>
  </si>
  <si>
    <t>5.2.4.3 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</si>
  <si>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</si>
  <si>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 xml:space="preserve">5.3 Electrical installations </t>
  </si>
  <si>
    <t>5.3.1 Lighting</t>
  </si>
  <si>
    <t>5.3.1.1 Internal lighting</t>
  </si>
  <si>
    <t>Internal light fixtures, outlet, junction box, socket, light control, cable, switch.</t>
  </si>
  <si>
    <t>5.3.1.2 External lighting (building mounted)</t>
  </si>
  <si>
    <t>Lamps/ poles/ supports etc that are building mounted. External light fixtures, outlet, junction box, socket, light control, cable, switch.</t>
  </si>
  <si>
    <t>5.3.1.3 Emergency lighting</t>
  </si>
  <si>
    <t>Emergency lights, controls, cable, switch.</t>
  </si>
  <si>
    <t>5.3.1.4 Other lighting</t>
  </si>
  <si>
    <t>Task lighting, stage/entertainment lighting, retail display lighting, architectural lighting including associated light fixture, outlet, junction box, socket, light control, cable, switch.</t>
  </si>
  <si>
    <t>5.3.2 Electrical services for power, communications, security, IT and fire detection</t>
  </si>
  <si>
    <t>5.3.2.1 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</si>
  <si>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</si>
  <si>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 ELV/ Communications/Security</t>
  </si>
  <si>
    <t>ELV: Low, medium and high voltage systems
Security: CCTV equipment, security sensors and alarm
Communications and audio visual equipment</t>
  </si>
  <si>
    <t>5.3.2.3 IT &amp; Data</t>
  </si>
  <si>
    <t>IT equipment: anything related to data, e.g. wifi equipment, server, backbone and structured cabling (cat6, etc.), computers, printers, data cabinets, patch panels, etc.</t>
  </si>
  <si>
    <t>5.3.2.4 BMS</t>
  </si>
  <si>
    <t>BMS/controllers on fan coils, outstation, main controller system with computer (headend), cabling required, control valves, sensors for temperature statistics, etc.</t>
  </si>
  <si>
    <t>5.3.2.5 Electricity back up generation</t>
  </si>
  <si>
    <t>UPS back up generation, battery supply, stand by generators within the building line.</t>
  </si>
  <si>
    <t>5.3.2.6  Fire detection &amp; alarm</t>
  </si>
  <si>
    <t>Fire alarm systems including detection, cabling, fire fighting panel and final call unit.</t>
  </si>
  <si>
    <t>5.4 On site renewable energy generation</t>
  </si>
  <si>
    <t>5.4.1 On site renewable energy generation</t>
  </si>
  <si>
    <t>5.4.1.1 Renewable energy - electrical generation onsite and building mounted</t>
  </si>
  <si>
    <t>Solar PV panel, inverter, wind turbine, water turbine building mounted or within building footprint.</t>
  </si>
  <si>
    <t>5.4.1.2 Renewable energy - storage onsite</t>
  </si>
  <si>
    <t>battery within building footprint.</t>
  </si>
  <si>
    <t>5.5 Systems including Life safety, Fuel installations, Lift and conveyor installations, Services equipment
Disposal installations, Specialist installations, Builders work in connection with services</t>
  </si>
  <si>
    <t>5.5.1 Life safety</t>
  </si>
  <si>
    <t>5.5.1.1 Sprinkler system</t>
  </si>
  <si>
    <t>Pipes, heads, valves, tank, hose, pumps.</t>
  </si>
  <si>
    <t>5.5.1.2 Fire fighting systems</t>
  </si>
  <si>
    <t>Dry and wet riser, hydrant, within designated building footprint, AOV controls/ sensors, fire suppression system.</t>
  </si>
  <si>
    <t>5.5.1.3 Lightning protection/earth bonding</t>
  </si>
  <si>
    <t>Lightning conductor, earth rods.</t>
  </si>
  <si>
    <t>5.5.2 Fuel installations</t>
  </si>
  <si>
    <t>5.5.2.0 Fuel installations</t>
  </si>
  <si>
    <t>All fuel supplies other than electric, anything pumped or pressurised.
Gas equipment: connection, Gas meter, pressure regulator, pipes, valves 
Fuel storage tank on site, dry stores
Augers</t>
  </si>
  <si>
    <t>5.5.3 Lift and conveyor installations</t>
  </si>
  <si>
    <t>5.5.3.1 Lift, stair lift, lifting platform</t>
  </si>
  <si>
    <t>To include the systems, but power to the system included in Electrical Installations.</t>
  </si>
  <si>
    <t>5.5.3.2 Escalators and moving walkways</t>
  </si>
  <si>
    <t>5.5.4 Specialised and communal waste disposal</t>
  </si>
  <si>
    <t>5.5.4.0 Specialised and communal waste disposal</t>
  </si>
  <si>
    <t>Refuse, incinerators and any systems for specialist/ communal waste streams and disposal installation.</t>
  </si>
  <si>
    <t>5.5.5 Specialist installations &amp; maintenance</t>
  </si>
  <si>
    <t>5.5.5.0 Specialist installations &amp; maintenance</t>
  </si>
  <si>
    <t>Equipment that is specialist but not fixed should be included here, e.g. related to labs/research, cold room, commercial kitchen, hospitals, medical facilities/ specialist care, animal welfare, agricultural buildings, manufacturing, warehouses, emergency services, entertainment buildings, sports/ swimming pools/ stadia, museums, archives, religious buildings, restaurants, shops,
Maintenance equipment, Powered building signage, laboratory gases, carbon capture technology, internal pools and fountains 
Acoustic equipment not included in FF&amp;E 
Cleaning system: central vacuum system, etc
Other services equipment not included elsewhere.</t>
  </si>
  <si>
    <t>5.5.6 Builders work in connection with services</t>
  </si>
  <si>
    <t>5.5.6.0 Builders work in connection with services</t>
  </si>
  <si>
    <t>Sleeves, fire stopping to protect penetrations (not within ducts/systems), access platform, step overs, plinths (to raise equipment to protect from spills, leaks, etc.).</t>
  </si>
  <si>
    <t>6 Pre-fabricated buildings and units</t>
  </si>
  <si>
    <t>6.0 Pre-fabricated buildings and building units</t>
  </si>
  <si>
    <t>6.0.0 Pre-fabricated buildings and building units</t>
  </si>
  <si>
    <t>Only include Category 1 MMC (volumetric off-site) in this category and only report total emissions at concept stage. Following this, the pre-fabricated volumetric elements must be broken downs into their constituent building elements and reported within the relevant lines. All other MMC categories to be reported within the defined building element categories, including at concept stage.</t>
  </si>
  <si>
    <t>7 Works to existing buildings</t>
  </si>
  <si>
    <t xml:space="preserve">7.1 Alterations
</t>
  </si>
  <si>
    <t xml:space="preserve">7.1.0 Alterations
</t>
  </si>
  <si>
    <t xml:space="preserve">7.1.0.0 Alterations
</t>
  </si>
  <si>
    <t>Minor removal/alteration/cutting back of minor portion of existing structure, envelope, fabric, fittings and services of an existing building. Deemed minor enough not to report under demolitions above. Alterations such as required to create clear site conditions for new works within this WLCA.</t>
  </si>
  <si>
    <t>7.2 Repairs to existing 
Cleaning existing surfaces
General Renovation works</t>
  </si>
  <si>
    <t>7.2.0 Repairs to existing 
Cleaning existing surfaces
General Renovation works</t>
  </si>
  <si>
    <t>7.2.0.0 Repairs to existing 
Cleaning existing surfaces
General Renovation works</t>
  </si>
  <si>
    <t>Materials and processes required for repairs to retained items within an existing building from any of the building element categories above. If items are being fully replaced as new rather than repaired, include in relevant categories above. Examples:
- masonry/repairs including cutting out small areas and repairing, replacing brick ties, re-dressing, re-grouting, re-pointing
- concrete repairs including removal and replacement of defective, cleaning and rust-protecting reinforcement, re-surfacing, mesh reinforcement, impregnation
- metal repairs including replacement and renewal of small areas, cleaning and restoring, straightening, rust-proofing, framing repairs, staircase/balustrade repairs
- timber repairs including replacement and renewal, resin repairs, small splicing to existing structural members, framing repairs, stairs or balustrade small item replacements, 
- plastic repairs
- removal of stains, soots, growths, vegetation, bird droppings and similar.</t>
  </si>
  <si>
    <t>7.3 Damp-proof courses/fungus and beetle eradication</t>
  </si>
  <si>
    <t>7.3.0 Damp-proof courses/fungus and beetle eradication</t>
  </si>
  <si>
    <t>7.3.0.0 Damp-proof courses/fungus and beetle eradication</t>
  </si>
  <si>
    <t>Injecting or installation of chemical/mortar/mechanical damp-proof courses. Opening up works and cutting out or chemical treatment of infested existing building material.</t>
  </si>
  <si>
    <t>8 External works</t>
  </si>
  <si>
    <t>8.1 Roads, paths, pavings, surfaces
Fencing, railings, walls
External fixtures</t>
  </si>
  <si>
    <t>8.1.1 Roads, paths, pavings, surfaces</t>
  </si>
  <si>
    <t>8.1.1.0 Roads, paths, pavings, surfaces</t>
  </si>
  <si>
    <t>Preparation of sub-base works including treatment, laying, levelling, grading and compacting. Blinding, in-situ concrete including formwork, reinforcement, connections, drainage/weed membranes, kerbs, edgings, accessories, surface applied pavement/road/pitch markings, worked finishes. e.g.: 
- coated macadam or asphalt finishing 
- masonry, bricks, paving, tiles, cobbles, setts
- gravel, stone chippings, wood-chipping
- grass perforated matting
- surfaces designed for playgrounds, sports or other specialist uses
- all systems required to manage surface water drainage and/or attenuation. Accessories might include cat's eyes, tree grilles, traffic calming, smoke outlets, pavement lights, roundabouts, crossings (pelican/zebra), signage, connections to power etc
- Steps, staircases and ramps (including sub-structure, formation and final finish) outside of the designated building line.</t>
  </si>
  <si>
    <t>8.1.2 Fencing, railings, walls</t>
  </si>
  <si>
    <t>8.1.2.0 Fencing, railings, walls</t>
  </si>
  <si>
    <t>Timber, metal, concrete, masonry fencing, railing, gates, walls, dwarf walls that are external and not part of the building thermal envelope and are new (Repairs covered in 8.8). Vehicle and pedestrian barriers that are required to take a specific loading for protection purposes, with associated gates. Including all sub-structure requirements, components, posts, fixings, ironmongery, accessories like copings, powered equipment, controls and final finishes. 
This category includes retaining walls that are not part of the building. Usually formed from concrete, timber or masonry, including all sub-structure/piling requirements, reinforced earth, drainage requirements, membranes, components, fixings, accessories like copings, joints, preservatives, final finish, gabions.</t>
  </si>
  <si>
    <t>8.1.3 External fixtures</t>
  </si>
  <si>
    <t>8.1.3.0 External fixtures</t>
  </si>
  <si>
    <t>Site street furniture including gates (where not part of fencing or barriers), turnstiles, fixed/collapsible/removable bollards, seats, benches, tables, litter/grit/ dust bins, poster displays/notice boards, cycle stands/sheds, directional signage, flag poles, external sports/payground equipment, minor footbridges, bus stops, shelters, telephone boxes, post boxes, sculptures/external works of art, Ornamental water features including any sub-structure, tanks, components, pipework, controls and equipment required.</t>
  </si>
  <si>
    <t>8.2 Soft landscape, planting, irrigation</t>
  </si>
  <si>
    <t>8.2.0 Soft landscape, planting, irrigation</t>
  </si>
  <si>
    <t>8.2.0.0 Soft landscape, planting, irrigation</t>
  </si>
  <si>
    <t>Seeding and turfing, preparing soil to form lawns, parklands, external planted areas, hedges, shrubs, blubs, reed beds, trees, woodlands. Including soil preparation, herbicides, topsoil, any reinforcement, e.g. for root zones, drainage systems, supports systems for planting like wires/trellises and the plants/trees themselves if not installed from seed. Marking out for grassed sports pitches. Irrigation systems including pipelines, storage tanks, chemical systems, outlets, controls, protection to systems. 
Where trees/planting is installed in a generally hard landscaped area, sub-structure related to tree pit, etc. is included here. Works associated with the hard landscaping to incorporate the tree included in M2 above.</t>
  </si>
  <si>
    <t>8.3 External drainage
External services
Minor building works</t>
  </si>
  <si>
    <t>8.3.1 External drainage</t>
  </si>
  <si>
    <t>8.3.1.0 External drainage</t>
  </si>
  <si>
    <t>Foul water/surface water/land drainage below and above ground, from first manhole beyond the enclosing wall of the building, the sewer connection or other outfall (e.g. on-site sewage treatment facility). Including trenches, pipelines, fittings, beds, backfill, cradles, supports, connections, gullies and gratings (e.g. on roads). Packaged pumping stations, outfalls/outlet heads, final coatings, pre-fabricated channels, chambers, manholes, channels, soakaways, cesspools, petrol interceptor units. Also includes any alterations, repair works, filling or cleaning of existing drainage systems, manholes and gratings. Installations related to Sustainable urban drawing systems (SUDS) (not planted). Also includes drainage of hazardous liquids like chemicals and industrial liquid waste.</t>
  </si>
  <si>
    <t>8.3.2 External services</t>
  </si>
  <si>
    <t>8.3.2.0 External services</t>
  </si>
  <si>
    <t>General note: this category contains all services not building mounted or accommodated outside of the building footprint.
- Piped water supply systems bringing water from the statutory undertakers mains to the point of entry into building including distribution to external user points (eg external plant and equipment and fire hydrants). Fire hydrants/ rainwater recycling/grey water recycling outside designated building line. Includes tanks, pipework, trace heating, insulation, connections.
- Distribution of high voltage electricity from the statutory undertakers supply to an on-site transformer station, distribution of low voltage electricity from the on-site transformer to the main switchgear panel within the building and external installations for providing electricity including emergency or standby generators. Including cables, wiring, boards, trunking, access covers, connections, distribution, trenches, pits, packaged/transformer sub-stations, UPS installations, on-site renewable/non-renewable energy generation external to the building, including wind turbines, solar panels/PVs or other.
'- Piped natural gas supply systems taking gas from the statutory undertaker’s mains to the gas meter; and taking liquefied petroleum gas (LPG) from external storage vessels to distribution point, including mains gas supply and distribution of gas supply to external user points (e.g. to external plant and equipment). Including distribution, access covers, connections, trenches, pits, storage tanks/ bottles. 
- Connection of telecommunications systems, cable television, internet and other communication systems from statutory undertaker’s or other service provider’s supply to the main distribution point within the building. Including cables, wiring, boards, trunking, access covers, connections, distribution, trenches, pits.
- External fuel storage and piped distribution systems. Storage tanks and vessels external to building, and piped supply systems distributing oil, petrol or diesel from storage tanks or vessels to the entry point within building or to external plant and equipment. Including distribution, pumps, valves, insulation, access covers, connections, monitoring equipment, trenches, pits, storage tanks/bottles. 
- External site/street lighting systems including for pedestrian areas, paths, roads, illuminated traffic signs, external lighting. Including cables, wiring, boards, trunking, access covers, connections, distribution, trenches, pits, controls and the luminaires/lamps themselves. Lighting to sports pitches.
- Security systems including CCTV, camera poles, general external power supplies for security equipment and specific security lighting.
- Sundry builder’s work associated with the installation of water, gas, electricity, heating, ventilation, above-ground drainage, telecommunications and other services. Including ducts, protective coatings, holes, chases, sleeves, covers, fire stopping, labelling, bases, etc. not included elsewhere.</t>
  </si>
  <si>
    <t>8.3.3 Minor building works, ancillary</t>
  </si>
  <si>
    <t>8.3.3.0 Minor building works, ancillary</t>
  </si>
  <si>
    <t>Refurbishment of and alteration to existing separate external small ancillary buildings, including overhauling existing mechanical and electrical plant and equipment. Small repairs to fencing/walls/barriers covered here. Examples might be repairs to boiler houses, sub-station buildings, fuel storage, bicycle stores, sheds, storage units, guard huts, external/floor standing canopies. Also included is under-pinning to existing external walls for repair purposes.</t>
  </si>
  <si>
    <t>5.2.2 Dedicated cooling installations
(If the system does both heating and cooling, include it in heating)</t>
  </si>
  <si>
    <t>Attribute Translator</t>
  </si>
  <si>
    <t>Source:</t>
  </si>
  <si>
    <t>Madaster Germany</t>
  </si>
  <si>
    <t>Phase 1</t>
  </si>
  <si>
    <t>Phase 2</t>
  </si>
  <si>
    <t>From row data: AT-09 Gleis21-element-technischer-anhang-01.29.2026.xlsx</t>
  </si>
  <si>
    <t>Condition</t>
  </si>
  <si>
    <t>OpenBDF Attributes Name (Dropdown Menu)</t>
  </si>
  <si>
    <t>OpenBDF Attributes Field Code - WIDE (Automatic)</t>
  </si>
  <si>
    <t>Comments</t>
  </si>
  <si>
    <t xml:space="preserve">OpenBDF Attributes Field Code - Tall </t>
  </si>
  <si>
    <t>Life Cycle Stage</t>
  </si>
  <si>
    <t>Einstufung Ebene 1</t>
  </si>
  <si>
    <t>Einstufung Ebene 2</t>
  </si>
  <si>
    <t>Einstufung Ebene 3</t>
  </si>
  <si>
    <t>Gebäudedatei</t>
  </si>
  <si>
    <t>Element-ID (Hierarchieebene 1 )</t>
  </si>
  <si>
    <t>n/a</t>
  </si>
  <si>
    <t>Element-ID (Hierarchieebene 2 )</t>
  </si>
  <si>
    <t>Element</t>
  </si>
  <si>
    <t>Material / Produkt</t>
  </si>
  <si>
    <t>Ist zugeordnet</t>
  </si>
  <si>
    <t>Verknüpftes Produkt</t>
  </si>
  <si>
    <t>Bauphase</t>
  </si>
  <si>
    <t>Etage</t>
  </si>
  <si>
    <t>Typ</t>
  </si>
  <si>
    <t>multiple units under this indicator</t>
  </si>
  <si>
    <t>Quelldatenbank</t>
  </si>
  <si>
    <t>Externe Datenbank-ID</t>
  </si>
  <si>
    <t>Externer Link</t>
  </si>
  <si>
    <t>Lebensdauer (Jahre)</t>
  </si>
  <si>
    <t>Gewicht (kg)</t>
  </si>
  <si>
    <t>e9
Andere, oben nicht genannte Natursteine
 (kg)</t>
  </si>
  <si>
    <t>f2
Beton, Mörtel nach dem Erhärten (Hauptbindemittel = Zement)
 (kg)</t>
  </si>
  <si>
    <t>f7
Geformte, mit Gips gebundene Rohmaterialien
 (kg)</t>
  </si>
  <si>
    <t>f9
Rohstoffe des Typs f, die oben nicht aufgeführt sind
 (kg)</t>
  </si>
  <si>
    <t>g2
Gebrannter Ton
 (kg)</t>
  </si>
  <si>
    <t>h2
Stahl
 (kg)</t>
  </si>
  <si>
    <t>h4
Aluminium, Aluminiumlegierungen
 (kg)</t>
  </si>
  <si>
    <t>i9
Rohstoffe der Art i, die oben nicht aufgeführt sind (auch nicht unter j1, j7 und j8)
 (kg)</t>
  </si>
  <si>
    <t>m1
Material auf Basis von Mineralfasern oder Mineralwolle
 (kg)</t>
  </si>
  <si>
    <t>n
KUNSTSTOFFE, KAUTSCHUK
 (kg)</t>
  </si>
  <si>
    <t>n1
Auf Bitumenbasis
 (kg)</t>
  </si>
  <si>
    <t>n6
Kunststoffe, elastische Materialien auf der Basis synthetischer Fasern
 (kg)</t>
  </si>
  <si>
    <t>p1
Natürliche Zuschlagstoffe, natürliche Füllstoffe
 (kg)</t>
  </si>
  <si>
    <t>q9
Gemische, Beton (zum Erhärten) auf der Grundlage von Zement und Asbestfasern
 (kg)</t>
  </si>
  <si>
    <t>s1
Bitumen-Bindemittel
 (kg)</t>
  </si>
  <si>
    <t>t4
Fugenmörtel, Fugendichtstoffe
 (kg)</t>
  </si>
  <si>
    <t>Unbekannt
  (kg)</t>
  </si>
  <si>
    <t>Volumen (m³)</t>
  </si>
  <si>
    <t>Fläche (m²)</t>
  </si>
  <si>
    <t>Länge (m)</t>
  </si>
  <si>
    <t>Anzahl</t>
  </si>
  <si>
    <t>Demontierbarkeitsindex</t>
  </si>
  <si>
    <t>Abbaupotenzial der stratosphärischen Ozonschicht (ODP)
EN 15978 (A2)
A1-A3
kg CFC11e</t>
  </si>
  <si>
    <t>Abbaupotenzial der stratosphärischen Ozonschicht (ODP)
EN 15978 (A2)
A4
kg CFC11e</t>
  </si>
  <si>
    <t>Abbaupotenzial der stratosphärischen Ozonschicht (ODP)
EN 15978 (A2)
A5
kg CFC11e</t>
  </si>
  <si>
    <t>Abbaupotenzial der stratosphärischen Ozonschicht (ODP)
EN 15978 (A2)
B1
kg CFC11e</t>
  </si>
  <si>
    <t>Abbaupotenzial der stratosphärischen Ozonschicht (ODP)
EN 15978 (A2)
B2
kg CFC11e</t>
  </si>
  <si>
    <t>Abbaupotenzial der stratosphärischen Ozonschicht (ODP)
EN 15978 (A2)
B3
kg CFC11e</t>
  </si>
  <si>
    <t>Abbaupotenzial der stratosphärischen Ozonschicht (ODP)
EN 15978 (A2)
B4
kg CFC11e</t>
  </si>
  <si>
    <t>Abbaupotenzial der stratosphärischen Ozonschicht (ODP)
EN 15978 (A2)
B5
kg CFC11e</t>
  </si>
  <si>
    <t>Abbaupotenzial der stratosphärischen Ozonschicht (ODP)
EN 15978 (A2)
B6
kg CFC11e</t>
  </si>
  <si>
    <t>Abbaupotenzial der stratosphärischen Ozonschicht (ODP)
EN 15978 (A2)
C1
kg CFC11e</t>
  </si>
  <si>
    <t>Abbaupotenzial der stratosphärischen Ozonschicht (ODP)
EN 15978 (A2)
C2
kg CFC11e</t>
  </si>
  <si>
    <t>Abbaupotenzial der stratosphärischen Ozonschicht (ODP)
EN 15978 (A2)
C3
kg CFC11e</t>
  </si>
  <si>
    <t>Abbaupotenzial der stratosphärischen Ozonschicht (ODP)
EN 15978 (A2)
C4
kg CFC11e</t>
  </si>
  <si>
    <t>Abbaupotenzial der stratosphärischen Ozonschicht (ODP)
EN 15978 (A2)
D
kg CFC11e</t>
  </si>
  <si>
    <t>Abbaupotenzial der stratosphärischen Ozonschicht (ODP)
EN 15978 (A2)
D1
kg CFC11e</t>
  </si>
  <si>
    <t>Abbaupotenzial der stratosphärischen Ozonschicht (ODP)
EN 15978 (A2)
D2
kg CFC11e</t>
  </si>
  <si>
    <t>Abbaupotenzial der stratosphärischen Ozonschicht (ODP)
EN 15978 (A2)
A1-A3, A4, A5, B1, B2, B3, B4, B5, B6, C1, C2, C3, C4, D, D1, D2
kg CFC11e</t>
  </si>
  <si>
    <t>Bildungspotenzial für troposphärisches Ozon (POCP)
EN 15978 (A2)
A1-A3
kg NMVOCe</t>
  </si>
  <si>
    <t>Bildungspotenzial für troposphärisches Ozon (POCP)
EN 15978 (A2)
A4
kg NMVOCe</t>
  </si>
  <si>
    <t>Bildungspotenzial für troposphärisches Ozon (POCP)
EN 15978 (A2)
A5
kg NMVOCe</t>
  </si>
  <si>
    <t>Bildungspotenzial für troposphärisches Ozon (POCP)
EN 15978 (A2)
B1
kg NMVOCe</t>
  </si>
  <si>
    <t>Bildungspotenzial für troposphärisches Ozon (POCP)
EN 15978 (A2)
B2
kg NMVOCe</t>
  </si>
  <si>
    <t>Bildungspotenzial für troposphärisches Ozon (POCP)
EN 15978 (A2)
B3
kg NMVOCe</t>
  </si>
  <si>
    <t>Bildungspotenzial für troposphärisches Ozon (POCP)
EN 15978 (A2)
B4
kg NMVOCe</t>
  </si>
  <si>
    <t>Bildungspotenzial für troposphärisches Ozon (POCP)
EN 15978 (A2)
B5
kg NMVOCe</t>
  </si>
  <si>
    <t>Bildungspotenzial für troposphärisches Ozon (POCP)
EN 15978 (A2)
B6
kg NMVOCe</t>
  </si>
  <si>
    <t>Bildungspotenzial für troposphärisches Ozon (POCP)
EN 15978 (A2)
C1
kg NMVOCe</t>
  </si>
  <si>
    <t>Bildungspotenzial für troposphärisches Ozon (POCP)
EN 15978 (A2)
C2
kg NMVOCe</t>
  </si>
  <si>
    <t>Bildungspotenzial für troposphärisches Ozon (POCP)
EN 15978 (A2)
C3
kg NMVOCe</t>
  </si>
  <si>
    <t>Bildungspotenzial für troposphärisches Ozon (POCP)
EN 15978 (A2)
C4
kg NMVOCe</t>
  </si>
  <si>
    <t>Bildungspotenzial für troposphärisches Ozon (POCP)
EN 15978 (A2)
D
kg NMVOCe</t>
  </si>
  <si>
    <t>Bildungspotenzial für troposphärisches Ozon (POCP)
EN 15978 (A2)
D1
kg NMVOCe</t>
  </si>
  <si>
    <t>Bildungspotenzial für troposphärisches Ozon (POCP)
EN 15978 (A2)
D2
kg NMVOCe</t>
  </si>
  <si>
    <t>Bildungspotenzial für troposphärisches Ozon (POCP)
EN 15978 (A2)
A1-A3, A4, A5, B1, B2, B3, B4, B5, B6, C1, C2, C3, C4, D, D1, D2
kg NMVOCe</t>
  </si>
  <si>
    <t xml:space="preserve">POFP
</t>
  </si>
  <si>
    <t xml:space="preserve">Erneuerbare Primärenergie als Energieträger (PERE)
EN 15978 (A2)
A1-A3
MJ </t>
  </si>
  <si>
    <t xml:space="preserve">Erneuerbare Primärenergie als Energieträger (PERE)
EN 15978 (A2)
A4
MJ </t>
  </si>
  <si>
    <t xml:space="preserve">Erneuerbare Primärenergie als Energieträger (PERE)
EN 15978 (A2)
A5
MJ </t>
  </si>
  <si>
    <t xml:space="preserve">Erneuerbare Primärenergie als Energieträger (PERE)
EN 15978 (A2)
B1
MJ </t>
  </si>
  <si>
    <t xml:space="preserve">Erneuerbare Primärenergie als Energieträger (PERE)
EN 15978 (A2)
B2
MJ </t>
  </si>
  <si>
    <t xml:space="preserve">Erneuerbare Primärenergie als Energieträger (PERE)
EN 15978 (A2)
B3
MJ </t>
  </si>
  <si>
    <t xml:space="preserve">Erneuerbare Primärenergie als Energieträger (PERE)
EN 15978 (A2)
B4
MJ </t>
  </si>
  <si>
    <t xml:space="preserve">Erneuerbare Primärenergie als Energieträger (PERE)
EN 15978 (A2)
B5
MJ </t>
  </si>
  <si>
    <t xml:space="preserve">Erneuerbare Primärenergie als Energieträger (PERE)
EN 15978 (A2)
B6
MJ </t>
  </si>
  <si>
    <t xml:space="preserve">Erneuerbare Primärenergie als Energieträger (PERE)
EN 15978 (A2)
C1
MJ </t>
  </si>
  <si>
    <t xml:space="preserve">Erneuerbare Primärenergie als Energieträger (PERE)
EN 15978 (A2)
C2
MJ </t>
  </si>
  <si>
    <t xml:space="preserve">Erneuerbare Primärenergie als Energieträger (PERE)
EN 15978 (A2)
C3
MJ </t>
  </si>
  <si>
    <t xml:space="preserve">Erneuerbare Primärenergie als Energieträger (PERE)
EN 15978 (A2)
C4
MJ </t>
  </si>
  <si>
    <t xml:space="preserve">Erneuerbare Primärenergie als Energieträger (PERE)
EN 15978 (A2)
D
MJ </t>
  </si>
  <si>
    <t xml:space="preserve">Erneuerbare Primärenergie als Energieträger (PERE)
EN 15978 (A2)
D1
MJ </t>
  </si>
  <si>
    <t xml:space="preserve">Erneuerbare Primärenergie als Energieträger (PERE)
EN 15978 (A2)
D2
MJ </t>
  </si>
  <si>
    <t xml:space="preserve">Erneuerbare Primärenergie als Energieträger (PERE)
EN 15978 (A2)
A1-A3, A4, A5, B1, B2, B3, B4, B5, B6, C1, C2, C3, C4, D, D1, D2
MJ </t>
  </si>
  <si>
    <t>PERE</t>
  </si>
  <si>
    <t>Eutrophierungspotenzial Salzwasser (EP-marine)
EN 15978 (A2)
A1-A3
kg Ne</t>
  </si>
  <si>
    <t>Eutrophierungspotenzial Salzwasser (EP-marine)
EN 15978 (A2)
A4
kg Ne</t>
  </si>
  <si>
    <t>Eutrophierungspotenzial Salzwasser (EP-marine)
EN 15978 (A2)
A5
kg Ne</t>
  </si>
  <si>
    <t>Eutrophierungspotenzial Salzwasser (EP-marine)
EN 15978 (A2)
B1
kg Ne</t>
  </si>
  <si>
    <t>Eutrophierungspotenzial Salzwasser (EP-marine)
EN 15978 (A2)
B2
kg Ne</t>
  </si>
  <si>
    <t>Eutrophierungspotenzial Salzwasser (EP-marine)
EN 15978 (A2)
B3
kg Ne</t>
  </si>
  <si>
    <t>Eutrophierungspotenzial Salzwasser (EP-marine)
EN 15978 (A2)
B4
kg Ne</t>
  </si>
  <si>
    <t>Eutrophierungspotenzial Salzwasser (EP-marine)
EN 15978 (A2)
B5
kg Ne</t>
  </si>
  <si>
    <t>Eutrophierungspotenzial Salzwasser (EP-marine)
EN 15978 (A2)
B6
kg Ne</t>
  </si>
  <si>
    <t>Eutrophierungspotenzial Salzwasser (EP-marine)
EN 15978 (A2)
C1
kg Ne</t>
  </si>
  <si>
    <t>Eutrophierungspotenzial Salzwasser (EP-marine)
EN 15978 (A2)
C2
kg Ne</t>
  </si>
  <si>
    <t>Eutrophierungspotenzial Salzwasser (EP-marine)
EN 15978 (A2)
C3
kg Ne</t>
  </si>
  <si>
    <t>Eutrophierungspotenzial Salzwasser (EP-marine)
EN 15978 (A2)
C4
kg Ne</t>
  </si>
  <si>
    <t>Eutrophierungspotenzial Salzwasser (EP-marine)
EN 15978 (A2)
D
kg Ne</t>
  </si>
  <si>
    <t>Eutrophierungspotenzial Salzwasser (EP-marine)
EN 15978 (A2)
D1
kg Ne</t>
  </si>
  <si>
    <t>Eutrophierungspotenzial Salzwasser (EP-marine)
EN 15978 (A2)
D2
kg Ne</t>
  </si>
  <si>
    <t>Eutrophierungspotenzial Salzwasser (EP-marine)
EN 15978 (A2)
A1-A3, A4, A5, B1, B2, B3, B4, B5, B6, C1, C2, C3, C4, D, D1, D2
kg Ne</t>
  </si>
  <si>
    <t>EPm</t>
  </si>
  <si>
    <t>Eutrophierungspotenzial Süßwasser (EP-freshwater)
EN 15978 (A2)
A1-A3
kg PO4e</t>
  </si>
  <si>
    <t>Eutrophierungspotenzial Süßwasser (EP-freshwater)
EN 15978 (A2)
A4
kg PO4e</t>
  </si>
  <si>
    <t>Eutrophierungspotenzial Süßwasser (EP-freshwater)
EN 15978 (A2)
A5
kg PO4e</t>
  </si>
  <si>
    <t>Eutrophierungspotenzial Süßwasser (EP-freshwater)
EN 15978 (A2)
B1
kg PO4e</t>
  </si>
  <si>
    <t>Eutrophierungspotenzial Süßwasser (EP-freshwater)
EN 15978 (A2)
B2
kg PO4e</t>
  </si>
  <si>
    <t>Eutrophierungspotenzial Süßwasser (EP-freshwater)
EN 15978 (A2)
B3
kg PO4e</t>
  </si>
  <si>
    <t>Eutrophierungspotenzial Süßwasser (EP-freshwater)
EN 15978 (A2)
B4
kg PO4e</t>
  </si>
  <si>
    <t>Eutrophierungspotenzial Süßwasser (EP-freshwater)
EN 15978 (A2)
B5
kg PO4e</t>
  </si>
  <si>
    <t>Eutrophierungspotenzial Süßwasser (EP-freshwater)
EN 15978 (A2)
B6
kg PO4e</t>
  </si>
  <si>
    <t>Eutrophierungspotenzial Süßwasser (EP-freshwater)
EN 15978 (A2)
C1
kg PO4e</t>
  </si>
  <si>
    <t>Eutrophierungspotenzial Süßwasser (EP-freshwater)
EN 15978 (A2)
C2
kg PO4e</t>
  </si>
  <si>
    <t>Eutrophierungspotenzial Süßwasser (EP-freshwater)
EN 15978 (A2)
C3
kg PO4e</t>
  </si>
  <si>
    <t>Eutrophierungspotenzial Süßwasser (EP-freshwater)
EN 15978 (A2)
C4
kg PO4e</t>
  </si>
  <si>
    <t>Eutrophierungspotenzial Süßwasser (EP-freshwater)
EN 15978 (A2)
D
kg PO4e</t>
  </si>
  <si>
    <t>Eutrophierungspotenzial Süßwasser (EP-freshwater)
EN 15978 (A2)
D1
kg PO4e</t>
  </si>
  <si>
    <t>Eutrophierungspotenzial Süßwasser (EP-freshwater)
EN 15978 (A2)
D2
kg PO4e</t>
  </si>
  <si>
    <t>Eutrophierungspotenzial Süßwasser (EP-freshwater)
EN 15978 (A2)
A1-A3, A4, A5, B1, B2, B3, B4, B5, B6, C1, C2, C3, C4, D, D1, D2
kg PO4e</t>
  </si>
  <si>
    <t>EPfw</t>
  </si>
  <si>
    <t>Eutrophierungspotenzial – Land (EP-terrestrial)
EN 15978 (A2)
A1-A3
 mol Ne</t>
  </si>
  <si>
    <t>Eutrophierungspotenzial – Land (EP-terrestrial)
EN 15978 (A2)
A4
 mol Ne</t>
  </si>
  <si>
    <t>Eutrophierungspotenzial – Land (EP-terrestrial)
EN 15978 (A2)
A5
 mol Ne</t>
  </si>
  <si>
    <t>Eutrophierungspotenzial – Land (EP-terrestrial)
EN 15978 (A2)
B1
 mol Ne</t>
  </si>
  <si>
    <t>Eutrophierungspotenzial – Land (EP-terrestrial)
EN 15978 (A2)
B2
 mol Ne</t>
  </si>
  <si>
    <t>Eutrophierungspotenzial – Land (EP-terrestrial)
EN 15978 (A2)
B3
 mol Ne</t>
  </si>
  <si>
    <t>Eutrophierungspotenzial – Land (EP-terrestrial)
EN 15978 (A2)
B4
 mol Ne</t>
  </si>
  <si>
    <t>Eutrophierungspotenzial – Land (EP-terrestrial)
EN 15978 (A2)
B5
 mol Ne</t>
  </si>
  <si>
    <t>Eutrophierungspotenzial – Land (EP-terrestrial)
EN 15978 (A2)
B6
 mol Ne</t>
  </si>
  <si>
    <t>Eutrophierungspotenzial – Land (EP-terrestrial)
EN 15978 (A2)
C1
 mol Ne</t>
  </si>
  <si>
    <t>Eutrophierungspotenzial – Land (EP-terrestrial)
EN 15978 (A2)
C2
 mol Ne</t>
  </si>
  <si>
    <t>Eutrophierungspotenzial – Land (EP-terrestrial)
EN 15978 (A2)
C3
 mol Ne</t>
  </si>
  <si>
    <t>Eutrophierungspotenzial – Land (EP-terrestrial)
EN 15978 (A2)
C4
 mol Ne</t>
  </si>
  <si>
    <t>Eutrophierungspotenzial – Land (EP-terrestrial)
EN 15978 (A2)
D
 mol Ne</t>
  </si>
  <si>
    <t>Eutrophierungspotenzial – Land (EP-terrestrial)
EN 15978 (A2)
D1
 mol Ne</t>
  </si>
  <si>
    <t>Eutrophierungspotenzial – Land (EP-terrestrial)
EN 15978 (A2)
D2
 mol Ne</t>
  </si>
  <si>
    <t>Eutrophierungspotenzial – Land (EP-terrestrial)
EN 15978 (A2)
A1-A3, A4, A5, B1, B2, B3, B4, B5, B6, C1, C2, C3, C4, D, D1, D2
 mol Ne</t>
  </si>
  <si>
    <t>EPt</t>
  </si>
  <si>
    <t>Global Warming Potential (GWP total)
EN 15978 (A2)
A1-A3
kg CO₂e</t>
  </si>
  <si>
    <t>Global Warming Potential (GWP total)
EN 15978 (A2)
A4
kg CO₂e</t>
  </si>
  <si>
    <t>Global Warming Potential (GWP total)
EN 15978 (A2)
A5
kg CO₂e</t>
  </si>
  <si>
    <t>Global Warming Potential (GWP total)
EN 15978 (A2)
B1
kg CO₂e</t>
  </si>
  <si>
    <t>Global Warming Potential (GWP total)
EN 15978 (A2)
B2
kg CO₂e</t>
  </si>
  <si>
    <t>Global Warming Potential (GWP total)
EN 15978 (A2)
B3
kg CO₂e</t>
  </si>
  <si>
    <t>Global Warming Potential (GWP total)
EN 15978 (A2)
B4
kg CO₂e</t>
  </si>
  <si>
    <t>Global Warming Potential (GWP total)
EN 15978 (A2)
B5
kg CO₂e</t>
  </si>
  <si>
    <t>Global Warming Potential (GWP total)
EN 15978 (A2)
B6
kg CO₂e</t>
  </si>
  <si>
    <t>Global Warming Potential (GWP total)
EN 15978 (A2)
C1
kg CO₂e</t>
  </si>
  <si>
    <t>Global Warming Potential (GWP total)
EN 15978 (A2)
C2
kg CO₂e</t>
  </si>
  <si>
    <t>Global Warming Potential (GWP total)
EN 15978 (A2)
C3
kg CO₂e</t>
  </si>
  <si>
    <t>Global Warming Potential (GWP total)
EN 15978 (A2)
C4
kg CO₂e</t>
  </si>
  <si>
    <t>Global Warming Potential (GWP total)
EN 15978 (A2)
D
kg CO₂e</t>
  </si>
  <si>
    <t>Global Warming Potential (GWP total)
EN 15978 (A2)
D1
kg CO₂e</t>
  </si>
  <si>
    <t>Global Warming Potential (GWP total)
EN 15978 (A2)
D2
kg CO₂e</t>
  </si>
  <si>
    <t>Global Warming Potential (GWP total)
EN 15978 (A2)
A1-A3, A4, A5, B1, B2, B3, B4, B5, B6, C1, C2, C3, C4, D, D1, D2
kg CO₂e</t>
  </si>
  <si>
    <t>GWP-total</t>
  </si>
  <si>
    <t>Global Warming Potential – Landnutzung und Landnutzungsänderung (GWP-luluc)
EN 15978 (A2)
A1-A3
kg CO₂e</t>
  </si>
  <si>
    <t>Global Warming Potential – Landnutzung und Landnutzungsänderung (GWP-luluc)
EN 15978 (A2)
A4
kg CO₂e</t>
  </si>
  <si>
    <t>Global Warming Potential – Landnutzung und Landnutzungsänderung (GWP-luluc)
EN 15978 (A2)
A5
kg CO₂e</t>
  </si>
  <si>
    <t>Global Warming Potential – Landnutzung und Landnutzungsänderung (GWP-luluc)
EN 15978 (A2)
B1
kg CO₂e</t>
  </si>
  <si>
    <t>Global Warming Potential – Landnutzung und Landnutzungsänderung (GWP-luluc)
EN 15978 (A2)
B2
kg CO₂e</t>
  </si>
  <si>
    <t>Global Warming Potential – Landnutzung und Landnutzungsänderung (GWP-luluc)
EN 15978 (A2)
B3
kg CO₂e</t>
  </si>
  <si>
    <t>Global Warming Potential – Landnutzung und Landnutzungsänderung (GWP-luluc)
EN 15978 (A2)
B4
kg CO₂e</t>
  </si>
  <si>
    <t>Global Warming Potential – Landnutzung und Landnutzungsänderung (GWP-luluc)
EN 15978 (A2)
B5
kg CO₂e</t>
  </si>
  <si>
    <t>Global Warming Potential – Landnutzung und Landnutzungsänderung (GWP-luluc)
EN 15978 (A2)
B6
kg CO₂e</t>
  </si>
  <si>
    <t>Global Warming Potential – Landnutzung und Landnutzungsänderung (GWP-luluc)
EN 15978 (A2)
C1
kg CO₂e</t>
  </si>
  <si>
    <t>Global Warming Potential – Landnutzung und Landnutzungsänderung (GWP-luluc)
EN 15978 (A2)
C2
kg CO₂e</t>
  </si>
  <si>
    <t>Global Warming Potential – Landnutzung und Landnutzungsänderung (GWP-luluc)
EN 15978 (A2)
C3
kg CO₂e</t>
  </si>
  <si>
    <t>Global Warming Potential – Landnutzung und Landnutzungsänderung (GWP-luluc)
EN 15978 (A2)
C4
kg CO₂e</t>
  </si>
  <si>
    <t>Global Warming Potential – Landnutzung und Landnutzungsänderung (GWP-luluc)
EN 15978 (A2)
D
kg CO₂e</t>
  </si>
  <si>
    <t>Global Warming Potential – Landnutzung und Landnutzungsänderung (GWP-luluc)
EN 15978 (A2)
D1
kg CO₂e</t>
  </si>
  <si>
    <t>Global Warming Potential – Landnutzung und Landnutzungsänderung (GWP-luluc)
EN 15978 (A2)
D2
kg CO₂e</t>
  </si>
  <si>
    <t>Global Warming Potential – Landnutzung und Landnutzungsänderung (GWP-luluc)
EN 15978 (A2)
A1-A3, A4, A5, B1, B2, B3, B4, B5, B6, C1, C2, C3, C4, D, D1, D2
kg CO₂e</t>
  </si>
  <si>
    <t>GWPluc</t>
  </si>
  <si>
    <t>Global Warming Potential – biogen (GWP-biogenic)
EN 15978 (A2)
A1-A3
kg CO₂e</t>
  </si>
  <si>
    <t>Global Warming Potential – biogen (GWP-biogenic)
EN 15978 (A2)
A4
kg CO₂e</t>
  </si>
  <si>
    <t>Global Warming Potential – biogen (GWP-biogenic)
EN 15978 (A2)
A5
kg CO₂e</t>
  </si>
  <si>
    <t>Global Warming Potential – biogen (GWP-biogenic)
EN 15978 (A2)
B1
kg CO₂e</t>
  </si>
  <si>
    <t>Global Warming Potential – biogen (GWP-biogenic)
EN 15978 (A2)
B2
kg CO₂e</t>
  </si>
  <si>
    <t>Global Warming Potential – biogen (GWP-biogenic)
EN 15978 (A2)
B3
kg CO₂e</t>
  </si>
  <si>
    <t>Global Warming Potential – biogen (GWP-biogenic)
EN 15978 (A2)
B4
kg CO₂e</t>
  </si>
  <si>
    <t>Global Warming Potential – biogen (GWP-biogenic)
EN 15978 (A2)
B5
kg CO₂e</t>
  </si>
  <si>
    <t>Global Warming Potential – biogen (GWP-biogenic)
EN 15978 (A2)
B6
kg CO₂e</t>
  </si>
  <si>
    <t>Global Warming Potential – biogen (GWP-biogenic)
EN 15978 (A2)
C1
kg CO₂e</t>
  </si>
  <si>
    <t>Global Warming Potential – biogen (GWP-biogenic)
EN 15978 (A2)
C2
kg CO₂e</t>
  </si>
  <si>
    <t>Global Warming Potential – biogen (GWP-biogenic)
EN 15978 (A2)
C3
kg CO₂e</t>
  </si>
  <si>
    <t>Global Warming Potential – biogen (GWP-biogenic)
EN 15978 (A2)
C4
kg CO₂e</t>
  </si>
  <si>
    <t>Global Warming Potential – biogen (GWP-biogenic)
EN 15978 (A2)
D
kg CO₂e</t>
  </si>
  <si>
    <t>Global Warming Potential – biogen (GWP-biogenic)
EN 15978 (A2)
D1
kg CO₂e</t>
  </si>
  <si>
    <t>Global Warming Potential – biogen (GWP-biogenic)
EN 15978 (A2)
D2
kg CO₂e</t>
  </si>
  <si>
    <t>Global Warming Potential – biogen (GWP-biogenic)
EN 15978 (A2)
A1-A3, A4, A5, B1, B2, B3, B4, B5, B6, C1, C2, C3, C4, D, D1, D2
kg CO₂e</t>
  </si>
  <si>
    <t>GWPb</t>
  </si>
  <si>
    <t>Global Warming Potential – fossil (GWP-fossil)
EN 15978 (A2)
A1-A3
kg CO₂e</t>
  </si>
  <si>
    <t>Global Warming Potential – fossil (GWP-fossil)
EN 15978 (A2)
A4
kg CO₂e</t>
  </si>
  <si>
    <t>Global Warming Potential – fossil (GWP-fossil)
EN 15978 (A2)
A5
kg CO₂e</t>
  </si>
  <si>
    <t>Global Warming Potential – fossil (GWP-fossil)
EN 15978 (A2)
B3
kg CO₂e</t>
  </si>
  <si>
    <t>Global Warming Potential – fossil (GWP-fossil)
EN 15978 (A2)
B1
kg CO₂e</t>
  </si>
  <si>
    <t>Global Warming Potential – fossil (GWP-fossil)
EN 15978 (A2)
B2
kg CO₂e</t>
  </si>
  <si>
    <t>Global Warming Potential – fossil (GWP-fossil)
EN 15978 (A2)
B4
kg CO₂e</t>
  </si>
  <si>
    <t>Global Warming Potential – fossil (GWP-fossil)
EN 15978 (A2)
B5
kg CO₂e</t>
  </si>
  <si>
    <t>Global Warming Potential – fossil (GWP-fossil)
EN 15978 (A2)
B6
kg CO₂e</t>
  </si>
  <si>
    <t>Global Warming Potential – fossil (GWP-fossil)
EN 15978 (A2)
C1
kg CO₂e</t>
  </si>
  <si>
    <t>Global Warming Potential – fossil (GWP-fossil)
EN 15978 (A2)
C2
kg CO₂e</t>
  </si>
  <si>
    <t>Global Warming Potential – fossil (GWP-fossil)
EN 15978 (A2)
C3
kg CO₂e</t>
  </si>
  <si>
    <t>Global Warming Potential – fossil (GWP-fossil)
EN 15978 (A2)
C4
kg CO₂e</t>
  </si>
  <si>
    <t>Global Warming Potential – fossil (GWP-fossil)
EN 15978 (A2)
D
kg CO₂e</t>
  </si>
  <si>
    <t>Global Warming Potential – fossil (GWP-fossil)
EN 15978 (A2)
D1
kg CO₂e</t>
  </si>
  <si>
    <t>Global Warming Potential – fossil (GWP-fossil)
EN 15978 (A2)
D2
kg CO₂e</t>
  </si>
  <si>
    <t>Global Warming Potential – fossil (GWP-fossil)
EN 15978 (A2)
A1-A3, A4, A5, B3, B1, B2, B4, B5, B6, C1, C2, C3, C4, D, D1, D2
kg CO₂e</t>
  </si>
  <si>
    <t>GWPf</t>
  </si>
  <si>
    <t xml:space="preserve">Nicht-erneuerbare Primärenergie als Energieträger (PENRE)
EN 15978 (A2)
A1-A3
MJ </t>
  </si>
  <si>
    <t xml:space="preserve">Nicht-erneuerbare Primärenergie als Energieträger (PENRE)
EN 15978 (A2)
A4
MJ </t>
  </si>
  <si>
    <t xml:space="preserve">Nicht-erneuerbare Primärenergie als Energieträger (PENRE)
EN 15978 (A2)
A5
MJ </t>
  </si>
  <si>
    <t xml:space="preserve">Nicht-erneuerbare Primärenergie als Energieträger (PENRE)
EN 15978 (A2)
B1
MJ </t>
  </si>
  <si>
    <t xml:space="preserve">Nicht-erneuerbare Primärenergie als Energieträger (PENRE)
EN 15978 (A2)
B2
MJ </t>
  </si>
  <si>
    <t xml:space="preserve">Nicht-erneuerbare Primärenergie als Energieträger (PENRE)
EN 15978 (A2)
B3
MJ </t>
  </si>
  <si>
    <t xml:space="preserve">Nicht-erneuerbare Primärenergie als Energieträger (PENRE)
EN 15978 (A2)
B4
MJ </t>
  </si>
  <si>
    <t xml:space="preserve">Nicht-erneuerbare Primärenergie als Energieträger (PENRE)
EN 15978 (A2)
B5
MJ </t>
  </si>
  <si>
    <t xml:space="preserve">Nicht-erneuerbare Primärenergie als Energieträger (PENRE)
EN 15978 (A2)
B6
MJ </t>
  </si>
  <si>
    <t xml:space="preserve">Nicht-erneuerbare Primärenergie als Energieträger (PENRE)
EN 15978 (A2)
C1
MJ </t>
  </si>
  <si>
    <t xml:space="preserve">Nicht-erneuerbare Primärenergie als Energieträger (PENRE)
EN 15978 (A2)
C2
MJ </t>
  </si>
  <si>
    <t xml:space="preserve">Nicht-erneuerbare Primärenergie als Energieträger (PENRE)
EN 15978 (A2)
C3
MJ </t>
  </si>
  <si>
    <t xml:space="preserve">Nicht-erneuerbare Primärenergie als Energieträger (PENRE)
EN 15978 (A2)
C4
MJ </t>
  </si>
  <si>
    <t xml:space="preserve">Nicht-erneuerbare Primärenergie als Energieträger (PENRE)
EN 15978 (A2)
D
MJ </t>
  </si>
  <si>
    <t xml:space="preserve">Nicht-erneuerbare Primärenergie als Energieträger (PENRE)
EN 15978 (A2)
D1
MJ </t>
  </si>
  <si>
    <t xml:space="preserve">Nicht-erneuerbare Primärenergie als Energieträger (PENRE)
EN 15978 (A2)
D2
MJ </t>
  </si>
  <si>
    <t xml:space="preserve">Nicht-erneuerbare Primärenergie als Energieträger (PENRE)
EN 15978 (A2)
A1-A3, A4, A5, B1, B2, B3, B4, B5, B6, C1, C2, C3, C4, D, D1, D2
MJ </t>
  </si>
  <si>
    <t>PENRE</t>
  </si>
  <si>
    <t xml:space="preserve">Total erneuerbare Primärenergie (PERT)
EN 15978 (A2)
A1-A3
MJ </t>
  </si>
  <si>
    <t xml:space="preserve">Total erneuerbare Primärenergie (PERT)
EN 15978 (A2)
A4
MJ </t>
  </si>
  <si>
    <t xml:space="preserve">Total erneuerbare Primärenergie (PERT)
EN 15978 (A2)
A5
MJ </t>
  </si>
  <si>
    <t xml:space="preserve">Total erneuerbare Primärenergie (PERT)
EN 15978 (A2)
B1
MJ </t>
  </si>
  <si>
    <t xml:space="preserve">Total erneuerbare Primärenergie (PERT)
EN 15978 (A2)
B2
MJ </t>
  </si>
  <si>
    <t xml:space="preserve">Total erneuerbare Primärenergie (PERT)
EN 15978 (A2)
B3
MJ </t>
  </si>
  <si>
    <t xml:space="preserve">Total erneuerbare Primärenergie (PERT)
EN 15978 (A2)
B4
MJ </t>
  </si>
  <si>
    <t xml:space="preserve">Total erneuerbare Primärenergie (PERT)
EN 15978 (A2)
B5
MJ </t>
  </si>
  <si>
    <t xml:space="preserve">Total erneuerbare Primärenergie (PERT)
EN 15978 (A2)
B6
MJ </t>
  </si>
  <si>
    <t xml:space="preserve">Total erneuerbare Primärenergie (PERT)
EN 15978 (A2)
C1
MJ </t>
  </si>
  <si>
    <t xml:space="preserve">Total erneuerbare Primärenergie (PERT)
EN 15978 (A2)
C2
MJ </t>
  </si>
  <si>
    <t xml:space="preserve">Total erneuerbare Primärenergie (PERT)
EN 15978 (A2)
C3
MJ </t>
  </si>
  <si>
    <t xml:space="preserve">Total erneuerbare Primärenergie (PERT)
EN 15978 (A2)
C4
MJ </t>
  </si>
  <si>
    <t xml:space="preserve">Total erneuerbare Primärenergie (PERT)
EN 15978 (A2)
D
MJ </t>
  </si>
  <si>
    <t xml:space="preserve">Total erneuerbare Primärenergie (PERT)
EN 15978 (A2)
D1
MJ </t>
  </si>
  <si>
    <t xml:space="preserve">Total erneuerbare Primärenergie (PERT)
EN 15978 (A2)
D2
MJ </t>
  </si>
  <si>
    <t xml:space="preserve">Total erneuerbare Primärenergie (PERT)
EN 15978 (A2)
A1-A3, A4, A5, B1, B2, B3, B4, B5, B6, C1, C2, C3, C4, D, D1, D2
MJ </t>
  </si>
  <si>
    <t>PERT</t>
  </si>
  <si>
    <t xml:space="preserve">Total nicht-erneuerbare Primärenergie (PENRT)
EN 15978 (A2)
A1-A3
MJ </t>
  </si>
  <si>
    <t xml:space="preserve">Total nicht-erneuerbare Primärenergie (PENRT)
EN 15978 (A2)
A4
MJ </t>
  </si>
  <si>
    <t xml:space="preserve">Total nicht-erneuerbare Primärenergie (PENRT)
EN 15978 (A2)
A5
MJ </t>
  </si>
  <si>
    <t xml:space="preserve">Total nicht-erneuerbare Primärenergie (PENRT)
EN 15978 (A2)
B1
MJ </t>
  </si>
  <si>
    <t xml:space="preserve">Total nicht-erneuerbare Primärenergie (PENRT)
EN 15978 (A2)
B2
MJ </t>
  </si>
  <si>
    <t xml:space="preserve">Total nicht-erneuerbare Primärenergie (PENRT)
EN 15978 (A2)
B3
MJ </t>
  </si>
  <si>
    <t xml:space="preserve">Total nicht-erneuerbare Primärenergie (PENRT)
EN 15978 (A2)
B4
MJ </t>
  </si>
  <si>
    <t xml:space="preserve">Total nicht-erneuerbare Primärenergie (PENRT)
EN 15978 (A2)
B5
MJ </t>
  </si>
  <si>
    <t xml:space="preserve">Total nicht-erneuerbare Primärenergie (PENRT)
EN 15978 (A2)
B6
MJ </t>
  </si>
  <si>
    <t xml:space="preserve">Total nicht-erneuerbare Primärenergie (PENRT)
EN 15978 (A2)
C1
MJ </t>
  </si>
  <si>
    <t xml:space="preserve">Total nicht-erneuerbare Primärenergie (PENRT)
EN 15978 (A2)
C2
MJ </t>
  </si>
  <si>
    <t xml:space="preserve">Total nicht-erneuerbare Primärenergie (PENRT)
EN 15978 (A2)
C3
MJ </t>
  </si>
  <si>
    <t xml:space="preserve">Total nicht-erneuerbare Primärenergie (PENRT)
EN 15978 (A2)
C4
MJ </t>
  </si>
  <si>
    <t xml:space="preserve">Total nicht-erneuerbare Primärenergie (PENRT)
EN 15978 (A2)
D
MJ </t>
  </si>
  <si>
    <t xml:space="preserve">Total nicht-erneuerbare Primärenergie (PENRT)
EN 15978 (A2)
D2
MJ </t>
  </si>
  <si>
    <t xml:space="preserve">Total nicht-erneuerbare Primärenergie (PENRT)
EN 15978 (A2)
D1
MJ </t>
  </si>
  <si>
    <t xml:space="preserve">Total nicht-erneuerbare Primärenergie (PENRT)
EN 15978 (A2)
A1-A3, A4, A5, B1, B2, B3, B4, B5, B6, C1, C2, C3, C4, D, D2, D1
MJ </t>
  </si>
  <si>
    <t>PENRT</t>
  </si>
  <si>
    <t>Combined list (ATTRIBUTES)</t>
  </si>
  <si>
    <t>Combined list (Field CODES)</t>
  </si>
  <si>
    <t>Cell</t>
  </si>
  <si>
    <t>Comment</t>
  </si>
  <si>
    <t>Material_Database</t>
  </si>
  <si>
    <t>MR: We first focus on A1-A3 (production) and C3-C4 impacts (end-of-life)
MR: We have a database with default services life assumptions for different building elements and different countries (EU)
MR: We also have a database with life cycle scenarios (A4, A5, C1, C2, etc. - also for Europe)</t>
  </si>
  <si>
    <t>Building_Bill of Materials</t>
  </si>
  <si>
    <t>ZB: Energy demand metrics to be added</t>
  </si>
  <si>
    <t>ZB: Energy modelling inputs required (refer CLF)</t>
  </si>
  <si>
    <t>BLAREC</t>
  </si>
  <si>
    <t>CLF- Reporting template</t>
  </si>
  <si>
    <t>RICS- Reporting template</t>
  </si>
  <si>
    <t>SliCE- BoQ</t>
  </si>
  <si>
    <t>Building classification (RICS, EPBD, INDICATE)</t>
  </si>
  <si>
    <t>all doopdown selections are strings in OpenBDF</t>
  </si>
  <si>
    <t>Requirements &amp; target setting, review of project risks &amp; aIternatives, site appraisal, clients brief</t>
  </si>
  <si>
    <t>Feasibility studies, call for design competition</t>
  </si>
  <si>
    <t>Concept, sketches, competition design</t>
  </si>
  <si>
    <t>Elaboration of design, building ardpit application</t>
  </si>
  <si>
    <t>Detailed technical design, procurement of construction works</t>
  </si>
  <si>
    <t>(Pre)-Fabrication of construction products, Construction and supervision</t>
  </si>
  <si>
    <t>As-built documentation, hand over, comissioning and testing</t>
  </si>
  <si>
    <t>Facilities Management and Asset Management, Evaluation and improvement of building erformance</t>
  </si>
  <si>
    <t>Decommissioni ng of the building, deconstruction, reuse and recycling</t>
  </si>
  <si>
    <t>25.02.2026</t>
  </si>
  <si>
    <t>Refer the INDICATE report</t>
  </si>
  <si>
    <t>Recommend to include density</t>
  </si>
  <si>
    <t>Full version- energy inventory</t>
  </si>
  <si>
    <t>inventory of energy</t>
  </si>
  <si>
    <t>quick list</t>
  </si>
  <si>
    <t>kwh/MJ</t>
  </si>
  <si>
    <t>Criteria or framework for level of LCA?</t>
  </si>
  <si>
    <t>Low/Med/High</t>
  </si>
  <si>
    <t>extra column for examples</t>
  </si>
  <si>
    <t>Attributes</t>
  </si>
  <si>
    <t>work on the definitions</t>
  </si>
  <si>
    <t>Have both description and instructions</t>
  </si>
  <si>
    <t>Make things pop-up</t>
  </si>
  <si>
    <t>Material flows</t>
  </si>
  <si>
    <t>Service life is needed to be included</t>
  </si>
  <si>
    <t>Madaster test</t>
  </si>
  <si>
    <t>Structure</t>
  </si>
  <si>
    <t>..openBDF is a wide structure</t>
  </si>
  <si>
    <t>public facing</t>
  </si>
  <si>
    <t>..atll for internal structure</t>
  </si>
  <si>
    <t>slice</t>
  </si>
  <si>
    <t>Results</t>
  </si>
  <si>
    <t>Tall structure also needed</t>
  </si>
  <si>
    <t>material flow, process</t>
  </si>
  <si>
    <t>Wide to tall</t>
  </si>
  <si>
    <t>If there is a way to get a reduced version of a file in automatic way</t>
  </si>
  <si>
    <t>Export only this columns but leaves out other</t>
  </si>
  <si>
    <t>Next steps:</t>
  </si>
  <si>
    <t>Refining the tall and wide versions</t>
  </si>
  <si>
    <t>Set table for correspondence to 3 examples</t>
  </si>
  <si>
    <t>12.03.2026 (ZB)</t>
  </si>
  <si>
    <t>Include the impact categories</t>
  </si>
  <si>
    <t>not slim version but all</t>
  </si>
  <si>
    <t>Full version</t>
  </si>
  <si>
    <t>what we need/ what we visualise</t>
  </si>
  <si>
    <t>Publication</t>
  </si>
  <si>
    <t>How we go thorugh everything</t>
  </si>
  <si>
    <t>IT4R</t>
  </si>
  <si>
    <t>Work on Attribute translator</t>
  </si>
  <si>
    <t>18.03.2026 (MR)</t>
  </si>
  <si>
    <t>Feedback on the OpenBDF we are just discussing with Nathan. Data Type for text should distinguish if something is free text (you can write whatever), or expecting a defined set of selections, e.g. from dropdown - in that latter case the data type should be categorical (or corresponding). These are diffrent, both in terms of checking if the submitted data complies with our requirements, as well as regarding the way the data is stored (categorical data is encoded in a more efficient way as it uses the same keys for the same values)</t>
  </si>
  <si>
    <t>Bill of materials: I think the columns on LCA stages/modules should move to the LCA results tab. I don't see how these would be used on the side of the BoM as they related to the LCA results.</t>
  </si>
  <si>
    <t>25.03.2026</t>
  </si>
  <si>
    <t>check abbreviation for GWP Total etc.</t>
  </si>
  <si>
    <t>Select the method A1+A2 in the general information (give a mix option) allow selection of the columns</t>
  </si>
  <si>
    <t>gwp total, fossil and biogenic</t>
  </si>
  <si>
    <t>add abbreviation tab</t>
  </si>
  <si>
    <t>Operational energy part is combined with A2</t>
  </si>
  <si>
    <t>Type of methods not comparable</t>
  </si>
  <si>
    <t>We need to add- which impact categories, which building elements (T2)</t>
  </si>
  <si>
    <t>YES/PARTIAL</t>
  </si>
  <si>
    <t>Building elements</t>
  </si>
  <si>
    <t>Life cycel stages</t>
  </si>
  <si>
    <t>Imapct categories</t>
  </si>
  <si>
    <t>SLICE sample data</t>
  </si>
  <si>
    <t>to get the fields</t>
  </si>
  <si>
    <t>Full dataset</t>
  </si>
  <si>
    <t>LCI</t>
  </si>
  <si>
    <t>lca parquet file</t>
  </si>
  <si>
    <t>TALL FORMAT</t>
  </si>
  <si>
    <t>Element in and out flow column</t>
  </si>
  <si>
    <t>Activity year</t>
  </si>
  <si>
    <t>Bulding element tab</t>
  </si>
  <si>
    <t>building element library</t>
  </si>
  <si>
    <t>place service life</t>
  </si>
  <si>
    <t>Area of building element</t>
  </si>
  <si>
    <t>Add list of building elements</t>
  </si>
  <si>
    <t>We need database schema</t>
  </si>
  <si>
    <t>?? KUL</t>
  </si>
  <si>
    <t xml:space="preserve">Work on assicuation for Classification </t>
  </si>
  <si>
    <t>31.03.2026</t>
  </si>
  <si>
    <t>Attribute translator</t>
  </si>
  <si>
    <t>map the Austrian building elements with OPENBDF classification</t>
  </si>
  <si>
    <t>make table extension automatic</t>
  </si>
  <si>
    <t>avoid column destruction from column G</t>
  </si>
  <si>
    <t>Macro lock</t>
  </si>
  <si>
    <t>Add result pivot</t>
  </si>
  <si>
    <t>for added element</t>
  </si>
  <si>
    <t>how to preserve macros when using google vs excel</t>
  </si>
  <si>
    <t>Building element file-prepare for Austria</t>
  </si>
  <si>
    <t>01.04.2026</t>
  </si>
  <si>
    <t>LCA GROUP: What env. indicators? list (Yes/NO)</t>
  </si>
  <si>
    <t>BUILDING GROUP: What building element? Tier 1, 2, 3? (yes/no) - (tier 3 -&gt; Full building)</t>
  </si>
  <si>
    <t>Add in General Info- Building element classification standard with country</t>
  </si>
  <si>
    <t>For Building element converter- we need standards /codes</t>
  </si>
  <si>
    <t>added an info tab</t>
  </si>
  <si>
    <t>Check the file with Excel functionality (xlsx.)- for Nathan</t>
  </si>
  <si>
    <t>07.04.2026</t>
  </si>
  <si>
    <t>Requirements translation tab</t>
  </si>
  <si>
    <t>GBDI OpenBDF2.0</t>
  </si>
  <si>
    <t>Requirements GBDI OpenBDF2.1</t>
  </si>
  <si>
    <t>-</t>
  </si>
  <si>
    <t>Required</t>
  </si>
  <si>
    <t>Mandatory</t>
  </si>
  <si>
    <t>Primary</t>
  </si>
  <si>
    <t>Recomanded</t>
  </si>
  <si>
    <t>All compliant systems must produce this field correctly and must validate this field.  When sub-fields of objects are 'required', they shall be present when the parent field is present; this does not mean the parent is required.  Example: location is optional, but if a location is provided then "lat' and "long" are required.</t>
  </si>
  <si>
    <t>Secondary</t>
  </si>
  <si>
    <t>Expect significant losses of function if not provided.</t>
  </si>
  <si>
    <t>Not Applicable / Excluded</t>
  </si>
  <si>
    <t>Compliant systems should not throw errors when reading compliant data in these fields, but no system is required to produce or consume these.</t>
  </si>
  <si>
    <t>Category Reporting Units from:</t>
  </si>
  <si>
    <t xml:space="preserve">ODP </t>
  </si>
  <si>
    <t>AP</t>
  </si>
  <si>
    <t>EP</t>
  </si>
  <si>
    <t>POCP</t>
  </si>
  <si>
    <t xml:space="preserve">SFP </t>
  </si>
  <si>
    <t>POFP</t>
  </si>
  <si>
    <t>ADPmm</t>
  </si>
  <si>
    <t>ADPf</t>
  </si>
  <si>
    <t xml:space="preserve">WDP </t>
  </si>
  <si>
    <t>EN15804</t>
  </si>
  <si>
    <t>GWP - TOTAL</t>
  </si>
  <si>
    <t xml:space="preserve">GWP -
Fossil </t>
  </si>
  <si>
    <t xml:space="preserve">GWP -
Biogenic </t>
  </si>
  <si>
    <t xml:space="preserve">GWP -
LULUC </t>
  </si>
  <si>
    <t>AP
total</t>
  </si>
  <si>
    <t>EP 
total</t>
  </si>
  <si>
    <t xml:space="preserve">EP - Aquatic Freshwater 
</t>
  </si>
  <si>
    <t xml:space="preserve">EP - Aquatic Marine
</t>
  </si>
  <si>
    <t xml:space="preserve">EP - Terrestrial 
</t>
  </si>
  <si>
    <t xml:space="preserve">POCP
</t>
  </si>
  <si>
    <t xml:space="preserve">SFP 
</t>
  </si>
  <si>
    <t xml:space="preserve">ARDP - Element / Minerals and Metals
</t>
  </si>
  <si>
    <t xml:space="preserve">ARDP - Fossil Fuels
</t>
  </si>
  <si>
    <t xml:space="preserve">WDP (Water Use Potential)
</t>
  </si>
  <si>
    <t>EN15804 +A1</t>
  </si>
  <si>
    <t>EU</t>
  </si>
  <si>
    <t>N/A</t>
  </si>
  <si>
    <t>kg R11 eq</t>
  </si>
  <si>
    <t>kg SO₂ eq</t>
  </si>
  <si>
    <t>kg ethene eq</t>
  </si>
  <si>
    <t>North America</t>
  </si>
  <si>
    <t>kg CFC11 eq</t>
  </si>
  <si>
    <t>kg PO4 ^-3 eq</t>
  </si>
  <si>
    <t>kg C₂H₂ eq</t>
  </si>
  <si>
    <t xml:space="preserve">MJ </t>
  </si>
  <si>
    <t>EN15804 +A2</t>
  </si>
  <si>
    <t>Mol H+e</t>
  </si>
  <si>
    <t>kg PO4e</t>
  </si>
  <si>
    <t>kg N e</t>
  </si>
  <si>
    <t>mol N e</t>
  </si>
  <si>
    <t>Austian case</t>
  </si>
  <si>
    <t>mol N eq</t>
  </si>
  <si>
    <t>kg Sb-eq</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</si>
</sst>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09">
    <font>
      <sz val="11.0"/>
      <color theme="1"/>
      <name val="Arial"/>
      <scheme val="minor"/>
    </font>
    <font>
      <color theme="1"/>
      <name val="Arial"/>
      <scheme val="minor"/>
    </font>
    <font>
      <u/>
      <color theme="1"/>
      <name val="Arial"/>
      <scheme val="minor"/>
    </font>
    <font>
      <b/>
      <sz val="14.0"/>
      <color rgb="FFFFFFFF"/>
      <name val="Arial"/>
    </font>
    <font>
      <b/>
      <sz val="14.0"/>
      <color rgb="FFFFFFFF"/>
      <name val="Aptos Narrow"/>
    </font>
    <font>
      <sz val="11.0"/>
      <color theme="1"/>
      <name val="Aptos Narrow"/>
    </font>
    <font>
      <sz val="11.0"/>
      <color rgb="FF3D3D3D"/>
      <name val="Arial"/>
    </font>
    <font>
      <u/>
      <sz val="11.0"/>
      <color theme="10"/>
      <name val="Aptos Narrow"/>
    </font>
    <font>
      <u/>
      <sz val="11.0"/>
      <color theme="10"/>
      <name val="Aptos Narrow"/>
    </font>
    <font>
      <b/>
      <sz val="11.0"/>
      <color theme="1"/>
      <name val="Aptos Narrow"/>
    </font>
    <font>
      <b/>
      <sz val="11.0"/>
      <color rgb="FFFFFFFF"/>
      <name val="Arial"/>
    </font>
    <font>
      <sz val="11.0"/>
      <color rgb="FF646464"/>
      <name val="Arial"/>
    </font>
    <font>
      <sz val="11.0"/>
      <color rgb="FF646464"/>
      <name val="Aptos Narrow"/>
    </font>
    <font>
      <b/>
      <sz val="11.0"/>
      <color rgb="FF3D3D3D"/>
      <name val="Arial"/>
    </font>
    <font>
      <sz val="11.0"/>
      <color rgb="FF3D3D3D"/>
      <name val="Aptos Narrow"/>
    </font>
    <font>
      <b/>
      <sz val="11.0"/>
      <color theme="1"/>
      <name val="Arial"/>
    </font>
    <font>
      <sz val="11.0"/>
      <color theme="1"/>
      <name val="Arial"/>
    </font>
    <font>
      <b/>
      <sz val="11.0"/>
      <color theme="0"/>
      <name val="Aptos Narrow"/>
    </font>
    <font>
      <i/>
      <sz val="11.0"/>
      <color rgb="FFFFFFFF"/>
      <name val="Arial"/>
    </font>
    <font>
      <sz val="11.0"/>
      <color rgb="FF222222"/>
      <name val="Arial"/>
    </font>
    <font>
      <b/>
      <sz val="11.0"/>
      <color rgb="FF222222"/>
      <name val="Arial"/>
    </font>
    <font>
      <b/>
      <sz val="11.0"/>
      <color rgb="FFFF0000"/>
      <name val="Arial"/>
    </font>
    <font>
      <i/>
      <sz val="11.0"/>
      <color theme="0"/>
      <name val="Aptos Narrow"/>
    </font>
    <font>
      <b/>
      <sz val="11.0"/>
      <color rgb="FFFF0000"/>
      <name val="Aptos Narrow"/>
    </font>
    <font>
      <sz val="11.0"/>
      <color rgb="FFFF0000"/>
      <name val="Aptos Narrow"/>
    </font>
    <font>
      <color rgb="FFFF0000"/>
      <name val="Arial"/>
      <scheme val="minor"/>
    </font>
    <font>
      <b/>
      <sz val="11.0"/>
      <color rgb="FF646464"/>
      <name val="Arial"/>
    </font>
    <font>
      <color rgb="FF646464"/>
      <name val="Arial"/>
      <scheme val="minor"/>
    </font>
    <font>
      <b/>
      <color rgb="FFFFFFFF"/>
      <name val="Arial"/>
    </font>
    <font>
      <color rgb="FFFFFFFF"/>
      <name val="Arial"/>
    </font>
    <font>
      <b/>
      <i/>
      <sz val="10.0"/>
      <color rgb="FFFFFFFF"/>
      <name val="Arial"/>
      <scheme val="minor"/>
    </font>
    <font>
      <i/>
      <sz val="10.0"/>
      <color rgb="FFFFFFFF"/>
      <name val="Arial"/>
      <scheme val="minor"/>
    </font>
    <font>
      <b/>
      <color theme="1"/>
      <name val="Arial"/>
    </font>
    <font>
      <b/>
      <sz val="11.0"/>
      <color rgb="FFFFFFFF"/>
      <name val="Arial"/>
      <scheme val="minor"/>
    </font>
    <font>
      <b/>
      <sz val="11.0"/>
      <color theme="0"/>
      <name val="Arial"/>
      <scheme val="minor"/>
    </font>
    <font>
      <b/>
      <i/>
      <sz val="11.0"/>
      <color theme="0"/>
      <name val="Arial"/>
      <scheme val="minor"/>
    </font>
    <font>
      <i/>
      <sz val="11.0"/>
      <color rgb="FFFFFFFF"/>
      <name val="Arial"/>
      <scheme val="minor"/>
    </font>
    <font>
      <i/>
      <sz val="10.0"/>
      <color rgb="FF3D3D3D"/>
      <name val="Arial"/>
      <scheme val="minor"/>
    </font>
    <font>
      <i/>
      <sz val="11.0"/>
      <color theme="1"/>
      <name val="Arial"/>
      <scheme val="minor"/>
    </font>
    <font>
      <b/>
      <sz val="11.0"/>
      <color rgb="FF000000"/>
      <name val="Arial"/>
      <scheme val="minor"/>
    </font>
    <font>
      <sz val="11.0"/>
      <color rgb="FF3D3D3D"/>
      <name val="Arial"/>
      <scheme val="minor"/>
    </font>
    <font>
      <b/>
      <sz val="11.0"/>
      <color rgb="FF489C7C"/>
      <name val="Arial"/>
      <scheme val="minor"/>
    </font>
    <font>
      <i/>
      <sz val="10.0"/>
      <color rgb="FF595959"/>
      <name val="Arial"/>
      <scheme val="minor"/>
    </font>
    <font>
      <sz val="11.0"/>
      <color rgb="FF489C7C"/>
      <name val="Arial"/>
      <scheme val="minor"/>
    </font>
    <font>
      <i/>
      <sz val="11.0"/>
      <color rgb="FF3D3D3D"/>
      <name val="Arial"/>
      <scheme val="minor"/>
    </font>
    <font>
      <sz val="12.0"/>
      <color rgb="FF489C7C"/>
      <name val="Arial"/>
      <scheme val="minor"/>
    </font>
    <font>
      <i/>
      <sz val="12.0"/>
      <color theme="1"/>
      <name val="Arial"/>
      <scheme val="minor"/>
    </font>
    <font>
      <i/>
      <sz val="12.0"/>
      <color rgb="FF3D3D3D"/>
      <name val="Arial"/>
      <scheme val="minor"/>
    </font>
    <font>
      <sz val="12.0"/>
      <color rgb="FF3D3D3D"/>
      <name val="Arial"/>
      <scheme val="minor"/>
    </font>
    <font>
      <sz val="11.0"/>
      <color rgb="FFFF0000"/>
      <name val="Arial"/>
      <scheme val="minor"/>
    </font>
    <font>
      <i/>
      <color theme="1"/>
      <name val="Arial"/>
      <scheme val="minor"/>
    </font>
    <font>
      <b/>
      <sz val="11.0"/>
      <color theme="1"/>
      <name val="Arial"/>
      <scheme val="minor"/>
    </font>
    <font>
      <i/>
      <sz val="10.0"/>
      <color theme="1"/>
      <name val="Arial"/>
      <scheme val="minor"/>
    </font>
    <font>
      <i/>
      <color theme="1"/>
      <name val="Arial"/>
    </font>
    <font>
      <i/>
      <sz val="10.0"/>
      <color rgb="FFFF0000"/>
      <name val="Arial"/>
      <scheme val="minor"/>
    </font>
    <font>
      <b/>
      <i/>
      <sz val="11.0"/>
      <color theme="1"/>
      <name val="Arial"/>
      <scheme val="minor"/>
    </font>
    <font>
      <sz val="11.0"/>
      <color rgb="FF595959"/>
      <name val="Arial"/>
      <scheme val="minor"/>
    </font>
    <font>
      <sz val="10.0"/>
      <color rgb="FF595959"/>
      <name val="Arial"/>
      <scheme val="minor"/>
    </font>
    <font>
      <color rgb="FF595959"/>
      <name val="Arial"/>
    </font>
    <font>
      <i/>
      <color rgb="FF595959"/>
      <name val="Arial"/>
    </font>
    <font>
      <b/>
      <i/>
      <sz val="11.0"/>
      <color rgb="FF3D3D3D"/>
      <name val="Arial"/>
      <scheme val="minor"/>
    </font>
    <font>
      <sz val="10.0"/>
      <color rgb="FF3D3D3D"/>
      <name val="Arial"/>
      <scheme val="minor"/>
    </font>
    <font>
      <sz val="10.0"/>
      <color rgb="FFFFFFFF"/>
      <name val="Arial"/>
      <scheme val="minor"/>
    </font>
    <font>
      <i/>
      <sz val="11.0"/>
      <color rgb="FF489C7C"/>
      <name val="Arial"/>
      <scheme val="minor"/>
    </font>
    <font>
      <i/>
      <sz val="11.0"/>
      <color rgb="FF595959"/>
      <name val="Arial"/>
      <scheme val="minor"/>
    </font>
    <font>
      <b/>
      <sz val="11.0"/>
      <color rgb="FF3D3D3D"/>
      <name val="Arial"/>
      <scheme val="minor"/>
    </font>
    <font>
      <b/>
      <i/>
      <sz val="11.0"/>
      <color rgb="FFFFFFFF"/>
      <name val="Arial"/>
      <scheme val="minor"/>
    </font>
    <font>
      <color rgb="FF222222"/>
      <name val="Arial"/>
    </font>
    <font>
      <i/>
      <color rgb="FF222222"/>
      <name val="Arial"/>
    </font>
    <font>
      <sz val="11.0"/>
      <color rgb="FF595959"/>
      <name val="Arial"/>
    </font>
    <font>
      <i/>
      <sz val="11.0"/>
      <color rgb="FF595959"/>
      <name val="Arial"/>
    </font>
    <font>
      <i/>
      <color rgb="FFFFFFFF"/>
      <name val="Arial"/>
    </font>
    <font>
      <sz val="11.0"/>
      <color rgb="FFFFFFFF"/>
      <name val="Arial"/>
    </font>
    <font>
      <i/>
      <u/>
      <sz val="11.0"/>
      <color rgb="FF489C7C"/>
    </font>
    <font>
      <i/>
      <sz val="11.0"/>
      <color rgb="FF489C7C"/>
      <name val="Arial"/>
    </font>
    <font>
      <i/>
      <u/>
      <sz val="11.0"/>
      <color rgb="FF489C7C"/>
    </font>
    <font>
      <b/>
      <sz val="10.0"/>
      <color rgb="FF595959"/>
      <name val="Arial"/>
      <scheme val="minor"/>
    </font>
    <font>
      <b/>
      <sz val="9.0"/>
      <color rgb="FF595959"/>
      <name val="Arial"/>
      <scheme val="minor"/>
    </font>
    <font>
      <sz val="9.0"/>
      <color rgb="FF595959"/>
      <name val="Arial"/>
      <scheme val="minor"/>
    </font>
    <font>
      <color rgb="FF595959"/>
      <name val="Arial"/>
      <scheme val="minor"/>
    </font>
    <font>
      <sz val="9.0"/>
      <color theme="1"/>
      <name val="Arial"/>
      <scheme val="minor"/>
    </font>
    <font>
      <sz val="9.0"/>
      <color rgb="FF595959"/>
      <name val="Arial"/>
    </font>
    <font>
      <b/>
      <sz val="11.0"/>
      <color theme="1"/>
      <name val="'Segoe UI'"/>
    </font>
    <font>
      <sz val="11.0"/>
      <color theme="1"/>
      <name val="'Segoe UI'"/>
    </font>
    <font>
      <b/>
      <sz val="11.0"/>
      <color rgb="FFFFFFFF"/>
      <name val="Aptos Narrow"/>
    </font>
    <font>
      <color theme="1"/>
      <name val="Open Sans"/>
    </font>
    <font>
      <sz val="9.0"/>
      <color theme="1"/>
      <name val="Open Sans"/>
    </font>
    <font>
      <sz val="11.0"/>
      <color rgb="FF3F3F76"/>
      <name val="Aptos Narrow"/>
    </font>
    <font>
      <b/>
      <sz val="10.0"/>
      <color rgb="FFFF0000"/>
      <name val="Arial"/>
      <scheme val="minor"/>
    </font>
    <font>
      <b/>
      <u/>
      <sz val="9.0"/>
      <color rgb="FF595959"/>
      <name val="Arial"/>
      <scheme val="minor"/>
    </font>
    <font>
      <b/>
      <i/>
      <sz val="9.0"/>
      <color rgb="FF595959"/>
      <name val="Arial"/>
      <scheme val="minor"/>
    </font>
    <font>
      <i/>
      <sz val="9.0"/>
      <color rgb="FF595959"/>
      <name val="Arial"/>
      <scheme val="minor"/>
    </font>
    <font>
      <color rgb="FF434343"/>
      <name val="Arial"/>
      <scheme val="minor"/>
    </font>
    <font>
      <b/>
      <i/>
      <color rgb="FF434343"/>
      <name val="Arial"/>
      <scheme val="minor"/>
    </font>
    <font>
      <b/>
      <i/>
      <color rgb="FFFF0000"/>
      <name val="Arial"/>
      <scheme val="minor"/>
    </font>
    <font>
      <b/>
      <color rgb="FF434343"/>
      <name val="Arial"/>
      <scheme val="minor"/>
    </font>
    <font>
      <b/>
      <color theme="1"/>
      <name val="Arial"/>
      <scheme val="minor"/>
    </font>
    <font>
      <color theme="1"/>
      <name val="Arial"/>
    </font>
    <font>
      <strike/>
      <color theme="1"/>
      <name val="Arial"/>
      <scheme val="minor"/>
    </font>
    <font>
      <strike/>
      <color rgb="FF000000"/>
      <name val="Arial"/>
      <scheme val="minor"/>
    </font>
    <font>
      <strike/>
      <sz val="11.0"/>
      <color theme="1"/>
      <name val="Arial"/>
      <scheme val="minor"/>
    </font>
    <font>
      <strike/>
      <color rgb="FFFF0000"/>
      <name val="Arial"/>
      <scheme val="minor"/>
    </font>
    <font>
      <sz val="11.0"/>
      <color rgb="FF006100"/>
      <name val="Arial"/>
    </font>
    <font>
      <sz val="11.0"/>
      <color rgb="FF156082"/>
      <name val="Aptos Narrow"/>
    </font>
    <font>
      <b/>
      <sz val="11.0"/>
      <color rgb="FF00FF00"/>
      <name val="Arial"/>
    </font>
    <font>
      <sz val="11.0"/>
      <color rgb="FF674EA7"/>
      <name val="Arial"/>
    </font>
    <font>
      <sz val="11.0"/>
      <color rgb="FF3C78D8"/>
      <name val="Arial"/>
    </font>
    <font>
      <sz val="11.0"/>
      <color rgb="FF6AA84F"/>
      <name val="Arial"/>
    </font>
    <font>
      <sz val="11.0"/>
      <color rgb="FFFF9900"/>
      <name val="Arial"/>
    </font>
  </fonts>
  <fills count="31">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EBF9EF"/>
        <bgColor rgb="FFEBF9EF"/>
      </patternFill>
    </fill>
    <fill>
      <patternFill patternType="solid">
        <fgColor rgb="FFB1DAC9"/>
        <bgColor rgb="FFB1DAC9"/>
      </patternFill>
    </fill>
    <fill>
      <patternFill patternType="solid">
        <fgColor rgb="FFA9D2F6"/>
        <bgColor rgb="FFA9D2F6"/>
      </patternFill>
    </fill>
    <fill>
      <patternFill patternType="solid">
        <fgColor rgb="FFD8E6E2"/>
        <bgColor rgb="FFD8E6E2"/>
      </patternFill>
    </fill>
    <fill>
      <patternFill patternType="solid">
        <fgColor rgb="FFFFFFCC"/>
        <bgColor rgb="FFFFFFCC"/>
      </patternFill>
    </fill>
    <fill>
      <patternFill patternType="solid">
        <fgColor rgb="FFF9E6C4"/>
        <bgColor rgb="FFF9E6C4"/>
      </patternFill>
    </fill>
    <fill>
      <patternFill patternType="solid">
        <fgColor rgb="FF000000"/>
        <bgColor rgb="FF000000"/>
      </patternFill>
    </fill>
    <fill>
      <patternFill patternType="solid">
        <fgColor theme="5"/>
        <bgColor theme="5"/>
      </patternFill>
    </fill>
    <fill>
      <patternFill patternType="solid">
        <fgColor theme="6"/>
        <bgColor theme="6"/>
      </patternFill>
    </fill>
    <fill>
      <patternFill patternType="solid">
        <fgColor rgb="FF376D59"/>
        <bgColor rgb="FF376D59"/>
      </patternFill>
    </fill>
    <fill>
      <patternFill patternType="solid">
        <fgColor rgb="FFD8D8D8"/>
        <bgColor rgb="FFD8D8D8"/>
      </patternFill>
    </fill>
    <fill>
      <patternFill patternType="solid">
        <fgColor rgb="FFEEF2F2"/>
        <bgColor rgb="FFEEF2F2"/>
      </patternFill>
    </fill>
    <fill>
      <patternFill patternType="solid">
        <fgColor rgb="FFE69819"/>
        <bgColor rgb="FFE69819"/>
      </patternFill>
    </fill>
    <fill>
      <patternFill patternType="solid">
        <fgColor theme="7"/>
        <bgColor theme="7"/>
      </patternFill>
    </fill>
    <fill>
      <patternFill patternType="solid">
        <fgColor rgb="FF5694E9"/>
        <bgColor rgb="FF5694E9"/>
      </patternFill>
    </fill>
    <fill>
      <patternFill patternType="solid">
        <fgColor theme="8"/>
        <bgColor theme="8"/>
      </patternFill>
    </fill>
    <fill>
      <patternFill patternType="solid">
        <fgColor rgb="FFD9E6E2"/>
        <bgColor rgb="FFD9E6E2"/>
      </patternFill>
    </fill>
    <fill>
      <patternFill patternType="solid">
        <fgColor rgb="FFECEDF1"/>
        <bgColor rgb="FFECEDF1"/>
      </patternFill>
    </fill>
    <fill>
      <patternFill patternType="solid">
        <fgColor rgb="FFFFFF00"/>
        <bgColor rgb="FFFFFF00"/>
      </patternFill>
    </fill>
    <fill>
      <patternFill patternType="solid">
        <fgColor rgb="FF156082"/>
        <bgColor rgb="FF156082"/>
      </patternFill>
    </fill>
    <fill>
      <patternFill patternType="solid">
        <fgColor rgb="FFC1E4F5"/>
        <bgColor rgb="FFC1E4F5"/>
      </patternFill>
    </fill>
    <fill>
      <patternFill patternType="solid">
        <fgColor rgb="FFFF9900"/>
        <bgColor rgb="FFFF9900"/>
      </patternFill>
    </fill>
    <fill>
      <patternFill patternType="solid">
        <fgColor rgb="FFC6EFCE"/>
        <bgColor rgb="FFC6EFCE"/>
      </patternFill>
    </fill>
    <fill>
      <patternFill patternType="solid">
        <fgColor rgb="FFA6C9EB"/>
        <bgColor rgb="FFA6C9EB"/>
      </patternFill>
    </fill>
    <fill>
      <patternFill patternType="solid">
        <fgColor rgb="FF45B0E1"/>
        <bgColor rgb="FF45B0E1"/>
      </patternFill>
    </fill>
    <fill>
      <patternFill patternType="solid">
        <fgColor rgb="FFD0D0D0"/>
        <bgColor rgb="FFD0D0D0"/>
      </patternFill>
    </fill>
    <fill>
      <patternFill patternType="solid">
        <fgColor rgb="FFEFEFEF"/>
        <bgColor rgb="FFEFEFEF"/>
      </patternFill>
    </fill>
  </fills>
  <borders count="36">
    <border/>
    <border>
      <left/>
      <right style="thin">
        <color rgb="FF376D59"/>
      </right>
      <top style="thin">
        <color rgb="FF376D59"/>
      </top>
      <bottom/>
    </border>
    <border>
      <left style="thin">
        <color rgb="FF376D59"/>
      </left>
    </border>
    <border>
      <right style="thin">
        <color rgb="FF376D59"/>
      </right>
    </border>
    <border>
      <left style="thin">
        <color rgb="FF376D59"/>
      </left>
      <bottom style="thin">
        <color rgb="FF376D59"/>
      </bottom>
    </border>
    <border>
      <right style="thin">
        <color rgb="FF376D59"/>
      </right>
      <bottom style="thin">
        <color rgb="FF376D59"/>
      </bottom>
    </border>
    <border>
      <left style="thin">
        <color rgb="FF376D59"/>
      </left>
      <top style="thin">
        <color rgb="FF376D59"/>
      </top>
      <bottom style="thin">
        <color rgb="FF376D59"/>
      </bottom>
    </border>
    <border>
      <top style="thin">
        <color rgb="FF376D59"/>
      </top>
      <bottom style="thin">
        <color rgb="FF376D59"/>
      </bottom>
    </border>
    <border>
      <right style="thin">
        <color rgb="FF376D59"/>
      </right>
      <top style="thin">
        <color rgb="FF376D59"/>
      </top>
      <bottom style="thin">
        <color rgb="FF376D59"/>
      </bottom>
    </border>
    <border>
      <left style="thin">
        <color rgb="FF376D59"/>
      </left>
      <top style="thin">
        <color rgb="FF376D59"/>
      </top>
    </border>
    <border>
      <top style="thin">
        <color rgb="FF376D59"/>
      </top>
    </border>
    <border>
      <right style="thin">
        <color rgb="FF376D59"/>
      </right>
      <top style="thin">
        <color rgb="FF376D59"/>
      </top>
    </border>
    <border>
      <top style="thin">
        <color rgb="FF006100"/>
      </top>
      <bottom style="thin">
        <color rgb="FF006100"/>
      </bottom>
    </border>
    <border>
      <right style="thin">
        <color rgb="FF006100"/>
      </right>
      <top style="thin">
        <color rgb="FF006100"/>
      </top>
      <bottom style="thin">
        <color rgb="FF006100"/>
      </bottom>
    </border>
    <border>
      <left style="thin">
        <color rgb="FF006100"/>
      </left>
    </border>
    <border>
      <left style="thin">
        <color rgb="FF376D59"/>
      </left>
      <right style="thin">
        <color rgb="FF376D59"/>
      </right>
    </border>
    <border>
      <left style="thin">
        <color rgb="FF006100"/>
      </left>
      <top style="thin">
        <color rgb="FF376D59"/>
      </top>
      <bottom style="thin">
        <color rgb="FF376D59"/>
      </bottom>
    </border>
    <border>
      <left style="thin">
        <color rgb="FF006100"/>
      </left>
      <top style="thin">
        <color rgb="FF376D59"/>
      </top>
      <bottom style="thick">
        <color rgb="FF376D59"/>
      </bottom>
    </border>
    <border>
      <top style="thin">
        <color rgb="FF376D59"/>
      </top>
      <bottom style="thick">
        <color rgb="FF376D59"/>
      </bottom>
    </border>
    <border>
      <left style="thin">
        <color rgb="FF006100"/>
      </left>
      <top style="thin">
        <color rgb="FF376D59"/>
      </top>
      <bottom style="thick">
        <color rgb="FF006100"/>
      </bottom>
    </border>
    <border>
      <left style="thin">
        <color rgb="FF006100"/>
      </left>
      <bottom style="thin">
        <color rgb="FF376D59"/>
      </bottom>
    </border>
    <border>
      <bottom style="thin">
        <color rgb="FF376D59"/>
      </bottom>
    </border>
    <border>
      <left style="thin">
        <color rgb="FF006100"/>
      </left>
      <bottom style="thick">
        <color rgb="FF376D59"/>
      </bottom>
    </border>
    <border>
      <right style="thin">
        <color rgb="FF376D59"/>
      </right>
      <bottom style="thin">
        <color rgb="FFEEF2F2"/>
      </bottom>
    </border>
    <border>
      <left style="thin">
        <color rgb="FF376D59"/>
      </left>
      <right style="thin">
        <color rgb="FF376D59"/>
      </right>
      <bottom style="thin">
        <color rgb="FFEEF2F2"/>
      </bottom>
    </border>
    <border>
      <left style="thin">
        <color rgb="FF376D59"/>
      </left>
      <right style="thin">
        <color rgb="FF376D59"/>
      </right>
      <top style="thin">
        <color rgb="FFEEF2F2"/>
      </top>
      <bottom style="thin">
        <color rgb="FFEEF2F2"/>
      </bottom>
    </border>
    <border>
      <left style="thin">
        <color rgb="FF376D59"/>
      </left>
      <right style="thin">
        <color rgb="FF376D59"/>
      </right>
      <top style="thin">
        <color rgb="FFEEF2F2"/>
      </top>
    </border>
    <border>
      <left/>
      <right/>
      <top/>
      <bottom/>
    </border>
    <border>
      <left style="thin">
        <color rgb="FF7F7F7F"/>
      </left>
      <right style="thin">
        <color rgb="FF7F7F7F"/>
      </right>
      <top style="thin">
        <color rgb="FF7F7F7F"/>
      </top>
    </border>
    <border>
      <left style="thin">
        <color rgb="FF7F7F7F"/>
      </left>
      <right style="thin">
        <color rgb="FF7F7F7F"/>
      </right>
      <top/>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style="thin">
        <color rgb="FF000000"/>
      </left>
      <right style="thin">
        <color rgb="FF000000"/>
      </right>
      <top style="thin">
        <color rgb="FF000000"/>
      </top>
      <bottom style="thin">
        <color rgb="FF000000"/>
      </bottom>
    </border>
    <border>
      <left style="thin">
        <color rgb="FF7F7F7F"/>
      </left>
      <right style="thin">
        <color rgb="FF7F7F7F"/>
      </right>
      <top style="thin">
        <color rgb="FF7F7F7F"/>
      </top>
      <bottom/>
    </border>
    <border>
      <left/>
      <right style="thin">
        <color rgb="FF7F7F7F"/>
      </right>
      <top style="thin">
        <color rgb="FF7F7F7F"/>
      </top>
      <bottom/>
    </border>
    <border>
      <left style="thin">
        <color rgb="FF7F7F7F"/>
      </left>
      <right style="thin">
        <color rgb="FF7F7F7F"/>
      </right>
      <top style="thin">
        <color rgb="FF000000"/>
      </top>
      <bottom/>
    </border>
  </borders>
  <cellStyleXfs count="1">
    <xf borderId="0" fillId="0" fontId="0" numFmtId="0" applyAlignment="1" applyFont="1"/>
  </cellStyleXfs>
  <cellXfs count="4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1" fillId="2" fontId="3" numFmtId="0" xfId="0" applyAlignment="1" applyBorder="1" applyFill="1" applyFont="1">
      <alignment horizontal="left" readingOrder="0" vertical="top"/>
    </xf>
    <xf borderId="1" fillId="2" fontId="4" numFmtId="0" xfId="0" applyAlignment="1" applyBorder="1" applyFont="1">
      <alignment horizontal="left" vertical="top"/>
    </xf>
    <xf borderId="0" fillId="0" fontId="1" numFmtId="0" xfId="0" applyAlignment="1" applyFont="1">
      <alignment horizontal="left" vertical="top"/>
    </xf>
    <xf borderId="2" fillId="0" fontId="5" numFmtId="0" xfId="0" applyAlignment="1" applyBorder="1" applyFont="1">
      <alignment horizontal="left" shrinkToFit="0" vertical="top" wrapText="0"/>
    </xf>
    <xf borderId="3" fillId="0" fontId="5" numFmtId="0" xfId="0" applyAlignment="1" applyBorder="1" applyFont="1">
      <alignment horizontal="left" shrinkToFit="0" vertical="top" wrapText="1"/>
    </xf>
    <xf borderId="3" fillId="0" fontId="6" numFmtId="164" xfId="0" applyAlignment="1" applyBorder="1" applyFont="1" applyNumberFormat="1">
      <alignment horizontal="left" readingOrder="0" shrinkToFit="0" vertical="top" wrapText="1"/>
    </xf>
    <xf borderId="4" fillId="0" fontId="5" numFmtId="0" xfId="0" applyAlignment="1" applyBorder="1" applyFont="1">
      <alignment horizontal="left" shrinkToFit="0" vertical="top" wrapText="0"/>
    </xf>
    <xf borderId="5" fillId="0" fontId="7" numFmtId="0" xfId="0" applyAlignment="1" applyBorder="1" applyFont="1">
      <alignment horizontal="left" shrinkToFit="0" vertical="top" wrapText="1"/>
    </xf>
    <xf borderId="0" fillId="0" fontId="5" numFmtId="0" xfId="0" applyAlignment="1" applyFont="1">
      <alignment horizontal="left" shrinkToFit="0" vertical="top" wrapText="0"/>
    </xf>
    <xf borderId="0" fillId="0" fontId="8" numFmtId="0" xfId="0" applyAlignment="1" applyFont="1">
      <alignment horizontal="left" shrinkToFit="0" vertical="top" wrapText="1"/>
    </xf>
    <xf borderId="6" fillId="0" fontId="9" numFmtId="0" xfId="0" applyAlignment="1" applyBorder="1" applyFont="1">
      <alignment horizontal="left" shrinkToFit="0" vertical="top" wrapText="0"/>
    </xf>
    <xf borderId="7" fillId="0" fontId="5" numFmtId="0" xfId="0" applyAlignment="1" applyBorder="1" applyFont="1">
      <alignment horizontal="left" shrinkToFit="0" vertical="top" wrapText="1"/>
    </xf>
    <xf borderId="8" fillId="0" fontId="5" numFmtId="0" xfId="0" applyAlignment="1" applyBorder="1" applyFont="1">
      <alignment horizontal="left" shrinkToFit="0" vertical="top" wrapText="1"/>
    </xf>
    <xf borderId="6" fillId="2" fontId="10" numFmtId="0" xfId="0" applyAlignment="1" applyBorder="1" applyFont="1">
      <alignment horizontal="left" readingOrder="0" shrinkToFit="0" vertical="top" wrapText="0"/>
    </xf>
    <xf borderId="7" fillId="2" fontId="5" numFmtId="0" xfId="0" applyAlignment="1" applyBorder="1" applyFont="1">
      <alignment horizontal="left" shrinkToFit="0" vertical="top" wrapText="1"/>
    </xf>
    <xf borderId="8" fillId="2" fontId="5" numFmtId="0" xfId="0" applyAlignment="1" applyBorder="1" applyFont="1">
      <alignment horizontal="left" shrinkToFit="0" vertical="top" wrapText="1"/>
    </xf>
    <xf borderId="6" fillId="3" fontId="11" numFmtId="0" xfId="0" applyAlignment="1" applyBorder="1" applyFill="1" applyFont="1">
      <alignment horizontal="left" readingOrder="0" shrinkToFit="0" vertical="top" wrapText="0"/>
    </xf>
    <xf borderId="7" fillId="3" fontId="11" numFmtId="0" xfId="0" applyAlignment="1" applyBorder="1" applyFont="1">
      <alignment horizontal="left" readingOrder="0" shrinkToFit="0" vertical="top" wrapText="0"/>
    </xf>
    <xf borderId="8" fillId="3" fontId="12" numFmtId="0" xfId="0" applyAlignment="1" applyBorder="1" applyFont="1">
      <alignment horizontal="left" readingOrder="0" shrinkToFit="0" vertical="top" wrapText="0"/>
    </xf>
    <xf borderId="6" fillId="4" fontId="13" numFmtId="0" xfId="0" applyAlignment="1" applyBorder="1" applyFill="1" applyFont="1">
      <alignment horizontal="left" readingOrder="0" shrinkToFit="0" vertical="top" wrapText="0"/>
    </xf>
    <xf borderId="7" fillId="4" fontId="14" numFmtId="0" xfId="0" applyAlignment="1" applyBorder="1" applyFont="1">
      <alignment horizontal="left" readingOrder="0" shrinkToFit="0" vertical="top" wrapText="0"/>
    </xf>
    <xf borderId="8" fillId="4" fontId="14" numFmtId="0" xfId="0" applyAlignment="1" applyBorder="1" applyFont="1">
      <alignment horizontal="left" readingOrder="0" shrinkToFit="0" vertical="top" wrapText="0"/>
    </xf>
    <xf borderId="6" fillId="5" fontId="15" numFmtId="0" xfId="0" applyAlignment="1" applyBorder="1" applyFill="1" applyFont="1">
      <alignment horizontal="left" readingOrder="0" shrinkToFit="0" vertical="top" wrapText="0"/>
    </xf>
    <xf borderId="7" fillId="5" fontId="16" numFmtId="0" xfId="0" applyAlignment="1" applyBorder="1" applyFont="1">
      <alignment horizontal="left" readingOrder="0" shrinkToFit="0" vertical="top" wrapText="0"/>
    </xf>
    <xf borderId="8" fillId="5" fontId="16" numFmtId="0" xfId="0" applyAlignment="1" applyBorder="1" applyFont="1">
      <alignment horizontal="left" readingOrder="0" shrinkToFit="0" vertical="top" wrapText="0"/>
    </xf>
    <xf borderId="6" fillId="6" fontId="15" numFmtId="0" xfId="0" applyAlignment="1" applyBorder="1" applyFill="1" applyFont="1">
      <alignment horizontal="left" readingOrder="0" shrinkToFit="0" vertical="top" wrapText="0"/>
    </xf>
    <xf borderId="7" fillId="6" fontId="16" numFmtId="0" xfId="0" applyAlignment="1" applyBorder="1" applyFont="1">
      <alignment horizontal="left" readingOrder="0" shrinkToFit="0" vertical="top" wrapText="0"/>
    </xf>
    <xf borderId="8" fillId="6" fontId="16" numFmtId="0" xfId="0" applyAlignment="1" applyBorder="1" applyFont="1">
      <alignment horizontal="left" readingOrder="0" shrinkToFit="0" vertical="top" wrapText="0"/>
    </xf>
    <xf borderId="6" fillId="7" fontId="15" numFmtId="0" xfId="0" applyAlignment="1" applyBorder="1" applyFill="1" applyFont="1">
      <alignment horizontal="left" readingOrder="0" shrinkToFit="0" vertical="top" wrapText="0"/>
    </xf>
    <xf borderId="7" fillId="7" fontId="5" numFmtId="0" xfId="0" applyAlignment="1" applyBorder="1" applyFont="1">
      <alignment horizontal="left" readingOrder="0" shrinkToFit="0" vertical="top" wrapText="0"/>
    </xf>
    <xf borderId="8" fillId="7" fontId="1" numFmtId="0" xfId="0" applyAlignment="1" applyBorder="1" applyFont="1">
      <alignment horizontal="left" readingOrder="0" shrinkToFit="0" vertical="top" wrapText="0"/>
    </xf>
    <xf borderId="0" fillId="0" fontId="13" numFmtId="0" xfId="0" applyAlignment="1" applyFont="1">
      <alignment horizontal="left" readingOrder="0" shrinkToFit="0" vertical="top" wrapText="0"/>
    </xf>
    <xf borderId="6" fillId="2" fontId="17" numFmtId="0" xfId="0" applyAlignment="1" applyBorder="1" applyFont="1">
      <alignment horizontal="left" readingOrder="0" shrinkToFit="0" vertical="top" wrapText="0"/>
    </xf>
    <xf borderId="7" fillId="2" fontId="17" numFmtId="0" xfId="0" applyAlignment="1" applyBorder="1" applyFont="1">
      <alignment horizontal="left" readingOrder="0" shrinkToFit="0" vertical="top" wrapText="0"/>
    </xf>
    <xf borderId="8" fillId="2" fontId="17" numFmtId="0" xfId="0" applyAlignment="1" applyBorder="1" applyFont="1">
      <alignment horizontal="left" readingOrder="0" shrinkToFit="0" vertical="top" wrapText="0"/>
    </xf>
    <xf borderId="6" fillId="2" fontId="18" numFmtId="0" xfId="0" applyAlignment="1" applyBorder="1" applyFont="1">
      <alignment horizontal="left" readingOrder="0" shrinkToFit="0" vertical="top" wrapText="0"/>
    </xf>
    <xf borderId="7" fillId="2" fontId="18" numFmtId="0" xfId="0" applyAlignment="1" applyBorder="1" applyFont="1">
      <alignment horizontal="left" readingOrder="0" shrinkToFit="0" vertical="top" wrapText="0"/>
    </xf>
    <xf borderId="8" fillId="2" fontId="18" numFmtId="0" xfId="0" applyAlignment="1" applyBorder="1" applyFont="1">
      <alignment horizontal="left" readingOrder="0" shrinkToFit="0" vertical="top" wrapText="0"/>
    </xf>
    <xf borderId="7" fillId="5" fontId="15" numFmtId="0" xfId="0" applyAlignment="1" applyBorder="1" applyFont="1">
      <alignment horizontal="left" readingOrder="0" shrinkToFit="0" vertical="top" wrapText="0"/>
    </xf>
    <xf borderId="6" fillId="0" fontId="15" numFmtId="0" xfId="0" applyAlignment="1" applyBorder="1" applyFont="1">
      <alignment horizontal="left" readingOrder="0" shrinkToFit="0" vertical="top" wrapText="0"/>
    </xf>
    <xf borderId="7" fillId="0" fontId="19" numFmtId="0" xfId="0" applyAlignment="1" applyBorder="1" applyFont="1">
      <alignment horizontal="left" readingOrder="0" shrinkToFit="0" vertical="top" wrapText="0"/>
    </xf>
    <xf borderId="8" fillId="0" fontId="19" numFmtId="0" xfId="0" applyAlignment="1" applyBorder="1" applyFont="1">
      <alignment horizontal="left" readingOrder="0" shrinkToFit="0" vertical="top" wrapText="0"/>
    </xf>
    <xf borderId="6" fillId="0" fontId="20" numFmtId="0" xfId="0" applyAlignment="1" applyBorder="1" applyFont="1">
      <alignment horizontal="left" readingOrder="0" shrinkToFit="0" vertical="top" wrapText="0"/>
    </xf>
    <xf borderId="7" fillId="5" fontId="13" numFmtId="0" xfId="0" applyAlignment="1" applyBorder="1" applyFont="1">
      <alignment horizontal="left" readingOrder="0" shrinkToFit="0" vertical="top" wrapText="0"/>
    </xf>
    <xf borderId="6" fillId="0" fontId="21" numFmtId="0" xfId="0" applyAlignment="1" applyBorder="1" applyFont="1">
      <alignment horizontal="left" readingOrder="0" shrinkToFit="0" vertical="top" wrapText="0"/>
    </xf>
    <xf borderId="6" fillId="2" fontId="22" numFmtId="0" xfId="0" applyAlignment="1" applyBorder="1" applyFont="1">
      <alignment horizontal="left" readingOrder="0" shrinkToFit="0" vertical="top" wrapText="0"/>
    </xf>
    <xf borderId="7" fillId="2" fontId="22" numFmtId="0" xfId="0" applyAlignment="1" applyBorder="1" applyFont="1">
      <alignment horizontal="left" readingOrder="0" shrinkToFit="0" vertical="top" wrapText="0"/>
    </xf>
    <xf borderId="8" fillId="2" fontId="22" numFmtId="0" xfId="0" applyAlignment="1" applyBorder="1" applyFont="1">
      <alignment horizontal="left" readingOrder="0" shrinkToFit="0" vertical="top" wrapText="0"/>
    </xf>
    <xf borderId="6" fillId="8" fontId="9" numFmtId="0" xfId="0" applyAlignment="1" applyBorder="1" applyFill="1" applyFont="1">
      <alignment horizontal="left" readingOrder="0" shrinkToFit="0" vertical="top" wrapText="0"/>
    </xf>
    <xf borderId="7" fillId="8" fontId="5" numFmtId="0" xfId="0" applyAlignment="1" applyBorder="1" applyFont="1">
      <alignment horizontal="left" readingOrder="0" shrinkToFit="0" vertical="top" wrapText="1"/>
    </xf>
    <xf borderId="8" fillId="8" fontId="1" numFmtId="0" xfId="0" applyAlignment="1" applyBorder="1" applyFont="1">
      <alignment horizontal="left" readingOrder="0" vertical="top"/>
    </xf>
    <xf borderId="6" fillId="9" fontId="23" numFmtId="0" xfId="0" applyAlignment="1" applyBorder="1" applyFill="1" applyFont="1">
      <alignment horizontal="left" readingOrder="0" shrinkToFit="0" vertical="top" wrapText="0"/>
    </xf>
    <xf borderId="7" fillId="9" fontId="24" numFmtId="0" xfId="0" applyAlignment="1" applyBorder="1" applyFont="1">
      <alignment horizontal="left" readingOrder="0" shrinkToFit="0" vertical="top" wrapText="1"/>
    </xf>
    <xf borderId="8" fillId="9" fontId="25" numFmtId="0" xfId="0" applyAlignment="1" applyBorder="1" applyFont="1">
      <alignment horizontal="left" readingOrder="0" vertical="top"/>
    </xf>
    <xf borderId="6" fillId="4" fontId="26" numFmtId="0" xfId="0" applyAlignment="1" applyBorder="1" applyFont="1">
      <alignment horizontal="left" readingOrder="0" shrinkToFit="0" vertical="top" wrapText="0"/>
    </xf>
    <xf borderId="7" fillId="4" fontId="12" numFmtId="0" xfId="0" applyAlignment="1" applyBorder="1" applyFont="1">
      <alignment horizontal="left" readingOrder="0" shrinkToFit="0" vertical="top" wrapText="1"/>
    </xf>
    <xf borderId="8" fillId="4" fontId="27" numFmtId="0" xfId="0" applyAlignment="1" applyBorder="1" applyFont="1">
      <alignment horizontal="left" readingOrder="0" vertical="top"/>
    </xf>
    <xf borderId="9" fillId="10" fontId="28" numFmtId="0" xfId="0" applyAlignment="1" applyBorder="1" applyFill="1" applyFont="1">
      <alignment horizontal="left" readingOrder="0" shrinkToFit="0" vertical="top" wrapText="0"/>
    </xf>
    <xf borderId="10" fillId="10" fontId="29" numFmtId="0" xfId="0" applyAlignment="1" applyBorder="1" applyFont="1">
      <alignment horizontal="left" readingOrder="0" shrinkToFit="0" vertical="top" wrapText="0"/>
    </xf>
    <xf borderId="11" fillId="10" fontId="29" numFmtId="0" xfId="0" applyAlignment="1" applyBorder="1" applyFont="1">
      <alignment horizontal="left" readingOrder="0" shrinkToFit="0" vertical="top" wrapText="0"/>
    </xf>
    <xf borderId="12" fillId="11" fontId="30" numFmtId="0" xfId="0" applyAlignment="1" applyBorder="1" applyFill="1" applyFont="1">
      <alignment readingOrder="0" shrinkToFit="0" textRotation="0" vertical="top" wrapText="1"/>
    </xf>
    <xf borderId="12" fillId="11" fontId="31" numFmtId="0" xfId="0" applyAlignment="1" applyBorder="1" applyFont="1">
      <alignment readingOrder="0" shrinkToFit="0" textRotation="0" vertical="top" wrapText="1"/>
    </xf>
    <xf borderId="13" fillId="11" fontId="31" numFmtId="0" xfId="0" applyAlignment="1" applyBorder="1" applyFont="1">
      <alignment readingOrder="0" shrinkToFit="0" textRotation="0" vertical="top" wrapText="1"/>
    </xf>
    <xf borderId="0" fillId="0" fontId="15" numFmtId="0" xfId="0" applyAlignment="1" applyFont="1">
      <alignment horizontal="left" readingOrder="0" shrinkToFit="0" vertical="top" wrapText="0"/>
    </xf>
    <xf borderId="0" fillId="0" fontId="5" numFmtId="0" xfId="0" applyAlignment="1" applyFont="1">
      <alignment horizontal="left" shrinkToFit="0" vertical="top" wrapText="1"/>
    </xf>
    <xf borderId="0" fillId="0" fontId="32"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1" numFmtId="0" xfId="0" applyAlignment="1" applyFont="1">
      <alignment readingOrder="0"/>
    </xf>
    <xf borderId="0" fillId="0" fontId="1" numFmtId="0" xfId="0" applyAlignment="1" applyFont="1">
      <alignment horizontal="left" shrinkToFit="0" vertical="top" wrapText="0"/>
    </xf>
    <xf borderId="14" fillId="12" fontId="33" numFmtId="0" xfId="0" applyAlignment="1" applyBorder="1" applyFill="1" applyFont="1">
      <alignment horizontal="left" readingOrder="0" vertical="top"/>
    </xf>
    <xf borderId="0" fillId="12" fontId="34" numFmtId="0" xfId="0" applyAlignment="1" applyFont="1">
      <alignment horizontal="left" vertical="top"/>
    </xf>
    <xf borderId="14" fillId="12" fontId="34" numFmtId="0" xfId="0" applyAlignment="1" applyBorder="1" applyFont="1">
      <alignment horizontal="left" vertical="top"/>
    </xf>
    <xf borderId="0" fillId="12" fontId="34" numFmtId="0" xfId="0" applyAlignment="1" applyFont="1">
      <alignment horizontal="left" readingOrder="0" vertical="top"/>
    </xf>
    <xf borderId="14" fillId="12" fontId="34" numFmtId="0" xfId="0" applyAlignment="1" applyBorder="1" applyFont="1">
      <alignment horizontal="center" vertical="top"/>
    </xf>
    <xf borderId="0" fillId="12" fontId="35" numFmtId="0" xfId="0" applyAlignment="1" applyFont="1">
      <alignment horizontal="left" vertical="top"/>
    </xf>
    <xf borderId="15" fillId="11" fontId="31" numFmtId="0" xfId="0" applyAlignment="1" applyBorder="1" applyFont="1">
      <alignment readingOrder="0" shrinkToFit="0" textRotation="0" vertical="top" wrapText="1"/>
    </xf>
    <xf borderId="15" fillId="11" fontId="36" numFmtId="0" xfId="0" applyAlignment="1" applyBorder="1" applyFont="1">
      <alignment readingOrder="0" shrinkToFit="0" textRotation="0" vertical="top" wrapText="1"/>
    </xf>
    <xf borderId="2" fillId="3" fontId="37" numFmtId="0" xfId="0" applyAlignment="1" applyBorder="1" applyFont="1">
      <alignment horizontal="left" readingOrder="0" shrinkToFit="0" vertical="top" wrapText="1"/>
    </xf>
    <xf borderId="0" fillId="3" fontId="38" numFmtId="0" xfId="0" applyAlignment="1" applyFont="1">
      <alignment horizontal="left" shrinkToFit="0" vertical="top" wrapText="1"/>
    </xf>
    <xf borderId="16" fillId="0" fontId="0" numFmtId="0" xfId="0" applyAlignment="1" applyBorder="1" applyFont="1">
      <alignment horizontal="left" readingOrder="0" shrinkToFit="0" vertical="bottom" wrapText="0"/>
    </xf>
    <xf borderId="16" fillId="0" fontId="39" numFmtId="0" xfId="0" applyAlignment="1" applyBorder="1" applyFont="1">
      <alignment horizontal="left" readingOrder="0" shrinkToFit="0" vertical="bottom" wrapText="0"/>
    </xf>
    <xf borderId="7" fillId="0" fontId="38" numFmtId="0" xfId="0" applyAlignment="1" applyBorder="1" applyFont="1">
      <alignment horizontal="left" readingOrder="0" shrinkToFit="0" vertical="bottom" wrapText="0"/>
    </xf>
    <xf borderId="16" fillId="0" fontId="38" numFmtId="0" xfId="0" applyAlignment="1" applyBorder="1" applyFont="1">
      <alignment horizontal="left" readingOrder="0" shrinkToFit="0" vertical="bottom" wrapText="0"/>
    </xf>
    <xf borderId="7" fillId="0" fontId="0" numFmtId="0" xfId="0" applyAlignment="1" applyBorder="1" applyFont="1">
      <alignment horizontal="left" readingOrder="0" shrinkToFit="0" vertical="bottom" wrapText="0"/>
    </xf>
    <xf borderId="16" fillId="0" fontId="40" numFmtId="0" xfId="0" applyAlignment="1" applyBorder="1" applyFont="1">
      <alignment horizontal="left" readingOrder="0" shrinkToFit="0" vertical="bottom" wrapText="0"/>
    </xf>
    <xf borderId="16" fillId="8" fontId="41" numFmtId="0" xfId="0" applyAlignment="1" applyBorder="1" applyFont="1">
      <alignment horizontal="left" readingOrder="0" shrinkToFit="0" vertical="top" wrapText="1"/>
    </xf>
    <xf borderId="16" fillId="10" fontId="29" numFmtId="0" xfId="0" applyAlignment="1" applyBorder="1" applyFont="1">
      <alignment horizontal="left" readingOrder="0" shrinkToFit="0" vertical="top" wrapText="0"/>
    </xf>
    <xf borderId="7" fillId="4" fontId="42" numFmtId="0" xfId="0" applyAlignment="1" applyBorder="1" applyFont="1">
      <alignment horizontal="left" readingOrder="0" shrinkToFit="0" vertical="top" wrapText="1"/>
    </xf>
    <xf borderId="14" fillId="0" fontId="0" numFmtId="0" xfId="0" applyAlignment="1" applyBorder="1" applyFont="1">
      <alignment horizontal="left" readingOrder="0" shrinkToFit="0" vertical="top" wrapText="0"/>
    </xf>
    <xf borderId="14" fillId="0" fontId="39" numFmtId="0" xfId="0" applyAlignment="1" applyBorder="1" applyFont="1">
      <alignment horizontal="left" readingOrder="0" shrinkToFit="0" vertical="top" wrapText="0"/>
    </xf>
    <xf borderId="0" fillId="0" fontId="38" numFmtId="0" xfId="0" applyAlignment="1" applyFont="1">
      <alignment horizontal="left" readingOrder="0" shrinkToFit="0" vertical="top" wrapText="0"/>
    </xf>
    <xf borderId="14" fillId="0" fontId="38" numFmtId="0" xfId="0" applyAlignment="1" applyBorder="1" applyFont="1">
      <alignment horizontal="left" readingOrder="0" shrinkToFit="0" vertical="top" wrapText="0"/>
    </xf>
    <xf borderId="0" fillId="0" fontId="0" numFmtId="0" xfId="0" applyAlignment="1" applyFont="1">
      <alignment horizontal="left" readingOrder="0" shrinkToFit="0" vertical="top" wrapText="0"/>
    </xf>
    <xf borderId="16" fillId="8" fontId="43" numFmtId="0" xfId="0" applyAlignment="1" applyBorder="1" applyFont="1">
      <alignment horizontal="left" readingOrder="0" shrinkToFit="0" vertical="top" wrapText="1"/>
    </xf>
    <xf borderId="16" fillId="0" fontId="0" numFmtId="0" xfId="0" applyAlignment="1" applyBorder="1" applyFont="1">
      <alignment horizontal="left" readingOrder="0" shrinkToFit="0" vertical="top" wrapText="0"/>
    </xf>
    <xf borderId="16" fillId="0" fontId="39" numFmtId="0" xfId="0" applyAlignment="1" applyBorder="1" applyFont="1">
      <alignment horizontal="left" readingOrder="0" shrinkToFit="0" vertical="top" wrapText="0"/>
    </xf>
    <xf borderId="7" fillId="0" fontId="38" numFmtId="0" xfId="0" applyAlignment="1" applyBorder="1" applyFont="1">
      <alignment horizontal="left" readingOrder="0" shrinkToFit="0" vertical="top" wrapText="0"/>
    </xf>
    <xf borderId="16" fillId="0" fontId="38" numFmtId="0" xfId="0" applyAlignment="1" applyBorder="1" applyFont="1">
      <alignment horizontal="left" readingOrder="0" shrinkToFit="0" vertical="top" wrapText="0"/>
    </xf>
    <xf borderId="7" fillId="0" fontId="0" numFmtId="0" xfId="0" applyAlignment="1" applyBorder="1" applyFont="1">
      <alignment horizontal="left" readingOrder="0" shrinkToFit="0" vertical="top" wrapText="0"/>
    </xf>
    <xf borderId="16" fillId="0" fontId="0" numFmtId="0" xfId="0" applyAlignment="1" applyBorder="1" applyFont="1">
      <alignment horizontal="left" readingOrder="0" shrinkToFit="0" vertical="top" wrapText="0"/>
    </xf>
    <xf borderId="16" fillId="0" fontId="39" numFmtId="0" xfId="0" applyAlignment="1" applyBorder="1" applyFont="1">
      <alignment horizontal="left" readingOrder="0" shrinkToFit="0" vertical="top" wrapText="0"/>
    </xf>
    <xf borderId="7" fillId="0" fontId="38" numFmtId="0" xfId="0" applyAlignment="1" applyBorder="1" applyFont="1">
      <alignment horizontal="left" readingOrder="0" shrinkToFit="0" vertical="top" wrapText="0"/>
    </xf>
    <xf borderId="16" fillId="0" fontId="38" numFmtId="0" xfId="0" applyAlignment="1" applyBorder="1" applyFont="1">
      <alignment horizontal="left" readingOrder="0" shrinkToFit="0" vertical="top" wrapText="0"/>
    </xf>
    <xf borderId="7" fillId="0" fontId="0" numFmtId="0" xfId="0" applyAlignment="1" applyBorder="1" applyFont="1">
      <alignment horizontal="left" readingOrder="0" shrinkToFit="0" vertical="top" wrapText="0"/>
    </xf>
    <xf borderId="16" fillId="8" fontId="43" numFmtId="165" xfId="0" applyAlignment="1" applyBorder="1" applyFont="1" applyNumberFormat="1">
      <alignment horizontal="left" readingOrder="0" shrinkToFit="0" vertical="top" wrapText="1"/>
    </xf>
    <xf borderId="7" fillId="4" fontId="42" numFmtId="165" xfId="0" applyAlignment="1" applyBorder="1" applyFont="1" applyNumberFormat="1">
      <alignment horizontal="left" readingOrder="0" shrinkToFit="0" vertical="top" wrapText="1"/>
    </xf>
    <xf borderId="7" fillId="0" fontId="44" numFmtId="0" xfId="0" applyAlignment="1" applyBorder="1" applyFont="1">
      <alignment horizontal="left" readingOrder="0" shrinkToFit="0" vertical="top" wrapText="0"/>
    </xf>
    <xf borderId="17" fillId="0" fontId="0" numFmtId="0" xfId="0" applyAlignment="1" applyBorder="1" applyFont="1">
      <alignment horizontal="left" readingOrder="0" shrinkToFit="0" vertical="top" wrapText="0"/>
    </xf>
    <xf borderId="17" fillId="0" fontId="39" numFmtId="0" xfId="0" applyAlignment="1" applyBorder="1" applyFont="1">
      <alignment horizontal="left" readingOrder="0" shrinkToFit="0" vertical="top" wrapText="0"/>
    </xf>
    <xf borderId="18" fillId="0" fontId="44" numFmtId="0" xfId="0" applyAlignment="1" applyBorder="1" applyFont="1">
      <alignment horizontal="left" readingOrder="0" shrinkToFit="0" vertical="top" wrapText="0"/>
    </xf>
    <xf borderId="17" fillId="0" fontId="44" numFmtId="0" xfId="0" applyAlignment="1" applyBorder="1" applyFont="1">
      <alignment horizontal="left" readingOrder="0" shrinkToFit="0" vertical="top" wrapText="0"/>
    </xf>
    <xf borderId="18" fillId="0" fontId="0" numFmtId="0" xfId="0" applyAlignment="1" applyBorder="1" applyFont="1">
      <alignment horizontal="left" readingOrder="0" shrinkToFit="0" vertical="top" wrapText="0"/>
    </xf>
    <xf borderId="17" fillId="0" fontId="40" numFmtId="0" xfId="0" applyAlignment="1" applyBorder="1" applyFont="1">
      <alignment horizontal="left" readingOrder="0" shrinkToFit="0" vertical="bottom" wrapText="0"/>
    </xf>
    <xf borderId="17" fillId="8" fontId="43" numFmtId="0" xfId="0" applyAlignment="1" applyBorder="1" applyFont="1">
      <alignment horizontal="left" readingOrder="0" shrinkToFit="0" vertical="top" wrapText="1"/>
    </xf>
    <xf borderId="19" fillId="10" fontId="29" numFmtId="0" xfId="0" applyAlignment="1" applyBorder="1" applyFont="1">
      <alignment horizontal="left" readingOrder="0" shrinkToFit="0" vertical="top" wrapText="0"/>
    </xf>
    <xf borderId="18" fillId="4" fontId="42" numFmtId="0" xfId="0" applyAlignment="1" applyBorder="1" applyFont="1">
      <alignment horizontal="left" readingOrder="0" shrinkToFit="0" vertical="top" wrapText="1"/>
    </xf>
    <xf borderId="20" fillId="0" fontId="0" numFmtId="0" xfId="0" applyAlignment="1" applyBorder="1" applyFont="1">
      <alignment horizontal="left" readingOrder="0" shrinkToFit="0" vertical="bottom" wrapText="0"/>
    </xf>
    <xf borderId="20" fillId="0" fontId="39" numFmtId="0" xfId="0" applyAlignment="1" applyBorder="1" applyFont="1">
      <alignment horizontal="left" readingOrder="0" shrinkToFit="0" vertical="bottom" wrapText="0"/>
    </xf>
    <xf borderId="21" fillId="0" fontId="38" numFmtId="0" xfId="0" applyAlignment="1" applyBorder="1" applyFont="1">
      <alignment horizontal="left" readingOrder="0" shrinkToFit="0" vertical="bottom" wrapText="0"/>
    </xf>
    <xf borderId="20" fillId="0" fontId="38" numFmtId="0" xfId="0" applyAlignment="1" applyBorder="1" applyFont="1">
      <alignment horizontal="left" readingOrder="0" shrinkToFit="0" vertical="bottom" wrapText="0"/>
    </xf>
    <xf borderId="21" fillId="0" fontId="0" numFmtId="0" xfId="0" applyAlignment="1" applyBorder="1" applyFont="1">
      <alignment horizontal="left" readingOrder="0" shrinkToFit="0" vertical="bottom" wrapText="0"/>
    </xf>
    <xf borderId="20" fillId="0" fontId="40" numFmtId="0" xfId="0" applyAlignment="1" applyBorder="1" applyFont="1">
      <alignment horizontal="left" readingOrder="0" shrinkToFit="0" vertical="bottom" wrapText="0"/>
    </xf>
    <xf borderId="20" fillId="8" fontId="43" numFmtId="0" xfId="0" applyAlignment="1" applyBorder="1" applyFont="1">
      <alignment horizontal="left" readingOrder="0" shrinkToFit="0" vertical="top" wrapText="1"/>
    </xf>
    <xf borderId="21" fillId="4" fontId="42" numFmtId="0" xfId="0" applyAlignment="1" applyBorder="1" applyFont="1">
      <alignment horizontal="left" readingOrder="0" shrinkToFit="0" vertical="top" wrapText="1"/>
    </xf>
    <xf borderId="16" fillId="0" fontId="44" numFmtId="0" xfId="0" applyAlignment="1" applyBorder="1" applyFont="1">
      <alignment horizontal="left" readingOrder="0" shrinkToFit="0" vertical="top" wrapText="0"/>
    </xf>
    <xf borderId="16" fillId="8" fontId="45" numFmtId="0" xfId="0" applyAlignment="1" applyBorder="1" applyFont="1">
      <alignment horizontal="left" readingOrder="0" shrinkToFit="0" vertical="top" wrapText="1"/>
    </xf>
    <xf borderId="16" fillId="0" fontId="44" numFmtId="0" xfId="0" applyAlignment="1" applyBorder="1" applyFont="1">
      <alignment horizontal="left" readingOrder="0" shrinkToFit="0" vertical="top" wrapText="0"/>
    </xf>
    <xf borderId="16" fillId="10" fontId="43" numFmtId="0" xfId="0" applyAlignment="1" applyBorder="1" applyFont="1">
      <alignment horizontal="left" readingOrder="0" shrinkToFit="0" vertical="top" wrapText="1"/>
    </xf>
    <xf borderId="7" fillId="0" fontId="46" numFmtId="0" xfId="0" applyAlignment="1" applyBorder="1" applyFont="1">
      <alignment horizontal="left" readingOrder="0" shrinkToFit="0" vertical="top" wrapText="0"/>
    </xf>
    <xf borderId="7" fillId="0" fontId="47" numFmtId="0" xfId="0" applyAlignment="1" applyBorder="1" applyFont="1">
      <alignment horizontal="left" readingOrder="0" shrinkToFit="0" vertical="top" wrapText="0"/>
    </xf>
    <xf borderId="22" fillId="0" fontId="0" numFmtId="0" xfId="0" applyAlignment="1" applyBorder="1" applyFont="1">
      <alignment horizontal="left" readingOrder="0" shrinkToFit="0" vertical="bottom" wrapText="0"/>
    </xf>
    <xf borderId="18" fillId="0" fontId="38" numFmtId="0" xfId="0" applyAlignment="1" applyBorder="1" applyFont="1">
      <alignment horizontal="left" readingOrder="0" shrinkToFit="0" vertical="top" wrapText="0"/>
    </xf>
    <xf borderId="17" fillId="0" fontId="38" numFmtId="0" xfId="0" applyAlignment="1" applyBorder="1" applyFont="1">
      <alignment horizontal="left" readingOrder="0" shrinkToFit="0" vertical="top" wrapText="0"/>
    </xf>
    <xf borderId="20" fillId="0" fontId="0" numFmtId="0" xfId="0" applyAlignment="1" applyBorder="1" applyFont="1">
      <alignment horizontal="left" readingOrder="0" shrinkToFit="0" vertical="top" wrapText="0"/>
    </xf>
    <xf borderId="20" fillId="0" fontId="39" numFmtId="0" xfId="0" applyAlignment="1" applyBorder="1" applyFont="1">
      <alignment horizontal="left" readingOrder="0" shrinkToFit="0" vertical="top" wrapText="0"/>
    </xf>
    <xf borderId="21" fillId="0" fontId="38" numFmtId="0" xfId="0" applyAlignment="1" applyBorder="1" applyFont="1">
      <alignment horizontal="left" readingOrder="0" shrinkToFit="0" vertical="top" wrapText="0"/>
    </xf>
    <xf borderId="20" fillId="0" fontId="38" numFmtId="0" xfId="0" applyAlignment="1" applyBorder="1" applyFont="1">
      <alignment horizontal="left" readingOrder="0" shrinkToFit="0" vertical="top" wrapText="0"/>
    </xf>
    <xf borderId="21" fillId="0" fontId="0" numFmtId="0" xfId="0" applyAlignment="1" applyBorder="1" applyFont="1">
      <alignment horizontal="left" readingOrder="0" shrinkToFit="0" vertical="top" wrapText="0"/>
    </xf>
    <xf borderId="20" fillId="10" fontId="43" numFmtId="0" xfId="0" applyAlignment="1" applyBorder="1" applyFont="1">
      <alignment horizontal="left" readingOrder="0" shrinkToFit="0" vertical="top" wrapText="1"/>
    </xf>
    <xf borderId="20" fillId="0" fontId="44" numFmtId="0" xfId="0" applyAlignment="1" applyBorder="1" applyFont="1">
      <alignment horizontal="left" readingOrder="0" shrinkToFit="0" vertical="top" wrapText="0"/>
    </xf>
    <xf borderId="7" fillId="0" fontId="48" numFmtId="0" xfId="0" applyAlignment="1" applyBorder="1" applyFont="1">
      <alignment horizontal="left" readingOrder="0" shrinkToFit="0" vertical="top" wrapText="0"/>
    </xf>
    <xf borderId="7" fillId="0" fontId="40" numFmtId="0" xfId="0" applyAlignment="1" applyBorder="1" applyFont="1">
      <alignment horizontal="left" readingOrder="0" shrinkToFit="0" vertical="top" wrapText="0"/>
    </xf>
    <xf borderId="16" fillId="0" fontId="49" numFmtId="0" xfId="0" applyAlignment="1" applyBorder="1" applyFont="1">
      <alignment horizontal="left" readingOrder="0" shrinkToFit="0" vertical="bottom" wrapText="0"/>
    </xf>
    <xf borderId="7" fillId="0" fontId="47" numFmtId="0" xfId="0" applyAlignment="1" applyBorder="1" applyFont="1">
      <alignment horizontal="left" readingOrder="0" shrinkToFit="0" vertical="top" wrapText="0"/>
    </xf>
    <xf borderId="7" fillId="0" fontId="44" numFmtId="0" xfId="0" applyAlignment="1" applyBorder="1" applyFont="1">
      <alignment horizontal="left" readingOrder="0" shrinkToFit="0" vertical="top" wrapText="0"/>
    </xf>
    <xf borderId="14" fillId="0" fontId="1" numFmtId="0" xfId="0" applyAlignment="1" applyBorder="1" applyFont="1">
      <alignment horizontal="left"/>
    </xf>
    <xf borderId="14" fillId="0" fontId="0" numFmtId="0" xfId="0" applyAlignment="1" applyBorder="1" applyFont="1">
      <alignment horizontal="left"/>
    </xf>
    <xf borderId="0" fillId="0" fontId="1" numFmtId="0" xfId="0" applyAlignment="1" applyFont="1">
      <alignment horizontal="left"/>
    </xf>
    <xf borderId="0" fillId="0" fontId="50" numFmtId="0" xfId="0" applyFont="1"/>
    <xf borderId="14" fillId="0" fontId="0" numFmtId="0" xfId="0" applyAlignment="1" applyBorder="1" applyFont="1">
      <alignment horizontal="left" readingOrder="0" shrinkToFit="0" wrapText="0"/>
    </xf>
    <xf borderId="0" fillId="0" fontId="50" numFmtId="0" xfId="0" applyAlignment="1" applyFont="1">
      <alignment horizontal="left"/>
    </xf>
    <xf borderId="0" fillId="0" fontId="51" numFmtId="0" xfId="0" applyAlignment="1" applyFont="1">
      <alignment horizontal="left" shrinkToFit="0" textRotation="0" vertical="top" wrapText="1"/>
    </xf>
    <xf borderId="3" fillId="12" fontId="33" numFmtId="0" xfId="0" applyAlignment="1" applyBorder="1" applyFont="1">
      <alignment horizontal="left" readingOrder="0" shrinkToFit="0" textRotation="0" vertical="top" wrapText="1"/>
    </xf>
    <xf borderId="15" fillId="12" fontId="33" numFmtId="0" xfId="0" applyAlignment="1" applyBorder="1" applyFont="1">
      <alignment horizontal="left" readingOrder="0" shrinkToFit="0" textRotation="0" vertical="top" wrapText="1"/>
    </xf>
    <xf borderId="15" fillId="12" fontId="33" numFmtId="0" xfId="0" applyAlignment="1" applyBorder="1" applyFont="1">
      <alignment horizontal="left" readingOrder="0" shrinkToFit="0" vertical="top" wrapText="1"/>
    </xf>
    <xf borderId="15" fillId="13" fontId="10" numFmtId="0" xfId="0" applyAlignment="1" applyBorder="1" applyFill="1" applyFont="1">
      <alignment shrinkToFit="0" vertical="top" wrapText="1"/>
    </xf>
    <xf borderId="15" fillId="13" fontId="10" numFmtId="0" xfId="0" applyAlignment="1" applyBorder="1" applyFont="1">
      <alignment readingOrder="0" shrinkToFit="0" vertical="top" wrapText="1"/>
    </xf>
    <xf borderId="15" fillId="12" fontId="34" numFmtId="0" xfId="0" applyAlignment="1" applyBorder="1" applyFont="1">
      <alignment horizontal="left" shrinkToFit="0" vertical="top" wrapText="1"/>
    </xf>
    <xf borderId="3" fillId="0" fontId="52" numFmtId="0" xfId="0" applyAlignment="1" applyBorder="1" applyFont="1">
      <alignment horizontal="left" readingOrder="0" shrinkToFit="0" textRotation="0" vertical="top" wrapText="1"/>
    </xf>
    <xf borderId="15" fillId="0" fontId="52" numFmtId="0" xfId="0" applyAlignment="1" applyBorder="1" applyFont="1">
      <alignment horizontal="left" readingOrder="0" shrinkToFit="0" vertical="top" wrapText="1"/>
    </xf>
    <xf borderId="2" fillId="3" fontId="53" numFmtId="0" xfId="0" applyAlignment="1" applyBorder="1" applyFont="1">
      <alignment shrinkToFit="0" vertical="top" wrapText="1"/>
    </xf>
    <xf borderId="15" fillId="0" fontId="54" numFmtId="0" xfId="0" applyAlignment="1" applyBorder="1" applyFont="1">
      <alignment horizontal="left" readingOrder="0" shrinkToFit="0" vertical="top" wrapText="1"/>
    </xf>
    <xf borderId="15" fillId="0" fontId="52" numFmtId="0" xfId="0" applyAlignment="1" applyBorder="1" applyFont="1">
      <alignment horizontal="left" shrinkToFit="0" vertical="top" wrapText="1"/>
    </xf>
    <xf borderId="0" fillId="0" fontId="55" numFmtId="0" xfId="0" applyAlignment="1" applyFont="1">
      <alignment horizontal="left" readingOrder="0" shrinkToFit="0" textRotation="0" vertical="top" wrapText="1"/>
    </xf>
    <xf borderId="3" fillId="0" fontId="56" numFmtId="0" xfId="0" applyAlignment="1" applyBorder="1" applyFont="1">
      <alignment horizontal="left" readingOrder="0" shrinkToFit="0" vertical="top" wrapText="1"/>
    </xf>
    <xf borderId="15" fillId="0" fontId="57" numFmtId="0" xfId="0" applyAlignment="1" applyBorder="1" applyFont="1">
      <alignment horizontal="left" readingOrder="0" shrinkToFit="0" vertical="top" wrapText="1"/>
    </xf>
    <xf borderId="15" fillId="0" fontId="56" numFmtId="0" xfId="0" applyAlignment="1" applyBorder="1" applyFont="1">
      <alignment horizontal="left" readingOrder="0" shrinkToFit="0" vertical="top" wrapText="1"/>
    </xf>
    <xf borderId="15" fillId="0" fontId="58" numFmtId="0" xfId="0" applyAlignment="1" applyBorder="1" applyFont="1">
      <alignment shrinkToFit="0" vertical="top" wrapText="1"/>
    </xf>
    <xf borderId="3" fillId="0" fontId="42" numFmtId="0" xfId="0" applyAlignment="1" applyBorder="1" applyFont="1">
      <alignment horizontal="left" readingOrder="0" shrinkToFit="0" textRotation="0" vertical="top" wrapText="1"/>
    </xf>
    <xf borderId="15" fillId="0" fontId="42" numFmtId="0" xfId="0" applyAlignment="1" applyBorder="1" applyFont="1">
      <alignment horizontal="left" readingOrder="0" shrinkToFit="0" textRotation="0" vertical="top" wrapText="0"/>
    </xf>
    <xf borderId="15" fillId="0" fontId="42" numFmtId="0" xfId="0" applyAlignment="1" applyBorder="1" applyFont="1">
      <alignment horizontal="left" readingOrder="0" shrinkToFit="0" textRotation="0" vertical="top" wrapText="1"/>
    </xf>
    <xf borderId="15" fillId="0" fontId="59" numFmtId="0" xfId="0" applyAlignment="1" applyBorder="1" applyFont="1">
      <alignment shrinkToFit="0" textRotation="0" vertical="top" wrapText="0"/>
    </xf>
    <xf borderId="15" fillId="0" fontId="42" numFmtId="0" xfId="0" applyAlignment="1" applyBorder="1" applyFont="1">
      <alignment horizontal="left" readingOrder="0" shrinkToFit="0" vertical="top" wrapText="1"/>
    </xf>
    <xf borderId="15" fillId="0" fontId="59" numFmtId="0" xfId="0" applyAlignment="1" applyBorder="1" applyFont="1">
      <alignment shrinkToFit="0" vertical="top" wrapText="1"/>
    </xf>
    <xf borderId="0" fillId="0" fontId="60" numFmtId="0" xfId="0" applyAlignment="1" applyFont="1">
      <alignment horizontal="left" readingOrder="0" shrinkToFit="0" textRotation="0" vertical="top" wrapText="1"/>
    </xf>
    <xf borderId="15" fillId="0" fontId="40" numFmtId="0" xfId="0" applyAlignment="1" applyBorder="1" applyFont="1">
      <alignment horizontal="left" readingOrder="0" shrinkToFit="0" vertical="bottom" wrapText="0"/>
    </xf>
    <xf borderId="15" fillId="0" fontId="61" numFmtId="0" xfId="0" applyAlignment="1" applyBorder="1" applyFont="1">
      <alignment horizontal="left" readingOrder="0" shrinkToFit="0" vertical="bottom" wrapText="0"/>
    </xf>
    <xf borderId="15" fillId="10" fontId="62" numFmtId="0" xfId="0" applyBorder="1" applyFont="1"/>
    <xf borderId="15" fillId="10" fontId="62" numFmtId="0" xfId="0" applyAlignment="1" applyBorder="1" applyFont="1">
      <alignment readingOrder="0"/>
    </xf>
    <xf borderId="15" fillId="10" fontId="29" numFmtId="0" xfId="0" applyAlignment="1" applyBorder="1" applyFont="1">
      <alignment vertical="bottom"/>
    </xf>
    <xf borderId="0" fillId="0" fontId="0" numFmtId="0" xfId="0" applyAlignment="1" applyFont="1">
      <alignment horizontal="left" vertical="top"/>
    </xf>
    <xf borderId="23" fillId="8" fontId="56" numFmtId="0" xfId="0" applyAlignment="1" applyBorder="1" applyFont="1">
      <alignment horizontal="left" readingOrder="0" shrinkToFit="0" textRotation="0" vertical="top" wrapText="0"/>
    </xf>
    <xf borderId="24" fillId="8" fontId="43" numFmtId="0" xfId="0" applyAlignment="1" applyBorder="1" applyFont="1">
      <alignment horizontal="left" readingOrder="0" shrinkToFit="0" textRotation="0" vertical="top" wrapText="0"/>
    </xf>
    <xf borderId="24" fillId="8" fontId="56" numFmtId="0" xfId="0" applyAlignment="1" applyBorder="1" applyFont="1">
      <alignment horizontal="left" readingOrder="0" vertical="top"/>
    </xf>
    <xf borderId="25" fillId="8" fontId="63" numFmtId="0" xfId="0" applyAlignment="1" applyBorder="1" applyFont="1">
      <alignment horizontal="left" readingOrder="0" vertical="top"/>
    </xf>
    <xf borderId="24" fillId="8" fontId="63" numFmtId="0" xfId="0" applyAlignment="1" applyBorder="1" applyFont="1">
      <alignment horizontal="left" readingOrder="0" vertical="top"/>
    </xf>
    <xf borderId="24" fillId="8" fontId="64" numFmtId="0" xfId="0" applyAlignment="1" applyBorder="1" applyFont="1">
      <alignment horizontal="left" readingOrder="0" vertical="top"/>
    </xf>
    <xf borderId="24" fillId="8" fontId="56" numFmtId="0" xfId="0" applyAlignment="1" applyBorder="1" applyFont="1">
      <alignment horizontal="left" readingOrder="0" shrinkToFit="0" textRotation="0" vertical="top" wrapText="0"/>
    </xf>
    <xf borderId="24" fillId="8" fontId="64" numFmtId="0" xfId="0" applyAlignment="1" applyBorder="1" applyFont="1">
      <alignment horizontal="left" vertical="top"/>
    </xf>
    <xf borderId="25" fillId="8" fontId="43" numFmtId="0" xfId="0" applyAlignment="1" applyBorder="1" applyFont="1">
      <alignment horizontal="left" readingOrder="0" shrinkToFit="0" textRotation="0" vertical="top" wrapText="0"/>
    </xf>
    <xf borderId="25" fillId="8" fontId="56" numFmtId="0" xfId="0" applyAlignment="1" applyBorder="1" applyFont="1">
      <alignment horizontal="left" readingOrder="0" vertical="top"/>
    </xf>
    <xf borderId="25" fillId="8" fontId="64" numFmtId="0" xfId="0" applyAlignment="1" applyBorder="1" applyFont="1">
      <alignment horizontal="left" vertical="top"/>
    </xf>
    <xf borderId="25" fillId="8" fontId="64" numFmtId="0" xfId="0" applyAlignment="1" applyBorder="1" applyFont="1">
      <alignment horizontal="left" readingOrder="0" vertical="top"/>
    </xf>
    <xf borderId="25" fillId="8" fontId="43" numFmtId="0" xfId="0" applyAlignment="1" applyBorder="1" applyFont="1">
      <alignment horizontal="left" shrinkToFit="0" textRotation="0" vertical="top" wrapText="0"/>
    </xf>
    <xf borderId="25" fillId="8" fontId="56" numFmtId="0" xfId="0" applyAlignment="1" applyBorder="1" applyFont="1">
      <alignment horizontal="left" vertical="top"/>
    </xf>
    <xf borderId="26" fillId="8" fontId="64" numFmtId="0" xfId="0" applyAlignment="1" applyBorder="1" applyFont="1">
      <alignment horizontal="left" vertical="top"/>
    </xf>
    <xf borderId="26" fillId="8" fontId="63" numFmtId="0" xfId="0" applyAlignment="1" applyBorder="1" applyFont="1">
      <alignment horizontal="left" readingOrder="0" vertical="top"/>
    </xf>
    <xf borderId="26" fillId="8" fontId="64" numFmtId="0" xfId="0" applyAlignment="1" applyBorder="1" applyFont="1">
      <alignment horizontal="left" readingOrder="0" vertical="top"/>
    </xf>
    <xf borderId="25" fillId="8" fontId="43" numFmtId="0" xfId="0" applyAlignment="1" applyBorder="1" applyFont="1">
      <alignment horizontal="left" textRotation="0" vertical="top"/>
    </xf>
    <xf borderId="0" fillId="14" fontId="56" numFmtId="0" xfId="0" applyAlignment="1" applyFill="1" applyFont="1">
      <alignment horizontal="left" textRotation="0" vertical="top"/>
    </xf>
    <xf borderId="3" fillId="0" fontId="65" numFmtId="0" xfId="0" applyAlignment="1" applyBorder="1" applyFont="1">
      <alignment horizontal="left" readingOrder="0" shrinkToFit="0" textRotation="0" vertical="top" wrapText="1"/>
    </xf>
    <xf borderId="15" fillId="12" fontId="34" numFmtId="0" xfId="0" applyAlignment="1" applyBorder="1" applyFont="1">
      <alignment horizontal="left" shrinkToFit="0" textRotation="0" vertical="top" wrapText="1"/>
    </xf>
    <xf borderId="3" fillId="0" fontId="51" numFmtId="0" xfId="0" applyAlignment="1" applyBorder="1" applyFont="1">
      <alignment horizontal="left" shrinkToFit="0" textRotation="0" vertical="top" wrapText="1"/>
    </xf>
    <xf borderId="15" fillId="0" fontId="52" numFmtId="0" xfId="0" applyAlignment="1" applyBorder="1" applyFont="1">
      <alignment horizontal="left" readingOrder="0" shrinkToFit="0" textRotation="0" vertical="top" wrapText="1"/>
    </xf>
    <xf borderId="15" fillId="0" fontId="52" numFmtId="0" xfId="0" applyAlignment="1" applyBorder="1" applyFont="1">
      <alignment horizontal="left" shrinkToFit="0" textRotation="0" vertical="top" wrapText="1"/>
    </xf>
    <xf borderId="3" fillId="0" fontId="55" numFmtId="0" xfId="0" applyAlignment="1" applyBorder="1" applyFont="1">
      <alignment horizontal="left" readingOrder="0" shrinkToFit="0" textRotation="0" vertical="top" wrapText="1"/>
    </xf>
    <xf borderId="3" fillId="0" fontId="1" numFmtId="0" xfId="0" applyAlignment="1" applyBorder="1" applyFont="1">
      <alignment horizontal="left" shrinkToFit="0" textRotation="0" vertical="top" wrapText="0"/>
    </xf>
    <xf borderId="24" fillId="8" fontId="43" numFmtId="0" xfId="0" applyAlignment="1" applyBorder="1" applyFont="1">
      <alignment horizontal="left" readingOrder="0" vertical="top"/>
    </xf>
    <xf borderId="3" fillId="0" fontId="0" numFmtId="0" xfId="0" applyAlignment="1" applyBorder="1" applyFont="1">
      <alignment horizontal="left" shrinkToFit="0" textRotation="0" vertical="top" wrapText="0"/>
    </xf>
    <xf borderId="3" fillId="0" fontId="1" numFmtId="0" xfId="0" applyAlignment="1" applyBorder="1" applyFont="1">
      <alignment horizontal="left" textRotation="0" vertical="top"/>
    </xf>
    <xf borderId="0" fillId="0" fontId="65" numFmtId="0" xfId="0" applyAlignment="1" applyFont="1">
      <alignment horizontal="left" readingOrder="0" shrinkToFit="0" textRotation="0" vertical="top" wrapText="1"/>
    </xf>
    <xf borderId="15" fillId="12" fontId="66" numFmtId="0" xfId="0" applyAlignment="1" applyBorder="1" applyFont="1">
      <alignment horizontal="left" readingOrder="0" shrinkToFit="0" textRotation="0" vertical="top" wrapText="1"/>
    </xf>
    <xf borderId="15" fillId="15" fontId="51" numFmtId="0" xfId="0" applyAlignment="1" applyBorder="1" applyFill="1" applyFont="1">
      <alignment horizontal="left" readingOrder="0" shrinkToFit="0" textRotation="0" vertical="top" wrapText="1"/>
    </xf>
    <xf borderId="15" fillId="15" fontId="65" numFmtId="0" xfId="0" applyAlignment="1" applyBorder="1" applyFont="1">
      <alignment horizontal="left" readingOrder="0" shrinkToFit="0" textRotation="0" vertical="top" wrapText="1"/>
    </xf>
    <xf borderId="2" fillId="3" fontId="37" numFmtId="0" xfId="0" applyAlignment="1" applyBorder="1" applyFont="1">
      <alignment horizontal="left" shrinkToFit="0" vertical="top" wrapText="1"/>
    </xf>
    <xf borderId="15" fillId="0" fontId="37" numFmtId="0" xfId="0" applyAlignment="1" applyBorder="1" applyFont="1">
      <alignment horizontal="left" readingOrder="0" shrinkToFit="0" vertical="top" wrapText="1"/>
    </xf>
    <xf borderId="15" fillId="0" fontId="57" numFmtId="0" xfId="0" applyAlignment="1" applyBorder="1" applyFont="1">
      <alignment horizontal="left" readingOrder="0" shrinkToFit="0" vertical="top" wrapText="0"/>
    </xf>
    <xf borderId="0" fillId="0" fontId="55" numFmtId="0" xfId="0" applyAlignment="1" applyFont="1">
      <alignment horizontal="left" readingOrder="0" shrinkToFit="0" textRotation="0" vertical="top" wrapText="0"/>
    </xf>
    <xf borderId="15" fillId="0" fontId="42" numFmtId="0" xfId="0" applyAlignment="1" applyBorder="1" applyFont="1">
      <alignment shrinkToFit="0" textRotation="0" vertical="top" wrapText="0"/>
    </xf>
    <xf borderId="15" fillId="0" fontId="59" numFmtId="0" xfId="0" applyAlignment="1" applyBorder="1" applyFont="1">
      <alignment shrinkToFit="0" textRotation="0" vertical="top" wrapText="1"/>
    </xf>
    <xf borderId="15" fillId="0" fontId="42" numFmtId="0" xfId="0" applyAlignment="1" applyBorder="1" applyFont="1">
      <alignment shrinkToFit="0" textRotation="0" vertical="top" wrapText="1"/>
    </xf>
    <xf borderId="15" fillId="6" fontId="67" numFmtId="0" xfId="0" applyAlignment="1" applyBorder="1" applyFont="1">
      <alignment vertical="bottom"/>
    </xf>
    <xf borderId="15" fillId="4" fontId="42" numFmtId="0" xfId="0" applyAlignment="1" applyBorder="1" applyFont="1">
      <alignment readingOrder="0" shrinkToFit="0" textRotation="0" vertical="top" wrapText="1"/>
    </xf>
    <xf borderId="15" fillId="10" fontId="29" numFmtId="0" xfId="0" applyAlignment="1" applyBorder="1" applyFont="1">
      <alignment readingOrder="0" vertical="bottom"/>
    </xf>
    <xf borderId="0" fillId="0" fontId="1" numFmtId="0" xfId="0" applyAlignment="1" applyFont="1">
      <alignment horizontal="left" shrinkToFit="0" textRotation="0" vertical="top" wrapText="0"/>
    </xf>
    <xf borderId="24" fillId="8" fontId="63" numFmtId="0" xfId="0" applyAlignment="1" applyBorder="1" applyFont="1">
      <alignment horizontal="left" vertical="top"/>
    </xf>
    <xf borderId="24" fillId="4" fontId="56" numFmtId="0" xfId="0" applyAlignment="1" applyBorder="1" applyFont="1">
      <alignment horizontal="left" readingOrder="0" shrinkToFit="0" textRotation="0" vertical="top" wrapText="0"/>
    </xf>
    <xf borderId="24" fillId="8" fontId="63" numFmtId="0" xfId="0" applyAlignment="1" applyBorder="1" applyFont="1">
      <alignment horizontal="left" shrinkToFit="0" textRotation="0" vertical="top" wrapText="0"/>
    </xf>
    <xf borderId="24" fillId="8" fontId="63" numFmtId="0" xfId="0" applyAlignment="1" applyBorder="1" applyFont="1">
      <alignment horizontal="left" readingOrder="0" shrinkToFit="0" textRotation="0" vertical="top" wrapText="0"/>
    </xf>
    <xf borderId="25" fillId="8" fontId="63" numFmtId="0" xfId="0" applyAlignment="1" applyBorder="1" applyFont="1">
      <alignment horizontal="left" vertical="top"/>
    </xf>
    <xf borderId="25" fillId="8" fontId="63" numFmtId="0" xfId="0" applyAlignment="1" applyBorder="1" applyFont="1">
      <alignment horizontal="left" shrinkToFit="0" textRotation="0" vertical="top" wrapText="0"/>
    </xf>
    <xf borderId="0" fillId="0" fontId="0" numFmtId="0" xfId="0" applyAlignment="1" applyFont="1">
      <alignment horizontal="left" readingOrder="0" shrinkToFit="0" textRotation="0" vertical="top" wrapText="0"/>
    </xf>
    <xf borderId="25" fillId="8" fontId="63" numFmtId="3" xfId="0" applyAlignment="1" applyBorder="1" applyFont="1" applyNumberFormat="1">
      <alignment horizontal="left" readingOrder="0" vertical="top"/>
    </xf>
    <xf borderId="0" fillId="0" fontId="1" numFmtId="0" xfId="0" applyAlignment="1" applyFont="1">
      <alignment horizontal="left" textRotation="0" vertical="top"/>
    </xf>
    <xf borderId="25" fillId="8" fontId="63" numFmtId="0" xfId="0" applyAlignment="1" applyBorder="1" applyFont="1">
      <alignment horizontal="left" textRotation="0" vertical="top"/>
    </xf>
    <xf borderId="15" fillId="0" fontId="53" numFmtId="0" xfId="0" applyAlignment="1" applyBorder="1" applyFont="1">
      <alignment shrinkToFit="0" vertical="top" wrapText="1"/>
    </xf>
    <xf borderId="2" fillId="5" fontId="68" numFmtId="0" xfId="0" applyAlignment="1" applyBorder="1" applyFont="1">
      <alignment shrinkToFit="0" vertical="top" wrapText="1"/>
    </xf>
    <xf borderId="15" fillId="0" fontId="69" numFmtId="0" xfId="0" applyAlignment="1" applyBorder="1" applyFont="1">
      <alignment shrinkToFit="0" vertical="top" wrapText="1"/>
    </xf>
    <xf borderId="15" fillId="0" fontId="70" numFmtId="0" xfId="0" applyAlignment="1" applyBorder="1" applyFont="1">
      <alignment shrinkToFit="0" textRotation="0" vertical="top" wrapText="1"/>
    </xf>
    <xf borderId="15" fillId="0" fontId="70" numFmtId="0" xfId="0" applyAlignment="1" applyBorder="1" applyFont="1">
      <alignment shrinkToFit="0" vertical="top" wrapText="1"/>
    </xf>
    <xf borderId="15" fillId="6" fontId="19" numFmtId="0" xfId="0" applyAlignment="1" applyBorder="1" applyFont="1">
      <alignment vertical="bottom"/>
    </xf>
    <xf borderId="15" fillId="5" fontId="67" numFmtId="0" xfId="0" applyAlignment="1" applyBorder="1" applyFont="1">
      <alignment vertical="bottom"/>
    </xf>
    <xf borderId="15" fillId="16" fontId="71" numFmtId="0" xfId="0" applyAlignment="1" applyBorder="1" applyFill="1" applyFont="1">
      <alignment shrinkToFit="0" textRotation="0" vertical="top" wrapText="1"/>
    </xf>
    <xf borderId="15" fillId="10" fontId="72" numFmtId="0" xfId="0" applyAlignment="1" applyBorder="1" applyFont="1">
      <alignment vertical="bottom"/>
    </xf>
    <xf borderId="24" fillId="8" fontId="16" numFmtId="3" xfId="0" applyAlignment="1" applyBorder="1" applyFont="1" applyNumberFormat="1">
      <alignment vertical="top"/>
    </xf>
    <xf borderId="24" fillId="8" fontId="16" numFmtId="0" xfId="0" applyAlignment="1" applyBorder="1" applyFont="1">
      <alignment vertical="top"/>
    </xf>
    <xf borderId="24" fillId="8" fontId="16" numFmtId="0" xfId="0" applyAlignment="1" applyBorder="1" applyFont="1">
      <alignment vertical="top"/>
    </xf>
    <xf borderId="25" fillId="8" fontId="63" numFmtId="0" xfId="0" applyAlignment="1" applyBorder="1" applyFont="1">
      <alignment horizontal="left" readingOrder="0" shrinkToFit="0" textRotation="0" vertical="top" wrapText="0"/>
    </xf>
    <xf borderId="25" fillId="8" fontId="16" numFmtId="3" xfId="0" applyAlignment="1" applyBorder="1" applyFont="1" applyNumberFormat="1">
      <alignment vertical="top"/>
    </xf>
    <xf borderId="25" fillId="8" fontId="16" numFmtId="0" xfId="0" applyAlignment="1" applyBorder="1" applyFont="1">
      <alignment vertical="top"/>
    </xf>
    <xf borderId="25" fillId="8" fontId="16" numFmtId="0" xfId="0" applyAlignment="1" applyBorder="1" applyFont="1">
      <alignment vertical="top"/>
    </xf>
    <xf borderId="0" fillId="14" fontId="16" numFmtId="0" xfId="0" applyAlignment="1" applyFont="1">
      <alignment vertical="top"/>
    </xf>
    <xf borderId="24" fillId="8" fontId="73" numFmtId="0" xfId="0" applyAlignment="1" applyBorder="1" applyFont="1">
      <alignment horizontal="left" readingOrder="0" shrinkToFit="0" textRotation="0" vertical="top" wrapText="0"/>
    </xf>
    <xf borderId="24" fillId="8" fontId="63" numFmtId="3" xfId="0" applyAlignment="1" applyBorder="1" applyFont="1" applyNumberFormat="1">
      <alignment horizontal="left" readingOrder="0" vertical="top"/>
    </xf>
    <xf borderId="24" fillId="8" fontId="74" numFmtId="0" xfId="0" applyAlignment="1" applyBorder="1" applyFont="1">
      <alignment vertical="top"/>
    </xf>
    <xf borderId="25" fillId="8" fontId="75" numFmtId="0" xfId="0" applyAlignment="1" applyBorder="1" applyFont="1">
      <alignment horizontal="left" readingOrder="0" shrinkToFit="0" textRotation="0" vertical="top" wrapText="0"/>
    </xf>
    <xf borderId="15" fillId="0" fontId="51" numFmtId="0" xfId="0" applyAlignment="1" applyBorder="1" applyFont="1">
      <alignment horizontal="left" shrinkToFit="0" textRotation="0" vertical="top" wrapText="0"/>
    </xf>
    <xf borderId="15" fillId="17" fontId="33" numFmtId="0" xfId="0" applyAlignment="1" applyBorder="1" applyFill="1" applyFont="1">
      <alignment horizontal="left" readingOrder="0" shrinkToFit="0" vertical="top" wrapText="1"/>
    </xf>
    <xf borderId="15" fillId="6" fontId="33" numFmtId="0" xfId="0" applyAlignment="1" applyBorder="1" applyFont="1">
      <alignment horizontal="left" readingOrder="0" shrinkToFit="0" vertical="top" wrapText="1"/>
    </xf>
    <xf borderId="15" fillId="18" fontId="10" numFmtId="0" xfId="0" applyAlignment="1" applyBorder="1" applyFill="1" applyFont="1">
      <alignment readingOrder="0" shrinkToFit="0" vertical="top" wrapText="1"/>
    </xf>
    <xf borderId="15" fillId="19" fontId="10" numFmtId="0" xfId="0" applyAlignment="1" applyBorder="1" applyFill="1" applyFont="1">
      <alignment readingOrder="0" shrinkToFit="0" vertical="top" wrapText="1"/>
    </xf>
    <xf borderId="15" fillId="19" fontId="33" numFmtId="0" xfId="0" applyAlignment="1" applyBorder="1" applyFont="1">
      <alignment horizontal="left" readingOrder="0" shrinkToFit="0" vertical="top" wrapText="1"/>
    </xf>
    <xf borderId="15" fillId="6" fontId="10" numFmtId="0" xfId="0" applyAlignment="1" applyBorder="1" applyFont="1">
      <alignment readingOrder="0" shrinkToFit="0" vertical="top" wrapText="1"/>
    </xf>
    <xf borderId="2" fillId="3" fontId="52" numFmtId="0" xfId="0" applyAlignment="1" applyBorder="1" applyFont="1">
      <alignment readingOrder="0" shrinkToFit="0" vertical="top" wrapText="1"/>
    </xf>
    <xf borderId="15" fillId="0" fontId="55" numFmtId="0" xfId="0" applyAlignment="1" applyBorder="1" applyFont="1">
      <alignment horizontal="left" readingOrder="0" shrinkToFit="0" textRotation="0" vertical="top" wrapText="0"/>
    </xf>
    <xf borderId="2" fillId="0" fontId="56" numFmtId="0" xfId="0" applyAlignment="1" applyBorder="1" applyFont="1">
      <alignment horizontal="left" readingOrder="0" shrinkToFit="0" vertical="top" wrapText="1"/>
    </xf>
    <xf borderId="15" fillId="0" fontId="70" numFmtId="0" xfId="0" applyAlignment="1" applyBorder="1" applyFont="1">
      <alignment shrinkToFit="0" textRotation="0" vertical="top" wrapText="0"/>
    </xf>
    <xf borderId="2" fillId="0" fontId="42" numFmtId="0" xfId="0" applyAlignment="1" applyBorder="1" applyFont="1">
      <alignment horizontal="left" readingOrder="0" shrinkToFit="0" textRotation="0" vertical="top" wrapText="0"/>
    </xf>
    <xf borderId="15" fillId="0" fontId="42" numFmtId="0" xfId="0" applyAlignment="1" applyBorder="1" applyFont="1">
      <alignment horizontal="left" shrinkToFit="0" textRotation="0" vertical="top" wrapText="1"/>
    </xf>
    <xf borderId="15" fillId="0" fontId="70" numFmtId="0" xfId="0" applyAlignment="1" applyBorder="1" applyFont="1">
      <alignment shrinkToFit="0" textRotation="0" vertical="top" wrapText="1"/>
    </xf>
    <xf borderId="15" fillId="0" fontId="59" numFmtId="0" xfId="0" applyAlignment="1" applyBorder="1" applyFont="1">
      <alignment shrinkToFit="0" textRotation="0" vertical="top" wrapText="1"/>
    </xf>
    <xf borderId="15" fillId="0" fontId="42" numFmtId="0" xfId="0" applyAlignment="1" applyBorder="1" applyFont="1">
      <alignment horizontal="left" shrinkToFit="0" vertical="top" wrapText="1"/>
    </xf>
    <xf borderId="15" fillId="0" fontId="59" numFmtId="0" xfId="0" applyAlignment="1" applyBorder="1" applyFont="1">
      <alignment readingOrder="0" shrinkToFit="0" textRotation="0" vertical="top" wrapText="1"/>
    </xf>
    <xf borderId="15" fillId="20" fontId="16" numFmtId="0" xfId="0" applyAlignment="1" applyBorder="1" applyFill="1" applyFont="1">
      <alignment vertical="bottom"/>
    </xf>
    <xf borderId="2" fillId="0" fontId="40" numFmtId="0" xfId="0" applyAlignment="1" applyBorder="1" applyFont="1">
      <alignment horizontal="left" readingOrder="0" shrinkToFit="0" vertical="bottom" wrapText="0"/>
    </xf>
    <xf borderId="15" fillId="0" fontId="1" numFmtId="0" xfId="0" applyAlignment="1" applyBorder="1" applyFont="1">
      <alignment horizontal="left" shrinkToFit="0" textRotation="0" vertical="top" wrapText="0"/>
    </xf>
    <xf borderId="24" fillId="4" fontId="56" numFmtId="3" xfId="0" applyAlignment="1" applyBorder="1" applyFont="1" applyNumberFormat="1">
      <alignment horizontal="left" readingOrder="0" shrinkToFit="0" textRotation="0" vertical="top" wrapText="0"/>
    </xf>
    <xf borderId="15" fillId="5" fontId="68" numFmtId="0" xfId="0" applyAlignment="1" applyBorder="1" applyFont="1">
      <alignment shrinkToFit="0" vertical="top" wrapText="1"/>
    </xf>
    <xf borderId="2" fillId="0" fontId="69" numFmtId="0" xfId="0" applyAlignment="1" applyBorder="1" applyFont="1">
      <alignment shrinkToFit="0" vertical="top" wrapText="1"/>
    </xf>
    <xf borderId="2" fillId="0" fontId="59" numFmtId="0" xfId="0" applyAlignment="1" applyBorder="1" applyFont="1">
      <alignment shrinkToFit="0" textRotation="0" vertical="top" wrapText="0"/>
    </xf>
    <xf borderId="15" fillId="0" fontId="59" numFmtId="0" xfId="0" applyAlignment="1" applyBorder="1" applyFont="1">
      <alignment shrinkToFit="0" vertical="top" wrapText="1"/>
    </xf>
    <xf borderId="15" fillId="5" fontId="19" numFmtId="0" xfId="0" applyAlignment="1" applyBorder="1" applyFont="1">
      <alignment vertical="bottom"/>
    </xf>
    <xf borderId="2" fillId="20" fontId="16" numFmtId="0" xfId="0" applyAlignment="1" applyBorder="1" applyFont="1">
      <alignment vertical="bottom"/>
    </xf>
    <xf borderId="25" fillId="8" fontId="16" numFmtId="0" xfId="0" applyAlignment="1" applyBorder="1" applyFont="1">
      <alignment vertical="top"/>
    </xf>
    <xf borderId="0" fillId="14" fontId="16" numFmtId="0" xfId="0" applyAlignment="1" applyFont="1">
      <alignment vertical="top"/>
    </xf>
    <xf borderId="0" fillId="0" fontId="76" numFmtId="0" xfId="0" applyAlignment="1" applyFont="1">
      <alignment horizontal="left" shrinkToFit="0" vertical="top" wrapText="0"/>
    </xf>
    <xf borderId="0" fillId="0" fontId="57" numFmtId="0" xfId="0" applyAlignment="1" applyFont="1">
      <alignment horizontal="left" shrinkToFit="0" vertical="top" wrapText="0"/>
    </xf>
    <xf borderId="0" fillId="0" fontId="57" numFmtId="0" xfId="0" applyAlignment="1" applyFont="1">
      <alignment horizontal="left" shrinkToFit="0" vertical="top" wrapText="0"/>
    </xf>
    <xf borderId="27" fillId="21" fontId="77" numFmtId="0" xfId="0" applyAlignment="1" applyBorder="1" applyFill="1" applyFont="1">
      <alignment horizontal="left" readingOrder="0" shrinkToFit="0" vertical="top" wrapText="1"/>
    </xf>
    <xf borderId="27" fillId="21" fontId="77" numFmtId="0" xfId="0" applyAlignment="1" applyBorder="1" applyFont="1">
      <alignment horizontal="left" shrinkToFit="0" vertical="top" wrapText="1"/>
    </xf>
    <xf borderId="0" fillId="21" fontId="77" numFmtId="0" xfId="0" applyAlignment="1" applyFont="1">
      <alignment horizontal="left" readingOrder="0" shrinkToFit="0" vertical="top" wrapText="1"/>
    </xf>
    <xf borderId="27" fillId="22" fontId="77" numFmtId="0" xfId="0" applyAlignment="1" applyBorder="1" applyFill="1" applyFont="1">
      <alignment horizontal="left" readingOrder="0" shrinkToFit="0" vertical="top" wrapText="1"/>
    </xf>
    <xf borderId="27" fillId="21" fontId="77" numFmtId="0" xfId="0" applyAlignment="1" applyBorder="1" applyFont="1">
      <alignment horizontal="left" shrinkToFit="0" vertical="top" wrapText="1"/>
    </xf>
    <xf borderId="0" fillId="0" fontId="78" numFmtId="0" xfId="0" applyAlignment="1" applyFont="1">
      <alignment horizontal="left" shrinkToFit="0" vertical="top" wrapText="0"/>
    </xf>
    <xf borderId="0" fillId="0" fontId="79" numFmtId="0" xfId="0" applyAlignment="1" applyFont="1">
      <alignment horizontal="left" vertical="top"/>
    </xf>
    <xf borderId="0" fillId="7" fontId="78" numFmtId="0" xfId="0" applyAlignment="1" applyFont="1">
      <alignment horizontal="left" shrinkToFit="0" vertical="top" wrapText="0"/>
    </xf>
    <xf borderId="0" fillId="0" fontId="56" numFmtId="0" xfId="0" applyAlignment="1" applyFont="1">
      <alignment horizontal="left" readingOrder="0" shrinkToFit="0" vertical="top" wrapText="0"/>
    </xf>
    <xf borderId="0" fillId="0" fontId="79" numFmtId="0" xfId="0" applyAlignment="1" applyFont="1">
      <alignment horizontal="left" readingOrder="0" vertical="top"/>
    </xf>
    <xf borderId="0" fillId="22" fontId="78" numFmtId="0" xfId="0" applyAlignment="1" applyFont="1">
      <alignment horizontal="left" shrinkToFit="0" vertical="top" wrapText="0"/>
    </xf>
    <xf borderId="0" fillId="0" fontId="79" numFmtId="0" xfId="0" applyAlignment="1" applyFont="1">
      <alignment horizontal="left" shrinkToFit="0" vertical="top" wrapText="0"/>
    </xf>
    <xf borderId="0" fillId="0" fontId="78" numFmtId="0" xfId="0" applyAlignment="1" applyFont="1">
      <alignment horizontal="left" readingOrder="0" shrinkToFit="0" vertical="top" wrapText="0"/>
    </xf>
    <xf borderId="27" fillId="3" fontId="78" numFmtId="0" xfId="0" applyAlignment="1" applyBorder="1" applyFont="1">
      <alignment horizontal="left" shrinkToFit="0" vertical="top" wrapText="0"/>
    </xf>
    <xf borderId="0" fillId="22" fontId="78" numFmtId="0" xfId="0" applyAlignment="1" applyFont="1">
      <alignment horizontal="left" readingOrder="0" shrinkToFit="0" vertical="top" wrapText="0"/>
    </xf>
    <xf borderId="0" fillId="7" fontId="78" numFmtId="0" xfId="0" applyAlignment="1" applyFont="1">
      <alignment horizontal="left" readingOrder="0" shrinkToFit="0" vertical="top" wrapText="0"/>
    </xf>
    <xf borderId="0" fillId="0" fontId="78" numFmtId="0" xfId="0" applyAlignment="1" applyFont="1">
      <alignment horizontal="left" shrinkToFit="0" vertical="top" wrapText="0"/>
    </xf>
    <xf borderId="0" fillId="0" fontId="80" numFmtId="0" xfId="0" applyAlignment="1" applyFont="1">
      <alignment readingOrder="0"/>
    </xf>
    <xf borderId="0" fillId="7" fontId="77" numFmtId="0" xfId="0" applyAlignment="1" applyFont="1">
      <alignment horizontal="left" readingOrder="0" shrinkToFit="0" vertical="top" wrapText="0"/>
    </xf>
    <xf borderId="0" fillId="7" fontId="77" numFmtId="0" xfId="0" applyAlignment="1" applyFont="1">
      <alignment horizontal="left" shrinkToFit="0" vertical="top" wrapText="0"/>
    </xf>
    <xf borderId="0" fillId="7" fontId="81" numFmtId="0" xfId="0" applyAlignment="1" applyFont="1">
      <alignment shrinkToFit="0" vertical="top" wrapText="0"/>
    </xf>
    <xf borderId="0" fillId="0" fontId="82" numFmtId="0" xfId="0" applyAlignment="1" applyFont="1">
      <alignment horizontal="center" readingOrder="0"/>
    </xf>
    <xf borderId="0" fillId="0" fontId="83" numFmtId="0" xfId="0" applyAlignment="1" applyFont="1">
      <alignment readingOrder="0"/>
    </xf>
    <xf borderId="0" fillId="23" fontId="5" numFmtId="0" xfId="0" applyAlignment="1" applyFill="1" applyFont="1">
      <alignment shrinkToFit="0" vertical="top" wrapText="0"/>
    </xf>
    <xf borderId="0" fillId="0" fontId="5" numFmtId="0" xfId="0" applyAlignment="1" applyFont="1">
      <alignment vertical="bottom"/>
    </xf>
    <xf borderId="0" fillId="23" fontId="5" numFmtId="0" xfId="0" applyAlignment="1" applyFont="1">
      <alignment vertical="top"/>
    </xf>
    <xf borderId="0" fillId="23" fontId="10" numFmtId="0" xfId="0" applyAlignment="1" applyFont="1">
      <alignment shrinkToFit="0" vertical="top" wrapText="0"/>
    </xf>
    <xf borderId="0" fillId="23" fontId="5" numFmtId="0" xfId="0" applyAlignment="1" applyFont="1">
      <alignment shrinkToFit="0" vertical="top" wrapText="1"/>
    </xf>
    <xf borderId="0" fillId="23" fontId="84" numFmtId="0" xfId="0" applyAlignment="1" applyFont="1">
      <alignment vertical="top"/>
    </xf>
    <xf borderId="28" fillId="10" fontId="72" numFmtId="0" xfId="0" applyAlignment="1" applyBorder="1" applyFont="1">
      <alignment readingOrder="0" vertical="top"/>
    </xf>
    <xf borderId="29" fillId="24" fontId="5" numFmtId="0" xfId="0" applyAlignment="1" applyBorder="1" applyFill="1" applyFont="1">
      <alignment shrinkToFit="0" vertical="top" wrapText="1"/>
    </xf>
    <xf borderId="30" fillId="24" fontId="85" numFmtId="0" xfId="0" applyAlignment="1" applyBorder="1" applyFont="1">
      <alignment shrinkToFit="0" vertical="top" wrapText="1"/>
    </xf>
    <xf borderId="31" fillId="24" fontId="85" numFmtId="0" xfId="0" applyAlignment="1" applyBorder="1" applyFont="1">
      <alignment shrinkToFit="0" vertical="top" wrapText="1"/>
    </xf>
    <xf borderId="30" fillId="24" fontId="86" numFmtId="0" xfId="0" applyAlignment="1" applyBorder="1" applyFont="1">
      <alignment shrinkToFit="0" vertical="top" wrapText="1"/>
    </xf>
    <xf borderId="32" fillId="0" fontId="5" numFmtId="0" xfId="0" applyAlignment="1" applyBorder="1" applyFont="1">
      <alignment vertical="bottom"/>
    </xf>
    <xf borderId="33" fillId="3" fontId="85" numFmtId="0" xfId="0" applyAlignment="1" applyBorder="1" applyFont="1">
      <alignment shrinkToFit="0" vertical="top" wrapText="1"/>
    </xf>
    <xf borderId="31" fillId="3" fontId="85" numFmtId="0" xfId="0" applyAlignment="1" applyBorder="1" applyFont="1">
      <alignment shrinkToFit="0" vertical="top" wrapText="1"/>
    </xf>
    <xf borderId="30" fillId="3" fontId="86" numFmtId="0" xfId="0" applyAlignment="1" applyBorder="1" applyFont="1">
      <alignment shrinkToFit="0" vertical="top" wrapText="1"/>
    </xf>
    <xf borderId="33" fillId="24" fontId="85" numFmtId="0" xfId="0" applyAlignment="1" applyBorder="1" applyFont="1">
      <alignment shrinkToFit="0" vertical="top" wrapText="1"/>
    </xf>
    <xf borderId="30" fillId="3" fontId="86" numFmtId="0" xfId="0" applyAlignment="1" applyBorder="1" applyFont="1">
      <alignment readingOrder="0" shrinkToFit="0" vertical="top" wrapText="1"/>
    </xf>
    <xf borderId="30" fillId="24" fontId="86" numFmtId="0" xfId="0" applyAlignment="1" applyBorder="1" applyFont="1">
      <alignment readingOrder="0" shrinkToFit="0" vertical="top" wrapText="1"/>
    </xf>
    <xf borderId="30" fillId="3" fontId="85" numFmtId="0" xfId="0" applyAlignment="1" applyBorder="1" applyFont="1">
      <alignment shrinkToFit="0" vertical="top" wrapText="1"/>
    </xf>
    <xf borderId="33" fillId="3" fontId="85" numFmtId="0" xfId="0" applyAlignment="1" applyBorder="1" applyFont="1">
      <alignment shrinkToFit="0" wrapText="1"/>
    </xf>
    <xf borderId="33" fillId="24" fontId="85" numFmtId="0" xfId="0" applyAlignment="1" applyBorder="1" applyFont="1">
      <alignment shrinkToFit="0" wrapText="1"/>
    </xf>
    <xf borderId="30" fillId="24" fontId="5" numFmtId="0" xfId="0" applyAlignment="1" applyBorder="1" applyFont="1">
      <alignment shrinkToFit="0" vertical="top" wrapText="1"/>
    </xf>
    <xf borderId="34" fillId="3" fontId="87" numFmtId="0" xfId="0" applyAlignment="1" applyBorder="1" applyFont="1">
      <alignment shrinkToFit="0" wrapText="1"/>
    </xf>
    <xf borderId="34" fillId="24" fontId="87" numFmtId="0" xfId="0" applyAlignment="1" applyBorder="1" applyFont="1">
      <alignment shrinkToFit="0" wrapText="1"/>
    </xf>
    <xf borderId="35" fillId="24" fontId="85" numFmtId="0" xfId="0" applyAlignment="1" applyBorder="1" applyFont="1">
      <alignment shrinkToFit="0" vertical="top" wrapText="1"/>
    </xf>
    <xf borderId="35" fillId="3" fontId="85" numFmtId="0" xfId="0" applyAlignment="1" applyBorder="1" applyFont="1">
      <alignment shrinkToFit="0" vertical="top" wrapText="1"/>
    </xf>
    <xf borderId="35" fillId="24" fontId="85" numFmtId="0" xfId="0" applyAlignment="1" applyBorder="1" applyFont="1">
      <alignment shrinkToFit="0" vertical="top" wrapText="1"/>
    </xf>
    <xf borderId="33" fillId="24" fontId="85" numFmtId="0" xfId="0" applyAlignment="1" applyBorder="1" applyFont="1">
      <alignment shrinkToFit="0" vertical="top" wrapText="1"/>
    </xf>
    <xf borderId="30" fillId="24" fontId="85" numFmtId="0" xfId="0" applyAlignment="1" applyBorder="1" applyFont="1">
      <alignment shrinkToFit="0" vertical="top" wrapText="1"/>
    </xf>
    <xf borderId="31" fillId="24" fontId="85" numFmtId="0" xfId="0" applyAlignment="1" applyBorder="1" applyFont="1">
      <alignment shrinkToFit="0" vertical="top" wrapText="1"/>
    </xf>
    <xf borderId="30" fillId="24" fontId="86" numFmtId="0" xfId="0" applyAlignment="1" applyBorder="1" applyFont="1">
      <alignment shrinkToFit="0" vertical="top" wrapText="1"/>
    </xf>
    <xf borderId="35" fillId="3" fontId="85" numFmtId="0" xfId="0" applyAlignment="1" applyBorder="1" applyFont="1">
      <alignment shrinkToFit="0" vertical="top" wrapText="1"/>
    </xf>
    <xf borderId="33" fillId="3" fontId="85" numFmtId="0" xfId="0" applyAlignment="1" applyBorder="1" applyFont="1">
      <alignment shrinkToFit="0" vertical="top" wrapText="1"/>
    </xf>
    <xf borderId="30" fillId="3" fontId="85" numFmtId="0" xfId="0" applyAlignment="1" applyBorder="1" applyFont="1">
      <alignment shrinkToFit="0" vertical="top" wrapText="1"/>
    </xf>
    <xf borderId="31" fillId="3" fontId="85" numFmtId="0" xfId="0" applyAlignment="1" applyBorder="1" applyFont="1">
      <alignment shrinkToFit="0" vertical="top" wrapText="1"/>
    </xf>
    <xf borderId="30" fillId="3" fontId="86" numFmtId="0" xfId="0" applyAlignment="1" applyBorder="1" applyFont="1">
      <alignment shrinkToFit="0" vertical="top" wrapText="1"/>
    </xf>
    <xf borderId="0" fillId="0" fontId="5" numFmtId="0" xfId="0" applyAlignment="1" applyFont="1">
      <alignment vertical="top"/>
    </xf>
    <xf borderId="0" fillId="0" fontId="88" numFmtId="0" xfId="0" applyAlignment="1" applyFont="1">
      <alignment horizontal="left" readingOrder="0" shrinkToFit="0" vertical="top" wrapText="1"/>
    </xf>
    <xf borderId="0" fillId="0" fontId="57" numFmtId="0" xfId="0" applyAlignment="1" applyFont="1">
      <alignment horizontal="left" shrinkToFit="0" vertical="top" wrapText="1"/>
    </xf>
    <xf borderId="0" fillId="0" fontId="57" numFmtId="0" xfId="0" applyAlignment="1" applyFont="1">
      <alignment horizontal="left" readingOrder="0" shrinkToFit="0" vertical="top" wrapText="1"/>
    </xf>
    <xf borderId="27" fillId="21" fontId="89" numFmtId="0" xfId="0" applyAlignment="1" applyBorder="1" applyFont="1">
      <alignment horizontal="left" readingOrder="0" shrinkToFit="0" vertical="top" wrapText="1"/>
    </xf>
    <xf borderId="27" fillId="21" fontId="90" numFmtId="0" xfId="0" applyAlignment="1" applyBorder="1" applyFont="1">
      <alignment horizontal="left" readingOrder="0" shrinkToFit="0" vertical="top" wrapText="1"/>
    </xf>
    <xf borderId="27" fillId="3" fontId="78" numFmtId="0" xfId="0" applyAlignment="1" applyBorder="1" applyFont="1">
      <alignment horizontal="left" readingOrder="0" shrinkToFit="0" vertical="top" wrapText="1"/>
    </xf>
    <xf borderId="0" fillId="0" fontId="1" numFmtId="0" xfId="0" applyAlignment="1" applyFont="1">
      <alignment shrinkToFit="0" wrapText="1"/>
    </xf>
    <xf borderId="0" fillId="0" fontId="80" numFmtId="0" xfId="0" applyAlignment="1" applyFont="1">
      <alignment readingOrder="0" shrinkToFit="0" wrapText="1"/>
    </xf>
    <xf borderId="0" fillId="0" fontId="80" numFmtId="0" xfId="0" applyAlignment="1" applyFont="1">
      <alignment shrinkToFit="0" wrapText="1"/>
    </xf>
    <xf borderId="0" fillId="3" fontId="78" numFmtId="0" xfId="0" applyAlignment="1" applyFont="1">
      <alignment horizontal="left" readingOrder="0" shrinkToFit="0" vertical="top" wrapText="1"/>
    </xf>
    <xf borderId="0" fillId="3" fontId="78" numFmtId="0" xfId="0" applyAlignment="1" applyFont="1">
      <alignment horizontal="left" shrinkToFit="0" vertical="top" wrapText="1"/>
    </xf>
    <xf borderId="27" fillId="3" fontId="78" numFmtId="0" xfId="0" applyAlignment="1" applyBorder="1" applyFont="1">
      <alignment horizontal="left" shrinkToFit="0" vertical="top" wrapText="1"/>
    </xf>
    <xf borderId="0" fillId="3" fontId="91" numFmtId="0" xfId="0" applyAlignment="1" applyFont="1">
      <alignment horizontal="left" readingOrder="0" shrinkToFit="0" vertical="top" wrapText="1"/>
    </xf>
    <xf borderId="0" fillId="25" fontId="80" numFmtId="0" xfId="0" applyAlignment="1" applyFill="1" applyFont="1">
      <alignment readingOrder="0" shrinkToFit="0" wrapText="1"/>
    </xf>
    <xf borderId="0" fillId="3" fontId="80" numFmtId="0" xfId="0" applyAlignment="1" applyFont="1">
      <alignment readingOrder="0" shrinkToFit="0" wrapText="1"/>
    </xf>
    <xf borderId="0" fillId="0" fontId="78" numFmtId="0" xfId="0" applyAlignment="1" applyFont="1">
      <alignment horizontal="left" shrinkToFit="0" vertical="top" wrapText="1"/>
    </xf>
    <xf borderId="0" fillId="0" fontId="79" numFmtId="0" xfId="0" applyAlignment="1" applyFont="1">
      <alignment horizontal="left" shrinkToFit="0" vertical="top" wrapText="1"/>
    </xf>
    <xf borderId="0" fillId="0" fontId="92" numFmtId="0" xfId="0" applyAlignment="1" applyFont="1">
      <alignment readingOrder="0" shrinkToFit="0" wrapText="0"/>
    </xf>
    <xf borderId="0" fillId="0" fontId="92" numFmtId="0" xfId="0" applyAlignment="1" applyFont="1">
      <alignment shrinkToFit="0" wrapText="0"/>
    </xf>
    <xf borderId="0" fillId="0" fontId="93" numFmtId="0" xfId="0" applyAlignment="1" applyFont="1">
      <alignment readingOrder="0" shrinkToFit="0" wrapText="0"/>
    </xf>
    <xf borderId="0" fillId="0" fontId="94" numFmtId="0" xfId="0" applyAlignment="1" applyFont="1">
      <alignment readingOrder="0" shrinkToFit="0" wrapText="0"/>
    </xf>
    <xf borderId="0" fillId="0" fontId="95" numFmtId="0" xfId="0" applyAlignment="1" applyFont="1">
      <alignment readingOrder="0" shrinkToFit="0" wrapText="0"/>
    </xf>
    <xf borderId="0" fillId="0" fontId="95" numFmtId="0" xfId="0" applyAlignment="1" applyFont="1">
      <alignment shrinkToFit="0" wrapText="0"/>
    </xf>
    <xf borderId="0" fillId="0" fontId="96" numFmtId="0" xfId="0" applyFont="1"/>
    <xf borderId="0" fillId="0" fontId="1" numFmtId="0" xfId="0" applyFont="1"/>
    <xf borderId="0" fillId="0" fontId="32" numFmtId="0" xfId="0" applyAlignment="1" applyFont="1">
      <alignment readingOrder="0"/>
    </xf>
    <xf borderId="0" fillId="0" fontId="97" numFmtId="0" xfId="0" applyAlignment="1" applyFont="1">
      <alignment readingOrder="0"/>
    </xf>
    <xf borderId="0" fillId="0" fontId="96" numFmtId="0" xfId="0" applyAlignment="1" applyFont="1">
      <alignment readingOrder="0"/>
    </xf>
    <xf borderId="0" fillId="0" fontId="98"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50" numFmtId="0" xfId="0" applyAlignment="1" applyFont="1">
      <alignment readingOrder="0"/>
    </xf>
    <xf borderId="0" fillId="0" fontId="99" numFmtId="0" xfId="0" applyAlignment="1" applyFont="1">
      <alignment readingOrder="0"/>
    </xf>
    <xf borderId="14" fillId="0" fontId="100" numFmtId="0" xfId="0" applyAlignment="1" applyBorder="1" applyFont="1">
      <alignment horizontal="left" readingOrder="0" shrinkToFit="0" wrapText="0"/>
    </xf>
    <xf borderId="0" fillId="0" fontId="101" numFmtId="0" xfId="0" applyAlignment="1" applyFont="1">
      <alignment readingOrder="0"/>
    </xf>
    <xf borderId="0" fillId="0" fontId="5" numFmtId="0" xfId="0" applyAlignment="1" applyFont="1">
      <alignment horizontal="center" readingOrder="0" vertical="top"/>
    </xf>
    <xf borderId="0" fillId="0" fontId="1" numFmtId="0" xfId="0" applyAlignment="1" applyFont="1">
      <alignment readingOrder="0"/>
    </xf>
    <xf borderId="0" fillId="26" fontId="102" numFmtId="0" xfId="0" applyAlignment="1" applyFill="1" applyFont="1">
      <alignment horizontal="center" readingOrder="0" vertical="top"/>
    </xf>
    <xf borderId="0" fillId="27" fontId="103" numFmtId="0" xfId="0" applyAlignment="1" applyFill="1" applyFont="1">
      <alignment horizontal="center" vertical="top"/>
    </xf>
    <xf borderId="0" fillId="28" fontId="97" numFmtId="0" xfId="0" applyAlignment="1" applyFill="1" applyFont="1">
      <alignment readingOrder="0"/>
    </xf>
    <xf borderId="0" fillId="29" fontId="5" numFmtId="0" xfId="0" applyAlignment="1" applyFill="1" applyFont="1">
      <alignment horizontal="center" vertical="top"/>
    </xf>
    <xf borderId="0" fillId="10" fontId="29" numFmtId="0" xfId="0" applyAlignment="1" applyFont="1">
      <alignment readingOrder="0"/>
    </xf>
    <xf borderId="0" fillId="0" fontId="15" numFmtId="0" xfId="0" applyAlignment="1" applyFont="1">
      <alignment vertical="bottom"/>
    </xf>
    <xf borderId="0" fillId="0" fontId="97" numFmtId="0" xfId="0" applyAlignment="1" applyFont="1">
      <alignment vertical="bottom"/>
    </xf>
    <xf borderId="0" fillId="0" fontId="104" numFmtId="0" xfId="0" applyAlignment="1" applyFont="1">
      <alignment vertical="bottom"/>
    </xf>
    <xf borderId="0" fillId="0" fontId="15" numFmtId="0" xfId="0" applyAlignment="1" applyFont="1">
      <alignment readingOrder="0" vertical="bottom"/>
    </xf>
    <xf borderId="0" fillId="0" fontId="105" numFmtId="0" xfId="0" applyAlignment="1" applyFont="1">
      <alignment vertical="bottom"/>
    </xf>
    <xf borderId="0" fillId="30" fontId="105" numFmtId="0" xfId="0" applyAlignment="1" applyFill="1" applyFont="1">
      <alignment vertical="bottom"/>
    </xf>
    <xf borderId="0" fillId="0" fontId="16" numFmtId="0" xfId="0" applyAlignment="1" applyFont="1">
      <alignment vertical="bottom"/>
    </xf>
    <xf borderId="0" fillId="0" fontId="106" numFmtId="0" xfId="0" applyAlignment="1" applyFont="1">
      <alignment vertical="bottom"/>
    </xf>
    <xf borderId="0" fillId="30" fontId="106" numFmtId="0" xfId="0" applyAlignment="1" applyFont="1">
      <alignment vertical="bottom"/>
    </xf>
    <xf borderId="0" fillId="0" fontId="107" numFmtId="0" xfId="0" applyAlignment="1" applyFont="1">
      <alignment vertical="bottom"/>
    </xf>
    <xf borderId="0" fillId="30" fontId="107" numFmtId="0" xfId="0" applyAlignment="1" applyFont="1">
      <alignment vertical="bottom"/>
    </xf>
    <xf borderId="0" fillId="0" fontId="108" numFmtId="0" xfId="0" applyAlignment="1" applyFont="1">
      <alignment vertical="bottom"/>
    </xf>
    <xf borderId="0" fillId="30" fontId="108" numFmtId="0" xfId="0" applyAlignment="1" applyFont="1">
      <alignment vertical="bottom"/>
    </xf>
  </cellXfs>
  <cellStyles count="1">
    <cellStyle xfId="0" name="Normal" builtinId="0"/>
  </cellStyles>
  <dxfs count="16">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color rgb="FF006100"/>
      </font>
      <fill>
        <patternFill patternType="solid">
          <fgColor rgb="FFC6EFCE"/>
          <bgColor rgb="FFC6EFCE"/>
        </patternFill>
      </fill>
      <border/>
    </dxf>
    <dxf>
      <font>
        <color theme="4"/>
      </font>
      <fill>
        <patternFill patternType="solid">
          <fgColor rgb="FFA6C9EB"/>
          <bgColor rgb="FFA6C9EB"/>
        </patternFill>
      </fill>
      <border/>
    </dxf>
    <dxf>
      <font/>
      <fill>
        <patternFill patternType="solid">
          <fgColor rgb="FFD0D0D0"/>
          <bgColor rgb="FFD0D0D0"/>
        </patternFill>
      </fill>
      <border/>
    </dxf>
    <dxf>
      <font>
        <color rgb="FF222222"/>
      </font>
      <fill>
        <patternFill patternType="solid">
          <fgColor rgb="FFB1DAC9"/>
          <bgColor rgb="FFB1DAC9"/>
        </patternFill>
      </fill>
      <border/>
    </dxf>
    <dxf>
      <font>
        <color rgb="FF646464"/>
      </font>
      <fill>
        <patternFill patternType="solid">
          <fgColor rgb="FFEBF9EF"/>
          <bgColor rgb="FFEBF9EF"/>
        </patternFill>
      </fill>
      <border/>
    </dxf>
    <dxf>
      <font>
        <color rgb="FF222222"/>
      </font>
      <fill>
        <patternFill patternType="solid">
          <fgColor rgb="FFA9D2F6"/>
          <bgColor rgb="FFA9D2F6"/>
        </patternFill>
      </fill>
      <border/>
    </dxf>
    <dxf>
      <font>
        <color theme="1"/>
      </font>
      <fill>
        <patternFill patternType="solid">
          <fgColor rgb="FFD9E6E2"/>
          <bgColor rgb="FFD9E6E2"/>
        </patternFill>
      </fill>
      <border/>
    </dxf>
    <dxf>
      <font>
        <color rgb="FF3D3D3D"/>
      </font>
      <fill>
        <patternFill patternType="solid">
          <fgColor rgb="FFD9E6E2"/>
          <bgColor rgb="FFD9E6E2"/>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4">
    <tableStyle count="4" pivot="0" name="C.log-style">
      <tableStyleElement dxfId="1" type="headerRow"/>
      <tableStyleElement dxfId="2" type="firstRowStripe"/>
      <tableStyleElement dxfId="3" type="secondRowStripe"/>
      <tableStyleElement dxfId="4" size="0" type="wholeTable"/>
    </tableStyle>
    <tableStyle count="3" pivot="0" name="BEC_openBDF-style">
      <tableStyleElement dxfId="13" type="headerRow"/>
      <tableStyleElement dxfId="14" type="firstRowStripe"/>
      <tableStyleElement dxfId="15" type="secondRowStripe"/>
    </tableStyle>
    <tableStyle count="3" pivot="0" name="BEC_openBDF-style 2">
      <tableStyleElement dxfId="13" type="headerRow"/>
      <tableStyleElement dxfId="14" type="firstRowStripe"/>
      <tableStyleElement dxfId="15" type="secondRowStripe"/>
    </tableStyle>
    <tableStyle count="2" pivot="0" name="Comment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7</xdr:row>
      <xdr:rowOff>38100</xdr:rowOff>
    </xdr:from>
    <xdr:ext cx="5610225" cy="4171950"/>
    <xdr:pic>
      <xdr:nvPicPr>
        <xdr:cNvPr id="0" name="image2.png" title="Immagin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xdr:colOff>
      <xdr:row>25</xdr:row>
      <xdr:rowOff>209550</xdr:rowOff>
    </xdr:from>
    <xdr:ext cx="3190875" cy="2371725"/>
    <xdr:pic>
      <xdr:nvPicPr>
        <xdr:cNvPr id="0" name="image1.png" title="Immagin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5" displayName="Change_log" name="Change_log" id="1">
  <tableColumns count="9">
    <tableColumn name="Change ID" id="1"/>
    <tableColumn name="Sheet name" id="2"/>
    <tableColumn name="Cell (row, column)" id="3"/>
    <tableColumn name="User" id="4"/>
    <tableColumn name="Change type" id="5"/>
    <tableColumn name="Status" id="6"/>
    <tableColumn name="Old input" id="7"/>
    <tableColumn name="New input" id="8"/>
    <tableColumn name="Notes" id="9"/>
  </tableColumns>
  <tableStyleInfo name="C.log-style" showColumnStripes="0" showFirstColumn="1" showLastColumn="1" showRowStripes="1"/>
</table>
</file>

<file path=xl/tables/table2.xml><?xml version="1.0" encoding="utf-8"?>
<table xmlns="http://schemas.openxmlformats.org/spreadsheetml/2006/main" ref="A4:E93" displayName="Table_1" name="Table_1" id="2">
  <tableColumns count="5">
    <tableColumn name="bec_openbdf_tier1" id="1"/>
    <tableColumn name="bec_openbdf_tier2" id="2"/>
    <tableColumn name="bec_openbdf_tier3" id="3"/>
    <tableColumn name="bec_openbdf_tier4" id="4"/>
    <tableColumn name="bec_openbdf_description" id="5"/>
  </tableColumns>
  <tableStyleInfo name="BEC_openBDF-style" showColumnStripes="0" showFirstColumn="1" showLastColumn="1" showRowStripes="1"/>
</table>
</file>

<file path=xl/tables/table3.xml><?xml version="1.0" encoding="utf-8"?>
<table xmlns="http://schemas.openxmlformats.org/spreadsheetml/2006/main" headerRowCount="0" ref="G4" displayName="Table_2" name="Table_2" id="3">
  <tableColumns count="1">
    <tableColumn name="Column1" id="1"/>
  </tableColumns>
  <tableStyleInfo name="BEC_openBDF-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176:E179" displayName="Table_3" name="Table_3" id="4">
  <tableColumns count="2">
    <tableColumn name="Column1" id="1"/>
    <tableColumn name="Column2" id="2"/>
  </tableColumns>
  <tableStyleInfo name="Com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D3D3D"/>
      </a:dk1>
      <a:lt1>
        <a:srgbClr val="FFFFFF"/>
      </a:lt1>
      <a:dk2>
        <a:srgbClr val="3D3D3D"/>
      </a:dk2>
      <a:lt2>
        <a:srgbClr val="FFFFFF"/>
      </a:lt2>
      <a:accent1>
        <a:srgbClr val="489C7C"/>
      </a:accent1>
      <a:accent2>
        <a:srgbClr val="E69819"/>
      </a:accent2>
      <a:accent3>
        <a:srgbClr val="376D59"/>
      </a:accent3>
      <a:accent4>
        <a:srgbClr val="5694E9"/>
      </a:accent4>
      <a:accent5>
        <a:srgbClr val="A9D2F6"/>
      </a:accent5>
      <a:accent6>
        <a:srgbClr val="8672F5"/>
      </a:accent6>
      <a:hlink>
        <a:srgbClr val="489C7C"/>
      </a:hlink>
      <a:folHlink>
        <a:srgbClr val="489C7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zuhaib.batra@epfl.ch" TargetMode="External"/><Relationship Id="rId2" Type="http://schemas.openxmlformats.org/officeDocument/2006/relationships/hyperlink" Target="mailto:pockmaso@gmail.com" TargetMode="External"/><Relationship Id="rId3" Type="http://schemas.openxmlformats.org/officeDocument/2006/relationships/hyperlink" Target="mailto:pockmaso@gmail.com" TargetMode="External"/><Relationship Id="rId4" Type="http://schemas.openxmlformats.org/officeDocument/2006/relationships/hyperlink" Target="mailto:pockmaso@gmail.com" TargetMode="External"/><Relationship Id="rId5" Type="http://schemas.openxmlformats.org/officeDocument/2006/relationships/hyperlink" Target="mailto:pockmaso@gmail.com"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martin.roeck@riselabs.a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oekobaudat.de/OEKOBAU.DAT/resource/processes/37f50a3e-5445-4bce-8eda-98f01dba441f?version=20.23.050" TargetMode="External"/><Relationship Id="rId84" Type="http://schemas.openxmlformats.org/officeDocument/2006/relationships/hyperlink" Target="https://oekobaudat.de/OEKOBAU.DAT/resource/processes/8347f9a7-f4ec-4a36-a266-a0281f5fd16d?version=00.02.000" TargetMode="External"/><Relationship Id="rId83" Type="http://schemas.openxmlformats.org/officeDocument/2006/relationships/hyperlink" Target="https://oekobaudat.de/OEKOBAU.DAT/resource/processes/065c4bb7-df48-458d-87f2-37e237a6ab90?version=00.02.000" TargetMode="External"/><Relationship Id="rId42" Type="http://schemas.openxmlformats.org/officeDocument/2006/relationships/hyperlink" Target="https://oekobaudat.de/OEKOBAU.DAT/resource/processes/8347f9a7-f4ec-4a36-a266-a0281f5fd16d?version=00.02.000" TargetMode="External"/><Relationship Id="rId86" Type="http://schemas.openxmlformats.org/officeDocument/2006/relationships/hyperlink" Target="https://oekobaudat.de/OEKOBAU.DAT/resource/processes/bdf0a7e9-3fae-4780-b5ca-3d686c6d46d0?version=20.23.050" TargetMode="External"/><Relationship Id="rId41" Type="http://schemas.openxmlformats.org/officeDocument/2006/relationships/hyperlink" Target="https://oekobaudat.de/OEKOBAU.DAT/resource/processes/065c4bb7-df48-458d-87f2-37e237a6ab90?version=00.02.000" TargetMode="External"/><Relationship Id="rId85" Type="http://schemas.openxmlformats.org/officeDocument/2006/relationships/hyperlink" Target="https://oekobaudat.de/OEKOBAU.DAT/resource/processes/bdf0a7e9-3fae-4780-b5ca-3d686c6d46d0?version=20.23.050" TargetMode="External"/><Relationship Id="rId44" Type="http://schemas.openxmlformats.org/officeDocument/2006/relationships/hyperlink" Target="https://oekobaudat.de/OEKOBAU.DAT/resource/processes/30452630-b12d-43bf-b140-58e0db0ba549?version=00.02.000" TargetMode="External"/><Relationship Id="rId88" Type="http://schemas.openxmlformats.org/officeDocument/2006/relationships/hyperlink" Target="https://oekobaudat.de/OEKOBAU.DAT/resource/processes/30452630-b12d-43bf-b140-58e0db0ba549?version=00.02.000" TargetMode="External"/><Relationship Id="rId43" Type="http://schemas.openxmlformats.org/officeDocument/2006/relationships/hyperlink" Target="https://oekobaudat.de/OEKOBAU.DAT/resource/processes/bdf0a7e9-3fae-4780-b5ca-3d686c6d46d0?version=20.23.050" TargetMode="External"/><Relationship Id="rId87" Type="http://schemas.openxmlformats.org/officeDocument/2006/relationships/hyperlink" Target="https://oekobaudat.de/OEKOBAU.DAT/resource/processes/7b949ae4-3793-4670-86d8-241578803aa2?version=20.23.050" TargetMode="External"/><Relationship Id="rId46" Type="http://schemas.openxmlformats.org/officeDocument/2006/relationships/hyperlink" Target="https://oekobaudat.de/OEKOBAU.DAT/resource/processes/58b1ba79-459b-4d58-bc39-91a8f98e71ba?version=20.23.050" TargetMode="External"/><Relationship Id="rId45" Type="http://schemas.openxmlformats.org/officeDocument/2006/relationships/hyperlink" Target="https://oekobaudat.de/OEKOBAU.DAT/resource/processes/30452630-b12d-43bf-b140-58e0db0ba549?version=00.02.000" TargetMode="External"/><Relationship Id="rId89" Type="http://schemas.openxmlformats.org/officeDocument/2006/relationships/drawing" Target="../drawings/drawing8.xml"/><Relationship Id="rId80" Type="http://schemas.openxmlformats.org/officeDocument/2006/relationships/hyperlink" Target="https://oekobaudat.de/OEKOBAU.DAT/resource/processes/7b949ae4-3793-4670-86d8-241578803aa2?version=20.23.050" TargetMode="External"/><Relationship Id="rId82" Type="http://schemas.openxmlformats.org/officeDocument/2006/relationships/hyperlink" Target="https://oekobaudat.de/OEKOBAU.DAT/resource/processes/abc6d78d-f274-4400-8f31-fe8d4c2949c9?version=20.23.050" TargetMode="External"/><Relationship Id="rId81" Type="http://schemas.openxmlformats.org/officeDocument/2006/relationships/hyperlink" Target="https://oekobaudat.de/OEKOBAU.DAT/resource/processes/58b1ba79-459b-4d58-bc39-91a8f98e71ba?version=20.23.050" TargetMode="External"/><Relationship Id="rId1" Type="http://schemas.openxmlformats.org/officeDocument/2006/relationships/comments" Target="../comments4.xml"/><Relationship Id="rId2" Type="http://schemas.openxmlformats.org/officeDocument/2006/relationships/hyperlink" Target="https://oekobaudat.de/OEKOBAU.DAT/resource/processes/ed8da770-fc78-40cd-acb1-40f062330f9c?version=20.23.050" TargetMode="External"/><Relationship Id="rId3" Type="http://schemas.openxmlformats.org/officeDocument/2006/relationships/hyperlink" Target="https://ibudata.lca-data.com/resource/processes/d5d98d4b-a9ba-4fb3-b2d2-6766f8ef5a59?version=00.02.000" TargetMode="External"/><Relationship Id="rId4" Type="http://schemas.openxmlformats.org/officeDocument/2006/relationships/hyperlink" Target="https://oekobaudat.de/OEKOBAU.DAT/resource/processes/37f50a3e-5445-4bce-8eda-98f01dba441f?version=20.23.050" TargetMode="External"/><Relationship Id="rId9" Type="http://schemas.openxmlformats.org/officeDocument/2006/relationships/hyperlink" Target="https://oekobaudat.de/OEKOBAU.DAT/resource/processes/30452630-b12d-43bf-b140-58e0db0ba549?version=00.02.000" TargetMode="External"/><Relationship Id="rId48" Type="http://schemas.openxmlformats.org/officeDocument/2006/relationships/hyperlink" Target="https://oekobaudat.de/OEKOBAU.DAT/resource/processes/ed8da770-fc78-40cd-acb1-40f062330f9c?version=20.23.050" TargetMode="External"/><Relationship Id="rId47" Type="http://schemas.openxmlformats.org/officeDocument/2006/relationships/hyperlink" Target="https://oekobaudat.de/OEKOBAU.DAT/resource/processes/abc6d78d-f274-4400-8f31-fe8d4c2949c9?version=20.23.050" TargetMode="External"/><Relationship Id="rId49" Type="http://schemas.openxmlformats.org/officeDocument/2006/relationships/hyperlink" Target="https://ibudata.lca-data.com/resource/processes/d5d98d4b-a9ba-4fb3-b2d2-6766f8ef5a59?version=00.02.000" TargetMode="External"/><Relationship Id="rId5" Type="http://schemas.openxmlformats.org/officeDocument/2006/relationships/hyperlink" Target="https://oekobaudat.de/OEKOBAU.DAT/resource/processes/065c4bb7-df48-458d-87f2-37e237a6ab90?version=00.02.000" TargetMode="External"/><Relationship Id="rId6" Type="http://schemas.openxmlformats.org/officeDocument/2006/relationships/hyperlink" Target="https://oekobaudat.de/OEKOBAU.DAT/resource/processes/8347f9a7-f4ec-4a36-a266-a0281f5fd16d?version=00.02.000" TargetMode="External"/><Relationship Id="rId7" Type="http://schemas.openxmlformats.org/officeDocument/2006/relationships/hyperlink" Target="https://oekobaudat.de/OEKOBAU.DAT/resource/processes/bdf0a7e9-3fae-4780-b5ca-3d686c6d46d0?version=20.23.050" TargetMode="External"/><Relationship Id="rId8" Type="http://schemas.openxmlformats.org/officeDocument/2006/relationships/hyperlink" Target="https://oekobaudat.de/OEKOBAU.DAT/resource/processes/30452630-b12d-43bf-b140-58e0db0ba549?version=00.02.000" TargetMode="External"/><Relationship Id="rId73" Type="http://schemas.openxmlformats.org/officeDocument/2006/relationships/hyperlink" Target="https://oekobaudat.de/OEKOBAU.DAT/resource/processes/f501dc99-706c-4b15-aaec-2cca2b409b41?version=20.24.070" TargetMode="External"/><Relationship Id="rId72" Type="http://schemas.openxmlformats.org/officeDocument/2006/relationships/hyperlink" Target="https://oekobaudat.de/OEKOBAU.DAT/resource/processes/f501dc99-706c-4b15-aaec-2cca2b409b41?version=20.24.070" TargetMode="External"/><Relationship Id="rId31" Type="http://schemas.openxmlformats.org/officeDocument/2006/relationships/hyperlink" Target="https://oekobaudat.de/OEKOBAU.DAT/resource/processes/37f50a3e-5445-4bce-8eda-98f01dba441f?version=20.23.050" TargetMode="External"/><Relationship Id="rId75" Type="http://schemas.openxmlformats.org/officeDocument/2006/relationships/hyperlink" Target="https://oekobaudat.de/OEKOBAU.DAT/resource/processes/7aba3603-0689-4da5-8d24-fd92ae398d07?version=00.00.032" TargetMode="External"/><Relationship Id="rId30" Type="http://schemas.openxmlformats.org/officeDocument/2006/relationships/hyperlink" Target="https://ibudata.lca-data.com/resource/processes/d5d98d4b-a9ba-4fb3-b2d2-6766f8ef5a59?version=00.02.000" TargetMode="External"/><Relationship Id="rId74" Type="http://schemas.openxmlformats.org/officeDocument/2006/relationships/hyperlink" Target="https://oekobaudat.de/OEKOBAU.DAT/resource/processes/f501dc99-706c-4b15-aaec-2cca2b409b41?version=20.24.070" TargetMode="External"/><Relationship Id="rId33" Type="http://schemas.openxmlformats.org/officeDocument/2006/relationships/hyperlink" Target="https://oekobaudat.de/OEKOBAU.DAT/resource/processes/8347f9a7-f4ec-4a36-a266-a0281f5fd16d?version=00.02.000" TargetMode="External"/><Relationship Id="rId77" Type="http://schemas.openxmlformats.org/officeDocument/2006/relationships/hyperlink" Target="https://oekobaudat.de/OEKOBAU.DAT/resource/processes/065c4bb7-df48-458d-87f2-37e237a6ab90?version=00.02.000" TargetMode="External"/><Relationship Id="rId32" Type="http://schemas.openxmlformats.org/officeDocument/2006/relationships/hyperlink" Target="https://oekobaudat.de/OEKOBAU.DAT/resource/processes/065c4bb7-df48-458d-87f2-37e237a6ab90?version=00.02.000" TargetMode="External"/><Relationship Id="rId76" Type="http://schemas.openxmlformats.org/officeDocument/2006/relationships/hyperlink" Target="https://oekobaudat.de/OEKOBAU.DAT/resource/processes/8347f9a7-f4ec-4a36-a266-a0281f5fd16d?version=00.02.000" TargetMode="External"/><Relationship Id="rId35" Type="http://schemas.openxmlformats.org/officeDocument/2006/relationships/hyperlink" Target="https://oekobaudat.de/OEKOBAU.DAT/resource/processes/30452630-b12d-43bf-b140-58e0db0ba549?version=00.02.000" TargetMode="External"/><Relationship Id="rId79" Type="http://schemas.openxmlformats.org/officeDocument/2006/relationships/hyperlink" Target="https://oekobaudat.de/OEKOBAU.DAT/resource/processes/84e317e1-9d87-4246-bd95-0777aaf2dc3f?version=20.23.050" TargetMode="External"/><Relationship Id="rId34" Type="http://schemas.openxmlformats.org/officeDocument/2006/relationships/hyperlink" Target="https://oekobaudat.de/OEKOBAU.DAT/resource/processes/bdf0a7e9-3fae-4780-b5ca-3d686c6d46d0?version=20.23.050" TargetMode="External"/><Relationship Id="rId78" Type="http://schemas.openxmlformats.org/officeDocument/2006/relationships/hyperlink" Target="https://oekobaudat.de/OEKOBAU.DAT/resource/processes/8347f9a7-f4ec-4a36-a266-a0281f5fd16d?version=00.02.000" TargetMode="External"/><Relationship Id="rId71" Type="http://schemas.openxmlformats.org/officeDocument/2006/relationships/hyperlink" Target="https://oekobaudat.de/OEKOBAU.DAT/resource/processes/f501dc99-706c-4b15-aaec-2cca2b409b41?version=20.24.070" TargetMode="External"/><Relationship Id="rId70" Type="http://schemas.openxmlformats.org/officeDocument/2006/relationships/hyperlink" Target="https://oekobaudat.de/OEKOBAU.DAT/resource/processes/f501dc99-706c-4b15-aaec-2cca2b409b41?version=20.24.070" TargetMode="External"/><Relationship Id="rId37" Type="http://schemas.openxmlformats.org/officeDocument/2006/relationships/hyperlink" Target="https://oekobaudat.de/OEKOBAU.DAT/resource/processes/abc6d78d-f274-4400-8f31-fe8d4c2949c9?version=20.23.050" TargetMode="External"/><Relationship Id="rId36" Type="http://schemas.openxmlformats.org/officeDocument/2006/relationships/hyperlink" Target="https://oekobaudat.de/OEKOBAU.DAT/resource/processes/58b1ba79-459b-4d58-bc39-91a8f98e71ba?version=20.23.050" TargetMode="External"/><Relationship Id="rId39" Type="http://schemas.openxmlformats.org/officeDocument/2006/relationships/hyperlink" Target="https://ibudata.lca-data.com/resource/processes/d5d98d4b-a9ba-4fb3-b2d2-6766f8ef5a59?version=00.02.000" TargetMode="External"/><Relationship Id="rId38" Type="http://schemas.openxmlformats.org/officeDocument/2006/relationships/hyperlink" Target="https://oekobaudat.de/OEKOBAU.DAT/resource/processes/ed8da770-fc78-40cd-acb1-40f062330f9c?version=20.23.050" TargetMode="External"/><Relationship Id="rId62" Type="http://schemas.openxmlformats.org/officeDocument/2006/relationships/hyperlink" Target="https://oekobaudat.de/OEKOBAU.DAT/resource/processes/f501dc99-706c-4b15-aaec-2cca2b409b41?version=20.24.070" TargetMode="External"/><Relationship Id="rId61" Type="http://schemas.openxmlformats.org/officeDocument/2006/relationships/hyperlink" Target="https://oekobaudat.de/OEKOBAU.DAT/resource/processes/abc6d78d-f274-4400-8f31-fe8d4c2949c9?version=20.23.050" TargetMode="External"/><Relationship Id="rId20" Type="http://schemas.openxmlformats.org/officeDocument/2006/relationships/hyperlink" Target="https://oekobaudat.de/OEKOBAU.DAT/resource/processes/ed8da770-fc78-40cd-acb1-40f062330f9c?version=20.23.050" TargetMode="External"/><Relationship Id="rId64" Type="http://schemas.openxmlformats.org/officeDocument/2006/relationships/hyperlink" Target="https://oekobaudat.de/OEKOBAU.DAT/resource/processes/f501dc99-706c-4b15-aaec-2cca2b409b41?version=20.24.070" TargetMode="External"/><Relationship Id="rId63" Type="http://schemas.openxmlformats.org/officeDocument/2006/relationships/hyperlink" Target="https://oekobaudat.de/OEKOBAU.DAT/resource/processes/f501dc99-706c-4b15-aaec-2cca2b409b41?version=20.24.070" TargetMode="External"/><Relationship Id="rId22" Type="http://schemas.openxmlformats.org/officeDocument/2006/relationships/hyperlink" Target="https://oekobaudat.de/OEKOBAU.DAT/resource/processes/065c4bb7-df48-458d-87f2-37e237a6ab90?version=00.02.000" TargetMode="External"/><Relationship Id="rId66" Type="http://schemas.openxmlformats.org/officeDocument/2006/relationships/hyperlink" Target="https://oekobaudat.de/OEKOBAU.DAT/resource/processes/f501dc99-706c-4b15-aaec-2cca2b409b41?version=20.24.070" TargetMode="External"/><Relationship Id="rId21" Type="http://schemas.openxmlformats.org/officeDocument/2006/relationships/hyperlink" Target="https://ibudata.lca-data.com/resource/processes/d5d98d4b-a9ba-4fb3-b2d2-6766f8ef5a59?version=00.02.000" TargetMode="External"/><Relationship Id="rId65" Type="http://schemas.openxmlformats.org/officeDocument/2006/relationships/hyperlink" Target="https://oekobaudat.de/OEKOBAU.DAT/resource/processes/f501dc99-706c-4b15-aaec-2cca2b409b41?version=20.24.070" TargetMode="External"/><Relationship Id="rId24" Type="http://schemas.openxmlformats.org/officeDocument/2006/relationships/hyperlink" Target="https://oekobaudat.de/OEKOBAU.DAT/resource/processes/bdf0a7e9-3fae-4780-b5ca-3d686c6d46d0?version=20.23.050" TargetMode="External"/><Relationship Id="rId68" Type="http://schemas.openxmlformats.org/officeDocument/2006/relationships/hyperlink" Target="https://oekobaudat.de/OEKOBAU.DAT/resource/processes/f501dc99-706c-4b15-aaec-2cca2b409b41?version=20.24.070" TargetMode="External"/><Relationship Id="rId23" Type="http://schemas.openxmlformats.org/officeDocument/2006/relationships/hyperlink" Target="https://oekobaudat.de/OEKOBAU.DAT/resource/processes/8347f9a7-f4ec-4a36-a266-a0281f5fd16d?version=00.02.000" TargetMode="External"/><Relationship Id="rId67" Type="http://schemas.openxmlformats.org/officeDocument/2006/relationships/hyperlink" Target="https://oekobaudat.de/OEKOBAU.DAT/resource/processes/f501dc99-706c-4b15-aaec-2cca2b409b41?version=20.24.070" TargetMode="External"/><Relationship Id="rId60" Type="http://schemas.openxmlformats.org/officeDocument/2006/relationships/hyperlink" Target="https://oekobaudat.de/OEKOBAU.DAT/resource/processes/58b1ba79-459b-4d58-bc39-91a8f98e71ba?version=20.23.050" TargetMode="External"/><Relationship Id="rId26" Type="http://schemas.openxmlformats.org/officeDocument/2006/relationships/hyperlink" Target="https://oekobaudat.de/OEKOBAU.DAT/resource/processes/ed8da770-fc78-40cd-acb1-40f062330f9c?version=20.23.050" TargetMode="External"/><Relationship Id="rId25" Type="http://schemas.openxmlformats.org/officeDocument/2006/relationships/hyperlink" Target="https://oekobaudat.de/OEKOBAU.DAT/resource/processes/ed8da770-fc78-40cd-acb1-40f062330f9c?version=20.23.050" TargetMode="External"/><Relationship Id="rId69" Type="http://schemas.openxmlformats.org/officeDocument/2006/relationships/hyperlink" Target="https://oekobaudat.de/OEKOBAU.DAT/resource/processes/f501dc99-706c-4b15-aaec-2cca2b409b41?version=20.24.070" TargetMode="External"/><Relationship Id="rId28" Type="http://schemas.openxmlformats.org/officeDocument/2006/relationships/hyperlink" Target="https://oekobaudat.de/OEKOBAU.DAT/resource/processes/7aba3603-0689-4da5-8d24-fd92ae398d07?version=00.00.032" TargetMode="External"/><Relationship Id="rId27" Type="http://schemas.openxmlformats.org/officeDocument/2006/relationships/hyperlink" Target="https://oekobaudat.de/OEKOBAU.DAT/resource/processes/9f6cf0e4-7455-4c31-a99f-552926c4040e?version=20.24.070" TargetMode="External"/><Relationship Id="rId29" Type="http://schemas.openxmlformats.org/officeDocument/2006/relationships/hyperlink" Target="https://oekobaudat.de/OEKOBAU.DAT/resource/processes/ed8da770-fc78-40cd-acb1-40f062330f9c?version=20.23.050" TargetMode="External"/><Relationship Id="rId51" Type="http://schemas.openxmlformats.org/officeDocument/2006/relationships/hyperlink" Target="https://oekobaudat.de/OEKOBAU.DAT/resource/processes/8347f9a7-f4ec-4a36-a266-a0281f5fd16d?version=00.02.000" TargetMode="External"/><Relationship Id="rId50" Type="http://schemas.openxmlformats.org/officeDocument/2006/relationships/hyperlink" Target="https://oekobaudat.de/OEKOBAU.DAT/resource/processes/065c4bb7-df48-458d-87f2-37e237a6ab90?version=00.02.000" TargetMode="External"/><Relationship Id="rId53" Type="http://schemas.openxmlformats.org/officeDocument/2006/relationships/hyperlink" Target="https://ibudata.lca-data.com/resource/processes/d5d98d4b-a9ba-4fb3-b2d2-6766f8ef5a59?version=00.02.000" TargetMode="External"/><Relationship Id="rId52" Type="http://schemas.openxmlformats.org/officeDocument/2006/relationships/hyperlink" Target="https://oekobaudat.de/OEKOBAU.DAT/resource/processes/ed8da770-fc78-40cd-acb1-40f062330f9c?version=20.23.050" TargetMode="External"/><Relationship Id="rId11" Type="http://schemas.openxmlformats.org/officeDocument/2006/relationships/hyperlink" Target="https://oekobaudat.de/OEKOBAU.DAT/resource/processes/abc6d78d-f274-4400-8f31-fe8d4c2949c9?version=20.23.050" TargetMode="External"/><Relationship Id="rId55" Type="http://schemas.openxmlformats.org/officeDocument/2006/relationships/hyperlink" Target="https://oekobaudat.de/OEKOBAU.DAT/resource/processes/065c4bb7-df48-458d-87f2-37e237a6ab90?version=00.02.000" TargetMode="External"/><Relationship Id="rId10" Type="http://schemas.openxmlformats.org/officeDocument/2006/relationships/hyperlink" Target="https://oekobaudat.de/OEKOBAU.DAT/resource/processes/58b1ba79-459b-4d58-bc39-91a8f98e71ba?version=20.23.050" TargetMode="External"/><Relationship Id="rId54" Type="http://schemas.openxmlformats.org/officeDocument/2006/relationships/hyperlink" Target="https://oekobaudat.de/OEKOBAU.DAT/resource/processes/37f50a3e-5445-4bce-8eda-98f01dba441f?version=20.23.050" TargetMode="External"/><Relationship Id="rId13" Type="http://schemas.openxmlformats.org/officeDocument/2006/relationships/hyperlink" Target="https://ibudata.lca-data.com/resource/processes/d5d98d4b-a9ba-4fb3-b2d2-6766f8ef5a59?version=00.02.000" TargetMode="External"/><Relationship Id="rId57" Type="http://schemas.openxmlformats.org/officeDocument/2006/relationships/hyperlink" Target="https://oekobaudat.de/OEKOBAU.DAT/resource/processes/bdf0a7e9-3fae-4780-b5ca-3d686c6d46d0?version=20.23.050" TargetMode="External"/><Relationship Id="rId12" Type="http://schemas.openxmlformats.org/officeDocument/2006/relationships/hyperlink" Target="https://oekobaudat.de/OEKOBAU.DAT/resource/processes/ed8da770-fc78-40cd-acb1-40f062330f9c?version=20.23.050" TargetMode="External"/><Relationship Id="rId56" Type="http://schemas.openxmlformats.org/officeDocument/2006/relationships/hyperlink" Target="https://oekobaudat.de/OEKOBAU.DAT/resource/processes/8347f9a7-f4ec-4a36-a266-a0281f5fd16d?version=00.02.000" TargetMode="External"/><Relationship Id="rId90" Type="http://schemas.openxmlformats.org/officeDocument/2006/relationships/vmlDrawing" Target="../drawings/vmlDrawing4.vml"/><Relationship Id="rId15" Type="http://schemas.openxmlformats.org/officeDocument/2006/relationships/hyperlink" Target="https://oekobaudat.de/OEKOBAU.DAT/resource/processes/8347f9a7-f4ec-4a36-a266-a0281f5fd16d?version=00.02.000" TargetMode="External"/><Relationship Id="rId59" Type="http://schemas.openxmlformats.org/officeDocument/2006/relationships/hyperlink" Target="https://oekobaudat.de/OEKOBAU.DAT/resource/processes/30452630-b12d-43bf-b140-58e0db0ba549?version=00.02.000" TargetMode="External"/><Relationship Id="rId14" Type="http://schemas.openxmlformats.org/officeDocument/2006/relationships/hyperlink" Target="https://oekobaudat.de/OEKOBAU.DAT/resource/processes/065c4bb7-df48-458d-87f2-37e237a6ab90?version=00.02.000" TargetMode="External"/><Relationship Id="rId58" Type="http://schemas.openxmlformats.org/officeDocument/2006/relationships/hyperlink" Target="https://oekobaudat.de/OEKOBAU.DAT/resource/processes/30452630-b12d-43bf-b140-58e0db0ba549?version=00.02.000" TargetMode="External"/><Relationship Id="rId17" Type="http://schemas.openxmlformats.org/officeDocument/2006/relationships/hyperlink" Target="https://oekobaudat.de/OEKOBAU.DAT/resource/processes/ed8da770-fc78-40cd-acb1-40f062330f9c?version=20.23.050" TargetMode="External"/><Relationship Id="rId16" Type="http://schemas.openxmlformats.org/officeDocument/2006/relationships/hyperlink" Target="https://oekobaudat.de/OEKOBAU.DAT/resource/processes/bdf0a7e9-3fae-4780-b5ca-3d686c6d46d0?version=20.23.050" TargetMode="External"/><Relationship Id="rId19" Type="http://schemas.openxmlformats.org/officeDocument/2006/relationships/hyperlink" Target="https://oekobaudat.de/OEKOBAU.DAT/resource/processes/8347f9a7-f4ec-4a36-a266-a0281f5fd16d?version=00.02.000" TargetMode="External"/><Relationship Id="rId18" Type="http://schemas.openxmlformats.org/officeDocument/2006/relationships/hyperlink" Target="https://oekobaudat.de/OEKOBAU.DAT/resource/processes/ed8da770-fc78-40cd-acb1-40f062330f9c?version=20.23.050"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xml"/><Relationship Id="rId5"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2enNyR8EaL-zceo2imrsqDas5SZEZ_sJ/edit?gid=774505606"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7D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20.13"/>
    <col customWidth="1" min="3" max="3" width="16.38"/>
    <col customWidth="1" min="4" max="5" width="15.13"/>
    <col customWidth="1" min="6" max="6" width="20.13"/>
    <col customWidth="1" min="7" max="7" width="16.0"/>
    <col customWidth="1" min="8" max="8" width="17.0"/>
    <col customWidth="1" min="9" max="9" width="103.63"/>
    <col customWidth="1" min="10" max="10" width="41.0"/>
  </cols>
  <sheetData>
    <row r="1" ht="22.5" customHeight="1">
      <c r="A1" s="1" t="s">
        <v>0</v>
      </c>
      <c r="B1" s="1" t="s">
        <v>1</v>
      </c>
      <c r="C1" s="1" t="s">
        <v>2</v>
      </c>
      <c r="D1" s="1" t="s">
        <v>3</v>
      </c>
      <c r="E1" s="1" t="s">
        <v>4</v>
      </c>
      <c r="F1" s="1" t="s">
        <v>5</v>
      </c>
      <c r="G1" s="1" t="s">
        <v>6</v>
      </c>
      <c r="H1" s="1" t="s">
        <v>7</v>
      </c>
      <c r="I1" s="1" t="s">
        <v>8</v>
      </c>
    </row>
    <row r="2" ht="22.5" customHeight="1">
      <c r="A2" s="2" t="s">
        <v>9</v>
      </c>
      <c r="B2" s="3" t="s">
        <v>10</v>
      </c>
      <c r="C2" s="2" t="s">
        <v>11</v>
      </c>
      <c r="D2" s="4" t="s">
        <v>12</v>
      </c>
      <c r="E2" s="3" t="s">
        <v>13</v>
      </c>
      <c r="F2" s="3" t="s">
        <v>14</v>
      </c>
      <c r="G2" s="5"/>
      <c r="H2" s="5"/>
      <c r="I2" s="5"/>
    </row>
    <row r="3" ht="22.5" customHeight="1">
      <c r="A3" s="2" t="s">
        <v>15</v>
      </c>
      <c r="B3" s="3" t="s">
        <v>16</v>
      </c>
      <c r="C3" s="5"/>
      <c r="D3" s="4" t="s">
        <v>17</v>
      </c>
      <c r="E3" s="3" t="s">
        <v>18</v>
      </c>
      <c r="F3" s="3" t="s">
        <v>14</v>
      </c>
      <c r="G3" s="5"/>
      <c r="H3" s="5"/>
      <c r="I3" s="2" t="s">
        <v>19</v>
      </c>
    </row>
    <row r="4" ht="22.5" customHeight="1">
      <c r="A4" s="2" t="s">
        <v>20</v>
      </c>
      <c r="B4" s="3" t="s">
        <v>16</v>
      </c>
      <c r="C4" s="5"/>
      <c r="D4" s="4" t="s">
        <v>17</v>
      </c>
      <c r="E4" s="3" t="s">
        <v>18</v>
      </c>
      <c r="F4" s="3" t="s">
        <v>14</v>
      </c>
      <c r="G4" s="5"/>
      <c r="H4" s="5"/>
      <c r="I4" s="2" t="s">
        <v>21</v>
      </c>
    </row>
    <row r="5" ht="22.5" customHeight="1">
      <c r="A5" s="5"/>
      <c r="B5" s="3" t="s">
        <v>16</v>
      </c>
      <c r="C5" s="5"/>
      <c r="D5" s="4" t="s">
        <v>17</v>
      </c>
      <c r="E5" s="3" t="s">
        <v>18</v>
      </c>
      <c r="F5" s="3" t="s">
        <v>14</v>
      </c>
      <c r="G5" s="5"/>
      <c r="H5" s="5"/>
      <c r="I5" s="2" t="s">
        <v>22</v>
      </c>
    </row>
    <row r="6" ht="22.5" customHeight="1">
      <c r="A6" s="5"/>
      <c r="B6" s="6"/>
      <c r="C6" s="5"/>
      <c r="D6" s="4" t="s">
        <v>17</v>
      </c>
      <c r="E6" s="3" t="s">
        <v>18</v>
      </c>
      <c r="F6" s="3" t="s">
        <v>14</v>
      </c>
      <c r="G6" s="5"/>
      <c r="H6" s="5"/>
      <c r="I6" s="2" t="s">
        <v>23</v>
      </c>
    </row>
    <row r="7" ht="22.5" customHeight="1">
      <c r="A7" s="5"/>
      <c r="B7" s="7"/>
      <c r="C7" s="5"/>
      <c r="D7" s="5"/>
      <c r="E7" s="7"/>
      <c r="F7" s="6"/>
      <c r="G7" s="5"/>
      <c r="H7" s="5"/>
      <c r="I7" s="5"/>
    </row>
    <row r="8" ht="22.5" customHeight="1">
      <c r="A8" s="5"/>
      <c r="B8" s="7"/>
      <c r="C8" s="5"/>
      <c r="D8" s="5"/>
      <c r="E8" s="7"/>
      <c r="F8" s="7"/>
      <c r="G8" s="5"/>
      <c r="H8" s="5"/>
      <c r="I8" s="5"/>
    </row>
    <row r="9" ht="22.5" customHeight="1">
      <c r="A9" s="5"/>
      <c r="B9" s="7"/>
      <c r="C9" s="5"/>
      <c r="D9" s="5"/>
      <c r="E9" s="7"/>
      <c r="F9" s="7"/>
      <c r="G9" s="5"/>
      <c r="H9" s="5"/>
      <c r="I9" s="5"/>
    </row>
    <row r="10" ht="22.5" customHeight="1">
      <c r="A10" s="5"/>
      <c r="B10" s="7"/>
      <c r="C10" s="5"/>
      <c r="D10" s="5"/>
      <c r="E10" s="7"/>
      <c r="F10" s="7"/>
      <c r="G10" s="5"/>
      <c r="H10" s="5"/>
      <c r="I10" s="5"/>
    </row>
    <row r="11" ht="22.5" customHeight="1">
      <c r="A11" s="5"/>
      <c r="B11" s="7"/>
      <c r="C11" s="5"/>
      <c r="D11" s="5"/>
      <c r="E11" s="7"/>
      <c r="F11" s="7"/>
      <c r="G11" s="5"/>
      <c r="H11" s="5"/>
      <c r="I11" s="5"/>
    </row>
    <row r="12" ht="22.5" customHeight="1">
      <c r="A12" s="5"/>
      <c r="B12" s="7"/>
      <c r="C12" s="5"/>
      <c r="D12" s="5"/>
      <c r="E12" s="7"/>
      <c r="F12" s="7"/>
      <c r="G12" s="5"/>
      <c r="H12" s="5"/>
      <c r="I12" s="5"/>
    </row>
    <row r="13" ht="22.5" customHeight="1">
      <c r="A13" s="5"/>
      <c r="B13" s="7"/>
      <c r="C13" s="5"/>
      <c r="D13" s="5"/>
      <c r="E13" s="7"/>
      <c r="F13" s="7"/>
      <c r="G13" s="5"/>
      <c r="H13" s="5"/>
      <c r="I13" s="5"/>
    </row>
    <row r="14" ht="22.5" customHeight="1">
      <c r="A14" s="5"/>
      <c r="B14" s="7"/>
      <c r="C14" s="5"/>
      <c r="D14" s="5"/>
      <c r="E14" s="7"/>
      <c r="F14" s="7"/>
      <c r="G14" s="5"/>
      <c r="H14" s="5"/>
      <c r="I14" s="5"/>
    </row>
    <row r="15" ht="22.5" customHeight="1">
      <c r="A15" s="5"/>
      <c r="B15" s="7"/>
      <c r="C15" s="5"/>
      <c r="D15" s="5"/>
      <c r="E15" s="7"/>
      <c r="F15" s="7"/>
      <c r="G15" s="5"/>
      <c r="H15" s="5"/>
      <c r="I15" s="5"/>
    </row>
  </sheetData>
  <dataValidations>
    <dataValidation type="list" allowBlank="1" sqref="E2:E15">
      <formula1>"Added,Deleted,Edited"</formula1>
    </dataValidation>
    <dataValidation allowBlank="1" showDropDown="1" sqref="A2:A15 C2:C15 I2:I15"/>
    <dataValidation type="list" allowBlank="1" sqref="B2:B15">
      <formula1>"Info (ReadMe),Admin_info,Building_info,LCA_methodology,Building_Bill of Materials,Materials_Database,Classes (elem, mats),Lists"</formula1>
    </dataValidation>
    <dataValidation type="list" allowBlank="1" sqref="F2:F15">
      <formula1>"In progress,Completed,Paused"</formula1>
    </dataValidation>
    <dataValidation allowBlank="1" showDropDown="1" sqref="G2:H15"/>
  </dataValidations>
  <hyperlinks>
    <hyperlink r:id="rId1" ref="D2"/>
    <hyperlink r:id="rId2" ref="D3"/>
    <hyperlink r:id="rId3" ref="D4"/>
    <hyperlink r:id="rId4" ref="D5"/>
    <hyperlink r:id="rId5" ref="D6"/>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sheetViews>
  <sheetFormatPr customHeight="1" defaultColWidth="12.63" defaultRowHeight="15.0"/>
  <cols>
    <col customWidth="1" min="1" max="3" width="53.0"/>
    <col customWidth="1" min="4" max="6" width="8.63"/>
  </cols>
  <sheetData>
    <row r="1" ht="60.0" customHeight="1">
      <c r="A1" s="8" t="s">
        <v>24</v>
      </c>
      <c r="B1" s="9"/>
      <c r="C1" s="10"/>
      <c r="D1" s="10"/>
      <c r="E1" s="10"/>
      <c r="F1" s="10"/>
      <c r="G1" s="10"/>
      <c r="H1" s="10"/>
      <c r="I1" s="10"/>
      <c r="J1" s="10"/>
      <c r="K1" s="10"/>
      <c r="L1" s="10"/>
      <c r="M1" s="10"/>
      <c r="N1" s="10"/>
      <c r="O1" s="10"/>
      <c r="P1" s="10"/>
      <c r="Q1" s="10"/>
      <c r="R1" s="10"/>
      <c r="S1" s="10"/>
      <c r="T1" s="10"/>
      <c r="U1" s="10"/>
      <c r="V1" s="10"/>
      <c r="W1" s="10"/>
      <c r="X1" s="10"/>
      <c r="Y1" s="10"/>
      <c r="Z1" s="10"/>
    </row>
    <row r="2" ht="18.75" customHeight="1">
      <c r="A2" s="11" t="s">
        <v>25</v>
      </c>
      <c r="B2" s="12" t="s">
        <v>26</v>
      </c>
      <c r="C2" s="10"/>
      <c r="D2" s="10"/>
      <c r="E2" s="10"/>
      <c r="F2" s="10"/>
      <c r="G2" s="10"/>
      <c r="H2" s="10"/>
      <c r="I2" s="10"/>
      <c r="J2" s="10"/>
      <c r="K2" s="10"/>
      <c r="L2" s="10"/>
      <c r="M2" s="10"/>
      <c r="N2" s="10"/>
      <c r="O2" s="10"/>
      <c r="P2" s="10"/>
      <c r="Q2" s="10"/>
      <c r="R2" s="10"/>
      <c r="S2" s="10"/>
      <c r="T2" s="10"/>
      <c r="U2" s="10"/>
      <c r="V2" s="10"/>
      <c r="W2" s="10"/>
      <c r="X2" s="10"/>
      <c r="Y2" s="10"/>
      <c r="Z2" s="10"/>
    </row>
    <row r="3" ht="18.75" customHeight="1">
      <c r="A3" s="11" t="s">
        <v>27</v>
      </c>
      <c r="B3" s="13">
        <v>45720.0</v>
      </c>
      <c r="C3" s="10"/>
      <c r="D3" s="10"/>
      <c r="E3" s="10"/>
      <c r="F3" s="10"/>
      <c r="G3" s="10"/>
      <c r="H3" s="10"/>
      <c r="I3" s="10"/>
      <c r="J3" s="10"/>
      <c r="K3" s="10"/>
      <c r="L3" s="10"/>
      <c r="M3" s="10"/>
      <c r="N3" s="10"/>
      <c r="O3" s="10"/>
      <c r="P3" s="10"/>
      <c r="Q3" s="10"/>
      <c r="R3" s="10"/>
      <c r="S3" s="10"/>
      <c r="T3" s="10"/>
      <c r="U3" s="10"/>
      <c r="V3" s="10"/>
      <c r="W3" s="10"/>
      <c r="X3" s="10"/>
      <c r="Y3" s="10"/>
      <c r="Z3" s="10"/>
    </row>
    <row r="4" ht="18.75" customHeight="1">
      <c r="A4" s="11" t="s">
        <v>28</v>
      </c>
      <c r="B4" s="12" t="s">
        <v>29</v>
      </c>
      <c r="C4" s="10"/>
      <c r="D4" s="10"/>
      <c r="E4" s="10"/>
      <c r="F4" s="10"/>
      <c r="G4" s="10"/>
      <c r="H4" s="10"/>
      <c r="I4" s="10"/>
      <c r="J4" s="10"/>
      <c r="K4" s="10"/>
      <c r="L4" s="10"/>
      <c r="M4" s="10"/>
      <c r="N4" s="10"/>
      <c r="O4" s="10"/>
      <c r="P4" s="10"/>
      <c r="Q4" s="10"/>
      <c r="R4" s="10"/>
      <c r="S4" s="10"/>
      <c r="T4" s="10"/>
      <c r="U4" s="10"/>
      <c r="V4" s="10"/>
      <c r="W4" s="10"/>
      <c r="X4" s="10"/>
      <c r="Y4" s="10"/>
      <c r="Z4" s="10"/>
    </row>
    <row r="5" ht="18.75" customHeight="1">
      <c r="A5" s="14" t="s">
        <v>30</v>
      </c>
      <c r="B5" s="15" t="s">
        <v>31</v>
      </c>
      <c r="C5" s="10"/>
      <c r="D5" s="10"/>
      <c r="E5" s="10"/>
      <c r="F5" s="10"/>
      <c r="G5" s="10"/>
      <c r="H5" s="10"/>
      <c r="I5" s="10"/>
      <c r="J5" s="10"/>
      <c r="K5" s="10"/>
      <c r="L5" s="10"/>
      <c r="M5" s="10"/>
      <c r="N5" s="10"/>
      <c r="O5" s="10"/>
      <c r="P5" s="10"/>
      <c r="Q5" s="10"/>
      <c r="R5" s="10"/>
      <c r="S5" s="10"/>
      <c r="T5" s="10"/>
      <c r="U5" s="10"/>
      <c r="V5" s="10"/>
      <c r="W5" s="10"/>
      <c r="X5" s="10"/>
      <c r="Y5" s="10"/>
      <c r="Z5" s="10"/>
    </row>
    <row r="6" ht="18.75" customHeight="1">
      <c r="A6" s="16"/>
      <c r="B6" s="17"/>
      <c r="C6" s="10"/>
      <c r="D6" s="10"/>
      <c r="E6" s="10"/>
      <c r="F6" s="10"/>
      <c r="G6" s="10"/>
      <c r="H6" s="10"/>
      <c r="I6" s="10"/>
      <c r="J6" s="10"/>
      <c r="K6" s="10"/>
      <c r="L6" s="10"/>
      <c r="M6" s="10"/>
      <c r="N6" s="10"/>
      <c r="O6" s="10"/>
      <c r="P6" s="10"/>
      <c r="Q6" s="10"/>
      <c r="R6" s="10"/>
      <c r="S6" s="10"/>
      <c r="T6" s="10"/>
      <c r="U6" s="10"/>
      <c r="V6" s="10"/>
      <c r="W6" s="10"/>
      <c r="X6" s="10"/>
      <c r="Y6" s="10"/>
      <c r="Z6" s="10"/>
    </row>
    <row r="7" ht="18.75" customHeight="1">
      <c r="D7" s="10"/>
      <c r="E7" s="10"/>
      <c r="F7" s="10"/>
      <c r="G7" s="10"/>
      <c r="H7" s="10"/>
      <c r="I7" s="10"/>
      <c r="J7" s="10"/>
      <c r="K7" s="10"/>
      <c r="L7" s="10"/>
      <c r="M7" s="10"/>
      <c r="N7" s="10"/>
      <c r="O7" s="10"/>
      <c r="P7" s="10"/>
      <c r="Q7" s="10"/>
      <c r="R7" s="10"/>
      <c r="S7" s="10"/>
      <c r="T7" s="10"/>
      <c r="U7" s="10"/>
      <c r="V7" s="10"/>
      <c r="W7" s="10"/>
      <c r="X7" s="10"/>
      <c r="Y7" s="10"/>
      <c r="Z7" s="10"/>
    </row>
    <row r="8" ht="18.75" customHeight="1">
      <c r="A8" s="18"/>
      <c r="B8" s="19"/>
      <c r="C8" s="20"/>
      <c r="D8" s="10"/>
      <c r="E8" s="10"/>
      <c r="F8" s="10"/>
      <c r="G8" s="10"/>
      <c r="H8" s="10"/>
      <c r="I8" s="10"/>
      <c r="J8" s="10"/>
      <c r="K8" s="10"/>
      <c r="L8" s="10"/>
      <c r="M8" s="10"/>
      <c r="N8" s="10"/>
      <c r="O8" s="10"/>
      <c r="P8" s="10"/>
      <c r="Q8" s="10"/>
      <c r="R8" s="10"/>
      <c r="S8" s="10"/>
      <c r="T8" s="10"/>
      <c r="U8" s="10"/>
      <c r="V8" s="10"/>
      <c r="W8" s="10"/>
      <c r="X8" s="10"/>
      <c r="Y8" s="10"/>
      <c r="Z8" s="10"/>
    </row>
    <row r="9" ht="18.75" customHeight="1">
      <c r="A9" s="21" t="s">
        <v>32</v>
      </c>
      <c r="B9" s="22"/>
      <c r="C9" s="23"/>
      <c r="D9" s="10"/>
      <c r="E9" s="10"/>
      <c r="F9" s="10"/>
      <c r="G9" s="10"/>
      <c r="H9" s="10"/>
      <c r="I9" s="10"/>
      <c r="J9" s="10"/>
      <c r="K9" s="10"/>
      <c r="L9" s="10"/>
      <c r="M9" s="10"/>
      <c r="N9" s="10"/>
      <c r="O9" s="10"/>
      <c r="P9" s="10"/>
      <c r="Q9" s="10"/>
      <c r="R9" s="10"/>
      <c r="S9" s="10"/>
      <c r="T9" s="10"/>
      <c r="U9" s="10"/>
      <c r="V9" s="10"/>
      <c r="W9" s="10"/>
      <c r="X9" s="10"/>
      <c r="Y9" s="10"/>
      <c r="Z9" s="10"/>
    </row>
    <row r="10" ht="18.75" customHeight="1">
      <c r="A10" s="24" t="s">
        <v>33</v>
      </c>
      <c r="B10" s="25" t="s">
        <v>34</v>
      </c>
      <c r="C10" s="26"/>
      <c r="D10" s="10"/>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27" t="s">
        <v>35</v>
      </c>
      <c r="B11" s="28" t="s">
        <v>36</v>
      </c>
      <c r="C11" s="29"/>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30" t="s">
        <v>37</v>
      </c>
      <c r="B12" s="31" t="s">
        <v>38</v>
      </c>
      <c r="C12" s="32"/>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33" t="s">
        <v>39</v>
      </c>
      <c r="B13" s="34" t="s">
        <v>40</v>
      </c>
      <c r="C13" s="35"/>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36" t="s">
        <v>41</v>
      </c>
      <c r="B14" s="37" t="s">
        <v>42</v>
      </c>
      <c r="C14" s="38"/>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39"/>
      <c r="B15" s="17"/>
      <c r="C15" s="17"/>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40" t="s">
        <v>43</v>
      </c>
      <c r="B17" s="41"/>
      <c r="C17" s="42"/>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43" t="s">
        <v>44</v>
      </c>
      <c r="B18" s="44" t="s">
        <v>45</v>
      </c>
      <c r="C18" s="45" t="s">
        <v>46</v>
      </c>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46" t="s">
        <v>10</v>
      </c>
      <c r="B19" s="31" t="b">
        <v>1</v>
      </c>
      <c r="C19" s="32" t="b">
        <v>1</v>
      </c>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46" t="s">
        <v>47</v>
      </c>
      <c r="B20" s="31" t="b">
        <v>1</v>
      </c>
      <c r="C20" s="32" t="b">
        <v>1</v>
      </c>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47" t="s">
        <v>48</v>
      </c>
      <c r="B21" s="48" t="b">
        <v>0</v>
      </c>
      <c r="C21" s="49" t="b">
        <v>1</v>
      </c>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47" t="s">
        <v>49</v>
      </c>
      <c r="B22" s="48" t="b">
        <v>0</v>
      </c>
      <c r="C22" s="49" t="b">
        <v>1</v>
      </c>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50" t="s">
        <v>50</v>
      </c>
      <c r="B23" s="48" t="b">
        <v>0</v>
      </c>
      <c r="C23" s="49" t="b">
        <v>1</v>
      </c>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46" t="s">
        <v>51</v>
      </c>
      <c r="B24" s="31" t="b">
        <v>1</v>
      </c>
      <c r="C24" s="32" t="b">
        <v>1</v>
      </c>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51" t="s">
        <v>52</v>
      </c>
      <c r="B25" s="31" t="b">
        <v>1</v>
      </c>
      <c r="C25" s="32" t="b">
        <v>1</v>
      </c>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52" t="s">
        <v>53</v>
      </c>
      <c r="B26" s="48" t="b">
        <v>0</v>
      </c>
      <c r="C26" s="49" t="b">
        <v>1</v>
      </c>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50" t="s">
        <v>54</v>
      </c>
      <c r="B27" s="48" t="b">
        <v>0</v>
      </c>
      <c r="C27" s="49" t="b">
        <v>0</v>
      </c>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40" t="s">
        <v>55</v>
      </c>
      <c r="B30" s="41"/>
      <c r="C30" s="42"/>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53" t="s">
        <v>56</v>
      </c>
      <c r="B31" s="54" t="s">
        <v>57</v>
      </c>
      <c r="C31" s="55" t="s">
        <v>58</v>
      </c>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56" t="s">
        <v>59</v>
      </c>
      <c r="B32" s="57" t="s">
        <v>60</v>
      </c>
      <c r="C32" s="58" t="s">
        <v>61</v>
      </c>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59" t="s">
        <v>62</v>
      </c>
      <c r="B33" s="60" t="s">
        <v>63</v>
      </c>
      <c r="C33" s="61" t="s">
        <v>64</v>
      </c>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62" t="s">
        <v>65</v>
      </c>
      <c r="B34" s="63" t="s">
        <v>66</v>
      </c>
      <c r="C34" s="64" t="s">
        <v>67</v>
      </c>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65" t="s">
        <v>68</v>
      </c>
      <c r="B35" s="66" t="s">
        <v>69</v>
      </c>
      <c r="C35" s="67" t="s">
        <v>70</v>
      </c>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68" t="s">
        <v>71</v>
      </c>
      <c r="B36" s="69" t="s">
        <v>72</v>
      </c>
      <c r="C36" s="70" t="s">
        <v>73</v>
      </c>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71" t="s">
        <v>74</v>
      </c>
      <c r="B39" s="72"/>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16"/>
      <c r="B40" s="72"/>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39" t="s">
        <v>75</v>
      </c>
      <c r="B41" s="73" t="s">
        <v>76</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16"/>
      <c r="B42" s="74" t="s">
        <v>77</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16"/>
      <c r="B43" s="74" t="s">
        <v>78</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16"/>
      <c r="B44" s="72"/>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16"/>
      <c r="B45" s="72"/>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16"/>
      <c r="B46" s="72"/>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75" t="s">
        <v>79</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1" t="s">
        <v>80</v>
      </c>
      <c r="B52" s="22"/>
      <c r="C52" s="23"/>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16"/>
      <c r="B53" s="72"/>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16"/>
      <c r="B54" s="72"/>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16"/>
      <c r="B55" s="72"/>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16"/>
      <c r="B56" s="72"/>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16"/>
      <c r="B57" s="72"/>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16"/>
      <c r="B58" s="72"/>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16"/>
      <c r="B59" s="72"/>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16"/>
      <c r="B60" s="72"/>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16"/>
      <c r="B61" s="72"/>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16"/>
      <c r="B62" s="72"/>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16"/>
      <c r="B63" s="72"/>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16"/>
      <c r="B64" s="72"/>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16"/>
      <c r="B65" s="72"/>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16"/>
      <c r="B66" s="72"/>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16"/>
      <c r="B67" s="72"/>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16"/>
      <c r="B68" s="72"/>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16"/>
      <c r="B69" s="72"/>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16"/>
      <c r="B70" s="72"/>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16"/>
      <c r="B71" s="72"/>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16"/>
      <c r="B72" s="72"/>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16"/>
      <c r="B73" s="72"/>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16"/>
      <c r="B74" s="72"/>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16"/>
      <c r="B75" s="72"/>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16"/>
      <c r="B76" s="72"/>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16"/>
      <c r="B77" s="72"/>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16"/>
      <c r="B78" s="72"/>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16"/>
      <c r="B79" s="72"/>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16"/>
      <c r="B80" s="72"/>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16"/>
      <c r="B81" s="72"/>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16"/>
      <c r="B82" s="72"/>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16"/>
      <c r="B83" s="72"/>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16"/>
      <c r="B84" s="72"/>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16"/>
      <c r="B85" s="72"/>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16"/>
      <c r="B86" s="72"/>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16"/>
      <c r="B87" s="72"/>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16"/>
      <c r="B88" s="72"/>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16"/>
      <c r="B89" s="72"/>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16"/>
      <c r="B90" s="72"/>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16"/>
      <c r="B91" s="72"/>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16"/>
      <c r="B92" s="72"/>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16"/>
      <c r="B93" s="72"/>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16"/>
      <c r="B94" s="72"/>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16"/>
      <c r="B95" s="72"/>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16"/>
      <c r="B96" s="72"/>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16"/>
      <c r="B97" s="72"/>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16"/>
      <c r="B98" s="72"/>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16"/>
      <c r="B99" s="72"/>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16"/>
      <c r="B100" s="72"/>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16"/>
      <c r="B101" s="72"/>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16"/>
      <c r="B102" s="72"/>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16"/>
      <c r="B103" s="72"/>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16"/>
      <c r="B104" s="72"/>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16"/>
      <c r="B105" s="72"/>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16"/>
      <c r="B106" s="72"/>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16"/>
      <c r="B107" s="72"/>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16"/>
      <c r="B108" s="72"/>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16"/>
      <c r="B109" s="72"/>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16"/>
      <c r="B110" s="72"/>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16"/>
      <c r="B111" s="72"/>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16"/>
      <c r="B112" s="72"/>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16"/>
      <c r="B113" s="72"/>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16"/>
      <c r="B114" s="72"/>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16"/>
      <c r="B115" s="72"/>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16"/>
      <c r="B116" s="72"/>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16"/>
      <c r="B117" s="72"/>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16"/>
      <c r="B118" s="72"/>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16"/>
      <c r="B119" s="72"/>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16"/>
      <c r="B120" s="72"/>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16"/>
      <c r="B121" s="72"/>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16"/>
      <c r="B122" s="72"/>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16"/>
      <c r="B123" s="72"/>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16"/>
      <c r="B124" s="72"/>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16"/>
      <c r="B125" s="72"/>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16"/>
      <c r="B126" s="72"/>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16"/>
      <c r="B127" s="72"/>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16"/>
      <c r="B128" s="72"/>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16"/>
      <c r="B129" s="72"/>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16"/>
      <c r="B130" s="72"/>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16"/>
      <c r="B131" s="72"/>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16"/>
      <c r="B132" s="72"/>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16"/>
      <c r="B133" s="72"/>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16"/>
      <c r="B134" s="72"/>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16"/>
      <c r="B135" s="72"/>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16"/>
      <c r="B136" s="72"/>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16"/>
      <c r="B137" s="72"/>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16"/>
      <c r="B138" s="72"/>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16"/>
      <c r="B139" s="72"/>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16"/>
      <c r="B140" s="72"/>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16"/>
      <c r="B141" s="72"/>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16"/>
      <c r="B142" s="72"/>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16"/>
      <c r="B143" s="72"/>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16"/>
      <c r="B144" s="72"/>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16"/>
      <c r="B145" s="72"/>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16"/>
      <c r="B146" s="72"/>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16"/>
      <c r="B147" s="72"/>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16"/>
      <c r="B148" s="72"/>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16"/>
      <c r="B149" s="72"/>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16"/>
      <c r="B150" s="72"/>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16"/>
      <c r="B151" s="72"/>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16"/>
      <c r="B152" s="72"/>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16"/>
      <c r="B153" s="72"/>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16"/>
      <c r="B154" s="72"/>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16"/>
      <c r="B155" s="72"/>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16"/>
      <c r="B156" s="72"/>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16"/>
      <c r="B157" s="72"/>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16"/>
      <c r="B158" s="72"/>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16"/>
      <c r="B159" s="72"/>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16"/>
      <c r="B160" s="72"/>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16"/>
      <c r="B161" s="72"/>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16"/>
      <c r="B162" s="72"/>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16"/>
      <c r="B163" s="72"/>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16"/>
      <c r="B164" s="72"/>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16"/>
      <c r="B165" s="72"/>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16"/>
      <c r="B166" s="72"/>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16"/>
      <c r="B167" s="72"/>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16"/>
      <c r="B168" s="72"/>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16"/>
      <c r="B169" s="72"/>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16"/>
      <c r="B170" s="72"/>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16"/>
      <c r="B171" s="72"/>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16"/>
      <c r="B172" s="72"/>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16"/>
      <c r="B173" s="72"/>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16"/>
      <c r="B174" s="72"/>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16"/>
      <c r="B175" s="72"/>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16"/>
      <c r="B176" s="72"/>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16"/>
      <c r="B177" s="72"/>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16"/>
      <c r="B178" s="72"/>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16"/>
      <c r="B179" s="72"/>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16"/>
      <c r="B180" s="72"/>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16"/>
      <c r="B181" s="72"/>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16"/>
      <c r="B182" s="72"/>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16"/>
      <c r="B183" s="72"/>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16"/>
      <c r="B184" s="72"/>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16"/>
      <c r="B185" s="72"/>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16"/>
      <c r="B186" s="72"/>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16"/>
      <c r="B187" s="72"/>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16"/>
      <c r="B188" s="72"/>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16"/>
      <c r="B189" s="72"/>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16"/>
      <c r="B190" s="72"/>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16"/>
      <c r="B191" s="72"/>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16"/>
      <c r="B192" s="72"/>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16"/>
      <c r="B193" s="72"/>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16"/>
      <c r="B194" s="72"/>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16"/>
      <c r="B195" s="72"/>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16"/>
      <c r="B196" s="72"/>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16"/>
      <c r="B197" s="72"/>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16"/>
      <c r="B198" s="72"/>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16"/>
      <c r="B199" s="72"/>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16"/>
      <c r="B200" s="72"/>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16"/>
      <c r="B201" s="7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16"/>
      <c r="B202" s="7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16"/>
      <c r="B203" s="7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16"/>
      <c r="B204" s="7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16"/>
      <c r="B205" s="7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16"/>
      <c r="B206" s="7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16"/>
      <c r="B207" s="7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16"/>
      <c r="B208" s="7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16"/>
      <c r="B209" s="7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16"/>
      <c r="B210" s="72"/>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16"/>
      <c r="B211" s="72"/>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16"/>
      <c r="B212" s="72"/>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16"/>
      <c r="B213" s="72"/>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16"/>
      <c r="B214" s="72"/>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16"/>
      <c r="B215" s="72"/>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16"/>
      <c r="B216" s="72"/>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16"/>
      <c r="B217" s="72"/>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16"/>
      <c r="B218" s="72"/>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16"/>
      <c r="B219" s="72"/>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16"/>
      <c r="B220" s="72"/>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16"/>
      <c r="B221" s="72"/>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16"/>
      <c r="B222" s="72"/>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16"/>
      <c r="B223" s="72"/>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16"/>
      <c r="B224" s="72"/>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16"/>
      <c r="B225" s="72"/>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16"/>
      <c r="B226" s="72"/>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16"/>
      <c r="B227" s="72"/>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16"/>
      <c r="B228" s="72"/>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16"/>
      <c r="B229" s="72"/>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16"/>
      <c r="B230" s="72"/>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16"/>
      <c r="B231" s="72"/>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16"/>
      <c r="B232" s="72"/>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16"/>
      <c r="B233" s="72"/>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16"/>
      <c r="B234" s="72"/>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76"/>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76"/>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76"/>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76"/>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76"/>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76"/>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76"/>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76"/>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76"/>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76"/>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76"/>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76"/>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76"/>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76"/>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76"/>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76"/>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76"/>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76"/>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76"/>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76"/>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76"/>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76"/>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76"/>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76"/>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76"/>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76"/>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76"/>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76"/>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76"/>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76"/>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76"/>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76"/>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76"/>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76"/>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76"/>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76"/>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76"/>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76"/>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76"/>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76"/>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76"/>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76"/>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76"/>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76"/>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76"/>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76"/>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76"/>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76"/>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76"/>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76"/>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76"/>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76"/>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76"/>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76"/>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76"/>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76"/>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76"/>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76"/>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76"/>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76"/>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76"/>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76"/>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76"/>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76"/>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76"/>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76"/>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76"/>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76"/>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76"/>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76"/>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76"/>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76"/>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76"/>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76"/>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76"/>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76"/>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76"/>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76"/>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76"/>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76"/>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76"/>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76"/>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76"/>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76"/>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76"/>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76"/>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76"/>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76"/>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76"/>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76"/>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76"/>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76"/>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76"/>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76"/>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76"/>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76"/>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76"/>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76"/>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76"/>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76"/>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76"/>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76"/>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76"/>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76"/>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76"/>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76"/>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76"/>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76"/>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76"/>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76"/>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76"/>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76"/>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76"/>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76"/>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76"/>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76"/>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76"/>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76"/>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76"/>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76"/>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76"/>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76"/>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76"/>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76"/>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76"/>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76"/>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76"/>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76"/>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76"/>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76"/>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76"/>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76"/>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76"/>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76"/>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76"/>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76"/>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76"/>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76"/>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76"/>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76"/>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76"/>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76"/>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76"/>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76"/>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76"/>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76"/>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76"/>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76"/>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76"/>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76"/>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76"/>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76"/>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76"/>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76"/>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76"/>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76"/>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76"/>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76"/>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76"/>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76"/>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76"/>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76"/>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76"/>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76"/>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76"/>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76"/>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76"/>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76"/>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76"/>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76"/>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76"/>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76"/>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76"/>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76"/>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76"/>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76"/>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76"/>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76"/>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76"/>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76"/>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76"/>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76"/>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76"/>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76"/>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76"/>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76"/>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76"/>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76"/>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76"/>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76"/>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76"/>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76"/>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76"/>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76"/>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76"/>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76"/>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76"/>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76"/>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76"/>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76"/>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76"/>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76"/>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76"/>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76"/>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76"/>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76"/>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76"/>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76"/>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76"/>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76"/>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76"/>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76"/>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76"/>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76"/>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76"/>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76"/>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76"/>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76"/>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76"/>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76"/>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76"/>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76"/>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76"/>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76"/>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76"/>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76"/>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76"/>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76"/>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76"/>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76"/>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76"/>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76"/>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76"/>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76"/>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76"/>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76"/>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76"/>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76"/>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76"/>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76"/>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76"/>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76"/>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76"/>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76"/>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76"/>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76"/>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76"/>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76"/>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76"/>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76"/>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76"/>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76"/>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76"/>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76"/>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76"/>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76"/>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76"/>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76"/>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76"/>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76"/>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76"/>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76"/>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76"/>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76"/>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76"/>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76"/>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76"/>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76"/>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76"/>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76"/>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76"/>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76"/>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76"/>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76"/>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76"/>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76"/>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76"/>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76"/>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76"/>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76"/>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76"/>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76"/>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76"/>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76"/>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76"/>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76"/>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76"/>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76"/>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76"/>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76"/>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76"/>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76"/>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76"/>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76"/>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76"/>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76"/>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76"/>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76"/>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76"/>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76"/>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76"/>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76"/>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76"/>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76"/>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76"/>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76"/>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76"/>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76"/>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76"/>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76"/>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76"/>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76"/>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76"/>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76"/>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76"/>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76"/>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76"/>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76"/>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76"/>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76"/>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76"/>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76"/>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76"/>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76"/>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76"/>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76"/>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76"/>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76"/>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76"/>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76"/>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76"/>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76"/>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76"/>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76"/>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76"/>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76"/>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76"/>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76"/>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76"/>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76"/>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76"/>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76"/>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76"/>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76"/>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76"/>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76"/>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76"/>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76"/>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76"/>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76"/>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76"/>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76"/>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76"/>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76"/>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76"/>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76"/>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76"/>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76"/>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76"/>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76"/>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76"/>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76"/>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76"/>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76"/>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76"/>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76"/>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76"/>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76"/>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76"/>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76"/>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76"/>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76"/>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76"/>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76"/>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76"/>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76"/>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76"/>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76"/>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76"/>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76"/>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76"/>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76"/>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76"/>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76"/>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76"/>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76"/>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76"/>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76"/>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76"/>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76"/>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76"/>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76"/>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76"/>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76"/>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76"/>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76"/>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76"/>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76"/>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76"/>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76"/>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76"/>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76"/>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76"/>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76"/>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76"/>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76"/>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76"/>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76"/>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76"/>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76"/>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76"/>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76"/>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76"/>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76"/>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76"/>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76"/>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76"/>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76"/>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76"/>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76"/>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76"/>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76"/>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76"/>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76"/>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76"/>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76"/>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76"/>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76"/>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76"/>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76"/>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76"/>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76"/>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76"/>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76"/>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76"/>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76"/>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76"/>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76"/>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76"/>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76"/>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76"/>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76"/>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76"/>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76"/>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76"/>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76"/>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76"/>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76"/>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76"/>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76"/>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76"/>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76"/>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76"/>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76"/>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76"/>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76"/>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76"/>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76"/>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76"/>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76"/>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76"/>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76"/>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76"/>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76"/>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76"/>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76"/>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76"/>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76"/>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76"/>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76"/>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76"/>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76"/>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76"/>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76"/>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76"/>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76"/>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76"/>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76"/>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76"/>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76"/>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76"/>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76"/>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76"/>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76"/>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76"/>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76"/>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76"/>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76"/>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76"/>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76"/>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76"/>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76"/>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76"/>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76"/>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76"/>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76"/>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76"/>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76"/>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76"/>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76"/>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76"/>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76"/>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76"/>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76"/>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76"/>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76"/>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76"/>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76"/>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76"/>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76"/>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76"/>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76"/>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76"/>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76"/>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76"/>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76"/>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76"/>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76"/>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76"/>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76"/>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76"/>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76"/>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76"/>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76"/>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76"/>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76"/>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76"/>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76"/>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76"/>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76"/>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76"/>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76"/>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76"/>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76"/>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76"/>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76"/>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76"/>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76"/>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76"/>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76"/>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76"/>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76"/>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76"/>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76"/>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76"/>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76"/>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76"/>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76"/>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76"/>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76"/>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76"/>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76"/>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76"/>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76"/>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76"/>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76"/>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76"/>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76"/>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76"/>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76"/>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76"/>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76"/>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76"/>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76"/>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76"/>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76"/>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76"/>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76"/>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76"/>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76"/>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76"/>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76"/>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76"/>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76"/>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76"/>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76"/>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76"/>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76"/>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76"/>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76"/>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76"/>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76"/>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76"/>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76"/>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76"/>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76"/>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76"/>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76"/>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76"/>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76"/>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76"/>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76"/>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76"/>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76"/>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76"/>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76"/>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76"/>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76"/>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76"/>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76"/>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76"/>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76"/>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76"/>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76"/>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76"/>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76"/>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76"/>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76"/>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76"/>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76"/>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76"/>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76"/>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76"/>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76"/>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76"/>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76"/>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76"/>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76"/>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76"/>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76"/>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76"/>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76"/>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76"/>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76"/>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76"/>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76"/>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76"/>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76"/>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76"/>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76"/>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76"/>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76"/>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76"/>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76"/>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76"/>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76"/>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76"/>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76"/>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76"/>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76"/>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76"/>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76"/>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76"/>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76"/>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76"/>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76"/>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76"/>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76"/>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76"/>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76"/>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76"/>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76"/>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76"/>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76"/>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76"/>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76"/>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76"/>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76"/>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76"/>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76"/>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76"/>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76"/>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76"/>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76"/>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76"/>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76"/>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76"/>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76"/>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76"/>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76"/>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76"/>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76"/>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76"/>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76"/>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76"/>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76"/>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76"/>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76"/>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76"/>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76"/>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76"/>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76"/>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76"/>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76"/>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76"/>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76"/>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76"/>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76"/>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76"/>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76"/>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76"/>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76"/>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76"/>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76"/>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76"/>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76"/>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76"/>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76"/>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76"/>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76"/>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76"/>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76"/>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76"/>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76"/>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76"/>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76"/>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76"/>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76"/>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76"/>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76"/>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76"/>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76"/>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76"/>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76"/>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76"/>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76"/>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76"/>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76"/>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76"/>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76"/>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76"/>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76"/>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76"/>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76"/>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76"/>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76"/>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76"/>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76"/>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76"/>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76"/>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76"/>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76"/>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76"/>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76"/>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76"/>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76"/>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76"/>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76"/>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76"/>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76"/>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76"/>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76"/>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76"/>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76"/>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76"/>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76"/>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76"/>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76"/>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76"/>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76"/>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76"/>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76"/>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76"/>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76"/>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76"/>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76"/>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76"/>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76"/>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76"/>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76"/>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76"/>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76"/>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76"/>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76"/>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76"/>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76"/>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8.75" customHeight="1">
      <c r="A1001" s="76"/>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8.75" customHeight="1">
      <c r="A1002" s="76"/>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8.75" customHeight="1">
      <c r="A1003" s="76"/>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8.75" customHeight="1">
      <c r="A1004" s="76"/>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8.75" customHeight="1">
      <c r="A1005" s="76"/>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8.75" customHeight="1">
      <c r="A1006" s="76"/>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8.75" customHeight="1">
      <c r="A1007" s="76"/>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8.75" customHeight="1">
      <c r="A1008" s="76"/>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8.75" customHeight="1">
      <c r="A1009" s="76"/>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8.75" customHeight="1">
      <c r="A1010" s="76"/>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8.75" customHeight="1">
      <c r="A1011" s="76"/>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8.75" customHeight="1">
      <c r="A1012" s="76"/>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8.75" customHeight="1">
      <c r="A1013" s="76"/>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sheetData>
  <conditionalFormatting sqref="A7:A9 A35 A52">
    <cfRule type="endsWith" dxfId="5" priority="1" operator="endsWith" text="M">
      <formula>RIGHT((A7),LEN("M"))=("M")</formula>
    </cfRule>
  </conditionalFormatting>
  <conditionalFormatting sqref="A7:A9 A35 A52">
    <cfRule type="endsWith" dxfId="6" priority="2" operator="endsWith" text="R">
      <formula>RIGHT((A7),LEN("R"))=("R")</formula>
    </cfRule>
  </conditionalFormatting>
  <conditionalFormatting sqref="A7:A9 A35 A52">
    <cfRule type="endsWith" dxfId="7" priority="3" operator="endsWith" text="O">
      <formula>RIGHT((A7),LEN("O"))=("O")</formula>
    </cfRule>
  </conditionalFormatting>
  <hyperlinks>
    <hyperlink r:id="rId1" ref="B5"/>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outlinePr summaryBelow="0" summaryRight="0"/>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75"/>
    <col customWidth="1" min="2" max="2" width="22.13"/>
    <col customWidth="1" min="3" max="3" width="41.25"/>
    <col customWidth="1" min="4" max="4" width="32.75"/>
    <col customWidth="1" min="5" max="5" width="76.75"/>
    <col customWidth="1" min="6" max="6" width="20.0"/>
    <col customWidth="1" min="9" max="9" width="19.63"/>
    <col customWidth="1" min="10" max="10" width="62.88"/>
    <col customWidth="1" min="11" max="11" width="18.88"/>
    <col customWidth="1" min="12" max="14" width="7.63"/>
    <col customWidth="1" min="15" max="15" width="42.75"/>
  </cols>
  <sheetData>
    <row r="1" ht="60.0" customHeight="1">
      <c r="A1" s="77" t="s">
        <v>81</v>
      </c>
      <c r="B1" s="77" t="s">
        <v>82</v>
      </c>
      <c r="C1" s="77" t="s">
        <v>83</v>
      </c>
      <c r="D1" s="78" t="s">
        <v>84</v>
      </c>
      <c r="E1" s="79" t="s">
        <v>85</v>
      </c>
      <c r="F1" s="80" t="s">
        <v>86</v>
      </c>
      <c r="G1" s="80" t="s">
        <v>87</v>
      </c>
      <c r="H1" s="80" t="s">
        <v>88</v>
      </c>
      <c r="I1" s="77" t="s">
        <v>89</v>
      </c>
      <c r="J1" s="81" t="s">
        <v>90</v>
      </c>
      <c r="K1" s="77" t="s">
        <v>88</v>
      </c>
      <c r="L1" s="78" t="s">
        <v>91</v>
      </c>
      <c r="M1" s="78"/>
      <c r="N1" s="78"/>
      <c r="O1" s="82" t="s">
        <v>92</v>
      </c>
    </row>
    <row r="2" ht="90.0" customHeight="1">
      <c r="A2" s="83"/>
      <c r="B2" s="83"/>
      <c r="C2" s="84"/>
      <c r="D2" s="84"/>
      <c r="E2" s="83" t="s">
        <v>93</v>
      </c>
      <c r="F2" s="85" t="s">
        <v>86</v>
      </c>
      <c r="G2" s="85"/>
      <c r="H2" s="85" t="s">
        <v>94</v>
      </c>
      <c r="I2" s="83" t="s">
        <v>95</v>
      </c>
      <c r="J2" s="83" t="s">
        <v>96</v>
      </c>
      <c r="K2" s="83" t="s">
        <v>97</v>
      </c>
      <c r="L2" s="86" t="s">
        <v>98</v>
      </c>
      <c r="M2" s="86" t="s">
        <v>99</v>
      </c>
      <c r="N2" s="86" t="s">
        <v>100</v>
      </c>
      <c r="O2" s="83" t="s">
        <v>101</v>
      </c>
    </row>
    <row r="3" ht="18.75" customHeight="1">
      <c r="A3" s="87" t="s">
        <v>102</v>
      </c>
      <c r="B3" s="87" t="s">
        <v>103</v>
      </c>
      <c r="C3" s="88" t="s">
        <v>104</v>
      </c>
      <c r="D3" s="89" t="s">
        <v>105</v>
      </c>
      <c r="E3" s="90" t="s">
        <v>106</v>
      </c>
      <c r="F3" s="91" t="s">
        <v>107</v>
      </c>
      <c r="G3" s="91" t="s">
        <v>108</v>
      </c>
      <c r="H3" s="91" t="s">
        <v>109</v>
      </c>
      <c r="I3" s="92" t="s">
        <v>35</v>
      </c>
      <c r="J3" s="93"/>
      <c r="K3" s="94"/>
      <c r="L3" s="91" t="b">
        <v>1</v>
      </c>
      <c r="M3" s="91" t="b">
        <v>1</v>
      </c>
      <c r="N3" s="91" t="b">
        <v>0</v>
      </c>
      <c r="O3" s="95" t="s">
        <v>110</v>
      </c>
    </row>
    <row r="4" ht="18.75" customHeight="1">
      <c r="A4" s="87" t="s">
        <v>102</v>
      </c>
      <c r="B4" s="96" t="s">
        <v>103</v>
      </c>
      <c r="C4" s="97" t="s">
        <v>111</v>
      </c>
      <c r="D4" s="98" t="s">
        <v>112</v>
      </c>
      <c r="E4" s="99" t="s">
        <v>113</v>
      </c>
      <c r="F4" s="100" t="s">
        <v>107</v>
      </c>
      <c r="G4" s="100" t="s">
        <v>114</v>
      </c>
      <c r="H4" s="100" t="s">
        <v>109</v>
      </c>
      <c r="I4" s="92" t="s">
        <v>37</v>
      </c>
      <c r="J4" s="101" t="s">
        <v>115</v>
      </c>
      <c r="K4" s="94"/>
      <c r="L4" s="100" t="b">
        <v>1</v>
      </c>
      <c r="M4" s="100" t="b">
        <v>0</v>
      </c>
      <c r="N4" s="100" t="b">
        <v>1</v>
      </c>
      <c r="O4" s="95" t="s">
        <v>115</v>
      </c>
    </row>
    <row r="5" ht="18.75" customHeight="1">
      <c r="A5" s="87" t="s">
        <v>102</v>
      </c>
      <c r="B5" s="102" t="s">
        <v>103</v>
      </c>
      <c r="C5" s="103" t="s">
        <v>116</v>
      </c>
      <c r="D5" s="104" t="s">
        <v>117</v>
      </c>
      <c r="E5" s="105" t="s">
        <v>118</v>
      </c>
      <c r="F5" s="106" t="s">
        <v>107</v>
      </c>
      <c r="G5" s="106" t="s">
        <v>108</v>
      </c>
      <c r="H5" s="106" t="s">
        <v>109</v>
      </c>
      <c r="I5" s="92" t="s">
        <v>39</v>
      </c>
      <c r="J5" s="93"/>
      <c r="K5" s="94"/>
      <c r="L5" s="106" t="b">
        <v>1</v>
      </c>
      <c r="M5" s="106" t="b">
        <v>0</v>
      </c>
      <c r="N5" s="106" t="b">
        <v>1</v>
      </c>
      <c r="O5" s="95" t="s">
        <v>119</v>
      </c>
    </row>
    <row r="6" ht="18.75" customHeight="1">
      <c r="A6" s="87" t="s">
        <v>102</v>
      </c>
      <c r="B6" s="102" t="s">
        <v>103</v>
      </c>
      <c r="C6" s="103" t="s">
        <v>120</v>
      </c>
      <c r="D6" s="104" t="s">
        <v>121</v>
      </c>
      <c r="E6" s="105" t="s">
        <v>122</v>
      </c>
      <c r="F6" s="106" t="s">
        <v>107</v>
      </c>
      <c r="G6" s="106" t="s">
        <v>123</v>
      </c>
      <c r="H6" s="106" t="s">
        <v>109</v>
      </c>
      <c r="I6" s="92" t="s">
        <v>41</v>
      </c>
      <c r="J6" s="101"/>
      <c r="K6" s="94"/>
      <c r="L6" s="106" t="b">
        <v>0</v>
      </c>
      <c r="M6" s="106" t="b">
        <v>0</v>
      </c>
      <c r="N6" s="106" t="b">
        <v>1</v>
      </c>
      <c r="O6" s="95" t="s">
        <v>124</v>
      </c>
    </row>
    <row r="7" ht="18.75" customHeight="1">
      <c r="A7" s="87" t="s">
        <v>102</v>
      </c>
      <c r="B7" s="102" t="s">
        <v>103</v>
      </c>
      <c r="C7" s="103" t="s">
        <v>125</v>
      </c>
      <c r="D7" s="104" t="s">
        <v>126</v>
      </c>
      <c r="E7" s="105" t="s">
        <v>127</v>
      </c>
      <c r="F7" s="106" t="s">
        <v>107</v>
      </c>
      <c r="G7" s="106" t="s">
        <v>114</v>
      </c>
      <c r="H7" s="106" t="s">
        <v>109</v>
      </c>
      <c r="I7" s="92" t="s">
        <v>37</v>
      </c>
      <c r="J7" s="101" t="s">
        <v>128</v>
      </c>
      <c r="K7" s="94"/>
      <c r="L7" s="106" t="b">
        <v>1</v>
      </c>
      <c r="M7" s="106" t="b">
        <v>1</v>
      </c>
      <c r="N7" s="106" t="b">
        <v>1</v>
      </c>
      <c r="O7" s="95" t="s">
        <v>128</v>
      </c>
    </row>
    <row r="8" ht="18.75" customHeight="1">
      <c r="A8" s="87" t="s">
        <v>102</v>
      </c>
      <c r="B8" s="102" t="s">
        <v>103</v>
      </c>
      <c r="C8" s="103" t="s">
        <v>129</v>
      </c>
      <c r="D8" s="104" t="s">
        <v>130</v>
      </c>
      <c r="E8" s="105" t="s">
        <v>131</v>
      </c>
      <c r="F8" s="106" t="s">
        <v>107</v>
      </c>
      <c r="G8" s="106" t="s">
        <v>114</v>
      </c>
      <c r="H8" s="106" t="s">
        <v>109</v>
      </c>
      <c r="I8" s="92" t="s">
        <v>37</v>
      </c>
      <c r="J8" s="101" t="s">
        <v>132</v>
      </c>
      <c r="K8" s="94"/>
      <c r="L8" s="106" t="b">
        <v>1</v>
      </c>
      <c r="M8" s="106" t="b">
        <v>1</v>
      </c>
      <c r="N8" s="106" t="b">
        <v>1</v>
      </c>
      <c r="O8" s="95" t="s">
        <v>133</v>
      </c>
    </row>
    <row r="9" ht="18.75" customHeight="1">
      <c r="A9" s="87" t="s">
        <v>102</v>
      </c>
      <c r="B9" s="102" t="s">
        <v>103</v>
      </c>
      <c r="C9" s="103" t="s">
        <v>134</v>
      </c>
      <c r="D9" s="104" t="s">
        <v>135</v>
      </c>
      <c r="E9" s="105" t="s">
        <v>136</v>
      </c>
      <c r="F9" s="106" t="s">
        <v>107</v>
      </c>
      <c r="G9" s="106" t="s">
        <v>108</v>
      </c>
      <c r="H9" s="106" t="s">
        <v>109</v>
      </c>
      <c r="I9" s="92" t="s">
        <v>37</v>
      </c>
      <c r="J9" s="101"/>
      <c r="K9" s="94"/>
      <c r="L9" s="106" t="b">
        <v>1</v>
      </c>
      <c r="M9" s="106" t="b">
        <v>0</v>
      </c>
      <c r="N9" s="106" t="b">
        <v>1</v>
      </c>
      <c r="O9" s="95" t="s">
        <v>137</v>
      </c>
    </row>
    <row r="10" ht="18.75" customHeight="1">
      <c r="A10" s="87" t="s">
        <v>102</v>
      </c>
      <c r="B10" s="107" t="s">
        <v>103</v>
      </c>
      <c r="C10" s="108" t="s">
        <v>138</v>
      </c>
      <c r="D10" s="109" t="s">
        <v>139</v>
      </c>
      <c r="E10" s="110" t="s">
        <v>140</v>
      </c>
      <c r="F10" s="111" t="s">
        <v>107</v>
      </c>
      <c r="G10" s="111" t="s">
        <v>108</v>
      </c>
      <c r="H10" s="111" t="s">
        <v>109</v>
      </c>
      <c r="I10" s="92" t="s">
        <v>39</v>
      </c>
      <c r="J10" s="101"/>
      <c r="K10" s="94"/>
      <c r="L10" s="111" t="b">
        <v>1</v>
      </c>
      <c r="M10" s="111" t="b">
        <v>0</v>
      </c>
      <c r="N10" s="111" t="b">
        <v>1</v>
      </c>
      <c r="O10" s="95" t="s">
        <v>141</v>
      </c>
    </row>
    <row r="11" ht="18.75" customHeight="1">
      <c r="A11" s="87" t="s">
        <v>102</v>
      </c>
      <c r="B11" s="107" t="s">
        <v>103</v>
      </c>
      <c r="C11" s="108" t="s">
        <v>142</v>
      </c>
      <c r="D11" s="109" t="s">
        <v>143</v>
      </c>
      <c r="E11" s="110" t="s">
        <v>144</v>
      </c>
      <c r="F11" s="111" t="s">
        <v>107</v>
      </c>
      <c r="G11" s="111" t="s">
        <v>108</v>
      </c>
      <c r="H11" s="111" t="s">
        <v>109</v>
      </c>
      <c r="I11" s="92" t="s">
        <v>39</v>
      </c>
      <c r="J11" s="101"/>
      <c r="K11" s="94"/>
      <c r="L11" s="111" t="b">
        <v>1</v>
      </c>
      <c r="M11" s="111" t="b">
        <v>0</v>
      </c>
      <c r="N11" s="111" t="b">
        <v>1</v>
      </c>
      <c r="O11" s="95" t="s">
        <v>145</v>
      </c>
    </row>
    <row r="12" ht="18.75" customHeight="1">
      <c r="A12" s="87" t="s">
        <v>102</v>
      </c>
      <c r="B12" s="102" t="s">
        <v>103</v>
      </c>
      <c r="C12" s="103" t="s">
        <v>146</v>
      </c>
      <c r="D12" s="104" t="s">
        <v>147</v>
      </c>
      <c r="E12" s="105" t="s">
        <v>148</v>
      </c>
      <c r="F12" s="106" t="s">
        <v>107</v>
      </c>
      <c r="G12" s="106" t="s">
        <v>108</v>
      </c>
      <c r="H12" s="106" t="s">
        <v>109</v>
      </c>
      <c r="I12" s="92" t="s">
        <v>41</v>
      </c>
      <c r="J12" s="101"/>
      <c r="K12" s="94"/>
      <c r="L12" s="106" t="b">
        <v>1</v>
      </c>
      <c r="M12" s="106" t="b">
        <v>0</v>
      </c>
      <c r="N12" s="106" t="b">
        <v>1</v>
      </c>
      <c r="O12" s="95" t="s">
        <v>149</v>
      </c>
    </row>
    <row r="13" ht="18.75" customHeight="1">
      <c r="A13" s="87" t="s">
        <v>102</v>
      </c>
      <c r="B13" s="102" t="s">
        <v>103</v>
      </c>
      <c r="C13" s="103" t="s">
        <v>150</v>
      </c>
      <c r="D13" s="104" t="s">
        <v>151</v>
      </c>
      <c r="E13" s="105" t="s">
        <v>152</v>
      </c>
      <c r="F13" s="106" t="s">
        <v>153</v>
      </c>
      <c r="G13" s="106" t="s">
        <v>154</v>
      </c>
      <c r="H13" s="106" t="s">
        <v>155</v>
      </c>
      <c r="I13" s="92" t="s">
        <v>37</v>
      </c>
      <c r="J13" s="112">
        <v>46064.0</v>
      </c>
      <c r="K13" s="94"/>
      <c r="L13" s="106" t="b">
        <v>1</v>
      </c>
      <c r="M13" s="106" t="b">
        <v>0</v>
      </c>
      <c r="N13" s="106" t="b">
        <v>0</v>
      </c>
      <c r="O13" s="113">
        <v>46064.0</v>
      </c>
    </row>
    <row r="14" ht="18.75" customHeight="1">
      <c r="A14" s="87" t="s">
        <v>102</v>
      </c>
      <c r="B14" s="107" t="s">
        <v>103</v>
      </c>
      <c r="C14" s="108" t="s">
        <v>156</v>
      </c>
      <c r="D14" s="109" t="s">
        <v>157</v>
      </c>
      <c r="E14" s="110" t="s">
        <v>158</v>
      </c>
      <c r="F14" s="111" t="s">
        <v>159</v>
      </c>
      <c r="G14" s="111" t="s">
        <v>160</v>
      </c>
      <c r="H14" s="111" t="s">
        <v>109</v>
      </c>
      <c r="I14" s="92" t="s">
        <v>37</v>
      </c>
      <c r="J14" s="101" t="s">
        <v>161</v>
      </c>
      <c r="K14" s="94"/>
      <c r="L14" s="111" t="b">
        <v>0</v>
      </c>
      <c r="M14" s="111" t="b">
        <v>0</v>
      </c>
      <c r="N14" s="111" t="b">
        <v>0</v>
      </c>
      <c r="O14" s="95" t="s">
        <v>161</v>
      </c>
    </row>
    <row r="15" ht="18.75" customHeight="1">
      <c r="A15" s="87" t="s">
        <v>102</v>
      </c>
      <c r="B15" s="107" t="s">
        <v>103</v>
      </c>
      <c r="C15" s="108" t="s">
        <v>162</v>
      </c>
      <c r="D15" s="109" t="s">
        <v>163</v>
      </c>
      <c r="E15" s="110" t="s">
        <v>164</v>
      </c>
      <c r="F15" s="111" t="s">
        <v>107</v>
      </c>
      <c r="G15" s="111" t="s">
        <v>108</v>
      </c>
      <c r="H15" s="111" t="s">
        <v>109</v>
      </c>
      <c r="I15" s="92" t="s">
        <v>39</v>
      </c>
      <c r="J15" s="101"/>
      <c r="K15" s="94"/>
      <c r="L15" s="111" t="b">
        <v>0</v>
      </c>
      <c r="M15" s="111" t="b">
        <v>0</v>
      </c>
      <c r="N15" s="111" t="b">
        <v>0</v>
      </c>
      <c r="O15" s="95" t="s">
        <v>165</v>
      </c>
    </row>
    <row r="16" ht="18.75" customHeight="1">
      <c r="A16" s="87" t="s">
        <v>102</v>
      </c>
      <c r="B16" s="102" t="s">
        <v>103</v>
      </c>
      <c r="C16" s="103" t="s">
        <v>166</v>
      </c>
      <c r="D16" s="104" t="s">
        <v>167</v>
      </c>
      <c r="E16" s="105" t="s">
        <v>168</v>
      </c>
      <c r="F16" s="106" t="s">
        <v>153</v>
      </c>
      <c r="G16" s="106" t="s">
        <v>154</v>
      </c>
      <c r="H16" s="106" t="s">
        <v>155</v>
      </c>
      <c r="I16" s="92" t="s">
        <v>41</v>
      </c>
      <c r="J16" s="112">
        <v>46060.0</v>
      </c>
      <c r="K16" s="94"/>
      <c r="L16" s="106" t="b">
        <v>0</v>
      </c>
      <c r="M16" s="106" t="b">
        <v>0</v>
      </c>
      <c r="N16" s="106" t="b">
        <v>0</v>
      </c>
      <c r="O16" s="113">
        <v>46060.0</v>
      </c>
    </row>
    <row r="17" ht="18.75" customHeight="1">
      <c r="A17" s="87" t="s">
        <v>102</v>
      </c>
      <c r="B17" s="107" t="s">
        <v>103</v>
      </c>
      <c r="C17" s="108" t="s">
        <v>169</v>
      </c>
      <c r="D17" s="109" t="s">
        <v>170</v>
      </c>
      <c r="E17" s="110" t="s">
        <v>171</v>
      </c>
      <c r="F17" s="106" t="s">
        <v>107</v>
      </c>
      <c r="G17" s="106" t="s">
        <v>114</v>
      </c>
      <c r="H17" s="106" t="s">
        <v>109</v>
      </c>
      <c r="I17" s="92" t="s">
        <v>37</v>
      </c>
      <c r="J17" s="101" t="s">
        <v>161</v>
      </c>
      <c r="K17" s="94"/>
      <c r="L17" s="111" t="b">
        <v>0</v>
      </c>
      <c r="M17" s="111" t="b">
        <v>1</v>
      </c>
      <c r="N17" s="111" t="b">
        <v>0</v>
      </c>
      <c r="O17" s="95" t="s">
        <v>172</v>
      </c>
    </row>
    <row r="18" ht="18.75" customHeight="1">
      <c r="A18" s="87" t="s">
        <v>102</v>
      </c>
      <c r="B18" s="107" t="s">
        <v>103</v>
      </c>
      <c r="C18" s="108" t="s">
        <v>173</v>
      </c>
      <c r="D18" s="114" t="s">
        <v>174</v>
      </c>
      <c r="E18" s="110" t="s">
        <v>171</v>
      </c>
      <c r="F18" s="111" t="s">
        <v>107</v>
      </c>
      <c r="G18" s="111" t="s">
        <v>108</v>
      </c>
      <c r="H18" s="111" t="s">
        <v>109</v>
      </c>
      <c r="I18" s="92" t="s">
        <v>39</v>
      </c>
      <c r="J18" s="101"/>
      <c r="K18" s="94"/>
      <c r="L18" s="111" t="b">
        <v>0</v>
      </c>
      <c r="M18" s="111" t="b">
        <v>1</v>
      </c>
      <c r="N18" s="111" t="b">
        <v>0</v>
      </c>
      <c r="O18" s="95" t="s">
        <v>172</v>
      </c>
    </row>
    <row r="19" ht="18.75" customHeight="1">
      <c r="A19" s="87" t="s">
        <v>102</v>
      </c>
      <c r="B19" s="107" t="s">
        <v>103</v>
      </c>
      <c r="C19" s="108" t="s">
        <v>175</v>
      </c>
      <c r="D19" s="109" t="s">
        <v>176</v>
      </c>
      <c r="E19" s="110" t="s">
        <v>177</v>
      </c>
      <c r="F19" s="111" t="s">
        <v>153</v>
      </c>
      <c r="G19" s="111" t="s">
        <v>154</v>
      </c>
      <c r="H19" s="111" t="s">
        <v>155</v>
      </c>
      <c r="I19" s="92" t="s">
        <v>39</v>
      </c>
      <c r="J19" s="112">
        <v>46060.0</v>
      </c>
      <c r="K19" s="94"/>
      <c r="L19" s="111" t="b">
        <v>0</v>
      </c>
      <c r="M19" s="111" t="b">
        <v>0</v>
      </c>
      <c r="N19" s="111" t="b">
        <v>0</v>
      </c>
      <c r="O19" s="113">
        <v>46061.0</v>
      </c>
    </row>
    <row r="20" ht="18.75" customHeight="1">
      <c r="A20" s="87" t="s">
        <v>102</v>
      </c>
      <c r="B20" s="102" t="s">
        <v>103</v>
      </c>
      <c r="C20" s="103" t="s">
        <v>178</v>
      </c>
      <c r="D20" s="104" t="s">
        <v>179</v>
      </c>
      <c r="E20" s="105" t="s">
        <v>180</v>
      </c>
      <c r="F20" s="106" t="s">
        <v>107</v>
      </c>
      <c r="G20" s="106" t="s">
        <v>108</v>
      </c>
      <c r="H20" s="106" t="s">
        <v>109</v>
      </c>
      <c r="I20" s="92" t="s">
        <v>41</v>
      </c>
      <c r="J20" s="101"/>
      <c r="K20" s="94"/>
      <c r="L20" s="106" t="b">
        <v>0</v>
      </c>
      <c r="M20" s="106" t="b">
        <v>0</v>
      </c>
      <c r="N20" s="106" t="b">
        <v>0</v>
      </c>
      <c r="O20" s="95" t="s">
        <v>110</v>
      </c>
    </row>
    <row r="21" ht="18.75" customHeight="1">
      <c r="A21" s="87" t="s">
        <v>102</v>
      </c>
      <c r="B21" s="107" t="s">
        <v>103</v>
      </c>
      <c r="C21" s="108" t="s">
        <v>181</v>
      </c>
      <c r="D21" s="109" t="s">
        <v>182</v>
      </c>
      <c r="E21" s="110" t="s">
        <v>183</v>
      </c>
      <c r="F21" s="111" t="s">
        <v>107</v>
      </c>
      <c r="G21" s="111" t="s">
        <v>108</v>
      </c>
      <c r="H21" s="111" t="s">
        <v>109</v>
      </c>
      <c r="I21" s="92" t="s">
        <v>39</v>
      </c>
      <c r="J21" s="112">
        <v>46060.0</v>
      </c>
      <c r="K21" s="94"/>
      <c r="L21" s="111" t="b">
        <v>0</v>
      </c>
      <c r="M21" s="111" t="b">
        <v>1</v>
      </c>
      <c r="N21" s="111" t="b">
        <v>0</v>
      </c>
      <c r="O21" s="113">
        <v>46061.0</v>
      </c>
    </row>
    <row r="22" ht="18.75" customHeight="1">
      <c r="A22" s="87" t="s">
        <v>102</v>
      </c>
      <c r="B22" s="107" t="s">
        <v>103</v>
      </c>
      <c r="C22" s="108" t="s">
        <v>184</v>
      </c>
      <c r="D22" s="109" t="s">
        <v>185</v>
      </c>
      <c r="E22" s="110" t="s">
        <v>186</v>
      </c>
      <c r="F22" s="111" t="s">
        <v>107</v>
      </c>
      <c r="G22" s="111" t="s">
        <v>108</v>
      </c>
      <c r="H22" s="111" t="s">
        <v>109</v>
      </c>
      <c r="I22" s="92" t="s">
        <v>39</v>
      </c>
      <c r="J22" s="101"/>
      <c r="K22" s="94"/>
      <c r="L22" s="111" t="b">
        <v>0</v>
      </c>
      <c r="M22" s="111" t="b">
        <v>0</v>
      </c>
      <c r="N22" s="111" t="b">
        <v>0</v>
      </c>
      <c r="O22" s="95" t="s">
        <v>110</v>
      </c>
    </row>
    <row r="23" ht="18.75" customHeight="1">
      <c r="A23" s="87" t="s">
        <v>102</v>
      </c>
      <c r="B23" s="107" t="s">
        <v>103</v>
      </c>
      <c r="C23" s="108" t="s">
        <v>187</v>
      </c>
      <c r="D23" s="109" t="s">
        <v>188</v>
      </c>
      <c r="E23" s="110" t="s">
        <v>189</v>
      </c>
      <c r="F23" s="111" t="s">
        <v>190</v>
      </c>
      <c r="G23" s="111" t="s">
        <v>191</v>
      </c>
      <c r="H23" s="111" t="s">
        <v>192</v>
      </c>
      <c r="I23" s="92" t="s">
        <v>39</v>
      </c>
      <c r="J23" s="101"/>
      <c r="K23" s="101" t="s">
        <v>192</v>
      </c>
      <c r="L23" s="111" t="b">
        <v>1</v>
      </c>
      <c r="M23" s="111" t="b">
        <v>0</v>
      </c>
      <c r="N23" s="111" t="b">
        <v>0</v>
      </c>
      <c r="O23" s="95" t="s">
        <v>193</v>
      </c>
    </row>
    <row r="24" ht="18.75" customHeight="1">
      <c r="A24" s="87" t="s">
        <v>102</v>
      </c>
      <c r="B24" s="102" t="s">
        <v>103</v>
      </c>
      <c r="C24" s="103" t="s">
        <v>194</v>
      </c>
      <c r="D24" s="104" t="s">
        <v>195</v>
      </c>
      <c r="E24" s="105" t="s">
        <v>196</v>
      </c>
      <c r="F24" s="106" t="s">
        <v>153</v>
      </c>
      <c r="G24" s="106" t="s">
        <v>191</v>
      </c>
      <c r="H24" s="106" t="s">
        <v>155</v>
      </c>
      <c r="I24" s="92" t="s">
        <v>37</v>
      </c>
      <c r="J24" s="101"/>
      <c r="K24" s="94"/>
      <c r="L24" s="106" t="b">
        <v>0</v>
      </c>
      <c r="M24" s="106" t="b">
        <v>0</v>
      </c>
      <c r="N24" s="106" t="b">
        <v>1</v>
      </c>
      <c r="O24" s="95" t="s">
        <v>197</v>
      </c>
    </row>
    <row r="25" ht="18.75" customHeight="1">
      <c r="A25" s="87" t="s">
        <v>102</v>
      </c>
      <c r="B25" s="102" t="s">
        <v>103</v>
      </c>
      <c r="C25" s="103" t="s">
        <v>198</v>
      </c>
      <c r="D25" s="104" t="s">
        <v>199</v>
      </c>
      <c r="E25" s="105" t="s">
        <v>200</v>
      </c>
      <c r="F25" s="106" t="s">
        <v>107</v>
      </c>
      <c r="G25" s="106" t="s">
        <v>114</v>
      </c>
      <c r="H25" s="106" t="s">
        <v>109</v>
      </c>
      <c r="I25" s="92" t="s">
        <v>37</v>
      </c>
      <c r="J25" s="101" t="s">
        <v>201</v>
      </c>
      <c r="K25" s="94"/>
      <c r="L25" s="106" t="b">
        <v>1</v>
      </c>
      <c r="M25" s="106" t="b">
        <v>0</v>
      </c>
      <c r="N25" s="106" t="b">
        <v>0</v>
      </c>
      <c r="O25" s="95" t="s">
        <v>201</v>
      </c>
    </row>
    <row r="26" ht="18.75" customHeight="1">
      <c r="A26" s="87" t="s">
        <v>102</v>
      </c>
      <c r="B26" s="107" t="s">
        <v>103</v>
      </c>
      <c r="C26" s="108" t="s">
        <v>202</v>
      </c>
      <c r="D26" s="114" t="s">
        <v>203</v>
      </c>
      <c r="E26" s="110" t="s">
        <v>204</v>
      </c>
      <c r="F26" s="111" t="s">
        <v>153</v>
      </c>
      <c r="G26" s="111" t="s">
        <v>154</v>
      </c>
      <c r="H26" s="111" t="s">
        <v>155</v>
      </c>
      <c r="I26" s="92" t="s">
        <v>39</v>
      </c>
      <c r="J26" s="112">
        <v>46060.0</v>
      </c>
      <c r="K26" s="94"/>
      <c r="L26" s="111" t="b">
        <v>1</v>
      </c>
      <c r="M26" s="111" t="b">
        <v>0</v>
      </c>
      <c r="N26" s="111" t="b">
        <v>0</v>
      </c>
      <c r="O26" s="113">
        <v>46061.0</v>
      </c>
    </row>
    <row r="27" ht="18.75" customHeight="1">
      <c r="A27" s="87" t="s">
        <v>102</v>
      </c>
      <c r="B27" s="102" t="s">
        <v>205</v>
      </c>
      <c r="C27" s="103" t="s">
        <v>206</v>
      </c>
      <c r="D27" s="104" t="s">
        <v>207</v>
      </c>
      <c r="E27" s="105" t="s">
        <v>208</v>
      </c>
      <c r="F27" s="106" t="s">
        <v>107</v>
      </c>
      <c r="G27" s="106" t="s">
        <v>108</v>
      </c>
      <c r="H27" s="106" t="s">
        <v>109</v>
      </c>
      <c r="I27" s="92" t="s">
        <v>41</v>
      </c>
      <c r="J27" s="101"/>
      <c r="K27" s="94"/>
      <c r="L27" s="106" t="b">
        <v>0</v>
      </c>
      <c r="M27" s="106" t="b">
        <v>0</v>
      </c>
      <c r="N27" s="106" t="b">
        <v>0</v>
      </c>
      <c r="O27" s="95" t="s">
        <v>209</v>
      </c>
    </row>
    <row r="28" ht="18.75" customHeight="1">
      <c r="A28" s="87" t="s">
        <v>102</v>
      </c>
      <c r="B28" s="102" t="s">
        <v>205</v>
      </c>
      <c r="C28" s="103" t="s">
        <v>210</v>
      </c>
      <c r="D28" s="104" t="s">
        <v>211</v>
      </c>
      <c r="E28" s="105" t="s">
        <v>212</v>
      </c>
      <c r="F28" s="106" t="s">
        <v>107</v>
      </c>
      <c r="G28" s="106" t="s">
        <v>108</v>
      </c>
      <c r="H28" s="106" t="s">
        <v>109</v>
      </c>
      <c r="I28" s="92" t="s">
        <v>41</v>
      </c>
      <c r="J28" s="101"/>
      <c r="K28" s="94"/>
      <c r="L28" s="106" t="b">
        <v>0</v>
      </c>
      <c r="M28" s="106" t="b">
        <v>0</v>
      </c>
      <c r="N28" s="106" t="b">
        <v>0</v>
      </c>
      <c r="O28" s="95" t="s">
        <v>213</v>
      </c>
    </row>
    <row r="29" ht="18.75" customHeight="1">
      <c r="A29" s="87" t="s">
        <v>102</v>
      </c>
      <c r="B29" s="102" t="s">
        <v>205</v>
      </c>
      <c r="C29" s="103" t="s">
        <v>214</v>
      </c>
      <c r="D29" s="104" t="s">
        <v>215</v>
      </c>
      <c r="E29" s="105" t="s">
        <v>216</v>
      </c>
      <c r="F29" s="106" t="s">
        <v>107</v>
      </c>
      <c r="G29" s="106" t="s">
        <v>108</v>
      </c>
      <c r="H29" s="106" t="s">
        <v>109</v>
      </c>
      <c r="I29" s="92" t="s">
        <v>41</v>
      </c>
      <c r="J29" s="101"/>
      <c r="K29" s="94"/>
      <c r="L29" s="106" t="b">
        <v>1</v>
      </c>
      <c r="M29" s="106" t="b">
        <v>0</v>
      </c>
      <c r="N29" s="106" t="b">
        <v>0</v>
      </c>
      <c r="O29" s="95" t="s">
        <v>217</v>
      </c>
    </row>
    <row r="30" ht="18.75" customHeight="1">
      <c r="A30" s="87" t="s">
        <v>102</v>
      </c>
      <c r="B30" s="102" t="s">
        <v>205</v>
      </c>
      <c r="C30" s="103" t="s">
        <v>218</v>
      </c>
      <c r="D30" s="104" t="s">
        <v>219</v>
      </c>
      <c r="E30" s="105" t="s">
        <v>220</v>
      </c>
      <c r="F30" s="106" t="s">
        <v>107</v>
      </c>
      <c r="G30" s="106" t="s">
        <v>108</v>
      </c>
      <c r="H30" s="106" t="s">
        <v>109</v>
      </c>
      <c r="I30" s="92" t="s">
        <v>41</v>
      </c>
      <c r="J30" s="101"/>
      <c r="K30" s="94"/>
      <c r="L30" s="106" t="b">
        <v>1</v>
      </c>
      <c r="M30" s="106" t="b">
        <v>0</v>
      </c>
      <c r="N30" s="106" t="b">
        <v>0</v>
      </c>
      <c r="O30" s="95" t="s">
        <v>221</v>
      </c>
    </row>
    <row r="31" ht="18.75" customHeight="1">
      <c r="A31" s="87" t="s">
        <v>102</v>
      </c>
      <c r="B31" s="102" t="s">
        <v>205</v>
      </c>
      <c r="C31" s="103" t="s">
        <v>222</v>
      </c>
      <c r="D31" s="104" t="s">
        <v>223</v>
      </c>
      <c r="E31" s="105" t="s">
        <v>224</v>
      </c>
      <c r="F31" s="106" t="s">
        <v>107</v>
      </c>
      <c r="G31" s="106" t="s">
        <v>108</v>
      </c>
      <c r="H31" s="106" t="s">
        <v>109</v>
      </c>
      <c r="I31" s="92" t="s">
        <v>41</v>
      </c>
      <c r="J31" s="101"/>
      <c r="K31" s="94"/>
      <c r="L31" s="106" t="b">
        <v>1</v>
      </c>
      <c r="M31" s="106" t="b">
        <v>0</v>
      </c>
      <c r="N31" s="106" t="b">
        <v>0</v>
      </c>
      <c r="O31" s="95" t="s">
        <v>221</v>
      </c>
    </row>
    <row r="32" ht="18.75" customHeight="1">
      <c r="A32" s="87" t="s">
        <v>102</v>
      </c>
      <c r="B32" s="102" t="s">
        <v>205</v>
      </c>
      <c r="C32" s="103" t="s">
        <v>225</v>
      </c>
      <c r="D32" s="104" t="s">
        <v>226</v>
      </c>
      <c r="E32" s="105" t="s">
        <v>227</v>
      </c>
      <c r="F32" s="106" t="s">
        <v>107</v>
      </c>
      <c r="G32" s="106" t="s">
        <v>108</v>
      </c>
      <c r="H32" s="106" t="s">
        <v>109</v>
      </c>
      <c r="I32" s="92" t="s">
        <v>41</v>
      </c>
      <c r="J32" s="101"/>
      <c r="K32" s="94"/>
      <c r="L32" s="106" t="b">
        <v>1</v>
      </c>
      <c r="M32" s="106" t="b">
        <v>0</v>
      </c>
      <c r="N32" s="106" t="b">
        <v>0</v>
      </c>
      <c r="O32" s="95" t="s">
        <v>221</v>
      </c>
    </row>
    <row r="33" ht="18.75" customHeight="1">
      <c r="A33" s="87" t="s">
        <v>102</v>
      </c>
      <c r="B33" s="102" t="s">
        <v>205</v>
      </c>
      <c r="C33" s="103" t="s">
        <v>228</v>
      </c>
      <c r="D33" s="104" t="s">
        <v>229</v>
      </c>
      <c r="E33" s="105" t="s">
        <v>230</v>
      </c>
      <c r="F33" s="106" t="s">
        <v>107</v>
      </c>
      <c r="G33" s="106" t="s">
        <v>108</v>
      </c>
      <c r="H33" s="106" t="s">
        <v>109</v>
      </c>
      <c r="I33" s="92" t="s">
        <v>41</v>
      </c>
      <c r="J33" s="101"/>
      <c r="K33" s="94"/>
      <c r="L33" s="106" t="b">
        <v>1</v>
      </c>
      <c r="M33" s="106" t="b">
        <v>0</v>
      </c>
      <c r="N33" s="106" t="b">
        <v>0</v>
      </c>
      <c r="O33" s="95" t="s">
        <v>231</v>
      </c>
    </row>
    <row r="34" ht="18.75" customHeight="1">
      <c r="A34" s="87" t="s">
        <v>102</v>
      </c>
      <c r="B34" s="102" t="s">
        <v>205</v>
      </c>
      <c r="C34" s="103" t="s">
        <v>232</v>
      </c>
      <c r="D34" s="104" t="s">
        <v>233</v>
      </c>
      <c r="E34" s="105" t="s">
        <v>234</v>
      </c>
      <c r="F34" s="106" t="s">
        <v>107</v>
      </c>
      <c r="G34" s="106" t="s">
        <v>108</v>
      </c>
      <c r="H34" s="106" t="s">
        <v>109</v>
      </c>
      <c r="I34" s="92" t="s">
        <v>41</v>
      </c>
      <c r="J34" s="101"/>
      <c r="K34" s="94"/>
      <c r="L34" s="106" t="b">
        <v>1</v>
      </c>
      <c r="M34" s="106" t="b">
        <v>0</v>
      </c>
      <c r="N34" s="106" t="b">
        <v>0</v>
      </c>
      <c r="O34" s="95" t="s">
        <v>235</v>
      </c>
    </row>
    <row r="35" ht="18.75" customHeight="1">
      <c r="A35" s="115" t="s">
        <v>102</v>
      </c>
      <c r="B35" s="115" t="s">
        <v>205</v>
      </c>
      <c r="C35" s="116" t="s">
        <v>236</v>
      </c>
      <c r="D35" s="117" t="s">
        <v>237</v>
      </c>
      <c r="E35" s="118" t="s">
        <v>238</v>
      </c>
      <c r="F35" s="119" t="s">
        <v>107</v>
      </c>
      <c r="G35" s="119" t="s">
        <v>108</v>
      </c>
      <c r="H35" s="119" t="s">
        <v>109</v>
      </c>
      <c r="I35" s="120" t="s">
        <v>41</v>
      </c>
      <c r="J35" s="121"/>
      <c r="K35" s="122"/>
      <c r="L35" s="119" t="b">
        <v>1</v>
      </c>
      <c r="M35" s="119" t="b">
        <v>1</v>
      </c>
      <c r="N35" s="119" t="b">
        <v>0</v>
      </c>
      <c r="O35" s="123" t="s">
        <v>239</v>
      </c>
    </row>
    <row r="36" ht="18.75" customHeight="1">
      <c r="A36" s="124" t="s">
        <v>240</v>
      </c>
      <c r="B36" s="124" t="s">
        <v>241</v>
      </c>
      <c r="C36" s="125" t="s">
        <v>242</v>
      </c>
      <c r="D36" s="126" t="s">
        <v>243</v>
      </c>
      <c r="E36" s="127" t="s">
        <v>244</v>
      </c>
      <c r="F36" s="128" t="s">
        <v>107</v>
      </c>
      <c r="G36" s="128" t="s">
        <v>108</v>
      </c>
      <c r="H36" s="128" t="s">
        <v>109</v>
      </c>
      <c r="I36" s="129" t="s">
        <v>35</v>
      </c>
      <c r="J36" s="130"/>
      <c r="K36" s="94"/>
      <c r="L36" s="128" t="b">
        <v>0</v>
      </c>
      <c r="M36" s="128" t="b">
        <v>0</v>
      </c>
      <c r="N36" s="128" t="b">
        <v>0</v>
      </c>
      <c r="O36" s="131" t="s">
        <v>110</v>
      </c>
    </row>
    <row r="37" ht="18.75" customHeight="1">
      <c r="A37" s="124" t="s">
        <v>240</v>
      </c>
      <c r="B37" s="107" t="s">
        <v>241</v>
      </c>
      <c r="C37" s="108" t="s">
        <v>245</v>
      </c>
      <c r="D37" s="109" t="s">
        <v>246</v>
      </c>
      <c r="E37" s="132" t="s">
        <v>247</v>
      </c>
      <c r="F37" s="111" t="s">
        <v>190</v>
      </c>
      <c r="G37" s="111" t="s">
        <v>191</v>
      </c>
      <c r="H37" s="111" t="s">
        <v>155</v>
      </c>
      <c r="I37" s="92" t="s">
        <v>39</v>
      </c>
      <c r="J37" s="101"/>
      <c r="K37" s="94"/>
      <c r="L37" s="111" t="b">
        <v>0</v>
      </c>
      <c r="M37" s="111" t="b">
        <v>0</v>
      </c>
      <c r="N37" s="111" t="b">
        <v>0</v>
      </c>
      <c r="O37" s="95" t="s">
        <v>248</v>
      </c>
    </row>
    <row r="38" ht="18.75" customHeight="1">
      <c r="A38" s="124" t="s">
        <v>240</v>
      </c>
      <c r="B38" s="107" t="s">
        <v>241</v>
      </c>
      <c r="C38" s="108" t="s">
        <v>249</v>
      </c>
      <c r="D38" s="109" t="s">
        <v>250</v>
      </c>
      <c r="E38" s="110" t="s">
        <v>251</v>
      </c>
      <c r="F38" s="111" t="s">
        <v>107</v>
      </c>
      <c r="G38" s="111" t="s">
        <v>114</v>
      </c>
      <c r="H38" s="111" t="s">
        <v>109</v>
      </c>
      <c r="I38" s="92" t="s">
        <v>37</v>
      </c>
      <c r="J38" s="101" t="s">
        <v>252</v>
      </c>
      <c r="K38" s="94"/>
      <c r="L38" s="111" t="b">
        <v>1</v>
      </c>
      <c r="M38" s="111" t="b">
        <v>1</v>
      </c>
      <c r="N38" s="111" t="b">
        <v>0</v>
      </c>
      <c r="O38" s="95" t="s">
        <v>252</v>
      </c>
    </row>
    <row r="39" ht="18.75" customHeight="1">
      <c r="A39" s="124" t="s">
        <v>240</v>
      </c>
      <c r="B39" s="107" t="s">
        <v>241</v>
      </c>
      <c r="C39" s="108" t="s">
        <v>253</v>
      </c>
      <c r="D39" s="109" t="s">
        <v>254</v>
      </c>
      <c r="E39" s="110" t="s">
        <v>255</v>
      </c>
      <c r="F39" s="111" t="s">
        <v>190</v>
      </c>
      <c r="G39" s="111" t="s">
        <v>191</v>
      </c>
      <c r="H39" s="111" t="s">
        <v>256</v>
      </c>
      <c r="I39" s="92" t="s">
        <v>39</v>
      </c>
      <c r="J39" s="101"/>
      <c r="K39" s="101" t="s">
        <v>256</v>
      </c>
      <c r="L39" s="111" t="b">
        <v>0</v>
      </c>
      <c r="M39" s="111" t="b">
        <v>0</v>
      </c>
      <c r="N39" s="111" t="b">
        <v>0</v>
      </c>
      <c r="O39" s="95" t="s">
        <v>257</v>
      </c>
    </row>
    <row r="40" ht="18.75" customHeight="1">
      <c r="A40" s="124" t="s">
        <v>240</v>
      </c>
      <c r="B40" s="107" t="s">
        <v>241</v>
      </c>
      <c r="C40" s="108" t="s">
        <v>258</v>
      </c>
      <c r="D40" s="109" t="s">
        <v>259</v>
      </c>
      <c r="E40" s="132" t="s">
        <v>260</v>
      </c>
      <c r="F40" s="111" t="s">
        <v>107</v>
      </c>
      <c r="G40" s="111" t="s">
        <v>114</v>
      </c>
      <c r="H40" s="111" t="s">
        <v>109</v>
      </c>
      <c r="I40" s="92" t="s">
        <v>39</v>
      </c>
      <c r="J40" s="101" t="s">
        <v>261</v>
      </c>
      <c r="K40" s="94"/>
      <c r="L40" s="111" t="b">
        <v>0</v>
      </c>
      <c r="M40" s="111" t="b">
        <v>1</v>
      </c>
      <c r="N40" s="111" t="b">
        <v>1</v>
      </c>
      <c r="O40" s="95" t="s">
        <v>261</v>
      </c>
    </row>
    <row r="41" ht="18.75" customHeight="1">
      <c r="A41" s="124" t="s">
        <v>240</v>
      </c>
      <c r="B41" s="102" t="s">
        <v>241</v>
      </c>
      <c r="C41" s="103" t="s">
        <v>262</v>
      </c>
      <c r="D41" s="104" t="s">
        <v>263</v>
      </c>
      <c r="E41" s="105" t="s">
        <v>264</v>
      </c>
      <c r="F41" s="106" t="s">
        <v>107</v>
      </c>
      <c r="G41" s="106" t="s">
        <v>114</v>
      </c>
      <c r="H41" s="106" t="s">
        <v>109</v>
      </c>
      <c r="I41" s="92" t="s">
        <v>37</v>
      </c>
      <c r="J41" s="101" t="s">
        <v>265</v>
      </c>
      <c r="K41" s="94"/>
      <c r="L41" s="106" t="b">
        <v>1</v>
      </c>
      <c r="M41" s="106" t="b">
        <v>1</v>
      </c>
      <c r="N41" s="106" t="b">
        <v>0</v>
      </c>
      <c r="O41" s="95" t="s">
        <v>265</v>
      </c>
    </row>
    <row r="42" ht="18.75" customHeight="1">
      <c r="A42" s="124" t="s">
        <v>240</v>
      </c>
      <c r="B42" s="107" t="s">
        <v>241</v>
      </c>
      <c r="C42" s="108" t="s">
        <v>266</v>
      </c>
      <c r="D42" s="109" t="s">
        <v>267</v>
      </c>
      <c r="E42" s="110" t="s">
        <v>268</v>
      </c>
      <c r="F42" s="111" t="s">
        <v>107</v>
      </c>
      <c r="G42" s="111" t="s">
        <v>108</v>
      </c>
      <c r="H42" s="111" t="s">
        <v>109</v>
      </c>
      <c r="I42" s="92" t="s">
        <v>39</v>
      </c>
      <c r="J42" s="101"/>
      <c r="K42" s="94"/>
      <c r="L42" s="111" t="b">
        <v>1</v>
      </c>
      <c r="M42" s="111" t="b">
        <v>0</v>
      </c>
      <c r="N42" s="111" t="b">
        <v>1</v>
      </c>
      <c r="O42" s="95" t="s">
        <v>269</v>
      </c>
    </row>
    <row r="43" ht="18.75" customHeight="1">
      <c r="A43" s="124" t="s">
        <v>240</v>
      </c>
      <c r="B43" s="102" t="s">
        <v>241</v>
      </c>
      <c r="C43" s="103" t="s">
        <v>270</v>
      </c>
      <c r="D43" s="104" t="s">
        <v>271</v>
      </c>
      <c r="E43" s="105" t="s">
        <v>272</v>
      </c>
      <c r="F43" s="106" t="s">
        <v>190</v>
      </c>
      <c r="G43" s="106" t="s">
        <v>191</v>
      </c>
      <c r="H43" s="106" t="s">
        <v>155</v>
      </c>
      <c r="I43" s="92" t="s">
        <v>41</v>
      </c>
      <c r="J43" s="101"/>
      <c r="K43" s="94"/>
      <c r="L43" s="106" t="b">
        <v>0</v>
      </c>
      <c r="M43" s="106" t="b">
        <v>0</v>
      </c>
      <c r="N43" s="106" t="b">
        <v>0</v>
      </c>
      <c r="O43" s="95" t="s">
        <v>273</v>
      </c>
    </row>
    <row r="44" ht="18.75" customHeight="1">
      <c r="A44" s="124" t="s">
        <v>240</v>
      </c>
      <c r="B44" s="107" t="s">
        <v>241</v>
      </c>
      <c r="C44" s="108" t="s">
        <v>274</v>
      </c>
      <c r="D44" s="109" t="s">
        <v>275</v>
      </c>
      <c r="E44" s="110" t="s">
        <v>276</v>
      </c>
      <c r="F44" s="111" t="s">
        <v>107</v>
      </c>
      <c r="G44" s="111" t="s">
        <v>114</v>
      </c>
      <c r="H44" s="111" t="s">
        <v>109</v>
      </c>
      <c r="I44" s="92" t="s">
        <v>39</v>
      </c>
      <c r="J44" s="133" t="s">
        <v>277</v>
      </c>
      <c r="K44" s="94"/>
      <c r="L44" s="111" t="b">
        <v>0</v>
      </c>
      <c r="M44" s="111" t="b">
        <v>0</v>
      </c>
      <c r="N44" s="111" t="b">
        <v>0</v>
      </c>
      <c r="O44" s="95" t="s">
        <v>278</v>
      </c>
    </row>
    <row r="45" ht="18.75" customHeight="1">
      <c r="A45" s="124" t="s">
        <v>240</v>
      </c>
      <c r="B45" s="102" t="s">
        <v>241</v>
      </c>
      <c r="C45" s="103" t="s">
        <v>279</v>
      </c>
      <c r="D45" s="104" t="s">
        <v>280</v>
      </c>
      <c r="E45" s="105" t="s">
        <v>281</v>
      </c>
      <c r="F45" s="106" t="s">
        <v>153</v>
      </c>
      <c r="G45" s="106" t="s">
        <v>154</v>
      </c>
      <c r="H45" s="106" t="s">
        <v>155</v>
      </c>
      <c r="I45" s="92" t="s">
        <v>41</v>
      </c>
      <c r="J45" s="112">
        <v>46060.0</v>
      </c>
      <c r="K45" s="94"/>
      <c r="L45" s="106" t="b">
        <v>0</v>
      </c>
      <c r="M45" s="106" t="b">
        <v>0</v>
      </c>
      <c r="N45" s="106" t="b">
        <v>1</v>
      </c>
      <c r="O45" s="113">
        <v>46060.0</v>
      </c>
    </row>
    <row r="46" ht="18.75" customHeight="1">
      <c r="A46" s="124" t="s">
        <v>240</v>
      </c>
      <c r="B46" s="102" t="s">
        <v>241</v>
      </c>
      <c r="C46" s="103" t="s">
        <v>282</v>
      </c>
      <c r="D46" s="104" t="s">
        <v>283</v>
      </c>
      <c r="E46" s="105" t="s">
        <v>284</v>
      </c>
      <c r="F46" s="106" t="s">
        <v>153</v>
      </c>
      <c r="G46" s="106" t="s">
        <v>154</v>
      </c>
      <c r="H46" s="106" t="s">
        <v>155</v>
      </c>
      <c r="I46" s="92" t="s">
        <v>37</v>
      </c>
      <c r="J46" s="112">
        <v>46060.0</v>
      </c>
      <c r="K46" s="94"/>
      <c r="L46" s="106" t="b">
        <v>0</v>
      </c>
      <c r="M46" s="106" t="b">
        <v>1</v>
      </c>
      <c r="N46" s="106" t="b">
        <v>1</v>
      </c>
      <c r="O46" s="113">
        <v>46060.0</v>
      </c>
    </row>
    <row r="47" ht="18.75" customHeight="1">
      <c r="A47" s="124" t="s">
        <v>240</v>
      </c>
      <c r="B47" s="102" t="s">
        <v>241</v>
      </c>
      <c r="C47" s="103" t="s">
        <v>285</v>
      </c>
      <c r="D47" s="104" t="s">
        <v>286</v>
      </c>
      <c r="E47" s="105" t="s">
        <v>287</v>
      </c>
      <c r="F47" s="106" t="s">
        <v>190</v>
      </c>
      <c r="G47" s="106" t="s">
        <v>191</v>
      </c>
      <c r="H47" s="106" t="s">
        <v>192</v>
      </c>
      <c r="I47" s="92" t="s">
        <v>41</v>
      </c>
      <c r="J47" s="101">
        <v>100.0</v>
      </c>
      <c r="K47" s="101" t="s">
        <v>192</v>
      </c>
      <c r="L47" s="106" t="b">
        <v>1</v>
      </c>
      <c r="M47" s="106" t="b">
        <v>0</v>
      </c>
      <c r="N47" s="106" t="b">
        <v>1</v>
      </c>
      <c r="O47" s="95" t="s">
        <v>193</v>
      </c>
    </row>
    <row r="48" ht="18.75" customHeight="1">
      <c r="A48" s="124" t="s">
        <v>240</v>
      </c>
      <c r="B48" s="107" t="s">
        <v>241</v>
      </c>
      <c r="C48" s="108" t="s">
        <v>288</v>
      </c>
      <c r="D48" s="109" t="s">
        <v>289</v>
      </c>
      <c r="E48" s="110" t="s">
        <v>290</v>
      </c>
      <c r="F48" s="111" t="s">
        <v>190</v>
      </c>
      <c r="G48" s="111" t="s">
        <v>191</v>
      </c>
      <c r="H48" s="111" t="s">
        <v>192</v>
      </c>
      <c r="I48" s="92" t="s">
        <v>39</v>
      </c>
      <c r="J48" s="101"/>
      <c r="K48" s="101" t="s">
        <v>192</v>
      </c>
      <c r="L48" s="111" t="b">
        <v>0</v>
      </c>
      <c r="M48" s="111" t="b">
        <v>0</v>
      </c>
      <c r="N48" s="111" t="b">
        <v>0</v>
      </c>
      <c r="O48" s="95" t="s">
        <v>193</v>
      </c>
    </row>
    <row r="49" ht="18.75" customHeight="1">
      <c r="A49" s="124" t="s">
        <v>240</v>
      </c>
      <c r="B49" s="102" t="s">
        <v>241</v>
      </c>
      <c r="C49" s="103" t="s">
        <v>291</v>
      </c>
      <c r="D49" s="104" t="s">
        <v>292</v>
      </c>
      <c r="E49" s="105" t="s">
        <v>293</v>
      </c>
      <c r="F49" s="106" t="s">
        <v>190</v>
      </c>
      <c r="G49" s="106" t="s">
        <v>191</v>
      </c>
      <c r="H49" s="106" t="s">
        <v>155</v>
      </c>
      <c r="I49" s="92" t="s">
        <v>37</v>
      </c>
      <c r="J49" s="101"/>
      <c r="K49" s="94"/>
      <c r="L49" s="106" t="b">
        <v>1</v>
      </c>
      <c r="M49" s="106" t="b">
        <v>0</v>
      </c>
      <c r="N49" s="106" t="b">
        <v>1</v>
      </c>
      <c r="O49" s="95" t="s">
        <v>294</v>
      </c>
    </row>
    <row r="50" ht="18.75" customHeight="1">
      <c r="A50" s="124" t="s">
        <v>240</v>
      </c>
      <c r="B50" s="102" t="s">
        <v>241</v>
      </c>
      <c r="C50" s="103" t="s">
        <v>295</v>
      </c>
      <c r="D50" s="104" t="s">
        <v>296</v>
      </c>
      <c r="E50" s="105" t="s">
        <v>297</v>
      </c>
      <c r="F50" s="106" t="s">
        <v>190</v>
      </c>
      <c r="G50" s="106" t="s">
        <v>191</v>
      </c>
      <c r="H50" s="106" t="s">
        <v>155</v>
      </c>
      <c r="I50" s="92" t="s">
        <v>37</v>
      </c>
      <c r="J50" s="101"/>
      <c r="K50" s="94"/>
      <c r="L50" s="106" t="b">
        <v>1</v>
      </c>
      <c r="M50" s="106" t="b">
        <v>1</v>
      </c>
      <c r="N50" s="106" t="b">
        <v>0</v>
      </c>
      <c r="O50" s="95" t="s">
        <v>298</v>
      </c>
    </row>
    <row r="51" ht="18.75" customHeight="1">
      <c r="A51" s="124" t="s">
        <v>240</v>
      </c>
      <c r="B51" s="107" t="s">
        <v>241</v>
      </c>
      <c r="C51" s="108" t="s">
        <v>299</v>
      </c>
      <c r="D51" s="109" t="s">
        <v>300</v>
      </c>
      <c r="E51" s="110" t="s">
        <v>301</v>
      </c>
      <c r="F51" s="111" t="s">
        <v>190</v>
      </c>
      <c r="G51" s="111" t="s">
        <v>191</v>
      </c>
      <c r="H51" s="111" t="s">
        <v>155</v>
      </c>
      <c r="I51" s="92" t="s">
        <v>39</v>
      </c>
      <c r="J51" s="101"/>
      <c r="K51" s="94"/>
      <c r="L51" s="111" t="b">
        <v>0</v>
      </c>
      <c r="M51" s="111" t="b">
        <v>0</v>
      </c>
      <c r="N51" s="111" t="b">
        <v>1</v>
      </c>
      <c r="O51" s="95" t="s">
        <v>197</v>
      </c>
    </row>
    <row r="52" ht="18.75" customHeight="1">
      <c r="A52" s="124" t="s">
        <v>240</v>
      </c>
      <c r="B52" s="107" t="s">
        <v>241</v>
      </c>
      <c r="C52" s="108" t="s">
        <v>302</v>
      </c>
      <c r="D52" s="109" t="s">
        <v>303</v>
      </c>
      <c r="E52" s="110" t="s">
        <v>304</v>
      </c>
      <c r="F52" s="111" t="s">
        <v>190</v>
      </c>
      <c r="G52" s="106" t="s">
        <v>191</v>
      </c>
      <c r="H52" s="106" t="s">
        <v>155</v>
      </c>
      <c r="I52" s="92" t="s">
        <v>39</v>
      </c>
      <c r="J52" s="101"/>
      <c r="K52" s="94"/>
      <c r="L52" s="111" t="b">
        <v>0</v>
      </c>
      <c r="M52" s="111" t="b">
        <v>0</v>
      </c>
      <c r="N52" s="111" t="b">
        <v>1</v>
      </c>
      <c r="O52" s="95" t="s">
        <v>305</v>
      </c>
    </row>
    <row r="53" ht="18.75" customHeight="1">
      <c r="A53" s="124" t="s">
        <v>240</v>
      </c>
      <c r="B53" s="107" t="s">
        <v>241</v>
      </c>
      <c r="C53" s="103" t="s">
        <v>306</v>
      </c>
      <c r="D53" s="114" t="s">
        <v>307</v>
      </c>
      <c r="E53" s="134" t="s">
        <v>308</v>
      </c>
      <c r="F53" s="106" t="s">
        <v>107</v>
      </c>
      <c r="G53" s="106" t="s">
        <v>114</v>
      </c>
      <c r="H53" s="106" t="s">
        <v>109</v>
      </c>
      <c r="I53" s="92" t="s">
        <v>37</v>
      </c>
      <c r="J53" s="101" t="s">
        <v>309</v>
      </c>
      <c r="K53" s="94"/>
      <c r="L53" s="106" t="b">
        <v>0</v>
      </c>
      <c r="M53" s="106" t="b">
        <v>0</v>
      </c>
      <c r="N53" s="106" t="b">
        <v>0</v>
      </c>
      <c r="O53" s="95"/>
    </row>
    <row r="54" ht="18.75" customHeight="1">
      <c r="A54" s="124" t="s">
        <v>240</v>
      </c>
      <c r="B54" s="107" t="s">
        <v>241</v>
      </c>
      <c r="C54" s="103" t="s">
        <v>310</v>
      </c>
      <c r="D54" s="114" t="s">
        <v>311</v>
      </c>
      <c r="E54" s="134" t="s">
        <v>312</v>
      </c>
      <c r="F54" s="106" t="s">
        <v>107</v>
      </c>
      <c r="G54" s="106" t="s">
        <v>123</v>
      </c>
      <c r="H54" s="106" t="s">
        <v>109</v>
      </c>
      <c r="I54" s="92" t="s">
        <v>39</v>
      </c>
      <c r="J54" s="101" t="s">
        <v>309</v>
      </c>
      <c r="K54" s="94"/>
      <c r="L54" s="106" t="b">
        <v>0</v>
      </c>
      <c r="M54" s="106" t="b">
        <v>0</v>
      </c>
      <c r="N54" s="106" t="b">
        <v>0</v>
      </c>
      <c r="O54" s="95"/>
    </row>
    <row r="55" ht="18.75" customHeight="1">
      <c r="A55" s="124" t="s">
        <v>240</v>
      </c>
      <c r="B55" s="107" t="s">
        <v>241</v>
      </c>
      <c r="C55" s="103" t="s">
        <v>313</v>
      </c>
      <c r="D55" s="114" t="s">
        <v>314</v>
      </c>
      <c r="E55" s="134" t="s">
        <v>315</v>
      </c>
      <c r="F55" s="106" t="s">
        <v>107</v>
      </c>
      <c r="G55" s="106" t="s">
        <v>191</v>
      </c>
      <c r="H55" s="106" t="s">
        <v>155</v>
      </c>
      <c r="I55" s="92" t="s">
        <v>39</v>
      </c>
      <c r="J55" s="101" t="s">
        <v>309</v>
      </c>
      <c r="K55" s="94"/>
      <c r="L55" s="106" t="b">
        <v>0</v>
      </c>
      <c r="M55" s="106" t="b">
        <v>0</v>
      </c>
      <c r="N55" s="106" t="b">
        <v>0</v>
      </c>
      <c r="O55" s="95"/>
    </row>
    <row r="56" ht="18.75" customHeight="1">
      <c r="A56" s="124" t="s">
        <v>240</v>
      </c>
      <c r="B56" s="107" t="s">
        <v>241</v>
      </c>
      <c r="C56" s="103" t="s">
        <v>316</v>
      </c>
      <c r="D56" s="114" t="s">
        <v>317</v>
      </c>
      <c r="E56" s="134" t="s">
        <v>318</v>
      </c>
      <c r="F56" s="106" t="s">
        <v>107</v>
      </c>
      <c r="G56" s="106" t="s">
        <v>114</v>
      </c>
      <c r="H56" s="106" t="s">
        <v>109</v>
      </c>
      <c r="I56" s="92" t="s">
        <v>37</v>
      </c>
      <c r="J56" s="101" t="s">
        <v>319</v>
      </c>
      <c r="K56" s="94"/>
      <c r="L56" s="106" t="b">
        <v>0</v>
      </c>
      <c r="M56" s="106" t="b">
        <v>0</v>
      </c>
      <c r="N56" s="106" t="b">
        <v>0</v>
      </c>
      <c r="O56" s="95"/>
    </row>
    <row r="57" ht="18.75" customHeight="1">
      <c r="A57" s="124" t="s">
        <v>240</v>
      </c>
      <c r="B57" s="102" t="s">
        <v>320</v>
      </c>
      <c r="C57" s="103" t="s">
        <v>321</v>
      </c>
      <c r="D57" s="114" t="s">
        <v>322</v>
      </c>
      <c r="E57" s="105" t="s">
        <v>323</v>
      </c>
      <c r="F57" s="106" t="s">
        <v>107</v>
      </c>
      <c r="G57" s="106" t="s">
        <v>114</v>
      </c>
      <c r="H57" s="106" t="s">
        <v>109</v>
      </c>
      <c r="I57" s="92" t="s">
        <v>37</v>
      </c>
      <c r="J57" s="101" t="s">
        <v>324</v>
      </c>
      <c r="K57" s="94"/>
      <c r="L57" s="106" t="b">
        <v>0</v>
      </c>
      <c r="M57" s="106" t="b">
        <v>1</v>
      </c>
      <c r="N57" s="106" t="b">
        <v>0</v>
      </c>
      <c r="O57" s="95" t="s">
        <v>324</v>
      </c>
    </row>
    <row r="58" ht="18.75" customHeight="1">
      <c r="A58" s="124" t="s">
        <v>240</v>
      </c>
      <c r="B58" s="107" t="s">
        <v>320</v>
      </c>
      <c r="C58" s="108" t="s">
        <v>325</v>
      </c>
      <c r="D58" s="109" t="s">
        <v>326</v>
      </c>
      <c r="E58" s="110" t="s">
        <v>327</v>
      </c>
      <c r="F58" s="111" t="s">
        <v>159</v>
      </c>
      <c r="G58" s="111" t="s">
        <v>328</v>
      </c>
      <c r="H58" s="111" t="s">
        <v>109</v>
      </c>
      <c r="I58" s="92" t="s">
        <v>39</v>
      </c>
      <c r="J58" s="101" t="s">
        <v>161</v>
      </c>
      <c r="K58" s="94"/>
      <c r="L58" s="111" t="b">
        <v>0</v>
      </c>
      <c r="M58" s="111" t="b">
        <v>0</v>
      </c>
      <c r="N58" s="111" t="b">
        <v>0</v>
      </c>
      <c r="O58" s="95" t="s">
        <v>161</v>
      </c>
    </row>
    <row r="59" ht="18.75" customHeight="1">
      <c r="A59" s="124" t="s">
        <v>240</v>
      </c>
      <c r="B59" s="107" t="s">
        <v>320</v>
      </c>
      <c r="C59" s="108" t="s">
        <v>329</v>
      </c>
      <c r="D59" s="109" t="s">
        <v>330</v>
      </c>
      <c r="E59" s="110" t="s">
        <v>331</v>
      </c>
      <c r="F59" s="111" t="s">
        <v>107</v>
      </c>
      <c r="G59" s="111" t="s">
        <v>114</v>
      </c>
      <c r="H59" s="111" t="s">
        <v>109</v>
      </c>
      <c r="I59" s="92" t="s">
        <v>39</v>
      </c>
      <c r="J59" s="101" t="s">
        <v>332</v>
      </c>
      <c r="K59" s="94"/>
      <c r="L59" s="111" t="b">
        <v>0</v>
      </c>
      <c r="M59" s="111" t="b">
        <v>0</v>
      </c>
      <c r="N59" s="111" t="b">
        <v>0</v>
      </c>
      <c r="O59" s="95" t="s">
        <v>332</v>
      </c>
    </row>
    <row r="60" ht="18.75" customHeight="1">
      <c r="A60" s="124" t="s">
        <v>240</v>
      </c>
      <c r="B60" s="107" t="s">
        <v>320</v>
      </c>
      <c r="C60" s="108" t="s">
        <v>333</v>
      </c>
      <c r="D60" s="109" t="s">
        <v>334</v>
      </c>
      <c r="E60" s="110" t="s">
        <v>335</v>
      </c>
      <c r="F60" s="111" t="s">
        <v>107</v>
      </c>
      <c r="G60" s="111" t="s">
        <v>114</v>
      </c>
      <c r="H60" s="111" t="s">
        <v>109</v>
      </c>
      <c r="I60" s="92" t="s">
        <v>37</v>
      </c>
      <c r="J60" s="101" t="s">
        <v>336</v>
      </c>
      <c r="K60" s="135"/>
      <c r="L60" s="111" t="b">
        <v>0</v>
      </c>
      <c r="M60" s="111" t="b">
        <v>0</v>
      </c>
      <c r="N60" s="111" t="b">
        <v>0</v>
      </c>
      <c r="O60" s="95" t="s">
        <v>337</v>
      </c>
    </row>
    <row r="61" ht="18.75" customHeight="1">
      <c r="A61" s="124" t="s">
        <v>240</v>
      </c>
      <c r="B61" s="107" t="s">
        <v>320</v>
      </c>
      <c r="C61" s="108" t="s">
        <v>338</v>
      </c>
      <c r="D61" s="109" t="s">
        <v>339</v>
      </c>
      <c r="E61" s="110" t="s">
        <v>340</v>
      </c>
      <c r="F61" s="111" t="s">
        <v>190</v>
      </c>
      <c r="G61" s="111" t="s">
        <v>191</v>
      </c>
      <c r="H61" s="111" t="s">
        <v>341</v>
      </c>
      <c r="I61" s="92" t="s">
        <v>39</v>
      </c>
      <c r="J61" s="101"/>
      <c r="K61" s="101" t="s">
        <v>342</v>
      </c>
      <c r="L61" s="111" t="b">
        <v>0</v>
      </c>
      <c r="M61" s="111" t="b">
        <v>0</v>
      </c>
      <c r="N61" s="111" t="b">
        <v>0</v>
      </c>
      <c r="O61" s="95" t="s">
        <v>273</v>
      </c>
    </row>
    <row r="62" ht="18.75" customHeight="1">
      <c r="A62" s="124" t="s">
        <v>240</v>
      </c>
      <c r="B62" s="107" t="s">
        <v>320</v>
      </c>
      <c r="C62" s="108" t="s">
        <v>343</v>
      </c>
      <c r="D62" s="109" t="s">
        <v>344</v>
      </c>
      <c r="E62" s="110" t="s">
        <v>345</v>
      </c>
      <c r="F62" s="111" t="s">
        <v>190</v>
      </c>
      <c r="G62" s="111" t="s">
        <v>191</v>
      </c>
      <c r="H62" s="111" t="s">
        <v>341</v>
      </c>
      <c r="I62" s="92" t="s">
        <v>39</v>
      </c>
      <c r="J62" s="101"/>
      <c r="K62" s="101" t="s">
        <v>342</v>
      </c>
      <c r="L62" s="111" t="b">
        <v>0</v>
      </c>
      <c r="M62" s="111" t="b">
        <v>0</v>
      </c>
      <c r="N62" s="111" t="b">
        <v>0</v>
      </c>
      <c r="O62" s="95" t="s">
        <v>346</v>
      </c>
    </row>
    <row r="63" ht="18.75" customHeight="1">
      <c r="A63" s="124" t="s">
        <v>240</v>
      </c>
      <c r="B63" s="107" t="s">
        <v>320</v>
      </c>
      <c r="C63" s="108" t="s">
        <v>347</v>
      </c>
      <c r="D63" s="109" t="s">
        <v>348</v>
      </c>
      <c r="E63" s="110" t="s">
        <v>349</v>
      </c>
      <c r="F63" s="111" t="s">
        <v>190</v>
      </c>
      <c r="G63" s="111" t="s">
        <v>191</v>
      </c>
      <c r="H63" s="111" t="s">
        <v>341</v>
      </c>
      <c r="I63" s="92" t="s">
        <v>39</v>
      </c>
      <c r="J63" s="101"/>
      <c r="K63" s="101" t="s">
        <v>342</v>
      </c>
      <c r="L63" s="111" t="b">
        <v>0</v>
      </c>
      <c r="M63" s="111" t="b">
        <v>0</v>
      </c>
      <c r="N63" s="111" t="b">
        <v>0</v>
      </c>
      <c r="O63" s="95" t="s">
        <v>350</v>
      </c>
    </row>
    <row r="64" ht="18.75" customHeight="1">
      <c r="A64" s="124" t="s">
        <v>240</v>
      </c>
      <c r="B64" s="107" t="s">
        <v>320</v>
      </c>
      <c r="C64" s="108" t="s">
        <v>351</v>
      </c>
      <c r="D64" s="109" t="s">
        <v>352</v>
      </c>
      <c r="E64" s="110" t="s">
        <v>353</v>
      </c>
      <c r="F64" s="111" t="s">
        <v>190</v>
      </c>
      <c r="G64" s="111" t="s">
        <v>191</v>
      </c>
      <c r="H64" s="111" t="s">
        <v>341</v>
      </c>
      <c r="I64" s="92" t="s">
        <v>39</v>
      </c>
      <c r="J64" s="101"/>
      <c r="K64" s="101" t="s">
        <v>342</v>
      </c>
      <c r="L64" s="111" t="b">
        <v>0</v>
      </c>
      <c r="M64" s="111" t="b">
        <v>0</v>
      </c>
      <c r="N64" s="111" t="b">
        <v>0</v>
      </c>
      <c r="O64" s="95" t="s">
        <v>354</v>
      </c>
    </row>
    <row r="65" ht="18.75" customHeight="1">
      <c r="A65" s="124" t="s">
        <v>240</v>
      </c>
      <c r="B65" s="107" t="s">
        <v>320</v>
      </c>
      <c r="C65" s="108" t="s">
        <v>355</v>
      </c>
      <c r="D65" s="109" t="s">
        <v>356</v>
      </c>
      <c r="E65" s="110" t="s">
        <v>357</v>
      </c>
      <c r="F65" s="111" t="s">
        <v>107</v>
      </c>
      <c r="G65" s="111" t="s">
        <v>114</v>
      </c>
      <c r="H65" s="111" t="s">
        <v>109</v>
      </c>
      <c r="I65" s="92" t="s">
        <v>39</v>
      </c>
      <c r="J65" s="101" t="s">
        <v>358</v>
      </c>
      <c r="K65" s="94"/>
      <c r="L65" s="111" t="b">
        <v>0</v>
      </c>
      <c r="M65" s="111" t="b">
        <v>1</v>
      </c>
      <c r="N65" s="111" t="b">
        <v>0</v>
      </c>
      <c r="O65" s="95" t="s">
        <v>358</v>
      </c>
    </row>
    <row r="66" ht="18.75" customHeight="1">
      <c r="A66" s="124" t="s">
        <v>240</v>
      </c>
      <c r="B66" s="102" t="s">
        <v>320</v>
      </c>
      <c r="C66" s="103" t="s">
        <v>359</v>
      </c>
      <c r="D66" s="104" t="s">
        <v>360</v>
      </c>
      <c r="E66" s="105" t="s">
        <v>361</v>
      </c>
      <c r="F66" s="106" t="s">
        <v>107</v>
      </c>
      <c r="G66" s="106" t="s">
        <v>123</v>
      </c>
      <c r="H66" s="106" t="s">
        <v>109</v>
      </c>
      <c r="I66" s="92" t="s">
        <v>41</v>
      </c>
      <c r="J66" s="101"/>
      <c r="K66" s="135"/>
      <c r="L66" s="106" t="b">
        <v>0</v>
      </c>
      <c r="M66" s="106" t="b">
        <v>1</v>
      </c>
      <c r="N66" s="106" t="b">
        <v>0</v>
      </c>
      <c r="O66" s="95"/>
    </row>
    <row r="67" ht="18.75" customHeight="1">
      <c r="A67" s="124" t="s">
        <v>240</v>
      </c>
      <c r="B67" s="107" t="s">
        <v>362</v>
      </c>
      <c r="C67" s="108" t="s">
        <v>363</v>
      </c>
      <c r="D67" s="109" t="s">
        <v>364</v>
      </c>
      <c r="E67" s="110" t="s">
        <v>365</v>
      </c>
      <c r="F67" s="111" t="s">
        <v>107</v>
      </c>
      <c r="G67" s="111" t="s">
        <v>114</v>
      </c>
      <c r="H67" s="111" t="s">
        <v>109</v>
      </c>
      <c r="I67" s="92" t="s">
        <v>37</v>
      </c>
      <c r="J67" s="101" t="s">
        <v>366</v>
      </c>
      <c r="K67" s="135"/>
      <c r="L67" s="111" t="b">
        <v>0</v>
      </c>
      <c r="M67" s="111" t="b">
        <v>1</v>
      </c>
      <c r="N67" s="111" t="b">
        <v>0</v>
      </c>
      <c r="O67" s="95" t="s">
        <v>366</v>
      </c>
    </row>
    <row r="68" ht="18.75" customHeight="1">
      <c r="A68" s="124" t="s">
        <v>240</v>
      </c>
      <c r="B68" s="102" t="s">
        <v>362</v>
      </c>
      <c r="C68" s="103" t="s">
        <v>367</v>
      </c>
      <c r="D68" s="136" t="s">
        <v>368</v>
      </c>
      <c r="E68" s="105" t="s">
        <v>369</v>
      </c>
      <c r="F68" s="106" t="s">
        <v>107</v>
      </c>
      <c r="G68" s="111" t="s">
        <v>114</v>
      </c>
      <c r="H68" s="106" t="s">
        <v>109</v>
      </c>
      <c r="I68" s="92" t="s">
        <v>37</v>
      </c>
      <c r="J68" s="101" t="s">
        <v>370</v>
      </c>
      <c r="K68" s="135"/>
      <c r="L68" s="106" t="b">
        <v>0</v>
      </c>
      <c r="M68" s="106" t="b">
        <v>0</v>
      </c>
      <c r="N68" s="106" t="b">
        <v>0</v>
      </c>
      <c r="O68" s="95" t="s">
        <v>371</v>
      </c>
    </row>
    <row r="69" ht="18.75" customHeight="1">
      <c r="A69" s="124" t="s">
        <v>240</v>
      </c>
      <c r="B69" s="102" t="s">
        <v>362</v>
      </c>
      <c r="C69" s="103" t="s">
        <v>372</v>
      </c>
      <c r="D69" s="104" t="s">
        <v>373</v>
      </c>
      <c r="E69" s="105" t="s">
        <v>374</v>
      </c>
      <c r="F69" s="106" t="s">
        <v>190</v>
      </c>
      <c r="G69" s="106" t="s">
        <v>191</v>
      </c>
      <c r="H69" s="106" t="s">
        <v>192</v>
      </c>
      <c r="I69" s="92" t="s">
        <v>37</v>
      </c>
      <c r="J69" s="101"/>
      <c r="K69" s="101" t="s">
        <v>192</v>
      </c>
      <c r="L69" s="106" t="b">
        <v>0</v>
      </c>
      <c r="M69" s="106" t="b">
        <v>0</v>
      </c>
      <c r="N69" s="106" t="b">
        <v>0</v>
      </c>
      <c r="O69" s="95" t="s">
        <v>375</v>
      </c>
    </row>
    <row r="70" ht="18.75" customHeight="1">
      <c r="A70" s="124" t="s">
        <v>240</v>
      </c>
      <c r="B70" s="102" t="s">
        <v>362</v>
      </c>
      <c r="C70" s="103" t="s">
        <v>376</v>
      </c>
      <c r="D70" s="104" t="s">
        <v>377</v>
      </c>
      <c r="E70" s="105" t="s">
        <v>378</v>
      </c>
      <c r="F70" s="106" t="s">
        <v>190</v>
      </c>
      <c r="G70" s="106" t="s">
        <v>191</v>
      </c>
      <c r="H70" s="106" t="s">
        <v>192</v>
      </c>
      <c r="I70" s="92" t="s">
        <v>37</v>
      </c>
      <c r="J70" s="101"/>
      <c r="K70" s="101" t="s">
        <v>192</v>
      </c>
      <c r="L70" s="106" t="b">
        <v>1</v>
      </c>
      <c r="M70" s="106" t="b">
        <v>1</v>
      </c>
      <c r="N70" s="106" t="b">
        <v>0</v>
      </c>
      <c r="O70" s="95" t="s">
        <v>379</v>
      </c>
    </row>
    <row r="71" ht="18.75" customHeight="1">
      <c r="A71" s="124" t="s">
        <v>240</v>
      </c>
      <c r="B71" s="107" t="s">
        <v>362</v>
      </c>
      <c r="C71" s="108" t="s">
        <v>380</v>
      </c>
      <c r="D71" s="109" t="s">
        <v>381</v>
      </c>
      <c r="E71" s="132" t="s">
        <v>382</v>
      </c>
      <c r="F71" s="111" t="s">
        <v>190</v>
      </c>
      <c r="G71" s="111" t="s">
        <v>191</v>
      </c>
      <c r="H71" s="111" t="s">
        <v>192</v>
      </c>
      <c r="I71" s="92" t="s">
        <v>39</v>
      </c>
      <c r="J71" s="101"/>
      <c r="K71" s="101" t="s">
        <v>192</v>
      </c>
      <c r="L71" s="111" t="b">
        <v>1</v>
      </c>
      <c r="M71" s="111" t="b">
        <v>1</v>
      </c>
      <c r="N71" s="111" t="b">
        <v>1</v>
      </c>
      <c r="O71" s="95" t="s">
        <v>193</v>
      </c>
    </row>
    <row r="72" ht="18.75" customHeight="1">
      <c r="A72" s="124" t="s">
        <v>240</v>
      </c>
      <c r="B72" s="107" t="s">
        <v>362</v>
      </c>
      <c r="C72" s="108" t="s">
        <v>383</v>
      </c>
      <c r="D72" s="109" t="s">
        <v>384</v>
      </c>
      <c r="E72" s="110" t="s">
        <v>385</v>
      </c>
      <c r="F72" s="111" t="s">
        <v>190</v>
      </c>
      <c r="G72" s="111" t="s">
        <v>191</v>
      </c>
      <c r="H72" s="111" t="s">
        <v>192</v>
      </c>
      <c r="I72" s="92" t="s">
        <v>39</v>
      </c>
      <c r="J72" s="101"/>
      <c r="K72" s="101" t="s">
        <v>192</v>
      </c>
      <c r="L72" s="111" t="b">
        <v>1</v>
      </c>
      <c r="M72" s="111" t="b">
        <v>1</v>
      </c>
      <c r="N72" s="111" t="b">
        <v>1</v>
      </c>
      <c r="O72" s="95" t="s">
        <v>386</v>
      </c>
    </row>
    <row r="73" ht="18.75" customHeight="1">
      <c r="A73" s="124" t="s">
        <v>240</v>
      </c>
      <c r="B73" s="107" t="s">
        <v>362</v>
      </c>
      <c r="C73" s="108" t="s">
        <v>387</v>
      </c>
      <c r="D73" s="109" t="s">
        <v>388</v>
      </c>
      <c r="E73" s="110" t="s">
        <v>389</v>
      </c>
      <c r="F73" s="111" t="s">
        <v>190</v>
      </c>
      <c r="G73" s="111" t="s">
        <v>191</v>
      </c>
      <c r="H73" s="111" t="s">
        <v>192</v>
      </c>
      <c r="I73" s="92" t="s">
        <v>39</v>
      </c>
      <c r="J73" s="101"/>
      <c r="K73" s="101" t="s">
        <v>192</v>
      </c>
      <c r="L73" s="111" t="b">
        <v>1</v>
      </c>
      <c r="M73" s="111" t="b">
        <v>1</v>
      </c>
      <c r="N73" s="111" t="b">
        <v>1</v>
      </c>
      <c r="O73" s="95" t="s">
        <v>390</v>
      </c>
    </row>
    <row r="74" ht="18.75" customHeight="1">
      <c r="A74" s="124" t="s">
        <v>240</v>
      </c>
      <c r="B74" s="102" t="s">
        <v>362</v>
      </c>
      <c r="C74" s="103" t="s">
        <v>391</v>
      </c>
      <c r="D74" s="104" t="s">
        <v>392</v>
      </c>
      <c r="E74" s="105" t="s">
        <v>393</v>
      </c>
      <c r="F74" s="106" t="s">
        <v>190</v>
      </c>
      <c r="G74" s="106" t="s">
        <v>191</v>
      </c>
      <c r="H74" s="106" t="s">
        <v>192</v>
      </c>
      <c r="I74" s="92" t="s">
        <v>41</v>
      </c>
      <c r="J74" s="101"/>
      <c r="K74" s="101" t="s">
        <v>192</v>
      </c>
      <c r="L74" s="106" t="b">
        <v>0</v>
      </c>
      <c r="M74" s="106" t="b">
        <v>0</v>
      </c>
      <c r="N74" s="106" t="b">
        <v>0</v>
      </c>
      <c r="O74" s="95" t="s">
        <v>193</v>
      </c>
    </row>
    <row r="75" ht="18.75" customHeight="1">
      <c r="A75" s="124" t="s">
        <v>240</v>
      </c>
      <c r="B75" s="102" t="s">
        <v>362</v>
      </c>
      <c r="C75" s="103" t="s">
        <v>394</v>
      </c>
      <c r="D75" s="104" t="s">
        <v>395</v>
      </c>
      <c r="E75" s="105" t="s">
        <v>396</v>
      </c>
      <c r="F75" s="106" t="s">
        <v>190</v>
      </c>
      <c r="G75" s="106" t="s">
        <v>191</v>
      </c>
      <c r="H75" s="106" t="s">
        <v>192</v>
      </c>
      <c r="I75" s="92" t="s">
        <v>41</v>
      </c>
      <c r="J75" s="101"/>
      <c r="K75" s="101" t="s">
        <v>192</v>
      </c>
      <c r="L75" s="106" t="b">
        <v>0</v>
      </c>
      <c r="M75" s="106" t="b">
        <v>0</v>
      </c>
      <c r="N75" s="106" t="b">
        <v>0</v>
      </c>
      <c r="O75" s="95" t="s">
        <v>386</v>
      </c>
    </row>
    <row r="76" ht="18.75" customHeight="1">
      <c r="A76" s="124" t="s">
        <v>240</v>
      </c>
      <c r="B76" s="107" t="s">
        <v>362</v>
      </c>
      <c r="C76" s="108" t="s">
        <v>397</v>
      </c>
      <c r="D76" s="109" t="s">
        <v>398</v>
      </c>
      <c r="E76" s="110" t="s">
        <v>399</v>
      </c>
      <c r="F76" s="111" t="s">
        <v>190</v>
      </c>
      <c r="G76" s="111" t="s">
        <v>191</v>
      </c>
      <c r="H76" s="111" t="s">
        <v>192</v>
      </c>
      <c r="I76" s="92" t="s">
        <v>39</v>
      </c>
      <c r="J76" s="101"/>
      <c r="K76" s="101" t="s">
        <v>192</v>
      </c>
      <c r="L76" s="106" t="b">
        <v>1</v>
      </c>
      <c r="M76" s="111" t="b">
        <v>0</v>
      </c>
      <c r="N76" s="111" t="b">
        <v>0</v>
      </c>
      <c r="O76" s="95" t="s">
        <v>390</v>
      </c>
    </row>
    <row r="77" ht="18.75" customHeight="1">
      <c r="A77" s="124" t="s">
        <v>240</v>
      </c>
      <c r="B77" s="107" t="s">
        <v>362</v>
      </c>
      <c r="C77" s="108" t="s">
        <v>400</v>
      </c>
      <c r="D77" s="109" t="s">
        <v>401</v>
      </c>
      <c r="E77" s="110" t="s">
        <v>402</v>
      </c>
      <c r="F77" s="111" t="s">
        <v>190</v>
      </c>
      <c r="G77" s="111" t="s">
        <v>191</v>
      </c>
      <c r="H77" s="111" t="s">
        <v>192</v>
      </c>
      <c r="I77" s="92" t="s">
        <v>39</v>
      </c>
      <c r="J77" s="101"/>
      <c r="K77" s="101" t="s">
        <v>192</v>
      </c>
      <c r="L77" s="106" t="b">
        <v>0</v>
      </c>
      <c r="M77" s="111" t="b">
        <v>1</v>
      </c>
      <c r="N77" s="111" t="b">
        <v>1</v>
      </c>
      <c r="O77" s="95" t="s">
        <v>375</v>
      </c>
    </row>
    <row r="78" ht="18.75" customHeight="1">
      <c r="A78" s="124" t="s">
        <v>240</v>
      </c>
      <c r="B78" s="107" t="s">
        <v>362</v>
      </c>
      <c r="C78" s="108" t="s">
        <v>403</v>
      </c>
      <c r="D78" s="109" t="s">
        <v>404</v>
      </c>
      <c r="E78" s="110" t="s">
        <v>405</v>
      </c>
      <c r="F78" s="111" t="s">
        <v>190</v>
      </c>
      <c r="G78" s="111" t="s">
        <v>191</v>
      </c>
      <c r="H78" s="111" t="s">
        <v>192</v>
      </c>
      <c r="I78" s="92" t="s">
        <v>39</v>
      </c>
      <c r="J78" s="101"/>
      <c r="K78" s="101" t="s">
        <v>192</v>
      </c>
      <c r="L78" s="106" t="b">
        <v>0</v>
      </c>
      <c r="M78" s="111" t="b">
        <v>1</v>
      </c>
      <c r="N78" s="111" t="b">
        <v>0</v>
      </c>
      <c r="O78" s="95" t="s">
        <v>379</v>
      </c>
    </row>
    <row r="79" ht="18.75" customHeight="1">
      <c r="A79" s="124" t="s">
        <v>240</v>
      </c>
      <c r="B79" s="107" t="s">
        <v>362</v>
      </c>
      <c r="C79" s="108" t="s">
        <v>406</v>
      </c>
      <c r="D79" s="137" t="s">
        <v>407</v>
      </c>
      <c r="E79" s="110" t="s">
        <v>408</v>
      </c>
      <c r="F79" s="111" t="s">
        <v>190</v>
      </c>
      <c r="G79" s="111" t="s">
        <v>191</v>
      </c>
      <c r="H79" s="111" t="s">
        <v>192</v>
      </c>
      <c r="I79" s="92" t="s">
        <v>39</v>
      </c>
      <c r="J79" s="101"/>
      <c r="K79" s="101" t="s">
        <v>192</v>
      </c>
      <c r="L79" s="106" t="b">
        <v>0</v>
      </c>
      <c r="M79" s="111" t="b">
        <v>0</v>
      </c>
      <c r="N79" s="111" t="b">
        <v>0</v>
      </c>
      <c r="O79" s="95" t="s">
        <v>409</v>
      </c>
    </row>
    <row r="80" ht="18.75" customHeight="1">
      <c r="A80" s="124" t="s">
        <v>240</v>
      </c>
      <c r="B80" s="107" t="s">
        <v>362</v>
      </c>
      <c r="C80" s="108" t="s">
        <v>410</v>
      </c>
      <c r="D80" s="109" t="s">
        <v>411</v>
      </c>
      <c r="E80" s="110" t="s">
        <v>412</v>
      </c>
      <c r="F80" s="111" t="s">
        <v>190</v>
      </c>
      <c r="G80" s="111" t="s">
        <v>191</v>
      </c>
      <c r="H80" s="111" t="s">
        <v>192</v>
      </c>
      <c r="I80" s="92" t="s">
        <v>39</v>
      </c>
      <c r="J80" s="101"/>
      <c r="K80" s="101" t="s">
        <v>192</v>
      </c>
      <c r="L80" s="106" t="b">
        <v>1</v>
      </c>
      <c r="M80" s="111" t="b">
        <v>0</v>
      </c>
      <c r="N80" s="111" t="b">
        <v>0</v>
      </c>
      <c r="O80" s="95" t="s">
        <v>413</v>
      </c>
    </row>
    <row r="81" ht="18.75" customHeight="1">
      <c r="A81" s="124" t="s">
        <v>240</v>
      </c>
      <c r="B81" s="107" t="s">
        <v>362</v>
      </c>
      <c r="C81" s="108" t="s">
        <v>414</v>
      </c>
      <c r="D81" s="109" t="s">
        <v>415</v>
      </c>
      <c r="E81" s="110" t="s">
        <v>416</v>
      </c>
      <c r="F81" s="111" t="s">
        <v>190</v>
      </c>
      <c r="G81" s="111" t="s">
        <v>191</v>
      </c>
      <c r="H81" s="111" t="s">
        <v>256</v>
      </c>
      <c r="I81" s="92" t="s">
        <v>37</v>
      </c>
      <c r="J81" s="101"/>
      <c r="K81" s="101" t="s">
        <v>256</v>
      </c>
      <c r="L81" s="106" t="b">
        <v>1</v>
      </c>
      <c r="M81" s="111" t="b">
        <v>1</v>
      </c>
      <c r="N81" s="111" t="b">
        <v>0</v>
      </c>
      <c r="O81" s="95" t="s">
        <v>417</v>
      </c>
    </row>
    <row r="82" ht="18.75" customHeight="1">
      <c r="A82" s="124" t="s">
        <v>240</v>
      </c>
      <c r="B82" s="107" t="s">
        <v>362</v>
      </c>
      <c r="C82" s="108" t="s">
        <v>418</v>
      </c>
      <c r="D82" s="109" t="s">
        <v>419</v>
      </c>
      <c r="E82" s="132" t="s">
        <v>420</v>
      </c>
      <c r="F82" s="111" t="s">
        <v>190</v>
      </c>
      <c r="G82" s="111" t="s">
        <v>191</v>
      </c>
      <c r="H82" s="111" t="s">
        <v>256</v>
      </c>
      <c r="I82" s="92" t="s">
        <v>39</v>
      </c>
      <c r="J82" s="101"/>
      <c r="K82" s="101" t="s">
        <v>256</v>
      </c>
      <c r="L82" s="111" t="b">
        <v>0</v>
      </c>
      <c r="M82" s="111" t="b">
        <v>0</v>
      </c>
      <c r="N82" s="111" t="b">
        <v>0</v>
      </c>
      <c r="O82" s="95" t="s">
        <v>298</v>
      </c>
    </row>
    <row r="83" ht="18.75" customHeight="1">
      <c r="A83" s="124" t="s">
        <v>240</v>
      </c>
      <c r="B83" s="107" t="s">
        <v>362</v>
      </c>
      <c r="C83" s="108" t="s">
        <v>421</v>
      </c>
      <c r="D83" s="109" t="s">
        <v>422</v>
      </c>
      <c r="E83" s="110" t="s">
        <v>423</v>
      </c>
      <c r="F83" s="111" t="s">
        <v>190</v>
      </c>
      <c r="G83" s="111" t="s">
        <v>191</v>
      </c>
      <c r="H83" s="111" t="s">
        <v>424</v>
      </c>
      <c r="I83" s="92" t="s">
        <v>39</v>
      </c>
      <c r="J83" s="101"/>
      <c r="K83" s="101" t="s">
        <v>424</v>
      </c>
      <c r="L83" s="111" t="b">
        <v>0</v>
      </c>
      <c r="M83" s="111" t="b">
        <v>1</v>
      </c>
      <c r="N83" s="111" t="b">
        <v>0</v>
      </c>
      <c r="O83" s="95" t="s">
        <v>425</v>
      </c>
    </row>
    <row r="84" ht="18.75" customHeight="1">
      <c r="A84" s="138" t="s">
        <v>240</v>
      </c>
      <c r="B84" s="115" t="s">
        <v>362</v>
      </c>
      <c r="C84" s="116" t="s">
        <v>426</v>
      </c>
      <c r="D84" s="139" t="s">
        <v>427</v>
      </c>
      <c r="E84" s="140" t="s">
        <v>428</v>
      </c>
      <c r="F84" s="119" t="s">
        <v>190</v>
      </c>
      <c r="G84" s="119" t="s">
        <v>191</v>
      </c>
      <c r="H84" s="119" t="s">
        <v>155</v>
      </c>
      <c r="I84" s="120" t="s">
        <v>37</v>
      </c>
      <c r="J84" s="121"/>
      <c r="K84" s="135"/>
      <c r="L84" s="119" t="b">
        <v>1</v>
      </c>
      <c r="M84" s="119" t="b">
        <v>1</v>
      </c>
      <c r="N84" s="119" t="b">
        <v>1</v>
      </c>
      <c r="O84" s="123" t="s">
        <v>429</v>
      </c>
    </row>
    <row r="85" ht="18.75" customHeight="1">
      <c r="A85" s="141" t="s">
        <v>430</v>
      </c>
      <c r="B85" s="141" t="s">
        <v>431</v>
      </c>
      <c r="C85" s="142" t="s">
        <v>432</v>
      </c>
      <c r="D85" s="143" t="s">
        <v>433</v>
      </c>
      <c r="E85" s="144" t="s">
        <v>434</v>
      </c>
      <c r="F85" s="145" t="s">
        <v>153</v>
      </c>
      <c r="G85" s="145" t="s">
        <v>191</v>
      </c>
      <c r="H85" s="145" t="s">
        <v>155</v>
      </c>
      <c r="I85" s="92" t="s">
        <v>37</v>
      </c>
      <c r="J85" s="130"/>
      <c r="K85" s="146"/>
      <c r="L85" s="145" t="b">
        <v>0</v>
      </c>
      <c r="M85" s="145" t="b">
        <v>1</v>
      </c>
      <c r="N85" s="145" t="b">
        <v>0</v>
      </c>
      <c r="O85" s="131" t="s">
        <v>435</v>
      </c>
    </row>
    <row r="86" ht="18.75" customHeight="1">
      <c r="A86" s="141" t="s">
        <v>430</v>
      </c>
      <c r="B86" s="141" t="s">
        <v>431</v>
      </c>
      <c r="C86" s="142" t="s">
        <v>436</v>
      </c>
      <c r="D86" s="114" t="s">
        <v>437</v>
      </c>
      <c r="E86" s="147" t="s">
        <v>438</v>
      </c>
      <c r="F86" s="145" t="s">
        <v>153</v>
      </c>
      <c r="G86" s="145" t="s">
        <v>191</v>
      </c>
      <c r="H86" s="145" t="s">
        <v>155</v>
      </c>
      <c r="I86" s="92" t="s">
        <v>37</v>
      </c>
      <c r="J86" s="130"/>
      <c r="K86" s="146"/>
      <c r="L86" s="145" t="b">
        <v>0</v>
      </c>
      <c r="M86" s="145" t="b">
        <v>0</v>
      </c>
      <c r="N86" s="145" t="b">
        <v>0</v>
      </c>
      <c r="O86" s="95" t="s">
        <v>439</v>
      </c>
    </row>
    <row r="87" ht="18.75" customHeight="1">
      <c r="A87" s="141" t="s">
        <v>430</v>
      </c>
      <c r="B87" s="102" t="s">
        <v>440</v>
      </c>
      <c r="C87" s="103" t="s">
        <v>441</v>
      </c>
      <c r="D87" s="136" t="s">
        <v>442</v>
      </c>
      <c r="E87" s="105" t="s">
        <v>443</v>
      </c>
      <c r="F87" s="148" t="s">
        <v>153</v>
      </c>
      <c r="G87" s="106" t="s">
        <v>191</v>
      </c>
      <c r="H87" s="106" t="s">
        <v>155</v>
      </c>
      <c r="I87" s="92" t="s">
        <v>37</v>
      </c>
      <c r="J87" s="101">
        <v>50.0</v>
      </c>
      <c r="K87" s="101" t="s">
        <v>444</v>
      </c>
      <c r="L87" s="106" t="b">
        <v>1</v>
      </c>
      <c r="M87" s="106" t="b">
        <v>1</v>
      </c>
      <c r="N87" s="106" t="b">
        <v>1</v>
      </c>
      <c r="O87" s="95">
        <v>50.0</v>
      </c>
    </row>
    <row r="88" ht="18.75" customHeight="1">
      <c r="A88" s="141" t="s">
        <v>430</v>
      </c>
      <c r="B88" s="107" t="s">
        <v>431</v>
      </c>
      <c r="C88" s="108" t="s">
        <v>445</v>
      </c>
      <c r="D88" s="109" t="s">
        <v>446</v>
      </c>
      <c r="E88" s="110" t="s">
        <v>447</v>
      </c>
      <c r="F88" s="149" t="s">
        <v>107</v>
      </c>
      <c r="G88" s="111" t="s">
        <v>108</v>
      </c>
      <c r="H88" s="111" t="s">
        <v>109</v>
      </c>
      <c r="I88" s="92" t="s">
        <v>37</v>
      </c>
      <c r="J88" s="101"/>
      <c r="K88" s="135"/>
      <c r="L88" s="111" t="b">
        <v>0</v>
      </c>
      <c r="M88" s="111" t="b">
        <v>1</v>
      </c>
      <c r="N88" s="111" t="b">
        <v>0</v>
      </c>
      <c r="O88" s="95" t="s">
        <v>448</v>
      </c>
    </row>
    <row r="89" ht="18.75" customHeight="1">
      <c r="A89" s="141" t="s">
        <v>430</v>
      </c>
      <c r="B89" s="107" t="s">
        <v>103</v>
      </c>
      <c r="C89" s="108" t="s">
        <v>449</v>
      </c>
      <c r="D89" s="109" t="s">
        <v>450</v>
      </c>
      <c r="E89" s="110" t="s">
        <v>451</v>
      </c>
      <c r="F89" s="111" t="s">
        <v>107</v>
      </c>
      <c r="G89" s="111" t="s">
        <v>108</v>
      </c>
      <c r="H89" s="111" t="s">
        <v>109</v>
      </c>
      <c r="I89" s="92" t="s">
        <v>37</v>
      </c>
      <c r="J89" s="101"/>
      <c r="K89" s="135"/>
      <c r="L89" s="111" t="b">
        <v>0</v>
      </c>
      <c r="M89" s="111" t="b">
        <v>0</v>
      </c>
      <c r="N89" s="111" t="b">
        <v>0</v>
      </c>
      <c r="O89" s="95" t="s">
        <v>452</v>
      </c>
    </row>
    <row r="90" ht="18.75" customHeight="1">
      <c r="A90" s="141" t="s">
        <v>430</v>
      </c>
      <c r="B90" s="107" t="s">
        <v>440</v>
      </c>
      <c r="C90" s="108" t="s">
        <v>453</v>
      </c>
      <c r="D90" s="109" t="s">
        <v>454</v>
      </c>
      <c r="E90" s="110" t="s">
        <v>455</v>
      </c>
      <c r="F90" s="111" t="s">
        <v>107</v>
      </c>
      <c r="G90" s="111" t="s">
        <v>108</v>
      </c>
      <c r="H90" s="111" t="s">
        <v>109</v>
      </c>
      <c r="I90" s="92" t="s">
        <v>39</v>
      </c>
      <c r="J90" s="101"/>
      <c r="K90" s="135"/>
      <c r="L90" s="111" t="b">
        <v>1</v>
      </c>
      <c r="M90" s="111" t="b">
        <v>1</v>
      </c>
      <c r="N90" s="111" t="b">
        <v>1</v>
      </c>
      <c r="O90" s="95" t="s">
        <v>456</v>
      </c>
    </row>
    <row r="91" ht="18.75" customHeight="1">
      <c r="A91" s="141" t="s">
        <v>430</v>
      </c>
      <c r="B91" s="102" t="s">
        <v>440</v>
      </c>
      <c r="C91" s="103" t="s">
        <v>457</v>
      </c>
      <c r="D91" s="104" t="s">
        <v>458</v>
      </c>
      <c r="E91" s="105" t="s">
        <v>459</v>
      </c>
      <c r="F91" s="106" t="s">
        <v>107</v>
      </c>
      <c r="G91" s="106" t="s">
        <v>108</v>
      </c>
      <c r="H91" s="106" t="s">
        <v>109</v>
      </c>
      <c r="I91" s="92" t="s">
        <v>41</v>
      </c>
      <c r="J91" s="101"/>
      <c r="K91" s="135"/>
      <c r="L91" s="106" t="b">
        <v>0</v>
      </c>
      <c r="M91" s="106" t="b">
        <v>0</v>
      </c>
      <c r="N91" s="106" t="b">
        <v>0</v>
      </c>
      <c r="O91" s="95" t="s">
        <v>460</v>
      </c>
    </row>
    <row r="92" ht="18.75" customHeight="1">
      <c r="A92" s="141" t="s">
        <v>430</v>
      </c>
      <c r="B92" s="102" t="s">
        <v>440</v>
      </c>
      <c r="C92" s="103" t="s">
        <v>461</v>
      </c>
      <c r="D92" s="104" t="s">
        <v>462</v>
      </c>
      <c r="E92" s="105" t="s">
        <v>463</v>
      </c>
      <c r="F92" s="106" t="s">
        <v>107</v>
      </c>
      <c r="G92" s="106" t="s">
        <v>191</v>
      </c>
      <c r="H92" s="106" t="s">
        <v>155</v>
      </c>
      <c r="I92" s="92" t="s">
        <v>41</v>
      </c>
      <c r="J92" s="101"/>
      <c r="K92" s="135"/>
      <c r="L92" s="106" t="b">
        <v>1</v>
      </c>
      <c r="M92" s="106" t="b">
        <v>0</v>
      </c>
      <c r="N92" s="106" t="b">
        <v>1</v>
      </c>
      <c r="O92" s="95" t="s">
        <v>464</v>
      </c>
    </row>
    <row r="93" ht="18.75" customHeight="1">
      <c r="A93" s="141" t="s">
        <v>430</v>
      </c>
      <c r="B93" s="102" t="s">
        <v>465</v>
      </c>
      <c r="C93" s="103" t="s">
        <v>466</v>
      </c>
      <c r="D93" s="104" t="s">
        <v>467</v>
      </c>
      <c r="E93" s="105" t="s">
        <v>468</v>
      </c>
      <c r="F93" s="106" t="s">
        <v>107</v>
      </c>
      <c r="G93" s="106" t="s">
        <v>108</v>
      </c>
      <c r="H93" s="106" t="s">
        <v>109</v>
      </c>
      <c r="I93" s="150" t="s">
        <v>37</v>
      </c>
      <c r="J93" s="101"/>
      <c r="K93" s="135"/>
      <c r="L93" s="106" t="b">
        <v>0</v>
      </c>
      <c r="M93" s="106" t="b">
        <v>1</v>
      </c>
      <c r="N93" s="106" t="b">
        <v>0</v>
      </c>
      <c r="O93" s="95" t="s">
        <v>469</v>
      </c>
    </row>
    <row r="94" ht="18.75" customHeight="1">
      <c r="A94" s="141" t="s">
        <v>430</v>
      </c>
      <c r="B94" s="102" t="s">
        <v>465</v>
      </c>
      <c r="C94" s="103" t="s">
        <v>470</v>
      </c>
      <c r="D94" s="104" t="s">
        <v>471</v>
      </c>
      <c r="E94" s="105" t="s">
        <v>472</v>
      </c>
      <c r="F94" s="106" t="s">
        <v>107</v>
      </c>
      <c r="G94" s="106" t="s">
        <v>191</v>
      </c>
      <c r="H94" s="106" t="s">
        <v>155</v>
      </c>
      <c r="I94" s="150" t="s">
        <v>37</v>
      </c>
      <c r="J94" s="101"/>
      <c r="K94" s="135"/>
      <c r="L94" s="106" t="b">
        <v>0</v>
      </c>
      <c r="M94" s="106" t="b">
        <v>1</v>
      </c>
      <c r="N94" s="106" t="b">
        <v>0</v>
      </c>
      <c r="O94" s="95" t="s">
        <v>473</v>
      </c>
    </row>
    <row r="95" ht="18.75" customHeight="1">
      <c r="A95" s="141" t="s">
        <v>430</v>
      </c>
      <c r="B95" s="102" t="s">
        <v>465</v>
      </c>
      <c r="C95" s="103" t="s">
        <v>474</v>
      </c>
      <c r="D95" s="151" t="s">
        <v>475</v>
      </c>
      <c r="E95" s="134" t="s">
        <v>476</v>
      </c>
      <c r="F95" s="106" t="s">
        <v>107</v>
      </c>
      <c r="G95" s="106" t="s">
        <v>108</v>
      </c>
      <c r="H95" s="106" t="s">
        <v>109</v>
      </c>
      <c r="I95" s="150" t="s">
        <v>37</v>
      </c>
      <c r="J95" s="133" t="s">
        <v>477</v>
      </c>
      <c r="K95" s="135"/>
      <c r="L95" s="106" t="b">
        <v>1</v>
      </c>
      <c r="M95" s="106" t="b">
        <v>1</v>
      </c>
      <c r="N95" s="106" t="b">
        <v>0</v>
      </c>
      <c r="O95" s="95" t="s">
        <v>478</v>
      </c>
    </row>
    <row r="96" ht="18.75" customHeight="1">
      <c r="A96" s="141" t="s">
        <v>430</v>
      </c>
      <c r="B96" s="102" t="s">
        <v>465</v>
      </c>
      <c r="C96" s="103" t="s">
        <v>479</v>
      </c>
      <c r="D96" s="151" t="s">
        <v>480</v>
      </c>
      <c r="E96" s="134" t="s">
        <v>481</v>
      </c>
      <c r="F96" s="106" t="s">
        <v>107</v>
      </c>
      <c r="G96" s="106" t="s">
        <v>114</v>
      </c>
      <c r="H96" s="106" t="s">
        <v>109</v>
      </c>
      <c r="I96" s="150" t="s">
        <v>37</v>
      </c>
      <c r="J96" s="133" t="s">
        <v>482</v>
      </c>
      <c r="K96" s="135"/>
      <c r="L96" s="106" t="b">
        <v>0</v>
      </c>
      <c r="M96" s="106" t="b">
        <v>1</v>
      </c>
      <c r="N96" s="106" t="b">
        <v>0</v>
      </c>
      <c r="O96" s="95" t="s">
        <v>483</v>
      </c>
    </row>
    <row r="97" ht="18.75" customHeight="1">
      <c r="A97" s="141" t="s">
        <v>430</v>
      </c>
      <c r="B97" s="102" t="s">
        <v>465</v>
      </c>
      <c r="C97" s="103" t="s">
        <v>484</v>
      </c>
      <c r="D97" s="104" t="s">
        <v>485</v>
      </c>
      <c r="E97" s="105" t="s">
        <v>486</v>
      </c>
      <c r="F97" s="106" t="s">
        <v>107</v>
      </c>
      <c r="G97" s="106" t="s">
        <v>114</v>
      </c>
      <c r="H97" s="106" t="s">
        <v>109</v>
      </c>
      <c r="I97" s="92" t="s">
        <v>37</v>
      </c>
      <c r="J97" s="101" t="s">
        <v>487</v>
      </c>
      <c r="K97" s="135"/>
      <c r="L97" s="106" t="b">
        <v>0</v>
      </c>
      <c r="M97" s="106" t="b">
        <v>0</v>
      </c>
      <c r="N97" s="106" t="b">
        <v>0</v>
      </c>
      <c r="O97" s="95" t="s">
        <v>487</v>
      </c>
    </row>
    <row r="98" ht="18.75" customHeight="1">
      <c r="A98" s="141" t="s">
        <v>430</v>
      </c>
      <c r="B98" s="102" t="s">
        <v>465</v>
      </c>
      <c r="C98" s="103" t="s">
        <v>488</v>
      </c>
      <c r="D98" s="136" t="s">
        <v>489</v>
      </c>
      <c r="E98" s="105" t="s">
        <v>490</v>
      </c>
      <c r="F98" s="106" t="s">
        <v>107</v>
      </c>
      <c r="G98" s="106" t="s">
        <v>114</v>
      </c>
      <c r="H98" s="106" t="s">
        <v>109</v>
      </c>
      <c r="I98" s="92" t="s">
        <v>37</v>
      </c>
      <c r="J98" s="133" t="s">
        <v>491</v>
      </c>
      <c r="K98" s="135"/>
      <c r="L98" s="106" t="b">
        <v>0</v>
      </c>
      <c r="M98" s="106" t="b">
        <v>1</v>
      </c>
      <c r="N98" s="106" t="b">
        <v>0</v>
      </c>
      <c r="O98" s="95" t="s">
        <v>492</v>
      </c>
    </row>
    <row r="99" ht="18.75" customHeight="1">
      <c r="A99" s="141" t="s">
        <v>430</v>
      </c>
      <c r="B99" s="107" t="s">
        <v>465</v>
      </c>
      <c r="C99" s="108" t="s">
        <v>493</v>
      </c>
      <c r="D99" s="109" t="s">
        <v>494</v>
      </c>
      <c r="E99" s="110" t="s">
        <v>495</v>
      </c>
      <c r="F99" s="111" t="s">
        <v>159</v>
      </c>
      <c r="G99" s="111" t="s">
        <v>328</v>
      </c>
      <c r="H99" s="111" t="s">
        <v>109</v>
      </c>
      <c r="I99" s="92" t="s">
        <v>39</v>
      </c>
      <c r="J99" s="101" t="s">
        <v>161</v>
      </c>
      <c r="K99" s="135"/>
      <c r="L99" s="111" t="b">
        <v>0</v>
      </c>
      <c r="M99" s="111" t="b">
        <v>0</v>
      </c>
      <c r="N99" s="111" t="b">
        <v>1</v>
      </c>
      <c r="O99" s="95" t="s">
        <v>161</v>
      </c>
    </row>
    <row r="100" ht="18.75" customHeight="1">
      <c r="A100" s="141" t="s">
        <v>430</v>
      </c>
      <c r="B100" s="107" t="s">
        <v>465</v>
      </c>
      <c r="C100" s="108" t="s">
        <v>496</v>
      </c>
      <c r="D100" s="109" t="s">
        <v>497</v>
      </c>
      <c r="E100" s="110" t="s">
        <v>498</v>
      </c>
      <c r="F100" s="111" t="s">
        <v>107</v>
      </c>
      <c r="G100" s="111" t="s">
        <v>114</v>
      </c>
      <c r="H100" s="111" t="s">
        <v>109</v>
      </c>
      <c r="I100" s="92" t="s">
        <v>39</v>
      </c>
      <c r="J100" s="101" t="s">
        <v>499</v>
      </c>
      <c r="K100" s="135"/>
      <c r="L100" s="111" t="b">
        <v>1</v>
      </c>
      <c r="M100" s="111" t="b">
        <v>0</v>
      </c>
      <c r="N100" s="111" t="b">
        <v>1</v>
      </c>
      <c r="O100" s="95" t="s">
        <v>499</v>
      </c>
    </row>
    <row r="101" ht="18.75" customHeight="1">
      <c r="A101" s="141" t="s">
        <v>430</v>
      </c>
      <c r="B101" s="102" t="s">
        <v>465</v>
      </c>
      <c r="C101" s="103" t="s">
        <v>500</v>
      </c>
      <c r="D101" s="104" t="s">
        <v>501</v>
      </c>
      <c r="E101" s="105" t="s">
        <v>502</v>
      </c>
      <c r="F101" s="106" t="s">
        <v>107</v>
      </c>
      <c r="G101" s="106" t="s">
        <v>114</v>
      </c>
      <c r="H101" s="106" t="s">
        <v>109</v>
      </c>
      <c r="I101" s="92" t="s">
        <v>37</v>
      </c>
      <c r="J101" s="101" t="s">
        <v>503</v>
      </c>
      <c r="K101" s="135"/>
      <c r="L101" s="106" t="b">
        <v>1</v>
      </c>
      <c r="M101" s="106" t="b">
        <v>0</v>
      </c>
      <c r="N101" s="106" t="b">
        <v>1</v>
      </c>
      <c r="O101" s="95" t="s">
        <v>503</v>
      </c>
    </row>
    <row r="102" ht="18.75" customHeight="1">
      <c r="A102" s="141" t="s">
        <v>430</v>
      </c>
      <c r="B102" s="102" t="s">
        <v>465</v>
      </c>
      <c r="C102" s="103" t="s">
        <v>504</v>
      </c>
      <c r="D102" s="104" t="s">
        <v>505</v>
      </c>
      <c r="E102" s="105" t="s">
        <v>506</v>
      </c>
      <c r="F102" s="111" t="s">
        <v>159</v>
      </c>
      <c r="G102" s="111" t="s">
        <v>328</v>
      </c>
      <c r="H102" s="111" t="s">
        <v>109</v>
      </c>
      <c r="I102" s="92" t="s">
        <v>37</v>
      </c>
      <c r="J102" s="101" t="s">
        <v>161</v>
      </c>
      <c r="K102" s="135"/>
      <c r="L102" s="106" t="b">
        <v>0</v>
      </c>
      <c r="M102" s="106" t="b">
        <v>0</v>
      </c>
      <c r="N102" s="106" t="b">
        <v>0</v>
      </c>
      <c r="O102" s="95"/>
    </row>
    <row r="103" ht="18.75" customHeight="1">
      <c r="A103" s="141" t="s">
        <v>430</v>
      </c>
      <c r="B103" s="102" t="s">
        <v>465</v>
      </c>
      <c r="C103" s="103" t="s">
        <v>507</v>
      </c>
      <c r="D103" s="104" t="s">
        <v>508</v>
      </c>
      <c r="E103" s="105" t="s">
        <v>506</v>
      </c>
      <c r="F103" s="111" t="s">
        <v>159</v>
      </c>
      <c r="G103" s="111" t="s">
        <v>328</v>
      </c>
      <c r="H103" s="111" t="s">
        <v>109</v>
      </c>
      <c r="I103" s="92" t="s">
        <v>37</v>
      </c>
      <c r="J103" s="101" t="s">
        <v>161</v>
      </c>
      <c r="K103" s="135"/>
      <c r="L103" s="106" t="b">
        <v>0</v>
      </c>
      <c r="M103" s="106" t="b">
        <v>0</v>
      </c>
      <c r="N103" s="106" t="b">
        <v>0</v>
      </c>
      <c r="O103" s="95"/>
    </row>
    <row r="104" ht="18.75" customHeight="1">
      <c r="A104" s="141" t="s">
        <v>430</v>
      </c>
      <c r="B104" s="102" t="s">
        <v>465</v>
      </c>
      <c r="C104" s="103" t="s">
        <v>509</v>
      </c>
      <c r="D104" s="104" t="s">
        <v>510</v>
      </c>
      <c r="E104" s="105" t="s">
        <v>506</v>
      </c>
      <c r="F104" s="111" t="s">
        <v>159</v>
      </c>
      <c r="G104" s="111" t="s">
        <v>328</v>
      </c>
      <c r="H104" s="111" t="s">
        <v>109</v>
      </c>
      <c r="I104" s="92" t="s">
        <v>37</v>
      </c>
      <c r="J104" s="101" t="s">
        <v>161</v>
      </c>
      <c r="K104" s="135"/>
      <c r="L104" s="106" t="b">
        <v>0</v>
      </c>
      <c r="M104" s="106" t="b">
        <v>0</v>
      </c>
      <c r="N104" s="106" t="b">
        <v>0</v>
      </c>
      <c r="O104" s="95"/>
    </row>
    <row r="105" ht="18.75" customHeight="1">
      <c r="A105" s="141" t="s">
        <v>430</v>
      </c>
      <c r="B105" s="102" t="s">
        <v>465</v>
      </c>
      <c r="C105" s="103" t="s">
        <v>511</v>
      </c>
      <c r="D105" s="104" t="s">
        <v>512</v>
      </c>
      <c r="E105" s="105" t="s">
        <v>506</v>
      </c>
      <c r="F105" s="111" t="s">
        <v>159</v>
      </c>
      <c r="G105" s="111" t="s">
        <v>328</v>
      </c>
      <c r="H105" s="111" t="s">
        <v>109</v>
      </c>
      <c r="I105" s="92" t="s">
        <v>37</v>
      </c>
      <c r="J105" s="101" t="s">
        <v>161</v>
      </c>
      <c r="K105" s="135"/>
      <c r="L105" s="106" t="b">
        <v>0</v>
      </c>
      <c r="M105" s="106" t="b">
        <v>0</v>
      </c>
      <c r="N105" s="106" t="b">
        <v>0</v>
      </c>
      <c r="O105" s="95"/>
    </row>
    <row r="106" ht="18.75" customHeight="1">
      <c r="A106" s="141" t="s">
        <v>430</v>
      </c>
      <c r="B106" s="102" t="s">
        <v>465</v>
      </c>
      <c r="C106" s="103" t="s">
        <v>513</v>
      </c>
      <c r="D106" s="104" t="s">
        <v>514</v>
      </c>
      <c r="E106" s="105" t="s">
        <v>506</v>
      </c>
      <c r="F106" s="111" t="s">
        <v>159</v>
      </c>
      <c r="G106" s="111" t="s">
        <v>328</v>
      </c>
      <c r="H106" s="111" t="s">
        <v>109</v>
      </c>
      <c r="I106" s="92" t="s">
        <v>37</v>
      </c>
      <c r="J106" s="101" t="s">
        <v>161</v>
      </c>
      <c r="K106" s="135"/>
      <c r="L106" s="106" t="b">
        <v>0</v>
      </c>
      <c r="M106" s="106" t="b">
        <v>0</v>
      </c>
      <c r="N106" s="106" t="b">
        <v>0</v>
      </c>
      <c r="O106" s="95"/>
    </row>
    <row r="107" ht="18.75" customHeight="1">
      <c r="A107" s="141" t="s">
        <v>430</v>
      </c>
      <c r="B107" s="102" t="s">
        <v>465</v>
      </c>
      <c r="C107" s="103" t="s">
        <v>515</v>
      </c>
      <c r="D107" s="104" t="s">
        <v>516</v>
      </c>
      <c r="E107" s="105" t="s">
        <v>506</v>
      </c>
      <c r="F107" s="111" t="s">
        <v>159</v>
      </c>
      <c r="G107" s="111" t="s">
        <v>328</v>
      </c>
      <c r="H107" s="111" t="s">
        <v>109</v>
      </c>
      <c r="I107" s="92" t="s">
        <v>37</v>
      </c>
      <c r="J107" s="101" t="s">
        <v>161</v>
      </c>
      <c r="K107" s="135"/>
      <c r="L107" s="106" t="b">
        <v>0</v>
      </c>
      <c r="M107" s="106" t="b">
        <v>0</v>
      </c>
      <c r="N107" s="106" t="b">
        <v>0</v>
      </c>
      <c r="O107" s="95"/>
    </row>
    <row r="108" ht="18.75" customHeight="1">
      <c r="A108" s="141" t="s">
        <v>430</v>
      </c>
      <c r="B108" s="102" t="s">
        <v>465</v>
      </c>
      <c r="C108" s="103" t="s">
        <v>517</v>
      </c>
      <c r="D108" s="104" t="s">
        <v>518</v>
      </c>
      <c r="E108" s="105" t="s">
        <v>506</v>
      </c>
      <c r="F108" s="111" t="s">
        <v>159</v>
      </c>
      <c r="G108" s="111" t="s">
        <v>328</v>
      </c>
      <c r="H108" s="111" t="s">
        <v>109</v>
      </c>
      <c r="I108" s="92" t="s">
        <v>37</v>
      </c>
      <c r="J108" s="101" t="s">
        <v>519</v>
      </c>
      <c r="K108" s="135"/>
      <c r="L108" s="106" t="b">
        <v>0</v>
      </c>
      <c r="M108" s="106" t="b">
        <v>0</v>
      </c>
      <c r="N108" s="106" t="b">
        <v>0</v>
      </c>
      <c r="O108" s="95"/>
    </row>
    <row r="109" ht="18.75" customHeight="1">
      <c r="A109" s="141" t="s">
        <v>430</v>
      </c>
      <c r="B109" s="102" t="s">
        <v>465</v>
      </c>
      <c r="C109" s="103" t="s">
        <v>520</v>
      </c>
      <c r="D109" s="104" t="s">
        <v>521</v>
      </c>
      <c r="E109" s="105" t="s">
        <v>506</v>
      </c>
      <c r="F109" s="111" t="s">
        <v>159</v>
      </c>
      <c r="G109" s="111" t="s">
        <v>328</v>
      </c>
      <c r="H109" s="111" t="s">
        <v>109</v>
      </c>
      <c r="I109" s="92" t="s">
        <v>37</v>
      </c>
      <c r="J109" s="101" t="s">
        <v>161</v>
      </c>
      <c r="K109" s="135"/>
      <c r="L109" s="106" t="b">
        <v>0</v>
      </c>
      <c r="M109" s="106" t="b">
        <v>0</v>
      </c>
      <c r="N109" s="106" t="b">
        <v>0</v>
      </c>
      <c r="O109" s="95"/>
    </row>
    <row r="110" ht="18.75" customHeight="1">
      <c r="A110" s="141" t="s">
        <v>430</v>
      </c>
      <c r="B110" s="102" t="s">
        <v>465</v>
      </c>
      <c r="C110" s="103" t="s">
        <v>522</v>
      </c>
      <c r="D110" s="104" t="s">
        <v>523</v>
      </c>
      <c r="E110" s="105" t="s">
        <v>506</v>
      </c>
      <c r="F110" s="111" t="s">
        <v>159</v>
      </c>
      <c r="G110" s="111" t="s">
        <v>328</v>
      </c>
      <c r="H110" s="111" t="s">
        <v>109</v>
      </c>
      <c r="I110" s="92" t="s">
        <v>37</v>
      </c>
      <c r="J110" s="101" t="s">
        <v>161</v>
      </c>
      <c r="K110" s="135"/>
      <c r="L110" s="106" t="b">
        <v>0</v>
      </c>
      <c r="M110" s="106" t="b">
        <v>0</v>
      </c>
      <c r="N110" s="106" t="b">
        <v>0</v>
      </c>
      <c r="O110" s="95"/>
    </row>
    <row r="111" ht="18.75" customHeight="1">
      <c r="A111" s="141" t="s">
        <v>430</v>
      </c>
      <c r="B111" s="102" t="s">
        <v>465</v>
      </c>
      <c r="C111" s="103" t="s">
        <v>524</v>
      </c>
      <c r="D111" s="104" t="s">
        <v>525</v>
      </c>
      <c r="E111" s="105" t="s">
        <v>506</v>
      </c>
      <c r="F111" s="111" t="s">
        <v>159</v>
      </c>
      <c r="G111" s="111" t="s">
        <v>328</v>
      </c>
      <c r="H111" s="111" t="s">
        <v>109</v>
      </c>
      <c r="I111" s="92" t="s">
        <v>37</v>
      </c>
      <c r="J111" s="101" t="s">
        <v>161</v>
      </c>
      <c r="K111" s="135"/>
      <c r="L111" s="106" t="b">
        <v>0</v>
      </c>
      <c r="M111" s="106" t="b">
        <v>0</v>
      </c>
      <c r="N111" s="106" t="b">
        <v>0</v>
      </c>
      <c r="O111" s="95"/>
    </row>
    <row r="112" ht="18.75" customHeight="1">
      <c r="A112" s="141" t="s">
        <v>430</v>
      </c>
      <c r="B112" s="102" t="s">
        <v>465</v>
      </c>
      <c r="C112" s="103" t="s">
        <v>526</v>
      </c>
      <c r="D112" s="104" t="s">
        <v>527</v>
      </c>
      <c r="E112" s="105" t="s">
        <v>506</v>
      </c>
      <c r="F112" s="111" t="s">
        <v>159</v>
      </c>
      <c r="G112" s="111" t="s">
        <v>328</v>
      </c>
      <c r="H112" s="111" t="s">
        <v>109</v>
      </c>
      <c r="I112" s="92" t="s">
        <v>37</v>
      </c>
      <c r="J112" s="101" t="s">
        <v>519</v>
      </c>
      <c r="K112" s="135"/>
      <c r="L112" s="106" t="b">
        <v>0</v>
      </c>
      <c r="M112" s="106" t="b">
        <v>0</v>
      </c>
      <c r="N112" s="106" t="b">
        <v>0</v>
      </c>
      <c r="O112" s="95"/>
    </row>
    <row r="113" ht="18.75" customHeight="1">
      <c r="A113" s="141" t="s">
        <v>430</v>
      </c>
      <c r="B113" s="102" t="s">
        <v>465</v>
      </c>
      <c r="C113" s="103" t="s">
        <v>528</v>
      </c>
      <c r="D113" s="104" t="s">
        <v>529</v>
      </c>
      <c r="E113" s="105" t="s">
        <v>506</v>
      </c>
      <c r="F113" s="111" t="s">
        <v>159</v>
      </c>
      <c r="G113" s="111" t="s">
        <v>328</v>
      </c>
      <c r="H113" s="111" t="s">
        <v>109</v>
      </c>
      <c r="I113" s="92" t="s">
        <v>37</v>
      </c>
      <c r="J113" s="101" t="s">
        <v>519</v>
      </c>
      <c r="K113" s="135"/>
      <c r="L113" s="106" t="b">
        <v>0</v>
      </c>
      <c r="M113" s="106" t="b">
        <v>0</v>
      </c>
      <c r="N113" s="106" t="b">
        <v>0</v>
      </c>
      <c r="O113" s="95"/>
    </row>
    <row r="114" ht="18.75" customHeight="1">
      <c r="A114" s="141" t="s">
        <v>430</v>
      </c>
      <c r="B114" s="102" t="s">
        <v>465</v>
      </c>
      <c r="C114" s="103" t="s">
        <v>530</v>
      </c>
      <c r="D114" s="104" t="s">
        <v>531</v>
      </c>
      <c r="E114" s="105" t="s">
        <v>506</v>
      </c>
      <c r="F114" s="111" t="s">
        <v>159</v>
      </c>
      <c r="G114" s="111" t="s">
        <v>328</v>
      </c>
      <c r="H114" s="111" t="s">
        <v>109</v>
      </c>
      <c r="I114" s="92" t="s">
        <v>37</v>
      </c>
      <c r="J114" s="101" t="s">
        <v>161</v>
      </c>
      <c r="K114" s="135"/>
      <c r="L114" s="106" t="b">
        <v>0</v>
      </c>
      <c r="M114" s="106" t="b">
        <v>0</v>
      </c>
      <c r="N114" s="106" t="b">
        <v>0</v>
      </c>
      <c r="O114" s="95"/>
    </row>
    <row r="115" ht="18.75" customHeight="1">
      <c r="A115" s="141" t="s">
        <v>430</v>
      </c>
      <c r="B115" s="102" t="s">
        <v>465</v>
      </c>
      <c r="C115" s="103" t="s">
        <v>532</v>
      </c>
      <c r="D115" s="104" t="s">
        <v>533</v>
      </c>
      <c r="E115" s="105" t="s">
        <v>506</v>
      </c>
      <c r="F115" s="111" t="s">
        <v>159</v>
      </c>
      <c r="G115" s="111" t="s">
        <v>328</v>
      </c>
      <c r="H115" s="111" t="s">
        <v>109</v>
      </c>
      <c r="I115" s="92" t="s">
        <v>37</v>
      </c>
      <c r="J115" s="101" t="s">
        <v>161</v>
      </c>
      <c r="K115" s="135"/>
      <c r="L115" s="106" t="b">
        <v>0</v>
      </c>
      <c r="M115" s="106" t="b">
        <v>0</v>
      </c>
      <c r="N115" s="106" t="b">
        <v>0</v>
      </c>
      <c r="O115" s="95"/>
    </row>
    <row r="116" ht="18.75" customHeight="1">
      <c r="A116" s="141" t="s">
        <v>430</v>
      </c>
      <c r="B116" s="102" t="s">
        <v>465</v>
      </c>
      <c r="C116" s="103" t="s">
        <v>534</v>
      </c>
      <c r="D116" s="104" t="s">
        <v>535</v>
      </c>
      <c r="E116" s="105" t="s">
        <v>506</v>
      </c>
      <c r="F116" s="111" t="s">
        <v>159</v>
      </c>
      <c r="G116" s="111" t="s">
        <v>328</v>
      </c>
      <c r="H116" s="111" t="s">
        <v>109</v>
      </c>
      <c r="I116" s="92" t="s">
        <v>37</v>
      </c>
      <c r="J116" s="101" t="s">
        <v>161</v>
      </c>
      <c r="K116" s="135"/>
      <c r="L116" s="106" t="b">
        <v>0</v>
      </c>
      <c r="M116" s="106" t="b">
        <v>0</v>
      </c>
      <c r="N116" s="106" t="b">
        <v>0</v>
      </c>
      <c r="O116" s="95"/>
    </row>
    <row r="117" ht="18.75" customHeight="1">
      <c r="A117" s="141" t="s">
        <v>430</v>
      </c>
      <c r="B117" s="102" t="s">
        <v>465</v>
      </c>
      <c r="C117" s="103" t="s">
        <v>536</v>
      </c>
      <c r="D117" s="104" t="s">
        <v>537</v>
      </c>
      <c r="E117" s="105" t="s">
        <v>506</v>
      </c>
      <c r="F117" s="111" t="s">
        <v>159</v>
      </c>
      <c r="G117" s="111" t="s">
        <v>328</v>
      </c>
      <c r="H117" s="111" t="s">
        <v>109</v>
      </c>
      <c r="I117" s="92" t="s">
        <v>37</v>
      </c>
      <c r="J117" s="101" t="s">
        <v>161</v>
      </c>
      <c r="K117" s="135"/>
      <c r="L117" s="106" t="b">
        <v>0</v>
      </c>
      <c r="M117" s="106" t="b">
        <v>0</v>
      </c>
      <c r="N117" s="106" t="b">
        <v>0</v>
      </c>
      <c r="O117" s="95"/>
    </row>
    <row r="118" ht="18.75" customHeight="1">
      <c r="A118" s="141" t="s">
        <v>430</v>
      </c>
      <c r="B118" s="102" t="s">
        <v>465</v>
      </c>
      <c r="C118" s="103" t="s">
        <v>538</v>
      </c>
      <c r="D118" s="104" t="s">
        <v>539</v>
      </c>
      <c r="E118" s="105" t="s">
        <v>506</v>
      </c>
      <c r="F118" s="111" t="s">
        <v>159</v>
      </c>
      <c r="G118" s="111" t="s">
        <v>328</v>
      </c>
      <c r="H118" s="111" t="s">
        <v>109</v>
      </c>
      <c r="I118" s="92" t="s">
        <v>37</v>
      </c>
      <c r="J118" s="101" t="s">
        <v>161</v>
      </c>
      <c r="K118" s="135"/>
      <c r="L118" s="106" t="b">
        <v>0</v>
      </c>
      <c r="M118" s="106" t="b">
        <v>0</v>
      </c>
      <c r="N118" s="106" t="b">
        <v>0</v>
      </c>
      <c r="O118" s="95"/>
    </row>
    <row r="119" ht="18.75" customHeight="1">
      <c r="A119" s="141" t="s">
        <v>430</v>
      </c>
      <c r="B119" s="102" t="s">
        <v>465</v>
      </c>
      <c r="C119" s="103" t="s">
        <v>540</v>
      </c>
      <c r="D119" s="104" t="s">
        <v>541</v>
      </c>
      <c r="E119" s="105" t="s">
        <v>506</v>
      </c>
      <c r="F119" s="111" t="s">
        <v>159</v>
      </c>
      <c r="G119" s="111" t="s">
        <v>328</v>
      </c>
      <c r="H119" s="111" t="s">
        <v>109</v>
      </c>
      <c r="I119" s="92" t="s">
        <v>37</v>
      </c>
      <c r="J119" s="101" t="s">
        <v>161</v>
      </c>
      <c r="K119" s="135"/>
      <c r="L119" s="106" t="b">
        <v>0</v>
      </c>
      <c r="M119" s="106" t="b">
        <v>0</v>
      </c>
      <c r="N119" s="106" t="b">
        <v>0</v>
      </c>
      <c r="O119" s="95"/>
    </row>
    <row r="120" ht="18.75" customHeight="1">
      <c r="A120" s="141" t="s">
        <v>430</v>
      </c>
      <c r="B120" s="102" t="s">
        <v>465</v>
      </c>
      <c r="C120" s="103" t="s">
        <v>542</v>
      </c>
      <c r="D120" s="104" t="s">
        <v>543</v>
      </c>
      <c r="E120" s="105" t="s">
        <v>506</v>
      </c>
      <c r="F120" s="111" t="s">
        <v>159</v>
      </c>
      <c r="G120" s="111" t="s">
        <v>328</v>
      </c>
      <c r="H120" s="111" t="s">
        <v>109</v>
      </c>
      <c r="I120" s="92" t="s">
        <v>37</v>
      </c>
      <c r="J120" s="101" t="s">
        <v>161</v>
      </c>
      <c r="K120" s="135"/>
      <c r="L120" s="106" t="b">
        <v>0</v>
      </c>
      <c r="M120" s="106" t="b">
        <v>0</v>
      </c>
      <c r="N120" s="106" t="b">
        <v>0</v>
      </c>
      <c r="O120" s="95"/>
    </row>
    <row r="121" ht="18.75" customHeight="1">
      <c r="A121" s="141" t="s">
        <v>430</v>
      </c>
      <c r="B121" s="102" t="s">
        <v>465</v>
      </c>
      <c r="C121" s="103" t="s">
        <v>544</v>
      </c>
      <c r="D121" s="104" t="s">
        <v>545</v>
      </c>
      <c r="E121" s="105" t="s">
        <v>506</v>
      </c>
      <c r="F121" s="111" t="s">
        <v>159</v>
      </c>
      <c r="G121" s="111" t="s">
        <v>328</v>
      </c>
      <c r="H121" s="111" t="s">
        <v>109</v>
      </c>
      <c r="I121" s="92" t="s">
        <v>37</v>
      </c>
      <c r="J121" s="101" t="s">
        <v>161</v>
      </c>
      <c r="K121" s="135"/>
      <c r="L121" s="106" t="b">
        <v>0</v>
      </c>
      <c r="M121" s="106" t="b">
        <v>0</v>
      </c>
      <c r="N121" s="106" t="b">
        <v>0</v>
      </c>
      <c r="O121" s="95"/>
    </row>
    <row r="122" ht="18.75" customHeight="1">
      <c r="A122" s="141" t="s">
        <v>430</v>
      </c>
      <c r="B122" s="102" t="s">
        <v>465</v>
      </c>
      <c r="C122" s="103" t="s">
        <v>546</v>
      </c>
      <c r="D122" s="104" t="s">
        <v>547</v>
      </c>
      <c r="E122" s="105" t="s">
        <v>548</v>
      </c>
      <c r="F122" s="106" t="s">
        <v>107</v>
      </c>
      <c r="G122" s="106" t="s">
        <v>328</v>
      </c>
      <c r="H122" s="106" t="s">
        <v>109</v>
      </c>
      <c r="I122" s="92" t="s">
        <v>37</v>
      </c>
      <c r="J122" s="101" t="s">
        <v>161</v>
      </c>
      <c r="K122" s="135"/>
      <c r="L122" s="106" t="b">
        <v>0</v>
      </c>
      <c r="M122" s="106" t="b">
        <v>0</v>
      </c>
      <c r="N122" s="106" t="b">
        <v>0</v>
      </c>
      <c r="O122" s="95" t="s">
        <v>161</v>
      </c>
    </row>
    <row r="123" ht="18.75" customHeight="1">
      <c r="A123" s="141" t="s">
        <v>430</v>
      </c>
      <c r="B123" s="102" t="s">
        <v>465</v>
      </c>
      <c r="C123" s="103" t="s">
        <v>549</v>
      </c>
      <c r="D123" s="104" t="s">
        <v>550</v>
      </c>
      <c r="E123" s="105" t="s">
        <v>548</v>
      </c>
      <c r="F123" s="106" t="s">
        <v>107</v>
      </c>
      <c r="G123" s="106" t="s">
        <v>328</v>
      </c>
      <c r="H123" s="106" t="s">
        <v>109</v>
      </c>
      <c r="I123" s="92" t="s">
        <v>37</v>
      </c>
      <c r="J123" s="101" t="s">
        <v>519</v>
      </c>
      <c r="K123" s="135"/>
      <c r="L123" s="106" t="b">
        <v>0</v>
      </c>
      <c r="M123" s="106" t="b">
        <v>0</v>
      </c>
      <c r="N123" s="106" t="b">
        <v>0</v>
      </c>
      <c r="O123" s="95"/>
    </row>
    <row r="124" ht="18.75" customHeight="1">
      <c r="A124" s="141" t="s">
        <v>430</v>
      </c>
      <c r="B124" s="102" t="s">
        <v>465</v>
      </c>
      <c r="C124" s="103" t="s">
        <v>551</v>
      </c>
      <c r="D124" s="104" t="s">
        <v>552</v>
      </c>
      <c r="E124" s="105" t="s">
        <v>548</v>
      </c>
      <c r="F124" s="106" t="s">
        <v>107</v>
      </c>
      <c r="G124" s="106" t="s">
        <v>328</v>
      </c>
      <c r="H124" s="106" t="s">
        <v>109</v>
      </c>
      <c r="I124" s="92" t="s">
        <v>37</v>
      </c>
      <c r="J124" s="101" t="s">
        <v>519</v>
      </c>
      <c r="K124" s="135"/>
      <c r="L124" s="106" t="b">
        <v>0</v>
      </c>
      <c r="M124" s="106" t="b">
        <v>0</v>
      </c>
      <c r="N124" s="106" t="b">
        <v>0</v>
      </c>
      <c r="O124" s="95"/>
    </row>
    <row r="125" ht="18.75" customHeight="1">
      <c r="A125" s="141" t="s">
        <v>430</v>
      </c>
      <c r="B125" s="102" t="s">
        <v>465</v>
      </c>
      <c r="C125" s="103" t="s">
        <v>553</v>
      </c>
      <c r="D125" s="104" t="s">
        <v>554</v>
      </c>
      <c r="E125" s="105" t="s">
        <v>548</v>
      </c>
      <c r="F125" s="106" t="s">
        <v>107</v>
      </c>
      <c r="G125" s="106" t="s">
        <v>328</v>
      </c>
      <c r="H125" s="106" t="s">
        <v>109</v>
      </c>
      <c r="I125" s="92" t="s">
        <v>37</v>
      </c>
      <c r="J125" s="101" t="s">
        <v>519</v>
      </c>
      <c r="K125" s="135"/>
      <c r="L125" s="106" t="b">
        <v>0</v>
      </c>
      <c r="M125" s="106" t="b">
        <v>0</v>
      </c>
      <c r="N125" s="106" t="b">
        <v>0</v>
      </c>
      <c r="O125" s="95"/>
    </row>
    <row r="126" ht="18.75" customHeight="1">
      <c r="A126" s="141" t="s">
        <v>430</v>
      </c>
      <c r="B126" s="102" t="s">
        <v>465</v>
      </c>
      <c r="C126" s="103" t="s">
        <v>555</v>
      </c>
      <c r="D126" s="104" t="s">
        <v>556</v>
      </c>
      <c r="E126" s="105" t="s">
        <v>548</v>
      </c>
      <c r="F126" s="106" t="s">
        <v>107</v>
      </c>
      <c r="G126" s="106" t="s">
        <v>328</v>
      </c>
      <c r="H126" s="106" t="s">
        <v>109</v>
      </c>
      <c r="I126" s="92" t="s">
        <v>37</v>
      </c>
      <c r="J126" s="101" t="s">
        <v>161</v>
      </c>
      <c r="K126" s="135"/>
      <c r="L126" s="106" t="b">
        <v>0</v>
      </c>
      <c r="M126" s="106" t="b">
        <v>0</v>
      </c>
      <c r="N126" s="106" t="b">
        <v>0</v>
      </c>
      <c r="O126" s="95" t="s">
        <v>161</v>
      </c>
    </row>
    <row r="127" ht="18.75" customHeight="1">
      <c r="A127" s="141" t="s">
        <v>430</v>
      </c>
      <c r="B127" s="102" t="s">
        <v>465</v>
      </c>
      <c r="C127" s="103" t="s">
        <v>557</v>
      </c>
      <c r="D127" s="104" t="s">
        <v>558</v>
      </c>
      <c r="E127" s="105" t="s">
        <v>548</v>
      </c>
      <c r="F127" s="106" t="s">
        <v>107</v>
      </c>
      <c r="G127" s="106" t="s">
        <v>328</v>
      </c>
      <c r="H127" s="106" t="s">
        <v>109</v>
      </c>
      <c r="I127" s="92" t="s">
        <v>37</v>
      </c>
      <c r="J127" s="101" t="s">
        <v>161</v>
      </c>
      <c r="K127" s="135"/>
      <c r="L127" s="106" t="b">
        <v>0</v>
      </c>
      <c r="M127" s="106" t="b">
        <v>0</v>
      </c>
      <c r="N127" s="106" t="b">
        <v>0</v>
      </c>
      <c r="O127" s="95" t="s">
        <v>161</v>
      </c>
    </row>
    <row r="128" ht="18.75" customHeight="1">
      <c r="A128" s="141" t="s">
        <v>430</v>
      </c>
      <c r="B128" s="102" t="s">
        <v>465</v>
      </c>
      <c r="C128" s="103" t="s">
        <v>559</v>
      </c>
      <c r="D128" s="104" t="s">
        <v>560</v>
      </c>
      <c r="E128" s="105" t="s">
        <v>548</v>
      </c>
      <c r="F128" s="106" t="s">
        <v>107</v>
      </c>
      <c r="G128" s="106" t="s">
        <v>328</v>
      </c>
      <c r="H128" s="106" t="s">
        <v>109</v>
      </c>
      <c r="I128" s="92" t="s">
        <v>37</v>
      </c>
      <c r="J128" s="101" t="s">
        <v>161</v>
      </c>
      <c r="K128" s="135"/>
      <c r="L128" s="106" t="b">
        <v>0</v>
      </c>
      <c r="M128" s="106" t="b">
        <v>0</v>
      </c>
      <c r="N128" s="106" t="b">
        <v>0</v>
      </c>
      <c r="O128" s="95" t="s">
        <v>161</v>
      </c>
    </row>
    <row r="129" ht="18.75" customHeight="1">
      <c r="A129" s="141" t="s">
        <v>430</v>
      </c>
      <c r="B129" s="102" t="s">
        <v>465</v>
      </c>
      <c r="C129" s="103" t="s">
        <v>561</v>
      </c>
      <c r="D129" s="104" t="s">
        <v>562</v>
      </c>
      <c r="E129" s="105" t="s">
        <v>548</v>
      </c>
      <c r="F129" s="106" t="s">
        <v>107</v>
      </c>
      <c r="G129" s="106" t="s">
        <v>328</v>
      </c>
      <c r="H129" s="106" t="s">
        <v>109</v>
      </c>
      <c r="I129" s="92" t="s">
        <v>37</v>
      </c>
      <c r="J129" s="101" t="s">
        <v>161</v>
      </c>
      <c r="K129" s="135"/>
      <c r="L129" s="106" t="b">
        <v>0</v>
      </c>
      <c r="M129" s="106" t="b">
        <v>0</v>
      </c>
      <c r="N129" s="106" t="b">
        <v>0</v>
      </c>
      <c r="O129" s="95" t="s">
        <v>161</v>
      </c>
    </row>
    <row r="130" ht="18.75" customHeight="1">
      <c r="A130" s="141" t="s">
        <v>430</v>
      </c>
      <c r="B130" s="102" t="s">
        <v>465</v>
      </c>
      <c r="C130" s="103" t="s">
        <v>563</v>
      </c>
      <c r="D130" s="104" t="s">
        <v>564</v>
      </c>
      <c r="E130" s="105" t="s">
        <v>548</v>
      </c>
      <c r="F130" s="106" t="s">
        <v>107</v>
      </c>
      <c r="G130" s="106" t="s">
        <v>328</v>
      </c>
      <c r="H130" s="106" t="s">
        <v>109</v>
      </c>
      <c r="I130" s="92" t="s">
        <v>37</v>
      </c>
      <c r="J130" s="101" t="s">
        <v>161</v>
      </c>
      <c r="K130" s="135"/>
      <c r="L130" s="106" t="b">
        <v>0</v>
      </c>
      <c r="M130" s="106" t="b">
        <v>0</v>
      </c>
      <c r="N130" s="106" t="b">
        <v>0</v>
      </c>
      <c r="O130" s="95" t="s">
        <v>161</v>
      </c>
    </row>
    <row r="131" ht="18.75" customHeight="1">
      <c r="A131" s="141" t="s">
        <v>430</v>
      </c>
      <c r="B131" s="102" t="s">
        <v>465</v>
      </c>
      <c r="C131" s="103" t="s">
        <v>565</v>
      </c>
      <c r="D131" s="104" t="s">
        <v>566</v>
      </c>
      <c r="E131" s="105" t="s">
        <v>548</v>
      </c>
      <c r="F131" s="106" t="s">
        <v>107</v>
      </c>
      <c r="G131" s="106" t="s">
        <v>328</v>
      </c>
      <c r="H131" s="106" t="s">
        <v>109</v>
      </c>
      <c r="I131" s="92" t="s">
        <v>37</v>
      </c>
      <c r="J131" s="101" t="s">
        <v>161</v>
      </c>
      <c r="K131" s="135"/>
      <c r="L131" s="106" t="b">
        <v>0</v>
      </c>
      <c r="M131" s="106" t="b">
        <v>0</v>
      </c>
      <c r="N131" s="106" t="b">
        <v>0</v>
      </c>
      <c r="O131" s="95" t="s">
        <v>161</v>
      </c>
    </row>
    <row r="132" ht="18.75" customHeight="1">
      <c r="A132" s="141" t="s">
        <v>430</v>
      </c>
      <c r="B132" s="102" t="s">
        <v>465</v>
      </c>
      <c r="C132" s="103" t="s">
        <v>567</v>
      </c>
      <c r="D132" s="104" t="s">
        <v>568</v>
      </c>
      <c r="E132" s="105" t="s">
        <v>548</v>
      </c>
      <c r="F132" s="106" t="s">
        <v>107</v>
      </c>
      <c r="G132" s="106" t="s">
        <v>328</v>
      </c>
      <c r="H132" s="106" t="s">
        <v>109</v>
      </c>
      <c r="I132" s="92" t="s">
        <v>37</v>
      </c>
      <c r="J132" s="101" t="s">
        <v>161</v>
      </c>
      <c r="K132" s="135"/>
      <c r="L132" s="106" t="b">
        <v>0</v>
      </c>
      <c r="M132" s="106" t="b">
        <v>0</v>
      </c>
      <c r="N132" s="106" t="b">
        <v>0</v>
      </c>
      <c r="O132" s="95" t="s">
        <v>161</v>
      </c>
    </row>
    <row r="133" ht="18.75" customHeight="1">
      <c r="A133" s="141" t="s">
        <v>430</v>
      </c>
      <c r="B133" s="102" t="s">
        <v>465</v>
      </c>
      <c r="C133" s="103" t="s">
        <v>569</v>
      </c>
      <c r="D133" s="104" t="s">
        <v>570</v>
      </c>
      <c r="E133" s="105" t="s">
        <v>548</v>
      </c>
      <c r="F133" s="106" t="s">
        <v>107</v>
      </c>
      <c r="G133" s="106" t="s">
        <v>328</v>
      </c>
      <c r="H133" s="106" t="s">
        <v>109</v>
      </c>
      <c r="I133" s="92" t="s">
        <v>37</v>
      </c>
      <c r="J133" s="101" t="s">
        <v>161</v>
      </c>
      <c r="K133" s="135"/>
      <c r="L133" s="106" t="b">
        <v>0</v>
      </c>
      <c r="M133" s="106" t="b">
        <v>0</v>
      </c>
      <c r="N133" s="106" t="b">
        <v>0</v>
      </c>
      <c r="O133" s="95" t="s">
        <v>161</v>
      </c>
    </row>
    <row r="134" ht="18.75" customHeight="1">
      <c r="A134" s="141" t="s">
        <v>430</v>
      </c>
      <c r="B134" s="102" t="s">
        <v>465</v>
      </c>
      <c r="C134" s="103" t="s">
        <v>571</v>
      </c>
      <c r="D134" s="104" t="s">
        <v>572</v>
      </c>
      <c r="E134" s="105" t="s">
        <v>548</v>
      </c>
      <c r="F134" s="106" t="s">
        <v>107</v>
      </c>
      <c r="G134" s="106" t="s">
        <v>328</v>
      </c>
      <c r="H134" s="106" t="s">
        <v>109</v>
      </c>
      <c r="I134" s="92" t="s">
        <v>37</v>
      </c>
      <c r="J134" s="101" t="s">
        <v>161</v>
      </c>
      <c r="K134" s="135"/>
      <c r="L134" s="106" t="b">
        <v>0</v>
      </c>
      <c r="M134" s="106" t="b">
        <v>0</v>
      </c>
      <c r="N134" s="106" t="b">
        <v>0</v>
      </c>
      <c r="O134" s="95" t="s">
        <v>161</v>
      </c>
    </row>
    <row r="135" ht="18.75" customHeight="1">
      <c r="A135" s="141" t="s">
        <v>430</v>
      </c>
      <c r="B135" s="102" t="s">
        <v>465</v>
      </c>
      <c r="C135" s="103" t="s">
        <v>573</v>
      </c>
      <c r="D135" s="104" t="s">
        <v>574</v>
      </c>
      <c r="E135" s="105" t="s">
        <v>548</v>
      </c>
      <c r="F135" s="106" t="s">
        <v>107</v>
      </c>
      <c r="G135" s="106" t="s">
        <v>328</v>
      </c>
      <c r="H135" s="106" t="s">
        <v>109</v>
      </c>
      <c r="I135" s="92" t="s">
        <v>37</v>
      </c>
      <c r="J135" s="101" t="s">
        <v>161</v>
      </c>
      <c r="K135" s="135"/>
      <c r="L135" s="106" t="b">
        <v>0</v>
      </c>
      <c r="M135" s="106" t="b">
        <v>0</v>
      </c>
      <c r="N135" s="106" t="b">
        <v>0</v>
      </c>
      <c r="O135" s="95" t="s">
        <v>161</v>
      </c>
    </row>
    <row r="136" ht="18.75" customHeight="1">
      <c r="A136" s="141" t="s">
        <v>430</v>
      </c>
      <c r="B136" s="102" t="s">
        <v>465</v>
      </c>
      <c r="C136" s="103" t="s">
        <v>575</v>
      </c>
      <c r="D136" s="104" t="s">
        <v>576</v>
      </c>
      <c r="E136" s="105" t="s">
        <v>548</v>
      </c>
      <c r="F136" s="106" t="s">
        <v>107</v>
      </c>
      <c r="G136" s="106" t="s">
        <v>328</v>
      </c>
      <c r="H136" s="106" t="s">
        <v>109</v>
      </c>
      <c r="I136" s="92" t="s">
        <v>37</v>
      </c>
      <c r="J136" s="101" t="s">
        <v>161</v>
      </c>
      <c r="K136" s="135"/>
      <c r="L136" s="106" t="b">
        <v>0</v>
      </c>
      <c r="M136" s="106" t="b">
        <v>0</v>
      </c>
      <c r="N136" s="106" t="b">
        <v>0</v>
      </c>
      <c r="O136" s="95" t="s">
        <v>161</v>
      </c>
    </row>
    <row r="137" ht="18.75" customHeight="1">
      <c r="A137" s="141" t="s">
        <v>430</v>
      </c>
      <c r="B137" s="102" t="s">
        <v>465</v>
      </c>
      <c r="C137" s="103" t="s">
        <v>577</v>
      </c>
      <c r="D137" s="104" t="s">
        <v>578</v>
      </c>
      <c r="E137" s="105" t="s">
        <v>548</v>
      </c>
      <c r="F137" s="106" t="s">
        <v>107</v>
      </c>
      <c r="G137" s="106" t="s">
        <v>328</v>
      </c>
      <c r="H137" s="106" t="s">
        <v>109</v>
      </c>
      <c r="I137" s="92" t="s">
        <v>37</v>
      </c>
      <c r="J137" s="101" t="s">
        <v>161</v>
      </c>
      <c r="K137" s="135"/>
      <c r="L137" s="106" t="b">
        <v>0</v>
      </c>
      <c r="M137" s="106" t="b">
        <v>0</v>
      </c>
      <c r="N137" s="106" t="b">
        <v>0</v>
      </c>
      <c r="O137" s="95" t="s">
        <v>161</v>
      </c>
    </row>
    <row r="138" ht="18.75" customHeight="1">
      <c r="A138" s="141" t="s">
        <v>430</v>
      </c>
      <c r="B138" s="102" t="s">
        <v>465</v>
      </c>
      <c r="C138" s="103" t="s">
        <v>579</v>
      </c>
      <c r="D138" s="104" t="s">
        <v>580</v>
      </c>
      <c r="E138" s="105" t="s">
        <v>548</v>
      </c>
      <c r="F138" s="106" t="s">
        <v>107</v>
      </c>
      <c r="G138" s="106" t="s">
        <v>328</v>
      </c>
      <c r="H138" s="106" t="s">
        <v>109</v>
      </c>
      <c r="I138" s="92" t="s">
        <v>37</v>
      </c>
      <c r="J138" s="101" t="s">
        <v>161</v>
      </c>
      <c r="K138" s="135"/>
      <c r="L138" s="106" t="b">
        <v>0</v>
      </c>
      <c r="M138" s="106" t="b">
        <v>0</v>
      </c>
      <c r="N138" s="106" t="b">
        <v>0</v>
      </c>
      <c r="O138" s="95" t="s">
        <v>161</v>
      </c>
    </row>
    <row r="139" ht="18.75" customHeight="1">
      <c r="A139" s="141" t="s">
        <v>430</v>
      </c>
      <c r="B139" s="102" t="s">
        <v>465</v>
      </c>
      <c r="C139" s="103" t="s">
        <v>581</v>
      </c>
      <c r="D139" s="152" t="s">
        <v>582</v>
      </c>
      <c r="E139" s="105" t="s">
        <v>548</v>
      </c>
      <c r="F139" s="106" t="s">
        <v>107</v>
      </c>
      <c r="G139" s="106" t="s">
        <v>328</v>
      </c>
      <c r="H139" s="106" t="s">
        <v>109</v>
      </c>
      <c r="I139" s="92" t="s">
        <v>37</v>
      </c>
      <c r="J139" s="101" t="s">
        <v>161</v>
      </c>
      <c r="K139" s="135"/>
      <c r="L139" s="106" t="b">
        <v>0</v>
      </c>
      <c r="M139" s="106" t="b">
        <v>0</v>
      </c>
      <c r="N139" s="106" t="b">
        <v>0</v>
      </c>
      <c r="O139" s="95" t="s">
        <v>161</v>
      </c>
    </row>
    <row r="140" ht="18.75" customHeight="1">
      <c r="A140" s="141" t="s">
        <v>430</v>
      </c>
      <c r="B140" s="102" t="s">
        <v>465</v>
      </c>
      <c r="C140" s="103" t="s">
        <v>583</v>
      </c>
      <c r="D140" s="152" t="s">
        <v>584</v>
      </c>
      <c r="E140" s="105" t="s">
        <v>548</v>
      </c>
      <c r="F140" s="106" t="s">
        <v>107</v>
      </c>
      <c r="G140" s="106" t="s">
        <v>328</v>
      </c>
      <c r="H140" s="106" t="s">
        <v>109</v>
      </c>
      <c r="I140" s="92" t="s">
        <v>37</v>
      </c>
      <c r="J140" s="101" t="s">
        <v>161</v>
      </c>
      <c r="K140" s="135"/>
      <c r="L140" s="106" t="b">
        <v>0</v>
      </c>
      <c r="M140" s="106" t="b">
        <v>0</v>
      </c>
      <c r="N140" s="106" t="b">
        <v>0</v>
      </c>
      <c r="O140" s="95" t="s">
        <v>161</v>
      </c>
    </row>
    <row r="141" ht="18.75" customHeight="1">
      <c r="A141" s="141" t="s">
        <v>430</v>
      </c>
      <c r="B141" s="102" t="s">
        <v>465</v>
      </c>
      <c r="C141" s="103" t="s">
        <v>585</v>
      </c>
      <c r="D141" s="152" t="s">
        <v>586</v>
      </c>
      <c r="E141" s="105" t="s">
        <v>548</v>
      </c>
      <c r="F141" s="106" t="s">
        <v>107</v>
      </c>
      <c r="G141" s="106" t="s">
        <v>328</v>
      </c>
      <c r="H141" s="106" t="s">
        <v>109</v>
      </c>
      <c r="I141" s="92" t="s">
        <v>37</v>
      </c>
      <c r="J141" s="101" t="s">
        <v>161</v>
      </c>
      <c r="K141" s="135"/>
      <c r="L141" s="106" t="b">
        <v>0</v>
      </c>
      <c r="M141" s="106" t="b">
        <v>0</v>
      </c>
      <c r="N141" s="106" t="b">
        <v>0</v>
      </c>
      <c r="O141" s="95" t="s">
        <v>161</v>
      </c>
    </row>
    <row r="142">
      <c r="A142" s="153"/>
      <c r="B142" s="153"/>
      <c r="C142" s="154"/>
      <c r="D142" s="155"/>
      <c r="E142" s="153"/>
      <c r="F142" s="155"/>
      <c r="G142" s="155"/>
      <c r="H142" s="155"/>
      <c r="I142" s="153"/>
      <c r="J142" s="153"/>
      <c r="K142" s="153"/>
      <c r="L142" s="155"/>
      <c r="M142" s="155"/>
      <c r="N142" s="155"/>
      <c r="O142" s="156"/>
    </row>
    <row r="143">
      <c r="A143" s="153"/>
      <c r="B143" s="153"/>
      <c r="C143" s="157"/>
      <c r="D143" s="155"/>
      <c r="E143" s="153"/>
      <c r="F143" s="155"/>
      <c r="G143" s="155"/>
      <c r="H143" s="155"/>
      <c r="I143" s="153"/>
      <c r="J143" s="153"/>
      <c r="K143" s="153"/>
      <c r="L143" s="155"/>
      <c r="M143" s="155"/>
      <c r="N143" s="155"/>
      <c r="O143" s="156"/>
    </row>
    <row r="144">
      <c r="A144" s="153"/>
      <c r="B144" s="153"/>
      <c r="C144" s="157"/>
      <c r="D144" s="155"/>
      <c r="E144" s="153"/>
      <c r="F144" s="155"/>
      <c r="G144" s="155"/>
      <c r="H144" s="155"/>
      <c r="I144" s="153"/>
      <c r="J144" s="153"/>
      <c r="K144" s="153"/>
      <c r="L144" s="155"/>
      <c r="M144" s="155"/>
      <c r="N144" s="155"/>
      <c r="O144" s="156"/>
    </row>
    <row r="145">
      <c r="A145" s="153"/>
      <c r="B145" s="153"/>
      <c r="C145" s="154"/>
      <c r="D145" s="155"/>
      <c r="E145" s="153"/>
      <c r="F145" s="155"/>
      <c r="G145" s="155"/>
      <c r="H145" s="155"/>
      <c r="I145" s="153"/>
      <c r="J145" s="153"/>
      <c r="K145" s="153"/>
      <c r="L145" s="155"/>
      <c r="M145" s="155"/>
      <c r="N145" s="155"/>
      <c r="O145" s="156"/>
    </row>
    <row r="146">
      <c r="A146" s="153"/>
      <c r="B146" s="153"/>
      <c r="C146" s="154"/>
      <c r="D146" s="155"/>
      <c r="E146" s="153"/>
      <c r="F146" s="155"/>
      <c r="G146" s="155"/>
      <c r="H146" s="155"/>
      <c r="I146" s="153"/>
      <c r="J146" s="153"/>
      <c r="K146" s="153"/>
      <c r="L146" s="155"/>
      <c r="M146" s="155"/>
      <c r="N146" s="155"/>
      <c r="O146" s="156"/>
    </row>
    <row r="147">
      <c r="A147" s="153"/>
      <c r="B147" s="153"/>
      <c r="C147" s="154"/>
      <c r="D147" s="155"/>
      <c r="E147" s="153"/>
      <c r="F147" s="155"/>
      <c r="G147" s="155"/>
      <c r="H147" s="155"/>
      <c r="I147" s="153"/>
      <c r="J147" s="153"/>
      <c r="K147" s="153"/>
      <c r="L147" s="155"/>
      <c r="M147" s="155"/>
      <c r="N147" s="155"/>
      <c r="O147" s="156"/>
    </row>
    <row r="148">
      <c r="A148" s="153"/>
      <c r="B148" s="153"/>
      <c r="C148" s="154"/>
      <c r="D148" s="155"/>
      <c r="E148" s="153"/>
      <c r="F148" s="155"/>
      <c r="G148" s="155"/>
      <c r="H148" s="155"/>
      <c r="I148" s="153"/>
      <c r="J148" s="153"/>
      <c r="K148" s="153"/>
      <c r="L148" s="155"/>
      <c r="M148" s="155"/>
      <c r="N148" s="155"/>
      <c r="O148" s="156"/>
    </row>
    <row r="149">
      <c r="A149" s="153"/>
      <c r="B149" s="153"/>
      <c r="C149" s="154"/>
      <c r="D149" s="155"/>
      <c r="E149" s="153"/>
      <c r="F149" s="155"/>
      <c r="G149" s="155"/>
      <c r="H149" s="155"/>
      <c r="I149" s="153"/>
      <c r="J149" s="153"/>
      <c r="K149" s="153"/>
      <c r="L149" s="155"/>
      <c r="M149" s="155"/>
      <c r="N149" s="155"/>
      <c r="O149" s="156"/>
    </row>
    <row r="150">
      <c r="A150" s="153"/>
      <c r="B150" s="153"/>
      <c r="C150" s="154"/>
      <c r="D150" s="155"/>
      <c r="E150" s="153"/>
      <c r="F150" s="155"/>
      <c r="G150" s="155"/>
      <c r="H150" s="155"/>
      <c r="I150" s="153"/>
      <c r="J150" s="153"/>
      <c r="K150" s="153"/>
      <c r="L150" s="155"/>
      <c r="M150" s="155"/>
      <c r="N150" s="155"/>
      <c r="O150" s="156"/>
    </row>
    <row r="151">
      <c r="A151" s="153"/>
      <c r="B151" s="153"/>
      <c r="C151" s="154"/>
      <c r="D151" s="155"/>
      <c r="E151" s="153"/>
      <c r="F151" s="155"/>
      <c r="G151" s="155"/>
      <c r="H151" s="155"/>
      <c r="I151" s="153"/>
      <c r="J151" s="153"/>
      <c r="K151" s="153"/>
      <c r="L151" s="155"/>
      <c r="M151" s="155"/>
      <c r="N151" s="155"/>
      <c r="O151" s="156"/>
    </row>
    <row r="152">
      <c r="A152" s="153"/>
      <c r="B152" s="153"/>
      <c r="C152" s="154"/>
      <c r="D152" s="155"/>
      <c r="E152" s="153"/>
      <c r="F152" s="155"/>
      <c r="G152" s="155"/>
      <c r="H152" s="155"/>
      <c r="I152" s="153"/>
      <c r="J152" s="153"/>
      <c r="K152" s="153"/>
      <c r="L152" s="155"/>
      <c r="M152" s="155"/>
      <c r="N152" s="155"/>
      <c r="O152" s="156"/>
    </row>
    <row r="153">
      <c r="A153" s="153"/>
      <c r="B153" s="153"/>
      <c r="C153" s="154"/>
      <c r="D153" s="155"/>
      <c r="E153" s="153"/>
      <c r="F153" s="155"/>
      <c r="G153" s="155"/>
      <c r="H153" s="155"/>
      <c r="I153" s="153"/>
      <c r="J153" s="153"/>
      <c r="K153" s="153"/>
      <c r="L153" s="155"/>
      <c r="M153" s="155"/>
      <c r="N153" s="155"/>
      <c r="O153" s="156"/>
    </row>
    <row r="154">
      <c r="A154" s="153"/>
      <c r="B154" s="153"/>
      <c r="C154" s="154"/>
      <c r="D154" s="155"/>
      <c r="E154" s="153"/>
      <c r="F154" s="155"/>
      <c r="G154" s="155"/>
      <c r="H154" s="155"/>
      <c r="I154" s="153"/>
      <c r="J154" s="153"/>
      <c r="K154" s="153"/>
      <c r="L154" s="155"/>
      <c r="M154" s="155"/>
      <c r="N154" s="155"/>
      <c r="O154" s="156"/>
    </row>
    <row r="155">
      <c r="A155" s="153"/>
      <c r="B155" s="153"/>
      <c r="C155" s="154"/>
      <c r="D155" s="155"/>
      <c r="E155" s="153"/>
      <c r="F155" s="155"/>
      <c r="G155" s="155"/>
      <c r="H155" s="155"/>
      <c r="I155" s="153"/>
      <c r="J155" s="153"/>
      <c r="K155" s="153"/>
      <c r="L155" s="155"/>
      <c r="M155" s="155"/>
      <c r="N155" s="155"/>
      <c r="O155" s="158"/>
    </row>
    <row r="156">
      <c r="A156" s="153"/>
      <c r="B156" s="153"/>
      <c r="C156" s="154"/>
      <c r="D156" s="155"/>
      <c r="E156" s="153"/>
      <c r="F156" s="155"/>
      <c r="G156" s="155"/>
      <c r="H156" s="155"/>
      <c r="I156" s="153"/>
      <c r="J156" s="153"/>
      <c r="K156" s="153"/>
      <c r="L156" s="155"/>
      <c r="M156" s="155"/>
      <c r="N156" s="155"/>
      <c r="O156" s="158"/>
    </row>
    <row r="157">
      <c r="A157" s="153"/>
      <c r="B157" s="153"/>
      <c r="C157" s="154"/>
      <c r="D157" s="155"/>
      <c r="E157" s="153"/>
      <c r="F157" s="155"/>
      <c r="G157" s="155"/>
      <c r="H157" s="155"/>
      <c r="I157" s="153"/>
      <c r="J157" s="153"/>
      <c r="K157" s="153"/>
      <c r="L157" s="155"/>
      <c r="M157" s="155"/>
      <c r="N157" s="155"/>
      <c r="O157" s="158"/>
    </row>
    <row r="158">
      <c r="A158" s="153"/>
      <c r="B158" s="153"/>
      <c r="C158" s="154"/>
      <c r="D158" s="155"/>
      <c r="E158" s="153"/>
      <c r="F158" s="155"/>
      <c r="G158" s="155"/>
      <c r="H158" s="155"/>
      <c r="I158" s="153"/>
      <c r="J158" s="153"/>
      <c r="K158" s="153"/>
      <c r="L158" s="155"/>
      <c r="M158" s="155"/>
      <c r="N158" s="155"/>
      <c r="O158" s="158"/>
    </row>
    <row r="159">
      <c r="A159" s="153"/>
      <c r="B159" s="153"/>
      <c r="C159" s="154"/>
      <c r="D159" s="155"/>
      <c r="E159" s="153"/>
      <c r="F159" s="155"/>
      <c r="G159" s="155"/>
      <c r="H159" s="155"/>
      <c r="I159" s="153"/>
      <c r="J159" s="153"/>
      <c r="K159" s="153"/>
      <c r="L159" s="155"/>
      <c r="M159" s="155"/>
      <c r="N159" s="155"/>
      <c r="O159" s="158"/>
    </row>
    <row r="160">
      <c r="A160" s="153"/>
      <c r="B160" s="153"/>
      <c r="C160" s="154"/>
      <c r="D160" s="155"/>
      <c r="E160" s="153"/>
      <c r="F160" s="155"/>
      <c r="G160" s="155"/>
      <c r="H160" s="155"/>
      <c r="I160" s="153"/>
      <c r="J160" s="153"/>
      <c r="K160" s="153"/>
      <c r="L160" s="155"/>
      <c r="M160" s="155"/>
      <c r="N160" s="155"/>
      <c r="O160" s="158"/>
    </row>
    <row r="161">
      <c r="A161" s="153"/>
      <c r="B161" s="153"/>
      <c r="C161" s="154"/>
      <c r="D161" s="155"/>
      <c r="E161" s="153"/>
      <c r="F161" s="155"/>
      <c r="G161" s="155"/>
      <c r="H161" s="155"/>
      <c r="I161" s="153"/>
      <c r="J161" s="153"/>
      <c r="K161" s="153"/>
      <c r="L161" s="155"/>
      <c r="M161" s="155"/>
      <c r="N161" s="155"/>
      <c r="O161" s="158"/>
    </row>
    <row r="162">
      <c r="A162" s="153"/>
      <c r="B162" s="153"/>
      <c r="C162" s="154"/>
      <c r="D162" s="155"/>
      <c r="E162" s="153"/>
      <c r="F162" s="155"/>
      <c r="G162" s="155"/>
      <c r="H162" s="155"/>
      <c r="I162" s="153"/>
      <c r="J162" s="153"/>
      <c r="K162" s="153"/>
      <c r="L162" s="155"/>
      <c r="M162" s="155"/>
      <c r="N162" s="155"/>
      <c r="O162" s="158"/>
    </row>
    <row r="163">
      <c r="A163" s="153"/>
      <c r="B163" s="153"/>
      <c r="C163" s="154"/>
      <c r="D163" s="155"/>
      <c r="E163" s="153"/>
      <c r="F163" s="155"/>
      <c r="G163" s="155"/>
      <c r="H163" s="155"/>
      <c r="I163" s="153"/>
      <c r="J163" s="153"/>
      <c r="K163" s="153"/>
      <c r="L163" s="155"/>
      <c r="M163" s="155"/>
      <c r="N163" s="155"/>
      <c r="O163" s="158"/>
    </row>
    <row r="164">
      <c r="A164" s="153"/>
      <c r="B164" s="153"/>
      <c r="C164" s="154"/>
      <c r="D164" s="155"/>
      <c r="E164" s="153"/>
      <c r="F164" s="155"/>
      <c r="G164" s="155"/>
      <c r="H164" s="155"/>
      <c r="I164" s="153"/>
      <c r="J164" s="153"/>
      <c r="K164" s="153"/>
      <c r="L164" s="155"/>
      <c r="M164" s="155"/>
      <c r="N164" s="155"/>
      <c r="O164" s="158"/>
    </row>
    <row r="165">
      <c r="A165" s="153"/>
      <c r="B165" s="153"/>
      <c r="C165" s="154"/>
      <c r="D165" s="155"/>
      <c r="E165" s="153"/>
      <c r="F165" s="155"/>
      <c r="G165" s="155"/>
      <c r="H165" s="155"/>
      <c r="I165" s="153"/>
      <c r="J165" s="153"/>
      <c r="K165" s="153"/>
      <c r="L165" s="155"/>
      <c r="M165" s="155"/>
      <c r="N165" s="155"/>
      <c r="O165" s="158"/>
    </row>
    <row r="166">
      <c r="A166" s="153"/>
      <c r="B166" s="153"/>
      <c r="C166" s="154"/>
      <c r="D166" s="155"/>
      <c r="E166" s="153"/>
      <c r="F166" s="155"/>
      <c r="G166" s="155"/>
      <c r="H166" s="155"/>
      <c r="I166" s="153"/>
      <c r="J166" s="153"/>
      <c r="K166" s="153"/>
      <c r="L166" s="155"/>
      <c r="M166" s="155"/>
      <c r="N166" s="155"/>
      <c r="O166" s="158"/>
    </row>
    <row r="167">
      <c r="A167" s="153"/>
      <c r="B167" s="153"/>
      <c r="C167" s="154"/>
      <c r="D167" s="155"/>
      <c r="E167" s="153"/>
      <c r="F167" s="155"/>
      <c r="G167" s="155"/>
      <c r="H167" s="155"/>
      <c r="I167" s="153"/>
      <c r="J167" s="153"/>
      <c r="K167" s="153"/>
      <c r="L167" s="155"/>
      <c r="M167" s="155"/>
      <c r="N167" s="155"/>
      <c r="O167" s="158"/>
    </row>
    <row r="168">
      <c r="A168" s="153"/>
      <c r="B168" s="153"/>
      <c r="C168" s="154"/>
      <c r="D168" s="155"/>
      <c r="E168" s="153"/>
      <c r="F168" s="155"/>
      <c r="G168" s="155"/>
      <c r="H168" s="155"/>
      <c r="I168" s="153"/>
      <c r="J168" s="153"/>
      <c r="K168" s="153"/>
      <c r="L168" s="155"/>
      <c r="M168" s="155"/>
      <c r="N168" s="155"/>
      <c r="O168" s="158"/>
    </row>
    <row r="169">
      <c r="A169" s="153"/>
      <c r="B169" s="153"/>
      <c r="C169" s="154"/>
      <c r="D169" s="155"/>
      <c r="E169" s="153"/>
      <c r="F169" s="155"/>
      <c r="G169" s="155"/>
      <c r="H169" s="155"/>
      <c r="I169" s="153"/>
      <c r="J169" s="153"/>
      <c r="K169" s="153"/>
      <c r="L169" s="155"/>
      <c r="M169" s="155"/>
      <c r="N169" s="155"/>
      <c r="O169" s="158"/>
    </row>
    <row r="170">
      <c r="A170" s="153"/>
      <c r="B170" s="153"/>
      <c r="C170" s="154"/>
      <c r="D170" s="155"/>
      <c r="E170" s="153"/>
      <c r="F170" s="155"/>
      <c r="G170" s="155"/>
      <c r="H170" s="155"/>
      <c r="I170" s="153"/>
      <c r="J170" s="153"/>
      <c r="K170" s="153"/>
      <c r="L170" s="155"/>
      <c r="M170" s="155"/>
      <c r="N170" s="155"/>
      <c r="O170" s="158"/>
    </row>
    <row r="171">
      <c r="A171" s="153"/>
      <c r="B171" s="153"/>
      <c r="C171" s="154"/>
      <c r="D171" s="155"/>
      <c r="E171" s="153"/>
      <c r="F171" s="155"/>
      <c r="G171" s="155"/>
      <c r="H171" s="155"/>
      <c r="I171" s="153"/>
      <c r="J171" s="153"/>
      <c r="K171" s="153"/>
      <c r="L171" s="155"/>
      <c r="M171" s="155"/>
      <c r="N171" s="155"/>
      <c r="O171" s="158"/>
    </row>
    <row r="172">
      <c r="A172" s="153"/>
      <c r="B172" s="153"/>
      <c r="C172" s="154"/>
      <c r="D172" s="155"/>
      <c r="E172" s="153"/>
      <c r="F172" s="155"/>
      <c r="G172" s="155"/>
      <c r="H172" s="155"/>
      <c r="I172" s="153"/>
      <c r="J172" s="153"/>
      <c r="K172" s="153"/>
      <c r="L172" s="155"/>
      <c r="M172" s="155"/>
      <c r="N172" s="155"/>
      <c r="O172" s="158"/>
    </row>
    <row r="173">
      <c r="A173" s="153"/>
      <c r="B173" s="153"/>
      <c r="C173" s="154"/>
      <c r="D173" s="155"/>
      <c r="E173" s="153"/>
      <c r="F173" s="155"/>
      <c r="G173" s="155"/>
      <c r="H173" s="155"/>
      <c r="I173" s="153"/>
      <c r="J173" s="153"/>
      <c r="K173" s="153"/>
      <c r="L173" s="155"/>
      <c r="M173" s="155"/>
      <c r="N173" s="155"/>
      <c r="O173" s="158"/>
    </row>
    <row r="174">
      <c r="A174" s="153"/>
      <c r="B174" s="153"/>
      <c r="C174" s="154"/>
      <c r="D174" s="155"/>
      <c r="E174" s="153"/>
      <c r="F174" s="155"/>
      <c r="G174" s="155"/>
      <c r="H174" s="155"/>
      <c r="I174" s="153"/>
      <c r="J174" s="153"/>
      <c r="K174" s="153"/>
      <c r="L174" s="155"/>
      <c r="M174" s="155"/>
      <c r="N174" s="155"/>
      <c r="O174" s="158"/>
    </row>
    <row r="175">
      <c r="A175" s="153"/>
      <c r="B175" s="153"/>
      <c r="C175" s="154"/>
      <c r="D175" s="155"/>
      <c r="E175" s="153"/>
      <c r="F175" s="155"/>
      <c r="G175" s="155"/>
      <c r="H175" s="155"/>
      <c r="I175" s="153"/>
      <c r="J175" s="153"/>
      <c r="K175" s="153"/>
      <c r="L175" s="155"/>
      <c r="M175" s="155"/>
      <c r="N175" s="155"/>
      <c r="O175" s="158"/>
    </row>
    <row r="176">
      <c r="A176" s="153"/>
      <c r="B176" s="153"/>
      <c r="C176" s="154"/>
      <c r="D176" s="155"/>
      <c r="E176" s="153"/>
      <c r="F176" s="155"/>
      <c r="G176" s="155"/>
      <c r="H176" s="155"/>
      <c r="I176" s="153"/>
      <c r="J176" s="153"/>
      <c r="K176" s="153"/>
      <c r="L176" s="155"/>
      <c r="M176" s="155"/>
      <c r="N176" s="155"/>
      <c r="O176" s="158"/>
    </row>
    <row r="177">
      <c r="A177" s="153"/>
      <c r="B177" s="153"/>
      <c r="C177" s="154"/>
      <c r="D177" s="155"/>
      <c r="E177" s="153"/>
      <c r="F177" s="155"/>
      <c r="G177" s="155"/>
      <c r="H177" s="155"/>
      <c r="I177" s="153"/>
      <c r="J177" s="153"/>
      <c r="K177" s="153"/>
      <c r="L177" s="155"/>
      <c r="M177" s="155"/>
      <c r="N177" s="155"/>
      <c r="O177" s="158"/>
    </row>
    <row r="178">
      <c r="A178" s="153"/>
      <c r="B178" s="153"/>
      <c r="C178" s="154"/>
      <c r="D178" s="155"/>
      <c r="E178" s="153"/>
      <c r="F178" s="155"/>
      <c r="G178" s="155"/>
      <c r="H178" s="155"/>
      <c r="I178" s="153"/>
      <c r="J178" s="153"/>
      <c r="K178" s="153"/>
      <c r="L178" s="155"/>
      <c r="M178" s="155"/>
      <c r="N178" s="155"/>
      <c r="O178" s="158"/>
    </row>
    <row r="179">
      <c r="A179" s="153"/>
      <c r="B179" s="153"/>
      <c r="C179" s="154"/>
      <c r="D179" s="155"/>
      <c r="E179" s="153"/>
      <c r="F179" s="155"/>
      <c r="G179" s="155"/>
      <c r="H179" s="155"/>
      <c r="I179" s="153"/>
      <c r="J179" s="153"/>
      <c r="K179" s="153"/>
      <c r="L179" s="155"/>
      <c r="M179" s="155"/>
      <c r="N179" s="155"/>
      <c r="O179" s="158"/>
    </row>
    <row r="180">
      <c r="A180" s="153"/>
      <c r="B180" s="153"/>
      <c r="C180" s="154"/>
      <c r="D180" s="155"/>
      <c r="E180" s="153"/>
      <c r="F180" s="155"/>
      <c r="G180" s="155"/>
      <c r="H180" s="155"/>
      <c r="I180" s="153"/>
      <c r="J180" s="153"/>
      <c r="K180" s="153"/>
      <c r="L180" s="155"/>
      <c r="M180" s="155"/>
      <c r="N180" s="155"/>
      <c r="O180" s="158"/>
    </row>
    <row r="181">
      <c r="A181" s="153"/>
      <c r="B181" s="153"/>
      <c r="C181" s="154"/>
      <c r="D181" s="155"/>
      <c r="E181" s="153"/>
      <c r="F181" s="155"/>
      <c r="G181" s="155"/>
      <c r="H181" s="155"/>
      <c r="I181" s="153"/>
      <c r="J181" s="153"/>
      <c r="K181" s="153"/>
      <c r="L181" s="155"/>
      <c r="M181" s="155"/>
      <c r="N181" s="155"/>
      <c r="O181" s="158"/>
    </row>
    <row r="182">
      <c r="A182" s="153"/>
      <c r="B182" s="153"/>
      <c r="C182" s="154"/>
      <c r="D182" s="155"/>
      <c r="E182" s="153"/>
      <c r="F182" s="155"/>
      <c r="G182" s="155"/>
      <c r="H182" s="155"/>
      <c r="I182" s="153"/>
      <c r="J182" s="153"/>
      <c r="K182" s="153"/>
      <c r="L182" s="155"/>
      <c r="M182" s="155"/>
      <c r="N182" s="155"/>
      <c r="O182" s="158"/>
    </row>
    <row r="183">
      <c r="A183" s="153"/>
      <c r="B183" s="153"/>
      <c r="C183" s="154"/>
      <c r="D183" s="155"/>
      <c r="E183" s="153"/>
      <c r="F183" s="155"/>
      <c r="G183" s="155"/>
      <c r="H183" s="155"/>
      <c r="I183" s="153"/>
      <c r="J183" s="153"/>
      <c r="K183" s="153"/>
      <c r="L183" s="155"/>
      <c r="M183" s="155"/>
      <c r="N183" s="155"/>
      <c r="O183" s="158"/>
    </row>
    <row r="184">
      <c r="A184" s="153"/>
      <c r="B184" s="153"/>
      <c r="C184" s="154"/>
      <c r="D184" s="155"/>
      <c r="E184" s="153"/>
      <c r="F184" s="155"/>
      <c r="G184" s="155"/>
      <c r="H184" s="155"/>
      <c r="I184" s="153"/>
      <c r="J184" s="153"/>
      <c r="K184" s="153"/>
      <c r="L184" s="155"/>
      <c r="M184" s="155"/>
      <c r="N184" s="155"/>
      <c r="O184" s="158"/>
    </row>
    <row r="185">
      <c r="A185" s="153"/>
      <c r="B185" s="153"/>
      <c r="C185" s="154"/>
      <c r="D185" s="155"/>
      <c r="E185" s="153"/>
      <c r="F185" s="155"/>
      <c r="G185" s="155"/>
      <c r="H185" s="155"/>
      <c r="I185" s="153"/>
      <c r="J185" s="153"/>
      <c r="K185" s="153"/>
      <c r="L185" s="155"/>
      <c r="M185" s="155"/>
      <c r="N185" s="155"/>
      <c r="O185" s="158"/>
    </row>
    <row r="186">
      <c r="A186" s="153"/>
      <c r="B186" s="153"/>
      <c r="C186" s="154"/>
      <c r="D186" s="155"/>
      <c r="E186" s="153"/>
      <c r="F186" s="155"/>
      <c r="G186" s="155"/>
      <c r="H186" s="155"/>
      <c r="I186" s="153"/>
      <c r="J186" s="153"/>
      <c r="K186" s="153"/>
      <c r="L186" s="155"/>
      <c r="M186" s="155"/>
      <c r="N186" s="155"/>
      <c r="O186" s="158"/>
    </row>
    <row r="187">
      <c r="A187" s="153"/>
      <c r="B187" s="153"/>
      <c r="C187" s="154"/>
      <c r="D187" s="155"/>
      <c r="E187" s="153"/>
      <c r="F187" s="155"/>
      <c r="G187" s="155"/>
      <c r="H187" s="155"/>
      <c r="I187" s="153"/>
      <c r="J187" s="153"/>
      <c r="K187" s="153"/>
      <c r="L187" s="155"/>
      <c r="M187" s="155"/>
      <c r="N187" s="155"/>
      <c r="O187" s="158"/>
    </row>
    <row r="188">
      <c r="A188" s="153"/>
      <c r="B188" s="153"/>
      <c r="C188" s="154"/>
      <c r="D188" s="155"/>
      <c r="E188" s="153"/>
      <c r="F188" s="155"/>
      <c r="G188" s="155"/>
      <c r="H188" s="155"/>
      <c r="I188" s="153"/>
      <c r="J188" s="153"/>
      <c r="K188" s="153"/>
      <c r="L188" s="155"/>
      <c r="M188" s="155"/>
      <c r="N188" s="155"/>
      <c r="O188" s="158"/>
    </row>
    <row r="189">
      <c r="A189" s="153"/>
      <c r="B189" s="153"/>
      <c r="C189" s="154"/>
      <c r="D189" s="155"/>
      <c r="E189" s="153"/>
      <c r="F189" s="155"/>
      <c r="G189" s="155"/>
      <c r="H189" s="155"/>
      <c r="I189" s="153"/>
      <c r="J189" s="153"/>
      <c r="K189" s="153"/>
      <c r="L189" s="155"/>
      <c r="M189" s="155"/>
      <c r="N189" s="155"/>
      <c r="O189" s="158"/>
    </row>
    <row r="190">
      <c r="A190" s="153"/>
      <c r="B190" s="153"/>
      <c r="C190" s="154"/>
      <c r="D190" s="155"/>
      <c r="E190" s="153"/>
      <c r="F190" s="155"/>
      <c r="G190" s="155"/>
      <c r="H190" s="155"/>
      <c r="I190" s="153"/>
      <c r="J190" s="153"/>
      <c r="K190" s="153"/>
      <c r="L190" s="155"/>
      <c r="M190" s="155"/>
      <c r="N190" s="155"/>
      <c r="O190" s="158"/>
    </row>
    <row r="191">
      <c r="A191" s="153"/>
      <c r="B191" s="153"/>
      <c r="C191" s="154"/>
      <c r="D191" s="155"/>
      <c r="E191" s="153"/>
      <c r="F191" s="155"/>
      <c r="G191" s="155"/>
      <c r="H191" s="155"/>
      <c r="I191" s="153"/>
      <c r="J191" s="153"/>
      <c r="K191" s="153"/>
      <c r="L191" s="155"/>
      <c r="M191" s="155"/>
      <c r="N191" s="155"/>
      <c r="O191" s="158"/>
    </row>
    <row r="192">
      <c r="A192" s="153"/>
      <c r="B192" s="153"/>
      <c r="C192" s="154"/>
      <c r="D192" s="155"/>
      <c r="E192" s="153"/>
      <c r="F192" s="155"/>
      <c r="G192" s="155"/>
      <c r="H192" s="155"/>
      <c r="I192" s="153"/>
      <c r="J192" s="153"/>
      <c r="K192" s="153"/>
      <c r="L192" s="155"/>
      <c r="M192" s="155"/>
      <c r="N192" s="155"/>
      <c r="O192" s="158"/>
    </row>
    <row r="193">
      <c r="A193" s="153"/>
      <c r="B193" s="153"/>
      <c r="C193" s="154"/>
      <c r="D193" s="155"/>
      <c r="E193" s="153"/>
      <c r="F193" s="155"/>
      <c r="G193" s="155"/>
      <c r="H193" s="155"/>
      <c r="I193" s="153"/>
      <c r="J193" s="153"/>
      <c r="K193" s="153"/>
      <c r="L193" s="155"/>
      <c r="M193" s="155"/>
      <c r="N193" s="155"/>
      <c r="O193" s="158"/>
    </row>
    <row r="194">
      <c r="A194" s="153"/>
      <c r="B194" s="153"/>
      <c r="C194" s="154"/>
      <c r="D194" s="155"/>
      <c r="E194" s="153"/>
      <c r="F194" s="155"/>
      <c r="G194" s="155"/>
      <c r="H194" s="155"/>
      <c r="I194" s="153"/>
      <c r="J194" s="153"/>
      <c r="K194" s="153"/>
      <c r="L194" s="155"/>
      <c r="M194" s="155"/>
      <c r="N194" s="155"/>
      <c r="O194" s="158"/>
    </row>
    <row r="195">
      <c r="A195" s="153"/>
      <c r="B195" s="153"/>
      <c r="C195" s="154"/>
      <c r="D195" s="155"/>
      <c r="E195" s="153"/>
      <c r="F195" s="155"/>
      <c r="G195" s="155"/>
      <c r="H195" s="155"/>
      <c r="I195" s="153"/>
      <c r="J195" s="153"/>
      <c r="K195" s="153"/>
      <c r="L195" s="155"/>
      <c r="M195" s="155"/>
      <c r="N195" s="155"/>
      <c r="O195" s="158"/>
    </row>
    <row r="196">
      <c r="A196" s="153"/>
      <c r="B196" s="153"/>
      <c r="C196" s="154"/>
      <c r="D196" s="155"/>
      <c r="E196" s="153"/>
      <c r="F196" s="155"/>
      <c r="G196" s="155"/>
      <c r="H196" s="155"/>
      <c r="I196" s="153"/>
      <c r="J196" s="153"/>
      <c r="K196" s="153"/>
      <c r="L196" s="155"/>
      <c r="M196" s="155"/>
      <c r="N196" s="155"/>
      <c r="O196" s="158"/>
    </row>
    <row r="197">
      <c r="A197" s="153"/>
      <c r="B197" s="153"/>
      <c r="C197" s="154"/>
      <c r="D197" s="155"/>
      <c r="E197" s="153"/>
      <c r="F197" s="155"/>
      <c r="G197" s="155"/>
      <c r="H197" s="155"/>
      <c r="I197" s="153"/>
      <c r="J197" s="153"/>
      <c r="K197" s="153"/>
      <c r="L197" s="155"/>
      <c r="M197" s="155"/>
      <c r="N197" s="155"/>
      <c r="O197" s="158"/>
    </row>
    <row r="198">
      <c r="A198" s="153"/>
      <c r="B198" s="153"/>
      <c r="C198" s="154"/>
      <c r="D198" s="155"/>
      <c r="E198" s="153"/>
      <c r="F198" s="155"/>
      <c r="G198" s="155"/>
      <c r="H198" s="155"/>
      <c r="I198" s="153"/>
      <c r="J198" s="153"/>
      <c r="K198" s="153"/>
      <c r="L198" s="155"/>
      <c r="M198" s="155"/>
      <c r="N198" s="155"/>
      <c r="O198" s="158"/>
    </row>
    <row r="199">
      <c r="A199" s="153"/>
      <c r="B199" s="153"/>
      <c r="C199" s="154"/>
      <c r="D199" s="155"/>
      <c r="E199" s="153"/>
      <c r="F199" s="155"/>
      <c r="G199" s="155"/>
      <c r="H199" s="155"/>
      <c r="I199" s="153"/>
      <c r="J199" s="153"/>
      <c r="K199" s="153"/>
      <c r="L199" s="155"/>
      <c r="M199" s="155"/>
      <c r="N199" s="155"/>
      <c r="O199" s="158"/>
    </row>
    <row r="200">
      <c r="A200" s="153"/>
      <c r="B200" s="153"/>
      <c r="C200" s="154"/>
      <c r="D200" s="155"/>
      <c r="E200" s="153"/>
      <c r="F200" s="155"/>
      <c r="G200" s="155"/>
      <c r="H200" s="155"/>
      <c r="I200" s="153"/>
      <c r="J200" s="153"/>
      <c r="K200" s="153"/>
      <c r="L200" s="155"/>
      <c r="M200" s="155"/>
      <c r="N200" s="155"/>
      <c r="O200" s="158"/>
    </row>
    <row r="201">
      <c r="A201" s="153"/>
      <c r="B201" s="153"/>
      <c r="C201" s="154"/>
      <c r="D201" s="155"/>
      <c r="E201" s="153"/>
      <c r="F201" s="155"/>
      <c r="G201" s="155"/>
      <c r="H201" s="155"/>
      <c r="I201" s="153"/>
      <c r="J201" s="153"/>
      <c r="K201" s="153"/>
      <c r="L201" s="155"/>
      <c r="M201" s="155"/>
      <c r="N201" s="155"/>
      <c r="O201" s="158"/>
    </row>
    <row r="202">
      <c r="A202" s="153"/>
      <c r="B202" s="153"/>
      <c r="C202" s="154"/>
      <c r="D202" s="155"/>
      <c r="E202" s="153"/>
      <c r="F202" s="155"/>
      <c r="G202" s="155"/>
      <c r="H202" s="155"/>
      <c r="I202" s="153"/>
      <c r="J202" s="153"/>
      <c r="K202" s="153"/>
      <c r="L202" s="155"/>
      <c r="M202" s="155"/>
      <c r="N202" s="155"/>
      <c r="O202" s="158"/>
    </row>
    <row r="203">
      <c r="A203" s="153"/>
      <c r="B203" s="153"/>
      <c r="C203" s="154"/>
      <c r="D203" s="155"/>
      <c r="E203" s="153"/>
      <c r="F203" s="155"/>
      <c r="G203" s="155"/>
      <c r="H203" s="155"/>
      <c r="I203" s="153"/>
      <c r="J203" s="153"/>
      <c r="K203" s="153"/>
      <c r="L203" s="155"/>
      <c r="M203" s="155"/>
      <c r="N203" s="155"/>
      <c r="O203" s="158"/>
    </row>
    <row r="204">
      <c r="A204" s="153"/>
      <c r="B204" s="153"/>
      <c r="C204" s="154"/>
      <c r="D204" s="155"/>
      <c r="E204" s="153"/>
      <c r="F204" s="155"/>
      <c r="G204" s="155"/>
      <c r="H204" s="155"/>
      <c r="I204" s="153"/>
      <c r="J204" s="153"/>
      <c r="K204" s="153"/>
      <c r="L204" s="155"/>
      <c r="M204" s="155"/>
      <c r="N204" s="155"/>
      <c r="O204" s="158"/>
    </row>
    <row r="205">
      <c r="A205" s="153"/>
      <c r="B205" s="153"/>
      <c r="C205" s="154"/>
      <c r="D205" s="155"/>
      <c r="E205" s="153"/>
      <c r="F205" s="155"/>
      <c r="G205" s="155"/>
      <c r="H205" s="155"/>
      <c r="I205" s="153"/>
      <c r="J205" s="153"/>
      <c r="K205" s="153"/>
      <c r="L205" s="155"/>
      <c r="M205" s="155"/>
      <c r="N205" s="155"/>
      <c r="O205" s="158"/>
    </row>
    <row r="206">
      <c r="A206" s="153"/>
      <c r="B206" s="153"/>
      <c r="C206" s="154"/>
      <c r="D206" s="155"/>
      <c r="E206" s="153"/>
      <c r="F206" s="155"/>
      <c r="G206" s="155"/>
      <c r="H206" s="155"/>
      <c r="I206" s="153"/>
      <c r="J206" s="153"/>
      <c r="K206" s="153"/>
      <c r="L206" s="155"/>
      <c r="M206" s="155"/>
      <c r="N206" s="155"/>
      <c r="O206" s="158"/>
    </row>
    <row r="207">
      <c r="A207" s="153"/>
      <c r="B207" s="153"/>
      <c r="C207" s="154"/>
      <c r="D207" s="155"/>
      <c r="E207" s="153"/>
      <c r="F207" s="155"/>
      <c r="G207" s="155"/>
      <c r="H207" s="155"/>
      <c r="I207" s="153"/>
      <c r="J207" s="153"/>
      <c r="K207" s="153"/>
      <c r="L207" s="155"/>
      <c r="M207" s="155"/>
      <c r="N207" s="155"/>
      <c r="O207" s="158"/>
    </row>
    <row r="208">
      <c r="A208" s="153"/>
      <c r="B208" s="153"/>
      <c r="C208" s="154"/>
      <c r="D208" s="155"/>
      <c r="E208" s="153"/>
      <c r="F208" s="155"/>
      <c r="G208" s="155"/>
      <c r="H208" s="155"/>
      <c r="I208" s="153"/>
      <c r="J208" s="153"/>
      <c r="K208" s="153"/>
      <c r="L208" s="155"/>
      <c r="M208" s="155"/>
      <c r="N208" s="155"/>
      <c r="O208" s="158"/>
    </row>
    <row r="209">
      <c r="A209" s="153"/>
      <c r="B209" s="153"/>
      <c r="C209" s="154"/>
      <c r="D209" s="155"/>
      <c r="E209" s="153"/>
      <c r="F209" s="155"/>
      <c r="G209" s="155"/>
      <c r="H209" s="155"/>
      <c r="I209" s="153"/>
      <c r="J209" s="153"/>
      <c r="K209" s="153"/>
      <c r="L209" s="155"/>
      <c r="M209" s="155"/>
      <c r="N209" s="155"/>
      <c r="O209" s="158"/>
    </row>
    <row r="210">
      <c r="A210" s="153"/>
      <c r="B210" s="153"/>
      <c r="C210" s="154"/>
      <c r="D210" s="155"/>
      <c r="E210" s="153"/>
      <c r="F210" s="155"/>
      <c r="G210" s="155"/>
      <c r="H210" s="155"/>
      <c r="I210" s="153"/>
      <c r="J210" s="153"/>
      <c r="K210" s="153"/>
      <c r="L210" s="155"/>
      <c r="M210" s="155"/>
      <c r="N210" s="155"/>
      <c r="O210" s="158"/>
    </row>
    <row r="211">
      <c r="A211" s="153"/>
      <c r="B211" s="153"/>
      <c r="C211" s="154"/>
      <c r="D211" s="155"/>
      <c r="E211" s="153"/>
      <c r="F211" s="155"/>
      <c r="G211" s="155"/>
      <c r="H211" s="155"/>
      <c r="I211" s="153"/>
      <c r="J211" s="153"/>
      <c r="K211" s="153"/>
      <c r="L211" s="155"/>
      <c r="M211" s="155"/>
      <c r="N211" s="155"/>
      <c r="O211" s="158"/>
    </row>
    <row r="212">
      <c r="A212" s="153"/>
      <c r="B212" s="153"/>
      <c r="C212" s="154"/>
      <c r="D212" s="155"/>
      <c r="E212" s="153"/>
      <c r="F212" s="155"/>
      <c r="G212" s="155"/>
      <c r="H212" s="155"/>
      <c r="I212" s="153"/>
      <c r="J212" s="153"/>
      <c r="K212" s="153"/>
      <c r="L212" s="155"/>
      <c r="M212" s="155"/>
      <c r="N212" s="155"/>
      <c r="O212" s="158"/>
    </row>
    <row r="213">
      <c r="A213" s="153"/>
      <c r="B213" s="153"/>
      <c r="C213" s="154"/>
      <c r="D213" s="155"/>
      <c r="E213" s="153"/>
      <c r="F213" s="155"/>
      <c r="G213" s="155"/>
      <c r="H213" s="155"/>
      <c r="I213" s="153"/>
      <c r="J213" s="153"/>
      <c r="K213" s="153"/>
      <c r="L213" s="155"/>
      <c r="M213" s="155"/>
      <c r="N213" s="155"/>
      <c r="O213" s="158"/>
    </row>
    <row r="214">
      <c r="A214" s="153"/>
      <c r="B214" s="153"/>
      <c r="C214" s="154"/>
      <c r="D214" s="155"/>
      <c r="E214" s="153"/>
      <c r="F214" s="155"/>
      <c r="G214" s="155"/>
      <c r="H214" s="155"/>
      <c r="I214" s="153"/>
      <c r="J214" s="153"/>
      <c r="K214" s="153"/>
      <c r="L214" s="155"/>
      <c r="M214" s="155"/>
      <c r="N214" s="155"/>
      <c r="O214" s="158"/>
    </row>
    <row r="215">
      <c r="A215" s="153"/>
      <c r="B215" s="153"/>
      <c r="C215" s="154"/>
      <c r="D215" s="155"/>
      <c r="E215" s="153"/>
      <c r="F215" s="155"/>
      <c r="G215" s="155"/>
      <c r="H215" s="155"/>
      <c r="I215" s="153"/>
      <c r="J215" s="153"/>
      <c r="K215" s="153"/>
      <c r="L215" s="155"/>
      <c r="M215" s="155"/>
      <c r="N215" s="155"/>
      <c r="O215" s="158"/>
    </row>
    <row r="216">
      <c r="A216" s="153"/>
      <c r="B216" s="153"/>
      <c r="C216" s="154"/>
      <c r="D216" s="155"/>
      <c r="E216" s="153"/>
      <c r="F216" s="155"/>
      <c r="G216" s="155"/>
      <c r="H216" s="155"/>
      <c r="I216" s="153"/>
      <c r="J216" s="153"/>
      <c r="K216" s="153"/>
      <c r="L216" s="155"/>
      <c r="M216" s="155"/>
      <c r="N216" s="155"/>
      <c r="O216" s="158"/>
    </row>
    <row r="217">
      <c r="A217" s="153"/>
      <c r="B217" s="153"/>
      <c r="C217" s="154"/>
      <c r="D217" s="155"/>
      <c r="E217" s="153"/>
      <c r="F217" s="155"/>
      <c r="G217" s="155"/>
      <c r="H217" s="155"/>
      <c r="I217" s="153"/>
      <c r="J217" s="153"/>
      <c r="K217" s="153"/>
      <c r="L217" s="155"/>
      <c r="M217" s="155"/>
      <c r="N217" s="155"/>
      <c r="O217" s="158"/>
    </row>
    <row r="218">
      <c r="A218" s="153"/>
      <c r="B218" s="153"/>
      <c r="C218" s="154"/>
      <c r="D218" s="155"/>
      <c r="E218" s="153"/>
      <c r="F218" s="155"/>
      <c r="G218" s="155"/>
      <c r="H218" s="155"/>
      <c r="I218" s="153"/>
      <c r="J218" s="153"/>
      <c r="K218" s="153"/>
      <c r="L218" s="155"/>
      <c r="M218" s="155"/>
      <c r="N218" s="155"/>
      <c r="O218" s="158"/>
    </row>
    <row r="219">
      <c r="A219" s="153"/>
      <c r="B219" s="153"/>
      <c r="C219" s="154"/>
      <c r="D219" s="155"/>
      <c r="E219" s="153"/>
      <c r="F219" s="155"/>
      <c r="G219" s="155"/>
      <c r="H219" s="155"/>
      <c r="I219" s="153"/>
      <c r="J219" s="153"/>
      <c r="K219" s="153"/>
      <c r="L219" s="155"/>
      <c r="M219" s="155"/>
      <c r="N219" s="155"/>
      <c r="O219" s="158"/>
    </row>
    <row r="220">
      <c r="A220" s="153"/>
      <c r="B220" s="153"/>
      <c r="C220" s="154"/>
      <c r="D220" s="155"/>
      <c r="E220" s="153"/>
      <c r="F220" s="155"/>
      <c r="G220" s="155"/>
      <c r="H220" s="155"/>
      <c r="I220" s="153"/>
      <c r="J220" s="153"/>
      <c r="K220" s="153"/>
      <c r="L220" s="155"/>
      <c r="M220" s="155"/>
      <c r="N220" s="155"/>
      <c r="O220" s="158"/>
    </row>
    <row r="221">
      <c r="A221" s="153"/>
      <c r="B221" s="153"/>
      <c r="C221" s="154"/>
      <c r="D221" s="155"/>
      <c r="E221" s="153"/>
      <c r="F221" s="155"/>
      <c r="G221" s="155"/>
      <c r="H221" s="155"/>
      <c r="I221" s="153"/>
      <c r="J221" s="153"/>
      <c r="K221" s="153"/>
      <c r="L221" s="155"/>
      <c r="M221" s="155"/>
      <c r="N221" s="155"/>
      <c r="O221" s="158"/>
    </row>
    <row r="222">
      <c r="A222" s="153"/>
      <c r="B222" s="153"/>
      <c r="C222" s="154"/>
      <c r="D222" s="155"/>
      <c r="E222" s="153"/>
      <c r="F222" s="155"/>
      <c r="G222" s="155"/>
      <c r="H222" s="155"/>
      <c r="I222" s="153"/>
      <c r="J222" s="153"/>
      <c r="K222" s="153"/>
      <c r="L222" s="155"/>
      <c r="M222" s="155"/>
      <c r="N222" s="155"/>
      <c r="O222" s="158"/>
    </row>
    <row r="223">
      <c r="A223" s="153"/>
      <c r="B223" s="153"/>
      <c r="C223" s="154"/>
      <c r="D223" s="155"/>
      <c r="E223" s="153"/>
      <c r="F223" s="155"/>
      <c r="G223" s="155"/>
      <c r="H223" s="155"/>
      <c r="I223" s="153"/>
      <c r="J223" s="153"/>
      <c r="K223" s="153"/>
      <c r="L223" s="155"/>
      <c r="M223" s="155"/>
      <c r="N223" s="155"/>
      <c r="O223" s="158"/>
    </row>
    <row r="224">
      <c r="A224" s="153"/>
      <c r="B224" s="153"/>
      <c r="C224" s="154"/>
      <c r="D224" s="155"/>
      <c r="E224" s="153"/>
      <c r="F224" s="155"/>
      <c r="G224" s="155"/>
      <c r="H224" s="155"/>
      <c r="I224" s="153"/>
      <c r="J224" s="153"/>
      <c r="K224" s="153"/>
      <c r="L224" s="155"/>
      <c r="M224" s="155"/>
      <c r="N224" s="155"/>
      <c r="O224" s="158"/>
    </row>
    <row r="225">
      <c r="A225" s="153"/>
      <c r="B225" s="153"/>
      <c r="C225" s="154"/>
      <c r="D225" s="155"/>
      <c r="E225" s="153"/>
      <c r="F225" s="155"/>
      <c r="G225" s="155"/>
      <c r="H225" s="155"/>
      <c r="I225" s="153"/>
      <c r="J225" s="153"/>
      <c r="K225" s="153"/>
      <c r="L225" s="155"/>
      <c r="M225" s="155"/>
      <c r="N225" s="155"/>
      <c r="O225" s="158"/>
    </row>
    <row r="226">
      <c r="A226" s="153"/>
      <c r="B226" s="153"/>
      <c r="C226" s="154"/>
      <c r="D226" s="155"/>
      <c r="E226" s="153"/>
      <c r="F226" s="155"/>
      <c r="G226" s="155"/>
      <c r="H226" s="155"/>
      <c r="I226" s="153"/>
      <c r="J226" s="153"/>
      <c r="K226" s="153"/>
      <c r="L226" s="155"/>
      <c r="M226" s="155"/>
      <c r="N226" s="155"/>
      <c r="O226" s="158"/>
    </row>
    <row r="227">
      <c r="A227" s="153"/>
      <c r="B227" s="153"/>
      <c r="C227" s="154"/>
      <c r="D227" s="155"/>
      <c r="E227" s="153"/>
      <c r="F227" s="155"/>
      <c r="G227" s="155"/>
      <c r="H227" s="155"/>
      <c r="I227" s="153"/>
      <c r="J227" s="153"/>
      <c r="K227" s="153"/>
      <c r="L227" s="155"/>
      <c r="M227" s="155"/>
      <c r="N227" s="155"/>
      <c r="O227" s="158"/>
    </row>
    <row r="228">
      <c r="A228" s="153"/>
      <c r="B228" s="153"/>
      <c r="C228" s="154"/>
      <c r="D228" s="155"/>
      <c r="E228" s="153"/>
      <c r="F228" s="155"/>
      <c r="G228" s="155"/>
      <c r="H228" s="155"/>
      <c r="I228" s="153"/>
      <c r="J228" s="153"/>
      <c r="K228" s="153"/>
      <c r="L228" s="155"/>
      <c r="M228" s="155"/>
      <c r="N228" s="155"/>
      <c r="O228" s="158"/>
    </row>
    <row r="229">
      <c r="A229" s="153"/>
      <c r="B229" s="153"/>
      <c r="C229" s="154"/>
      <c r="D229" s="155"/>
      <c r="E229" s="153"/>
      <c r="F229" s="155"/>
      <c r="G229" s="155"/>
      <c r="H229" s="155"/>
      <c r="I229" s="153"/>
      <c r="J229" s="153"/>
      <c r="K229" s="153"/>
      <c r="L229" s="155"/>
      <c r="M229" s="155"/>
      <c r="N229" s="155"/>
      <c r="O229" s="158"/>
    </row>
    <row r="230">
      <c r="A230" s="153"/>
      <c r="B230" s="153"/>
      <c r="C230" s="154"/>
      <c r="D230" s="155"/>
      <c r="E230" s="153"/>
      <c r="F230" s="155"/>
      <c r="G230" s="155"/>
      <c r="H230" s="155"/>
      <c r="I230" s="153"/>
      <c r="J230" s="153"/>
      <c r="K230" s="153"/>
      <c r="L230" s="155"/>
      <c r="M230" s="155"/>
      <c r="N230" s="155"/>
      <c r="O230" s="158"/>
    </row>
    <row r="231">
      <c r="A231" s="153"/>
      <c r="B231" s="153"/>
      <c r="C231" s="154"/>
      <c r="D231" s="155"/>
      <c r="E231" s="153"/>
      <c r="F231" s="155"/>
      <c r="G231" s="155"/>
      <c r="H231" s="155"/>
      <c r="I231" s="153"/>
      <c r="J231" s="153"/>
      <c r="K231" s="153"/>
      <c r="L231" s="155"/>
      <c r="M231" s="155"/>
      <c r="N231" s="155"/>
      <c r="O231" s="158"/>
    </row>
    <row r="232">
      <c r="A232" s="153"/>
      <c r="B232" s="153"/>
      <c r="C232" s="154"/>
      <c r="D232" s="155"/>
      <c r="E232" s="153"/>
      <c r="F232" s="155"/>
      <c r="G232" s="155"/>
      <c r="H232" s="155"/>
      <c r="I232" s="153"/>
      <c r="J232" s="153"/>
      <c r="K232" s="153"/>
      <c r="L232" s="155"/>
      <c r="M232" s="155"/>
      <c r="N232" s="155"/>
      <c r="O232" s="158"/>
    </row>
    <row r="233">
      <c r="A233" s="153"/>
      <c r="B233" s="153"/>
      <c r="C233" s="154"/>
      <c r="D233" s="155"/>
      <c r="E233" s="153"/>
      <c r="F233" s="155"/>
      <c r="G233" s="155"/>
      <c r="H233" s="155"/>
      <c r="I233" s="153"/>
      <c r="J233" s="153"/>
      <c r="K233" s="153"/>
      <c r="L233" s="155"/>
      <c r="M233" s="155"/>
      <c r="N233" s="155"/>
      <c r="O233" s="158"/>
    </row>
    <row r="234">
      <c r="A234" s="153"/>
      <c r="B234" s="153"/>
      <c r="C234" s="154"/>
      <c r="D234" s="155"/>
      <c r="E234" s="153"/>
      <c r="F234" s="155"/>
      <c r="G234" s="155"/>
      <c r="H234" s="155"/>
      <c r="I234" s="153"/>
      <c r="J234" s="153"/>
      <c r="K234" s="153"/>
      <c r="L234" s="155"/>
      <c r="M234" s="155"/>
      <c r="N234" s="155"/>
      <c r="O234" s="158"/>
    </row>
    <row r="235">
      <c r="A235" s="153"/>
      <c r="B235" s="153"/>
      <c r="C235" s="154"/>
      <c r="D235" s="155"/>
      <c r="E235" s="153"/>
      <c r="F235" s="155"/>
      <c r="G235" s="155"/>
      <c r="H235" s="155"/>
      <c r="I235" s="153"/>
      <c r="J235" s="153"/>
      <c r="K235" s="153"/>
      <c r="L235" s="155"/>
      <c r="M235" s="155"/>
      <c r="N235" s="155"/>
      <c r="O235" s="158"/>
    </row>
    <row r="236">
      <c r="A236" s="153"/>
      <c r="B236" s="153"/>
      <c r="C236" s="154"/>
      <c r="D236" s="155"/>
      <c r="E236" s="153"/>
      <c r="F236" s="155"/>
      <c r="G236" s="155"/>
      <c r="H236" s="155"/>
      <c r="I236" s="153"/>
      <c r="J236" s="153"/>
      <c r="K236" s="153"/>
      <c r="L236" s="155"/>
      <c r="M236" s="155"/>
      <c r="N236" s="155"/>
      <c r="O236" s="158"/>
    </row>
    <row r="237">
      <c r="A237" s="153"/>
      <c r="B237" s="153"/>
      <c r="C237" s="154"/>
      <c r="D237" s="155"/>
      <c r="E237" s="153"/>
      <c r="F237" s="155"/>
      <c r="G237" s="155"/>
      <c r="H237" s="155"/>
      <c r="I237" s="153"/>
      <c r="J237" s="153"/>
      <c r="K237" s="153"/>
      <c r="L237" s="155"/>
      <c r="M237" s="155"/>
      <c r="N237" s="155"/>
      <c r="O237" s="158"/>
    </row>
    <row r="238">
      <c r="A238" s="153"/>
      <c r="B238" s="153"/>
      <c r="C238" s="154"/>
      <c r="D238" s="155"/>
      <c r="E238" s="153"/>
      <c r="F238" s="155"/>
      <c r="G238" s="155"/>
      <c r="H238" s="155"/>
      <c r="I238" s="153"/>
      <c r="J238" s="153"/>
      <c r="K238" s="153"/>
      <c r="L238" s="155"/>
      <c r="M238" s="155"/>
      <c r="N238" s="155"/>
      <c r="O238" s="158"/>
    </row>
    <row r="239">
      <c r="A239" s="153"/>
      <c r="B239" s="153"/>
      <c r="C239" s="154"/>
      <c r="D239" s="155"/>
      <c r="E239" s="153"/>
      <c r="F239" s="155"/>
      <c r="G239" s="155"/>
      <c r="H239" s="155"/>
      <c r="I239" s="153"/>
      <c r="J239" s="153"/>
      <c r="K239" s="153"/>
      <c r="L239" s="155"/>
      <c r="M239" s="155"/>
      <c r="N239" s="155"/>
      <c r="O239" s="158"/>
    </row>
    <row r="240">
      <c r="A240" s="153"/>
      <c r="B240" s="153"/>
      <c r="C240" s="154"/>
      <c r="D240" s="155"/>
      <c r="E240" s="153"/>
      <c r="F240" s="155"/>
      <c r="G240" s="155"/>
      <c r="H240" s="155"/>
      <c r="I240" s="153"/>
      <c r="J240" s="153"/>
      <c r="K240" s="153"/>
      <c r="L240" s="155"/>
      <c r="M240" s="155"/>
      <c r="N240" s="155"/>
      <c r="O240" s="158"/>
    </row>
    <row r="241">
      <c r="A241" s="153"/>
      <c r="B241" s="153"/>
      <c r="C241" s="154"/>
      <c r="D241" s="155"/>
      <c r="E241" s="153"/>
      <c r="F241" s="155"/>
      <c r="G241" s="155"/>
      <c r="H241" s="155"/>
      <c r="I241" s="153"/>
      <c r="J241" s="153"/>
      <c r="K241" s="153"/>
      <c r="L241" s="155"/>
      <c r="M241" s="155"/>
      <c r="N241" s="155"/>
      <c r="O241" s="158"/>
    </row>
    <row r="242">
      <c r="A242" s="153"/>
      <c r="B242" s="153"/>
      <c r="C242" s="154"/>
      <c r="D242" s="155"/>
      <c r="E242" s="153"/>
      <c r="F242" s="155"/>
      <c r="G242" s="155"/>
      <c r="H242" s="155"/>
      <c r="I242" s="153"/>
      <c r="J242" s="153"/>
      <c r="K242" s="153"/>
      <c r="L242" s="155"/>
      <c r="M242" s="155"/>
      <c r="N242" s="155"/>
      <c r="O242" s="158"/>
    </row>
    <row r="243">
      <c r="A243" s="153"/>
      <c r="B243" s="153"/>
      <c r="C243" s="154"/>
      <c r="D243" s="155"/>
      <c r="E243" s="153"/>
      <c r="F243" s="155"/>
      <c r="G243" s="155"/>
      <c r="H243" s="155"/>
      <c r="I243" s="153"/>
      <c r="J243" s="153"/>
      <c r="K243" s="153"/>
      <c r="L243" s="155"/>
      <c r="M243" s="155"/>
      <c r="N243" s="155"/>
      <c r="O243" s="158"/>
    </row>
    <row r="244">
      <c r="A244" s="153"/>
      <c r="B244" s="153"/>
      <c r="C244" s="154"/>
      <c r="D244" s="155"/>
      <c r="E244" s="153"/>
      <c r="F244" s="155"/>
      <c r="G244" s="155"/>
      <c r="H244" s="155"/>
      <c r="I244" s="153"/>
      <c r="J244" s="153"/>
      <c r="K244" s="153"/>
      <c r="L244" s="155"/>
      <c r="M244" s="155"/>
      <c r="N244" s="155"/>
      <c r="O244" s="158"/>
    </row>
    <row r="245">
      <c r="A245" s="153"/>
      <c r="B245" s="153"/>
      <c r="C245" s="154"/>
      <c r="D245" s="155"/>
      <c r="E245" s="153"/>
      <c r="F245" s="155"/>
      <c r="G245" s="155"/>
      <c r="H245" s="155"/>
      <c r="I245" s="153"/>
      <c r="J245" s="153"/>
      <c r="K245" s="153"/>
      <c r="L245" s="155"/>
      <c r="M245" s="155"/>
      <c r="N245" s="155"/>
      <c r="O245" s="158"/>
    </row>
    <row r="246">
      <c r="A246" s="153"/>
      <c r="B246" s="153"/>
      <c r="C246" s="154"/>
      <c r="D246" s="155"/>
      <c r="E246" s="153"/>
      <c r="F246" s="155"/>
      <c r="G246" s="155"/>
      <c r="H246" s="155"/>
      <c r="I246" s="153"/>
      <c r="J246" s="153"/>
      <c r="K246" s="153"/>
      <c r="L246" s="155"/>
      <c r="M246" s="155"/>
      <c r="N246" s="155"/>
      <c r="O246" s="158"/>
    </row>
    <row r="247">
      <c r="A247" s="153"/>
      <c r="B247" s="153"/>
      <c r="C247" s="154"/>
      <c r="D247" s="155"/>
      <c r="E247" s="153"/>
      <c r="F247" s="155"/>
      <c r="G247" s="155"/>
      <c r="H247" s="155"/>
      <c r="I247" s="153"/>
      <c r="J247" s="153"/>
      <c r="K247" s="153"/>
      <c r="L247" s="155"/>
      <c r="M247" s="155"/>
      <c r="N247" s="155"/>
      <c r="O247" s="158"/>
    </row>
    <row r="248">
      <c r="A248" s="153"/>
      <c r="B248" s="153"/>
      <c r="C248" s="154"/>
      <c r="D248" s="155"/>
      <c r="E248" s="153"/>
      <c r="F248" s="155"/>
      <c r="G248" s="155"/>
      <c r="H248" s="155"/>
      <c r="I248" s="153"/>
      <c r="J248" s="153"/>
      <c r="K248" s="153"/>
      <c r="L248" s="155"/>
      <c r="M248" s="155"/>
      <c r="N248" s="155"/>
      <c r="O248" s="158"/>
    </row>
    <row r="249">
      <c r="A249" s="153"/>
      <c r="B249" s="153"/>
      <c r="C249" s="154"/>
      <c r="D249" s="155"/>
      <c r="E249" s="153"/>
      <c r="F249" s="155"/>
      <c r="G249" s="155"/>
      <c r="H249" s="155"/>
      <c r="I249" s="153"/>
      <c r="J249" s="153"/>
      <c r="K249" s="153"/>
      <c r="L249" s="155"/>
      <c r="M249" s="155"/>
      <c r="N249" s="155"/>
      <c r="O249" s="158"/>
    </row>
    <row r="250">
      <c r="A250" s="153"/>
      <c r="B250" s="153"/>
      <c r="C250" s="154"/>
      <c r="D250" s="155"/>
      <c r="E250" s="153"/>
      <c r="F250" s="155"/>
      <c r="G250" s="155"/>
      <c r="H250" s="155"/>
      <c r="I250" s="153"/>
      <c r="J250" s="153"/>
      <c r="K250" s="153"/>
      <c r="L250" s="155"/>
      <c r="M250" s="155"/>
      <c r="N250" s="155"/>
      <c r="O250" s="158"/>
    </row>
    <row r="251">
      <c r="A251" s="153"/>
      <c r="B251" s="153"/>
      <c r="C251" s="154"/>
      <c r="D251" s="155"/>
      <c r="E251" s="153"/>
      <c r="F251" s="155"/>
      <c r="G251" s="155"/>
      <c r="H251" s="155"/>
      <c r="I251" s="153"/>
      <c r="J251" s="153"/>
      <c r="K251" s="153"/>
      <c r="L251" s="155"/>
      <c r="M251" s="155"/>
      <c r="N251" s="155"/>
      <c r="O251" s="158"/>
    </row>
    <row r="252">
      <c r="A252" s="153"/>
      <c r="B252" s="153"/>
      <c r="C252" s="154"/>
      <c r="D252" s="155"/>
      <c r="E252" s="153"/>
      <c r="F252" s="155"/>
      <c r="G252" s="155"/>
      <c r="H252" s="155"/>
      <c r="I252" s="153"/>
      <c r="J252" s="153"/>
      <c r="K252" s="153"/>
      <c r="L252" s="155"/>
      <c r="M252" s="155"/>
      <c r="N252" s="155"/>
      <c r="O252" s="158"/>
    </row>
    <row r="253">
      <c r="A253" s="153"/>
      <c r="B253" s="153"/>
      <c r="C253" s="154"/>
      <c r="D253" s="155"/>
      <c r="E253" s="153"/>
      <c r="F253" s="155"/>
      <c r="G253" s="155"/>
      <c r="H253" s="155"/>
      <c r="I253" s="153"/>
      <c r="J253" s="153"/>
      <c r="K253" s="153"/>
      <c r="L253" s="155"/>
      <c r="M253" s="155"/>
      <c r="N253" s="155"/>
      <c r="O253" s="158"/>
    </row>
    <row r="254">
      <c r="A254" s="153"/>
      <c r="B254" s="153"/>
      <c r="C254" s="154"/>
      <c r="D254" s="155"/>
      <c r="E254" s="153"/>
      <c r="F254" s="155"/>
      <c r="G254" s="155"/>
      <c r="H254" s="155"/>
      <c r="I254" s="153"/>
      <c r="J254" s="153"/>
      <c r="K254" s="153"/>
      <c r="L254" s="155"/>
      <c r="M254" s="155"/>
      <c r="N254" s="155"/>
      <c r="O254" s="158"/>
    </row>
    <row r="255">
      <c r="A255" s="153"/>
      <c r="B255" s="153"/>
      <c r="C255" s="154"/>
      <c r="D255" s="155"/>
      <c r="E255" s="153"/>
      <c r="F255" s="155"/>
      <c r="G255" s="155"/>
      <c r="H255" s="155"/>
      <c r="I255" s="153"/>
      <c r="J255" s="153"/>
      <c r="K255" s="153"/>
      <c r="L255" s="155"/>
      <c r="M255" s="155"/>
      <c r="N255" s="155"/>
      <c r="O255" s="158"/>
    </row>
    <row r="256">
      <c r="A256" s="153"/>
      <c r="B256" s="153"/>
      <c r="C256" s="154"/>
      <c r="D256" s="155"/>
      <c r="E256" s="153"/>
      <c r="F256" s="155"/>
      <c r="G256" s="155"/>
      <c r="H256" s="155"/>
      <c r="I256" s="153"/>
      <c r="J256" s="153"/>
      <c r="K256" s="153"/>
      <c r="L256" s="155"/>
      <c r="M256" s="155"/>
      <c r="N256" s="155"/>
      <c r="O256" s="158"/>
    </row>
    <row r="257">
      <c r="A257" s="153"/>
      <c r="B257" s="153"/>
      <c r="C257" s="154"/>
      <c r="D257" s="155"/>
      <c r="E257" s="153"/>
      <c r="F257" s="155"/>
      <c r="G257" s="155"/>
      <c r="H257" s="155"/>
      <c r="I257" s="153"/>
      <c r="J257" s="153"/>
      <c r="K257" s="153"/>
      <c r="L257" s="155"/>
      <c r="M257" s="155"/>
      <c r="N257" s="155"/>
      <c r="O257" s="158"/>
    </row>
    <row r="258">
      <c r="A258" s="153"/>
      <c r="B258" s="153"/>
      <c r="C258" s="154"/>
      <c r="D258" s="155"/>
      <c r="E258" s="153"/>
      <c r="F258" s="155"/>
      <c r="G258" s="155"/>
      <c r="H258" s="155"/>
      <c r="I258" s="153"/>
      <c r="J258" s="153"/>
      <c r="K258" s="153"/>
      <c r="L258" s="155"/>
      <c r="M258" s="155"/>
      <c r="N258" s="155"/>
      <c r="O258" s="158"/>
    </row>
    <row r="259">
      <c r="A259" s="153"/>
      <c r="B259" s="153"/>
      <c r="C259" s="154"/>
      <c r="D259" s="155"/>
      <c r="E259" s="153"/>
      <c r="F259" s="155"/>
      <c r="G259" s="155"/>
      <c r="H259" s="155"/>
      <c r="I259" s="153"/>
      <c r="J259" s="153"/>
      <c r="K259" s="153"/>
      <c r="L259" s="155"/>
      <c r="M259" s="155"/>
      <c r="N259" s="155"/>
      <c r="O259" s="158"/>
    </row>
    <row r="260">
      <c r="A260" s="153"/>
      <c r="B260" s="153"/>
      <c r="C260" s="154"/>
      <c r="D260" s="155"/>
      <c r="E260" s="153"/>
      <c r="F260" s="155"/>
      <c r="G260" s="155"/>
      <c r="H260" s="155"/>
      <c r="I260" s="153"/>
      <c r="J260" s="153"/>
      <c r="K260" s="153"/>
      <c r="L260" s="155"/>
      <c r="M260" s="155"/>
      <c r="N260" s="155"/>
      <c r="O260" s="158"/>
    </row>
    <row r="261">
      <c r="A261" s="153"/>
      <c r="B261" s="153"/>
      <c r="C261" s="154"/>
      <c r="D261" s="155"/>
      <c r="E261" s="153"/>
      <c r="F261" s="155"/>
      <c r="G261" s="155"/>
      <c r="H261" s="155"/>
      <c r="I261" s="153"/>
      <c r="J261" s="153"/>
      <c r="K261" s="153"/>
      <c r="L261" s="155"/>
      <c r="M261" s="155"/>
      <c r="N261" s="155"/>
      <c r="O261" s="158"/>
    </row>
    <row r="262">
      <c r="A262" s="153"/>
      <c r="B262" s="153"/>
      <c r="C262" s="154"/>
      <c r="D262" s="155"/>
      <c r="E262" s="153"/>
      <c r="F262" s="155"/>
      <c r="G262" s="155"/>
      <c r="H262" s="155"/>
      <c r="I262" s="153"/>
      <c r="J262" s="153"/>
      <c r="K262" s="153"/>
      <c r="L262" s="155"/>
      <c r="M262" s="155"/>
      <c r="N262" s="155"/>
      <c r="O262" s="158"/>
    </row>
    <row r="263">
      <c r="A263" s="153"/>
      <c r="B263" s="153"/>
      <c r="C263" s="154"/>
      <c r="D263" s="155"/>
      <c r="E263" s="153"/>
      <c r="F263" s="155"/>
      <c r="G263" s="155"/>
      <c r="H263" s="155"/>
      <c r="I263" s="153"/>
      <c r="J263" s="153"/>
      <c r="K263" s="153"/>
      <c r="L263" s="155"/>
      <c r="M263" s="155"/>
      <c r="N263" s="155"/>
      <c r="O263" s="158"/>
    </row>
    <row r="264">
      <c r="A264" s="153"/>
      <c r="B264" s="153"/>
      <c r="C264" s="154"/>
      <c r="D264" s="155"/>
      <c r="E264" s="153"/>
      <c r="F264" s="155"/>
      <c r="G264" s="155"/>
      <c r="H264" s="155"/>
      <c r="I264" s="153"/>
      <c r="J264" s="153"/>
      <c r="K264" s="153"/>
      <c r="L264" s="155"/>
      <c r="M264" s="155"/>
      <c r="N264" s="155"/>
      <c r="O264" s="158"/>
    </row>
    <row r="265">
      <c r="A265" s="153"/>
      <c r="B265" s="153"/>
      <c r="C265" s="154"/>
      <c r="D265" s="155"/>
      <c r="E265" s="153"/>
      <c r="F265" s="155"/>
      <c r="G265" s="155"/>
      <c r="H265" s="155"/>
      <c r="I265" s="153"/>
      <c r="J265" s="153"/>
      <c r="K265" s="153"/>
      <c r="L265" s="155"/>
      <c r="M265" s="155"/>
      <c r="N265" s="155"/>
      <c r="O265" s="158"/>
    </row>
    <row r="266">
      <c r="A266" s="153"/>
      <c r="B266" s="153"/>
      <c r="C266" s="154"/>
      <c r="D266" s="155"/>
      <c r="E266" s="153"/>
      <c r="F266" s="155"/>
      <c r="G266" s="155"/>
      <c r="H266" s="155"/>
      <c r="I266" s="153"/>
      <c r="J266" s="153"/>
      <c r="K266" s="153"/>
      <c r="L266" s="155"/>
      <c r="M266" s="155"/>
      <c r="N266" s="155"/>
      <c r="O266" s="158"/>
    </row>
    <row r="267">
      <c r="A267" s="153"/>
      <c r="B267" s="153"/>
      <c r="C267" s="154"/>
      <c r="D267" s="155"/>
      <c r="E267" s="153"/>
      <c r="F267" s="155"/>
      <c r="G267" s="155"/>
      <c r="H267" s="155"/>
      <c r="I267" s="153"/>
      <c r="J267" s="153"/>
      <c r="K267" s="153"/>
      <c r="L267" s="155"/>
      <c r="M267" s="155"/>
      <c r="N267" s="155"/>
      <c r="O267" s="158"/>
    </row>
    <row r="268">
      <c r="A268" s="153"/>
      <c r="B268" s="153"/>
      <c r="C268" s="154"/>
      <c r="D268" s="155"/>
      <c r="E268" s="153"/>
      <c r="F268" s="155"/>
      <c r="G268" s="155"/>
      <c r="H268" s="155"/>
      <c r="I268" s="153"/>
      <c r="J268" s="153"/>
      <c r="K268" s="153"/>
      <c r="L268" s="155"/>
      <c r="M268" s="155"/>
      <c r="N268" s="155"/>
      <c r="O268" s="158"/>
    </row>
    <row r="269">
      <c r="A269" s="153"/>
      <c r="B269" s="153"/>
      <c r="C269" s="154"/>
      <c r="D269" s="155"/>
      <c r="E269" s="153"/>
      <c r="F269" s="155"/>
      <c r="G269" s="155"/>
      <c r="H269" s="155"/>
      <c r="I269" s="153"/>
      <c r="J269" s="153"/>
      <c r="K269" s="153"/>
      <c r="L269" s="155"/>
      <c r="M269" s="155"/>
      <c r="N269" s="155"/>
      <c r="O269" s="158"/>
    </row>
    <row r="270">
      <c r="A270" s="153"/>
      <c r="B270" s="153"/>
      <c r="C270" s="154"/>
      <c r="D270" s="155"/>
      <c r="E270" s="153"/>
      <c r="F270" s="155"/>
      <c r="G270" s="155"/>
      <c r="H270" s="155"/>
      <c r="I270" s="153"/>
      <c r="J270" s="153"/>
      <c r="K270" s="153"/>
      <c r="L270" s="155"/>
      <c r="M270" s="155"/>
      <c r="N270" s="155"/>
      <c r="O270" s="158"/>
    </row>
    <row r="271">
      <c r="A271" s="153"/>
      <c r="B271" s="153"/>
      <c r="C271" s="154"/>
      <c r="D271" s="155"/>
      <c r="E271" s="153"/>
      <c r="F271" s="155"/>
      <c r="G271" s="155"/>
      <c r="H271" s="155"/>
      <c r="I271" s="153"/>
      <c r="J271" s="153"/>
      <c r="K271" s="153"/>
      <c r="L271" s="155"/>
      <c r="M271" s="155"/>
      <c r="N271" s="155"/>
      <c r="O271" s="158"/>
    </row>
    <row r="272">
      <c r="A272" s="153"/>
      <c r="B272" s="153"/>
      <c r="C272" s="154"/>
      <c r="D272" s="155"/>
      <c r="E272" s="153"/>
      <c r="F272" s="155"/>
      <c r="G272" s="155"/>
      <c r="H272" s="155"/>
      <c r="I272" s="153"/>
      <c r="J272" s="153"/>
      <c r="K272" s="153"/>
      <c r="L272" s="155"/>
      <c r="M272" s="155"/>
      <c r="N272" s="155"/>
      <c r="O272" s="158"/>
    </row>
    <row r="273">
      <c r="A273" s="153"/>
      <c r="B273" s="153"/>
      <c r="C273" s="154"/>
      <c r="D273" s="155"/>
      <c r="E273" s="153"/>
      <c r="F273" s="155"/>
      <c r="G273" s="155"/>
      <c r="H273" s="155"/>
      <c r="I273" s="153"/>
      <c r="J273" s="153"/>
      <c r="K273" s="153"/>
      <c r="L273" s="155"/>
      <c r="M273" s="155"/>
      <c r="N273" s="155"/>
      <c r="O273" s="158"/>
    </row>
    <row r="274">
      <c r="A274" s="153"/>
      <c r="B274" s="153"/>
      <c r="C274" s="154"/>
      <c r="D274" s="155"/>
      <c r="E274" s="153"/>
      <c r="F274" s="155"/>
      <c r="G274" s="155"/>
      <c r="H274" s="155"/>
      <c r="I274" s="153"/>
      <c r="J274" s="153"/>
      <c r="K274" s="153"/>
      <c r="L274" s="155"/>
      <c r="M274" s="155"/>
      <c r="N274" s="155"/>
      <c r="O274" s="158"/>
    </row>
    <row r="275">
      <c r="A275" s="153"/>
      <c r="B275" s="153"/>
      <c r="C275" s="154"/>
      <c r="D275" s="155"/>
      <c r="E275" s="153"/>
      <c r="F275" s="155"/>
      <c r="G275" s="155"/>
      <c r="H275" s="155"/>
      <c r="I275" s="153"/>
      <c r="J275" s="153"/>
      <c r="K275" s="153"/>
      <c r="L275" s="155"/>
      <c r="M275" s="155"/>
      <c r="N275" s="155"/>
      <c r="O275" s="158"/>
    </row>
    <row r="276">
      <c r="A276" s="153"/>
      <c r="B276" s="153"/>
      <c r="C276" s="154"/>
      <c r="D276" s="155"/>
      <c r="E276" s="153"/>
      <c r="F276" s="155"/>
      <c r="G276" s="155"/>
      <c r="H276" s="155"/>
      <c r="I276" s="153"/>
      <c r="J276" s="153"/>
      <c r="K276" s="153"/>
      <c r="L276" s="155"/>
      <c r="M276" s="155"/>
      <c r="N276" s="155"/>
      <c r="O276" s="158"/>
    </row>
    <row r="277">
      <c r="A277" s="153"/>
      <c r="B277" s="153"/>
      <c r="C277" s="154"/>
      <c r="D277" s="155"/>
      <c r="E277" s="153"/>
      <c r="F277" s="155"/>
      <c r="G277" s="155"/>
      <c r="H277" s="155"/>
      <c r="I277" s="153"/>
      <c r="J277" s="153"/>
      <c r="K277" s="153"/>
      <c r="L277" s="155"/>
      <c r="M277" s="155"/>
      <c r="N277" s="155"/>
      <c r="O277" s="158"/>
    </row>
    <row r="278">
      <c r="A278" s="153"/>
      <c r="B278" s="153"/>
      <c r="C278" s="154"/>
      <c r="D278" s="155"/>
      <c r="E278" s="153"/>
      <c r="F278" s="155"/>
      <c r="G278" s="155"/>
      <c r="H278" s="155"/>
      <c r="I278" s="153"/>
      <c r="J278" s="153"/>
      <c r="K278" s="153"/>
      <c r="L278" s="155"/>
      <c r="M278" s="155"/>
      <c r="N278" s="155"/>
      <c r="O278" s="158"/>
    </row>
    <row r="279">
      <c r="A279" s="153"/>
      <c r="B279" s="153"/>
      <c r="C279" s="154"/>
      <c r="D279" s="155"/>
      <c r="E279" s="153"/>
      <c r="F279" s="155"/>
      <c r="G279" s="155"/>
      <c r="H279" s="155"/>
      <c r="I279" s="153"/>
      <c r="J279" s="153"/>
      <c r="K279" s="153"/>
      <c r="L279" s="155"/>
      <c r="M279" s="155"/>
      <c r="N279" s="155"/>
      <c r="O279" s="158"/>
    </row>
    <row r="280">
      <c r="A280" s="153"/>
      <c r="B280" s="153"/>
      <c r="C280" s="154"/>
      <c r="D280" s="155"/>
      <c r="E280" s="153"/>
      <c r="F280" s="155"/>
      <c r="G280" s="155"/>
      <c r="H280" s="155"/>
      <c r="I280" s="153"/>
      <c r="J280" s="153"/>
      <c r="K280" s="153"/>
      <c r="L280" s="155"/>
      <c r="M280" s="155"/>
      <c r="N280" s="155"/>
      <c r="O280" s="158"/>
    </row>
    <row r="281">
      <c r="A281" s="153"/>
      <c r="B281" s="153"/>
      <c r="C281" s="154"/>
      <c r="D281" s="155"/>
      <c r="E281" s="153"/>
      <c r="F281" s="155"/>
      <c r="G281" s="155"/>
      <c r="H281" s="155"/>
      <c r="I281" s="153"/>
      <c r="J281" s="153"/>
      <c r="K281" s="153"/>
      <c r="L281" s="155"/>
      <c r="M281" s="155"/>
      <c r="N281" s="155"/>
      <c r="O281" s="158"/>
    </row>
    <row r="282">
      <c r="A282" s="153"/>
      <c r="B282" s="153"/>
      <c r="C282" s="154"/>
      <c r="D282" s="155"/>
      <c r="E282" s="153"/>
      <c r="F282" s="155"/>
      <c r="G282" s="155"/>
      <c r="H282" s="155"/>
      <c r="I282" s="153"/>
      <c r="J282" s="153"/>
      <c r="K282" s="153"/>
      <c r="L282" s="155"/>
      <c r="M282" s="155"/>
      <c r="N282" s="155"/>
      <c r="O282" s="158"/>
    </row>
    <row r="283">
      <c r="A283" s="153"/>
      <c r="B283" s="153"/>
      <c r="C283" s="154"/>
      <c r="D283" s="155"/>
      <c r="E283" s="153"/>
      <c r="F283" s="155"/>
      <c r="G283" s="155"/>
      <c r="H283" s="155"/>
      <c r="I283" s="153"/>
      <c r="J283" s="153"/>
      <c r="K283" s="153"/>
      <c r="L283" s="155"/>
      <c r="M283" s="155"/>
      <c r="N283" s="155"/>
      <c r="O283" s="158"/>
    </row>
    <row r="284">
      <c r="A284" s="153"/>
      <c r="B284" s="153"/>
      <c r="C284" s="154"/>
      <c r="D284" s="155"/>
      <c r="E284" s="153"/>
      <c r="F284" s="155"/>
      <c r="G284" s="155"/>
      <c r="H284" s="155"/>
      <c r="I284" s="153"/>
      <c r="J284" s="153"/>
      <c r="K284" s="153"/>
      <c r="L284" s="155"/>
      <c r="M284" s="155"/>
      <c r="N284" s="155"/>
      <c r="O284" s="158"/>
    </row>
    <row r="285">
      <c r="A285" s="153"/>
      <c r="B285" s="153"/>
      <c r="C285" s="154"/>
      <c r="D285" s="155"/>
      <c r="E285" s="153"/>
      <c r="F285" s="155"/>
      <c r="G285" s="155"/>
      <c r="H285" s="155"/>
      <c r="I285" s="153"/>
      <c r="J285" s="153"/>
      <c r="K285" s="153"/>
      <c r="L285" s="155"/>
      <c r="M285" s="155"/>
      <c r="N285" s="155"/>
      <c r="O285" s="158"/>
    </row>
    <row r="286">
      <c r="A286" s="153"/>
      <c r="B286" s="153"/>
      <c r="C286" s="154"/>
      <c r="D286" s="155"/>
      <c r="E286" s="153"/>
      <c r="F286" s="155"/>
      <c r="G286" s="155"/>
      <c r="H286" s="155"/>
      <c r="I286" s="153"/>
      <c r="J286" s="153"/>
      <c r="K286" s="153"/>
      <c r="L286" s="155"/>
      <c r="M286" s="155"/>
      <c r="N286" s="155"/>
      <c r="O286" s="158"/>
    </row>
    <row r="287">
      <c r="A287" s="153"/>
      <c r="B287" s="153"/>
      <c r="C287" s="154"/>
      <c r="D287" s="155"/>
      <c r="E287" s="153"/>
      <c r="F287" s="155"/>
      <c r="G287" s="155"/>
      <c r="H287" s="155"/>
      <c r="I287" s="153"/>
      <c r="J287" s="153"/>
      <c r="K287" s="153"/>
      <c r="L287" s="155"/>
      <c r="M287" s="155"/>
      <c r="N287" s="155"/>
      <c r="O287" s="158"/>
    </row>
    <row r="288">
      <c r="A288" s="153"/>
      <c r="B288" s="153"/>
      <c r="C288" s="154"/>
      <c r="D288" s="155"/>
      <c r="E288" s="153"/>
      <c r="F288" s="155"/>
      <c r="G288" s="155"/>
      <c r="H288" s="155"/>
      <c r="I288" s="153"/>
      <c r="J288" s="153"/>
      <c r="K288" s="153"/>
      <c r="L288" s="155"/>
      <c r="M288" s="155"/>
      <c r="N288" s="155"/>
      <c r="O288" s="158"/>
    </row>
    <row r="289">
      <c r="A289" s="153"/>
      <c r="B289" s="153"/>
      <c r="C289" s="154"/>
      <c r="D289" s="155"/>
      <c r="E289" s="153"/>
      <c r="F289" s="155"/>
      <c r="G289" s="155"/>
      <c r="H289" s="155"/>
      <c r="I289" s="153"/>
      <c r="J289" s="153"/>
      <c r="K289" s="153"/>
      <c r="L289" s="155"/>
      <c r="M289" s="155"/>
      <c r="N289" s="155"/>
      <c r="O289" s="158"/>
    </row>
    <row r="290">
      <c r="A290" s="153"/>
      <c r="B290" s="153"/>
      <c r="C290" s="154"/>
      <c r="D290" s="155"/>
      <c r="E290" s="153"/>
      <c r="F290" s="155"/>
      <c r="G290" s="155"/>
      <c r="H290" s="155"/>
      <c r="I290" s="153"/>
      <c r="J290" s="153"/>
      <c r="K290" s="153"/>
      <c r="L290" s="155"/>
      <c r="M290" s="155"/>
      <c r="N290" s="155"/>
      <c r="O290" s="158"/>
    </row>
    <row r="291">
      <c r="A291" s="153"/>
      <c r="B291" s="153"/>
      <c r="C291" s="154"/>
      <c r="D291" s="155"/>
      <c r="E291" s="153"/>
      <c r="F291" s="155"/>
      <c r="G291" s="155"/>
      <c r="H291" s="155"/>
      <c r="I291" s="153"/>
      <c r="J291" s="153"/>
      <c r="K291" s="153"/>
      <c r="L291" s="155"/>
      <c r="M291" s="155"/>
      <c r="N291" s="155"/>
      <c r="O291" s="158"/>
    </row>
    <row r="292">
      <c r="A292" s="153"/>
      <c r="B292" s="153"/>
      <c r="C292" s="154"/>
      <c r="D292" s="155"/>
      <c r="E292" s="153"/>
      <c r="F292" s="155"/>
      <c r="G292" s="155"/>
      <c r="H292" s="155"/>
      <c r="I292" s="153"/>
      <c r="J292" s="153"/>
      <c r="K292" s="153"/>
      <c r="L292" s="155"/>
      <c r="M292" s="155"/>
      <c r="N292" s="155"/>
      <c r="O292" s="158"/>
    </row>
    <row r="293">
      <c r="A293" s="153"/>
      <c r="B293" s="153"/>
      <c r="C293" s="154"/>
      <c r="D293" s="155"/>
      <c r="E293" s="153"/>
      <c r="F293" s="155"/>
      <c r="G293" s="155"/>
      <c r="H293" s="155"/>
      <c r="I293" s="153"/>
      <c r="J293" s="153"/>
      <c r="K293" s="153"/>
      <c r="L293" s="155"/>
      <c r="M293" s="155"/>
      <c r="N293" s="155"/>
      <c r="O293" s="158"/>
    </row>
    <row r="294">
      <c r="A294" s="153"/>
      <c r="B294" s="153"/>
      <c r="C294" s="154"/>
      <c r="D294" s="155"/>
      <c r="E294" s="153"/>
      <c r="F294" s="155"/>
      <c r="G294" s="155"/>
      <c r="H294" s="155"/>
      <c r="I294" s="153"/>
      <c r="J294" s="153"/>
      <c r="K294" s="153"/>
      <c r="L294" s="155"/>
      <c r="M294" s="155"/>
      <c r="N294" s="155"/>
      <c r="O294" s="158"/>
    </row>
    <row r="295">
      <c r="A295" s="153"/>
      <c r="B295" s="153"/>
      <c r="C295" s="154"/>
      <c r="D295" s="155"/>
      <c r="E295" s="153"/>
      <c r="F295" s="155"/>
      <c r="G295" s="155"/>
      <c r="H295" s="155"/>
      <c r="I295" s="153"/>
      <c r="J295" s="153"/>
      <c r="K295" s="153"/>
      <c r="L295" s="155"/>
      <c r="M295" s="155"/>
      <c r="N295" s="155"/>
      <c r="O295" s="158"/>
    </row>
    <row r="296">
      <c r="A296" s="153"/>
      <c r="B296" s="153"/>
      <c r="C296" s="154"/>
      <c r="D296" s="155"/>
      <c r="E296" s="153"/>
      <c r="F296" s="155"/>
      <c r="G296" s="155"/>
      <c r="H296" s="155"/>
      <c r="I296" s="153"/>
      <c r="J296" s="153"/>
      <c r="K296" s="153"/>
      <c r="L296" s="155"/>
      <c r="M296" s="155"/>
      <c r="N296" s="155"/>
      <c r="O296" s="158"/>
    </row>
    <row r="297">
      <c r="A297" s="153"/>
      <c r="B297" s="153"/>
      <c r="C297" s="154"/>
      <c r="D297" s="155"/>
      <c r="E297" s="153"/>
      <c r="F297" s="155"/>
      <c r="G297" s="155"/>
      <c r="H297" s="155"/>
      <c r="I297" s="153"/>
      <c r="J297" s="153"/>
      <c r="K297" s="153"/>
      <c r="L297" s="155"/>
      <c r="M297" s="155"/>
      <c r="N297" s="155"/>
      <c r="O297" s="158"/>
    </row>
    <row r="298">
      <c r="A298" s="153"/>
      <c r="B298" s="153"/>
      <c r="C298" s="154"/>
      <c r="D298" s="155"/>
      <c r="E298" s="153"/>
      <c r="F298" s="155"/>
      <c r="G298" s="155"/>
      <c r="H298" s="155"/>
      <c r="I298" s="153"/>
      <c r="J298" s="153"/>
      <c r="K298" s="153"/>
      <c r="L298" s="155"/>
      <c r="M298" s="155"/>
      <c r="N298" s="155"/>
      <c r="O298" s="158"/>
    </row>
    <row r="299">
      <c r="A299" s="153"/>
      <c r="B299" s="153"/>
      <c r="C299" s="154"/>
      <c r="D299" s="155"/>
      <c r="E299" s="153"/>
      <c r="F299" s="155"/>
      <c r="G299" s="155"/>
      <c r="H299" s="155"/>
      <c r="I299" s="153"/>
      <c r="J299" s="153"/>
      <c r="K299" s="153"/>
      <c r="L299" s="155"/>
      <c r="M299" s="155"/>
      <c r="N299" s="155"/>
      <c r="O299" s="158"/>
    </row>
    <row r="300">
      <c r="A300" s="153"/>
      <c r="B300" s="153"/>
      <c r="C300" s="154"/>
      <c r="D300" s="155"/>
      <c r="E300" s="153"/>
      <c r="F300" s="155"/>
      <c r="G300" s="155"/>
      <c r="H300" s="155"/>
      <c r="I300" s="153"/>
      <c r="J300" s="153"/>
      <c r="K300" s="153"/>
      <c r="L300" s="155"/>
      <c r="M300" s="155"/>
      <c r="N300" s="155"/>
      <c r="O300" s="158"/>
    </row>
    <row r="301">
      <c r="A301" s="153"/>
      <c r="B301" s="153"/>
      <c r="C301" s="154"/>
      <c r="D301" s="155"/>
      <c r="E301" s="153"/>
      <c r="F301" s="155"/>
      <c r="G301" s="155"/>
      <c r="H301" s="155"/>
      <c r="I301" s="153"/>
      <c r="J301" s="153"/>
      <c r="K301" s="153"/>
      <c r="L301" s="155"/>
      <c r="M301" s="155"/>
      <c r="N301" s="155"/>
      <c r="O301" s="158"/>
    </row>
    <row r="302">
      <c r="A302" s="153"/>
      <c r="B302" s="153"/>
      <c r="C302" s="154"/>
      <c r="D302" s="155"/>
      <c r="E302" s="153"/>
      <c r="F302" s="155"/>
      <c r="G302" s="155"/>
      <c r="H302" s="155"/>
      <c r="I302" s="153"/>
      <c r="J302" s="153"/>
      <c r="K302" s="153"/>
      <c r="L302" s="155"/>
      <c r="M302" s="155"/>
      <c r="N302" s="155"/>
      <c r="O302" s="158"/>
    </row>
    <row r="303">
      <c r="A303" s="153"/>
      <c r="B303" s="153"/>
      <c r="C303" s="154"/>
      <c r="D303" s="155"/>
      <c r="E303" s="153"/>
      <c r="F303" s="155"/>
      <c r="G303" s="155"/>
      <c r="H303" s="155"/>
      <c r="I303" s="153"/>
      <c r="J303" s="153"/>
      <c r="K303" s="153"/>
      <c r="L303" s="155"/>
      <c r="M303" s="155"/>
      <c r="N303" s="155"/>
      <c r="O303" s="158"/>
    </row>
    <row r="304">
      <c r="A304" s="153"/>
      <c r="B304" s="153"/>
      <c r="C304" s="154"/>
      <c r="D304" s="155"/>
      <c r="E304" s="153"/>
      <c r="F304" s="155"/>
      <c r="G304" s="155"/>
      <c r="H304" s="155"/>
      <c r="I304" s="153"/>
      <c r="J304" s="153"/>
      <c r="K304" s="153"/>
      <c r="L304" s="155"/>
      <c r="M304" s="155"/>
      <c r="N304" s="155"/>
      <c r="O304" s="158"/>
    </row>
    <row r="305">
      <c r="A305" s="153"/>
      <c r="B305" s="153"/>
      <c r="C305" s="154"/>
      <c r="D305" s="155"/>
      <c r="E305" s="153"/>
      <c r="F305" s="155"/>
      <c r="G305" s="155"/>
      <c r="H305" s="155"/>
      <c r="I305" s="153"/>
      <c r="J305" s="153"/>
      <c r="K305" s="153"/>
      <c r="L305" s="155"/>
      <c r="M305" s="155"/>
      <c r="N305" s="155"/>
      <c r="O305" s="158"/>
    </row>
    <row r="306">
      <c r="A306" s="153"/>
      <c r="B306" s="153"/>
      <c r="C306" s="154"/>
      <c r="D306" s="155"/>
      <c r="E306" s="153"/>
      <c r="F306" s="155"/>
      <c r="G306" s="155"/>
      <c r="H306" s="155"/>
      <c r="I306" s="153"/>
      <c r="J306" s="153"/>
      <c r="K306" s="153"/>
      <c r="L306" s="155"/>
      <c r="M306" s="155"/>
      <c r="N306" s="155"/>
      <c r="O306" s="158"/>
    </row>
    <row r="307">
      <c r="A307" s="153"/>
      <c r="B307" s="153"/>
      <c r="C307" s="154"/>
      <c r="D307" s="155"/>
      <c r="E307" s="153"/>
      <c r="F307" s="155"/>
      <c r="G307" s="155"/>
      <c r="H307" s="155"/>
      <c r="I307" s="153"/>
      <c r="J307" s="153"/>
      <c r="K307" s="153"/>
      <c r="L307" s="155"/>
      <c r="M307" s="155"/>
      <c r="N307" s="155"/>
      <c r="O307" s="158"/>
    </row>
    <row r="308">
      <c r="A308" s="153"/>
      <c r="B308" s="153"/>
      <c r="C308" s="154"/>
      <c r="D308" s="155"/>
      <c r="E308" s="153"/>
      <c r="F308" s="155"/>
      <c r="G308" s="155"/>
      <c r="H308" s="155"/>
      <c r="I308" s="153"/>
      <c r="J308" s="153"/>
      <c r="K308" s="153"/>
      <c r="L308" s="155"/>
      <c r="M308" s="155"/>
      <c r="N308" s="155"/>
      <c r="O308" s="158"/>
    </row>
    <row r="309">
      <c r="A309" s="153"/>
      <c r="B309" s="153"/>
      <c r="C309" s="154"/>
      <c r="D309" s="155"/>
      <c r="E309" s="153"/>
      <c r="F309" s="155"/>
      <c r="G309" s="155"/>
      <c r="H309" s="155"/>
      <c r="I309" s="153"/>
      <c r="J309" s="153"/>
      <c r="K309" s="153"/>
      <c r="L309" s="155"/>
      <c r="M309" s="155"/>
      <c r="N309" s="155"/>
      <c r="O309" s="158"/>
    </row>
    <row r="310">
      <c r="A310" s="153"/>
      <c r="B310" s="153"/>
      <c r="C310" s="154"/>
      <c r="D310" s="155"/>
      <c r="E310" s="153"/>
      <c r="F310" s="155"/>
      <c r="G310" s="155"/>
      <c r="H310" s="155"/>
      <c r="I310" s="153"/>
      <c r="J310" s="153"/>
      <c r="K310" s="153"/>
      <c r="L310" s="155"/>
      <c r="M310" s="155"/>
      <c r="N310" s="155"/>
      <c r="O310" s="158"/>
    </row>
    <row r="311">
      <c r="A311" s="153"/>
      <c r="B311" s="153"/>
      <c r="C311" s="154"/>
      <c r="D311" s="155"/>
      <c r="E311" s="153"/>
      <c r="F311" s="155"/>
      <c r="G311" s="155"/>
      <c r="H311" s="155"/>
      <c r="I311" s="153"/>
      <c r="J311" s="153"/>
      <c r="K311" s="153"/>
      <c r="L311" s="155"/>
      <c r="M311" s="155"/>
      <c r="N311" s="155"/>
      <c r="O311" s="158"/>
    </row>
    <row r="312">
      <c r="A312" s="153"/>
      <c r="B312" s="153"/>
      <c r="C312" s="154"/>
      <c r="D312" s="155"/>
      <c r="E312" s="153"/>
      <c r="F312" s="155"/>
      <c r="G312" s="155"/>
      <c r="H312" s="155"/>
      <c r="I312" s="153"/>
      <c r="J312" s="153"/>
      <c r="K312" s="153"/>
      <c r="L312" s="155"/>
      <c r="M312" s="155"/>
      <c r="N312" s="155"/>
      <c r="O312" s="158"/>
    </row>
    <row r="313">
      <c r="A313" s="153"/>
      <c r="B313" s="153"/>
      <c r="C313" s="154"/>
      <c r="D313" s="155"/>
      <c r="E313" s="153"/>
      <c r="F313" s="155"/>
      <c r="G313" s="155"/>
      <c r="H313" s="155"/>
      <c r="I313" s="153"/>
      <c r="J313" s="153"/>
      <c r="K313" s="153"/>
      <c r="L313" s="155"/>
      <c r="M313" s="155"/>
      <c r="N313" s="155"/>
      <c r="O313" s="158"/>
    </row>
    <row r="314">
      <c r="A314" s="153"/>
      <c r="B314" s="153"/>
      <c r="C314" s="154"/>
      <c r="D314" s="155"/>
      <c r="E314" s="153"/>
      <c r="F314" s="155"/>
      <c r="G314" s="155"/>
      <c r="H314" s="155"/>
      <c r="I314" s="153"/>
      <c r="J314" s="153"/>
      <c r="K314" s="153"/>
      <c r="L314" s="155"/>
      <c r="M314" s="155"/>
      <c r="N314" s="155"/>
      <c r="O314" s="158"/>
    </row>
    <row r="315">
      <c r="A315" s="153"/>
      <c r="B315" s="153"/>
      <c r="C315" s="154"/>
      <c r="D315" s="155"/>
      <c r="E315" s="153"/>
      <c r="F315" s="155"/>
      <c r="G315" s="155"/>
      <c r="H315" s="155"/>
      <c r="I315" s="153"/>
      <c r="J315" s="153"/>
      <c r="K315" s="153"/>
      <c r="L315" s="155"/>
      <c r="M315" s="155"/>
      <c r="N315" s="155"/>
      <c r="O315" s="158"/>
    </row>
    <row r="316">
      <c r="A316" s="153"/>
      <c r="B316" s="153"/>
      <c r="C316" s="154"/>
      <c r="D316" s="155"/>
      <c r="E316" s="153"/>
      <c r="F316" s="155"/>
      <c r="G316" s="155"/>
      <c r="H316" s="155"/>
      <c r="I316" s="153"/>
      <c r="J316" s="153"/>
      <c r="K316" s="153"/>
      <c r="L316" s="155"/>
      <c r="M316" s="155"/>
      <c r="N316" s="155"/>
      <c r="O316" s="158"/>
    </row>
    <row r="317">
      <c r="A317" s="153"/>
      <c r="B317" s="153"/>
      <c r="C317" s="154"/>
      <c r="D317" s="155"/>
      <c r="E317" s="153"/>
      <c r="F317" s="155"/>
      <c r="G317" s="155"/>
      <c r="H317" s="155"/>
      <c r="I317" s="153"/>
      <c r="J317" s="153"/>
      <c r="K317" s="153"/>
      <c r="L317" s="155"/>
      <c r="M317" s="155"/>
      <c r="N317" s="155"/>
      <c r="O317" s="158"/>
    </row>
    <row r="318">
      <c r="A318" s="153"/>
      <c r="B318" s="153"/>
      <c r="C318" s="154"/>
      <c r="D318" s="155"/>
      <c r="E318" s="153"/>
      <c r="F318" s="155"/>
      <c r="G318" s="155"/>
      <c r="H318" s="155"/>
      <c r="I318" s="153"/>
      <c r="J318" s="153"/>
      <c r="K318" s="153"/>
      <c r="L318" s="155"/>
      <c r="M318" s="155"/>
      <c r="N318" s="155"/>
      <c r="O318" s="158"/>
    </row>
    <row r="319">
      <c r="A319" s="153"/>
      <c r="B319" s="153"/>
      <c r="C319" s="154"/>
      <c r="D319" s="155"/>
      <c r="E319" s="153"/>
      <c r="F319" s="155"/>
      <c r="G319" s="155"/>
      <c r="H319" s="155"/>
      <c r="I319" s="153"/>
      <c r="J319" s="153"/>
      <c r="K319" s="153"/>
      <c r="L319" s="155"/>
      <c r="M319" s="155"/>
      <c r="N319" s="155"/>
      <c r="O319" s="158"/>
    </row>
    <row r="320">
      <c r="A320" s="153"/>
      <c r="B320" s="153"/>
      <c r="C320" s="154"/>
      <c r="D320" s="155"/>
      <c r="E320" s="153"/>
      <c r="F320" s="155"/>
      <c r="G320" s="155"/>
      <c r="H320" s="155"/>
      <c r="I320" s="153"/>
      <c r="J320" s="153"/>
      <c r="K320" s="153"/>
      <c r="L320" s="155"/>
      <c r="M320" s="155"/>
      <c r="N320" s="155"/>
      <c r="O320" s="158"/>
    </row>
    <row r="321">
      <c r="A321" s="153"/>
      <c r="B321" s="153"/>
      <c r="C321" s="154"/>
      <c r="D321" s="155"/>
      <c r="E321" s="153"/>
      <c r="F321" s="155"/>
      <c r="G321" s="155"/>
      <c r="H321" s="155"/>
      <c r="I321" s="153"/>
      <c r="J321" s="153"/>
      <c r="K321" s="153"/>
      <c r="L321" s="155"/>
      <c r="M321" s="155"/>
      <c r="N321" s="155"/>
      <c r="O321" s="158"/>
    </row>
    <row r="322">
      <c r="A322" s="153"/>
      <c r="B322" s="153"/>
      <c r="C322" s="154"/>
      <c r="D322" s="155"/>
      <c r="E322" s="153"/>
      <c r="F322" s="155"/>
      <c r="G322" s="155"/>
      <c r="H322" s="155"/>
      <c r="I322" s="153"/>
      <c r="J322" s="153"/>
      <c r="K322" s="153"/>
      <c r="L322" s="155"/>
      <c r="M322" s="155"/>
      <c r="N322" s="155"/>
      <c r="O322" s="158"/>
    </row>
    <row r="323">
      <c r="A323" s="153"/>
      <c r="B323" s="153"/>
      <c r="C323" s="154"/>
      <c r="D323" s="155"/>
      <c r="E323" s="153"/>
      <c r="F323" s="155"/>
      <c r="G323" s="155"/>
      <c r="H323" s="155"/>
      <c r="I323" s="153"/>
      <c r="J323" s="153"/>
      <c r="K323" s="153"/>
      <c r="L323" s="155"/>
      <c r="M323" s="155"/>
      <c r="N323" s="155"/>
      <c r="O323" s="158"/>
    </row>
    <row r="324">
      <c r="A324" s="153"/>
      <c r="B324" s="153"/>
      <c r="C324" s="154"/>
      <c r="D324" s="155"/>
      <c r="E324" s="153"/>
      <c r="F324" s="155"/>
      <c r="G324" s="155"/>
      <c r="H324" s="155"/>
      <c r="I324" s="153"/>
      <c r="J324" s="153"/>
      <c r="K324" s="153"/>
      <c r="L324" s="155"/>
      <c r="M324" s="155"/>
      <c r="N324" s="155"/>
      <c r="O324" s="158"/>
    </row>
    <row r="325">
      <c r="A325" s="153"/>
      <c r="B325" s="153"/>
      <c r="C325" s="154"/>
      <c r="D325" s="155"/>
      <c r="E325" s="153"/>
      <c r="F325" s="155"/>
      <c r="G325" s="155"/>
      <c r="H325" s="155"/>
      <c r="I325" s="153"/>
      <c r="J325" s="153"/>
      <c r="K325" s="153"/>
      <c r="L325" s="155"/>
      <c r="M325" s="155"/>
      <c r="N325" s="155"/>
      <c r="O325" s="158"/>
    </row>
    <row r="326">
      <c r="A326" s="153"/>
      <c r="B326" s="153"/>
      <c r="C326" s="154"/>
      <c r="D326" s="155"/>
      <c r="E326" s="153"/>
      <c r="F326" s="155"/>
      <c r="G326" s="155"/>
      <c r="H326" s="155"/>
      <c r="I326" s="153"/>
      <c r="J326" s="153"/>
      <c r="K326" s="153"/>
      <c r="L326" s="155"/>
      <c r="M326" s="155"/>
      <c r="N326" s="155"/>
      <c r="O326" s="158"/>
    </row>
    <row r="327">
      <c r="A327" s="153"/>
      <c r="B327" s="153"/>
      <c r="C327" s="154"/>
      <c r="D327" s="155"/>
      <c r="E327" s="153"/>
      <c r="F327" s="155"/>
      <c r="G327" s="155"/>
      <c r="H327" s="155"/>
      <c r="I327" s="153"/>
      <c r="J327" s="153"/>
      <c r="K327" s="153"/>
      <c r="L327" s="155"/>
      <c r="M327" s="155"/>
      <c r="N327" s="155"/>
      <c r="O327" s="158"/>
    </row>
    <row r="328">
      <c r="A328" s="153"/>
      <c r="B328" s="153"/>
      <c r="C328" s="154"/>
      <c r="D328" s="155"/>
      <c r="E328" s="153"/>
      <c r="F328" s="155"/>
      <c r="G328" s="155"/>
      <c r="H328" s="155"/>
      <c r="I328" s="153"/>
      <c r="J328" s="153"/>
      <c r="K328" s="153"/>
      <c r="L328" s="155"/>
      <c r="M328" s="155"/>
      <c r="N328" s="155"/>
      <c r="O328" s="158"/>
    </row>
    <row r="329">
      <c r="A329" s="153"/>
      <c r="B329" s="153"/>
      <c r="C329" s="154"/>
      <c r="D329" s="155"/>
      <c r="E329" s="153"/>
      <c r="F329" s="155"/>
      <c r="G329" s="155"/>
      <c r="H329" s="155"/>
      <c r="I329" s="153"/>
      <c r="J329" s="153"/>
      <c r="K329" s="153"/>
      <c r="L329" s="155"/>
      <c r="M329" s="155"/>
      <c r="N329" s="155"/>
      <c r="O329" s="158"/>
    </row>
    <row r="330">
      <c r="A330" s="153"/>
      <c r="B330" s="153"/>
      <c r="C330" s="154"/>
      <c r="D330" s="155"/>
      <c r="E330" s="153"/>
      <c r="F330" s="155"/>
      <c r="G330" s="155"/>
      <c r="H330" s="155"/>
      <c r="I330" s="153"/>
      <c r="J330" s="153"/>
      <c r="K330" s="153"/>
      <c r="L330" s="155"/>
      <c r="M330" s="155"/>
      <c r="N330" s="155"/>
      <c r="O330" s="158"/>
    </row>
    <row r="331">
      <c r="A331" s="153"/>
      <c r="B331" s="153"/>
      <c r="C331" s="154"/>
      <c r="D331" s="155"/>
      <c r="E331" s="153"/>
      <c r="F331" s="155"/>
      <c r="G331" s="155"/>
      <c r="H331" s="155"/>
      <c r="I331" s="153"/>
      <c r="J331" s="153"/>
      <c r="K331" s="153"/>
      <c r="L331" s="155"/>
      <c r="M331" s="155"/>
      <c r="N331" s="155"/>
      <c r="O331" s="158"/>
    </row>
    <row r="332">
      <c r="A332" s="153"/>
      <c r="B332" s="153"/>
      <c r="C332" s="154"/>
      <c r="D332" s="155"/>
      <c r="E332" s="153"/>
      <c r="F332" s="155"/>
      <c r="G332" s="155"/>
      <c r="H332" s="155"/>
      <c r="I332" s="153"/>
      <c r="J332" s="153"/>
      <c r="K332" s="153"/>
      <c r="L332" s="155"/>
      <c r="M332" s="155"/>
      <c r="N332" s="155"/>
      <c r="O332" s="158"/>
    </row>
    <row r="333">
      <c r="A333" s="153"/>
      <c r="B333" s="153"/>
      <c r="C333" s="154"/>
      <c r="D333" s="155"/>
      <c r="E333" s="153"/>
      <c r="F333" s="155"/>
      <c r="G333" s="155"/>
      <c r="H333" s="155"/>
      <c r="I333" s="153"/>
      <c r="J333" s="153"/>
      <c r="K333" s="153"/>
      <c r="L333" s="155"/>
      <c r="M333" s="155"/>
      <c r="N333" s="155"/>
      <c r="O333" s="158"/>
    </row>
    <row r="334">
      <c r="A334" s="153"/>
      <c r="B334" s="153"/>
      <c r="C334" s="154"/>
      <c r="D334" s="155"/>
      <c r="E334" s="153"/>
      <c r="F334" s="155"/>
      <c r="G334" s="155"/>
      <c r="H334" s="155"/>
      <c r="I334" s="153"/>
      <c r="J334" s="153"/>
      <c r="K334" s="153"/>
      <c r="L334" s="155"/>
      <c r="M334" s="155"/>
      <c r="N334" s="155"/>
      <c r="O334" s="158"/>
    </row>
    <row r="335">
      <c r="A335" s="153"/>
      <c r="B335" s="153"/>
      <c r="C335" s="154"/>
      <c r="D335" s="155"/>
      <c r="E335" s="153"/>
      <c r="F335" s="155"/>
      <c r="G335" s="155"/>
      <c r="H335" s="155"/>
      <c r="I335" s="153"/>
      <c r="J335" s="153"/>
      <c r="K335" s="153"/>
      <c r="L335" s="155"/>
      <c r="M335" s="155"/>
      <c r="N335" s="155"/>
      <c r="O335" s="158"/>
    </row>
    <row r="336">
      <c r="A336" s="153"/>
      <c r="B336" s="153"/>
      <c r="C336" s="154"/>
      <c r="D336" s="155"/>
      <c r="E336" s="153"/>
      <c r="F336" s="155"/>
      <c r="G336" s="155"/>
      <c r="H336" s="155"/>
      <c r="I336" s="153"/>
      <c r="J336" s="153"/>
      <c r="K336" s="153"/>
      <c r="L336" s="155"/>
      <c r="M336" s="155"/>
      <c r="N336" s="155"/>
      <c r="O336" s="158"/>
    </row>
    <row r="337">
      <c r="A337" s="153"/>
      <c r="B337" s="153"/>
      <c r="C337" s="154"/>
      <c r="D337" s="155"/>
      <c r="E337" s="153"/>
      <c r="F337" s="155"/>
      <c r="G337" s="155"/>
      <c r="H337" s="155"/>
      <c r="I337" s="153"/>
      <c r="J337" s="153"/>
      <c r="K337" s="153"/>
      <c r="L337" s="155"/>
      <c r="M337" s="155"/>
      <c r="N337" s="155"/>
      <c r="O337" s="158"/>
    </row>
    <row r="338">
      <c r="A338" s="153"/>
      <c r="B338" s="153"/>
      <c r="C338" s="154"/>
      <c r="D338" s="155"/>
      <c r="E338" s="153"/>
      <c r="F338" s="155"/>
      <c r="G338" s="155"/>
      <c r="H338" s="155"/>
      <c r="I338" s="153"/>
      <c r="J338" s="153"/>
      <c r="K338" s="153"/>
      <c r="L338" s="155"/>
      <c r="M338" s="155"/>
      <c r="N338" s="155"/>
      <c r="O338" s="158"/>
    </row>
    <row r="339">
      <c r="A339" s="153"/>
      <c r="B339" s="153"/>
      <c r="C339" s="154"/>
      <c r="D339" s="155"/>
      <c r="E339" s="153"/>
      <c r="F339" s="155"/>
      <c r="G339" s="155"/>
      <c r="H339" s="155"/>
      <c r="I339" s="153"/>
      <c r="J339" s="153"/>
      <c r="K339" s="153"/>
      <c r="L339" s="155"/>
      <c r="M339" s="155"/>
      <c r="N339" s="155"/>
      <c r="O339" s="158"/>
    </row>
    <row r="340">
      <c r="A340" s="153"/>
      <c r="B340" s="153"/>
      <c r="C340" s="154"/>
      <c r="D340" s="155"/>
      <c r="E340" s="153"/>
      <c r="F340" s="155"/>
      <c r="G340" s="155"/>
      <c r="H340" s="155"/>
      <c r="I340" s="153"/>
      <c r="J340" s="153"/>
      <c r="K340" s="153"/>
      <c r="L340" s="155"/>
      <c r="M340" s="155"/>
      <c r="N340" s="155"/>
      <c r="O340" s="158"/>
    </row>
    <row r="341">
      <c r="A341" s="153"/>
      <c r="B341" s="153"/>
      <c r="C341" s="154"/>
      <c r="D341" s="155"/>
      <c r="E341" s="153"/>
      <c r="F341" s="155"/>
      <c r="G341" s="155"/>
      <c r="H341" s="155"/>
      <c r="I341" s="153"/>
      <c r="J341" s="153"/>
      <c r="K341" s="153"/>
      <c r="L341" s="155"/>
      <c r="M341" s="155"/>
      <c r="N341" s="155"/>
      <c r="O341" s="158"/>
    </row>
    <row r="342">
      <c r="A342" s="153"/>
      <c r="B342" s="153"/>
      <c r="C342" s="154"/>
      <c r="D342" s="155"/>
      <c r="E342" s="153"/>
      <c r="F342" s="155"/>
      <c r="G342" s="155"/>
      <c r="H342" s="155"/>
      <c r="I342" s="153"/>
      <c r="J342" s="153"/>
      <c r="K342" s="153"/>
      <c r="L342" s="155"/>
      <c r="M342" s="155"/>
      <c r="N342" s="155"/>
      <c r="O342" s="158"/>
    </row>
    <row r="343">
      <c r="A343" s="153"/>
      <c r="B343" s="153"/>
      <c r="C343" s="154"/>
      <c r="D343" s="155"/>
      <c r="E343" s="153"/>
      <c r="F343" s="155"/>
      <c r="G343" s="155"/>
      <c r="H343" s="155"/>
      <c r="I343" s="153"/>
      <c r="J343" s="153"/>
      <c r="K343" s="153"/>
      <c r="L343" s="155"/>
      <c r="M343" s="155"/>
      <c r="N343" s="155"/>
      <c r="O343" s="158"/>
    </row>
    <row r="344">
      <c r="A344" s="153"/>
      <c r="B344" s="153"/>
      <c r="C344" s="154"/>
      <c r="D344" s="155"/>
      <c r="E344" s="153"/>
      <c r="F344" s="155"/>
      <c r="G344" s="155"/>
      <c r="H344" s="155"/>
      <c r="I344" s="153"/>
      <c r="J344" s="153"/>
      <c r="K344" s="153"/>
      <c r="L344" s="155"/>
      <c r="M344" s="155"/>
      <c r="N344" s="155"/>
      <c r="O344" s="158"/>
    </row>
    <row r="345">
      <c r="A345" s="153"/>
      <c r="B345" s="153"/>
      <c r="C345" s="154"/>
      <c r="D345" s="155"/>
      <c r="E345" s="153"/>
      <c r="F345" s="155"/>
      <c r="G345" s="155"/>
      <c r="H345" s="155"/>
      <c r="I345" s="153"/>
      <c r="J345" s="153"/>
      <c r="K345" s="153"/>
      <c r="L345" s="155"/>
      <c r="M345" s="155"/>
      <c r="N345" s="155"/>
      <c r="O345" s="158"/>
    </row>
    <row r="346">
      <c r="A346" s="153"/>
      <c r="B346" s="153"/>
      <c r="C346" s="154"/>
      <c r="D346" s="155"/>
      <c r="E346" s="153"/>
      <c r="F346" s="155"/>
      <c r="G346" s="155"/>
      <c r="H346" s="155"/>
      <c r="I346" s="153"/>
      <c r="J346" s="153"/>
      <c r="K346" s="153"/>
      <c r="L346" s="155"/>
      <c r="M346" s="155"/>
      <c r="N346" s="155"/>
      <c r="O346" s="158"/>
    </row>
    <row r="347">
      <c r="A347" s="153"/>
      <c r="B347" s="153"/>
      <c r="C347" s="154"/>
      <c r="D347" s="155"/>
      <c r="E347" s="153"/>
      <c r="F347" s="155"/>
      <c r="G347" s="155"/>
      <c r="H347" s="155"/>
      <c r="I347" s="153"/>
      <c r="J347" s="153"/>
      <c r="K347" s="153"/>
      <c r="L347" s="155"/>
      <c r="M347" s="155"/>
      <c r="N347" s="155"/>
      <c r="O347" s="158"/>
    </row>
    <row r="348">
      <c r="A348" s="153"/>
      <c r="B348" s="153"/>
      <c r="C348" s="154"/>
      <c r="D348" s="155"/>
      <c r="E348" s="153"/>
      <c r="F348" s="155"/>
      <c r="G348" s="155"/>
      <c r="H348" s="155"/>
      <c r="I348" s="153"/>
      <c r="J348" s="153"/>
      <c r="K348" s="153"/>
      <c r="L348" s="155"/>
      <c r="M348" s="155"/>
      <c r="N348" s="155"/>
      <c r="O348" s="158"/>
    </row>
    <row r="349">
      <c r="A349" s="153"/>
      <c r="B349" s="153"/>
      <c r="C349" s="154"/>
      <c r="D349" s="155"/>
      <c r="E349" s="153"/>
      <c r="F349" s="155"/>
      <c r="G349" s="155"/>
      <c r="H349" s="155"/>
      <c r="I349" s="153"/>
      <c r="J349" s="153"/>
      <c r="K349" s="153"/>
      <c r="L349" s="155"/>
      <c r="M349" s="155"/>
      <c r="N349" s="155"/>
      <c r="O349" s="158"/>
    </row>
    <row r="350">
      <c r="A350" s="153"/>
      <c r="B350" s="153"/>
      <c r="C350" s="154"/>
      <c r="D350" s="155"/>
      <c r="E350" s="153"/>
      <c r="F350" s="155"/>
      <c r="G350" s="155"/>
      <c r="H350" s="155"/>
      <c r="I350" s="153"/>
      <c r="J350" s="153"/>
      <c r="K350" s="153"/>
      <c r="L350" s="155"/>
      <c r="M350" s="155"/>
      <c r="N350" s="155"/>
      <c r="O350" s="158"/>
    </row>
    <row r="351">
      <c r="A351" s="153"/>
      <c r="B351" s="153"/>
      <c r="C351" s="154"/>
      <c r="D351" s="155"/>
      <c r="E351" s="153"/>
      <c r="F351" s="155"/>
      <c r="G351" s="155"/>
      <c r="H351" s="155"/>
      <c r="I351" s="153"/>
      <c r="J351" s="153"/>
      <c r="K351" s="153"/>
      <c r="L351" s="155"/>
      <c r="M351" s="155"/>
      <c r="N351" s="155"/>
      <c r="O351" s="158"/>
    </row>
    <row r="352">
      <c r="A352" s="153"/>
      <c r="B352" s="153"/>
      <c r="C352" s="154"/>
      <c r="D352" s="155"/>
      <c r="E352" s="153"/>
      <c r="F352" s="155"/>
      <c r="G352" s="155"/>
      <c r="H352" s="155"/>
      <c r="I352" s="153"/>
      <c r="J352" s="153"/>
      <c r="K352" s="153"/>
      <c r="L352" s="155"/>
      <c r="M352" s="155"/>
      <c r="N352" s="155"/>
      <c r="O352" s="158"/>
    </row>
    <row r="353">
      <c r="A353" s="153"/>
      <c r="B353" s="153"/>
      <c r="C353" s="154"/>
      <c r="D353" s="155"/>
      <c r="E353" s="153"/>
      <c r="F353" s="155"/>
      <c r="G353" s="155"/>
      <c r="H353" s="155"/>
      <c r="I353" s="153"/>
      <c r="J353" s="153"/>
      <c r="K353" s="153"/>
      <c r="L353" s="155"/>
      <c r="M353" s="155"/>
      <c r="N353" s="155"/>
      <c r="O353" s="158"/>
    </row>
    <row r="354">
      <c r="A354" s="153"/>
      <c r="B354" s="153"/>
      <c r="C354" s="154"/>
      <c r="D354" s="155"/>
      <c r="E354" s="153"/>
      <c r="F354" s="155"/>
      <c r="G354" s="155"/>
      <c r="H354" s="155"/>
      <c r="I354" s="153"/>
      <c r="J354" s="153"/>
      <c r="K354" s="153"/>
      <c r="L354" s="155"/>
      <c r="M354" s="155"/>
      <c r="N354" s="155"/>
      <c r="O354" s="158"/>
    </row>
    <row r="355">
      <c r="A355" s="153"/>
      <c r="B355" s="153"/>
      <c r="C355" s="154"/>
      <c r="D355" s="155"/>
      <c r="E355" s="153"/>
      <c r="F355" s="155"/>
      <c r="G355" s="155"/>
      <c r="H355" s="155"/>
      <c r="I355" s="153"/>
      <c r="J355" s="153"/>
      <c r="K355" s="153"/>
      <c r="L355" s="155"/>
      <c r="M355" s="155"/>
      <c r="N355" s="155"/>
      <c r="O355" s="158"/>
    </row>
    <row r="356">
      <c r="A356" s="153"/>
      <c r="B356" s="153"/>
      <c r="C356" s="154"/>
      <c r="D356" s="155"/>
      <c r="E356" s="153"/>
      <c r="F356" s="155"/>
      <c r="G356" s="155"/>
      <c r="H356" s="155"/>
      <c r="I356" s="153"/>
      <c r="J356" s="153"/>
      <c r="K356" s="153"/>
      <c r="L356" s="155"/>
      <c r="M356" s="155"/>
      <c r="N356" s="155"/>
      <c r="O356" s="158"/>
    </row>
    <row r="357">
      <c r="A357" s="153"/>
      <c r="B357" s="153"/>
      <c r="C357" s="154"/>
      <c r="D357" s="155"/>
      <c r="E357" s="153"/>
      <c r="F357" s="155"/>
      <c r="G357" s="155"/>
      <c r="H357" s="155"/>
      <c r="I357" s="153"/>
      <c r="J357" s="153"/>
      <c r="K357" s="153"/>
      <c r="L357" s="155"/>
      <c r="M357" s="155"/>
      <c r="N357" s="155"/>
      <c r="O357" s="158"/>
    </row>
    <row r="358">
      <c r="A358" s="153"/>
      <c r="B358" s="153"/>
      <c r="C358" s="154"/>
      <c r="D358" s="155"/>
      <c r="E358" s="153"/>
      <c r="F358" s="155"/>
      <c r="G358" s="155"/>
      <c r="H358" s="155"/>
      <c r="I358" s="153"/>
      <c r="J358" s="153"/>
      <c r="K358" s="153"/>
      <c r="L358" s="155"/>
      <c r="M358" s="155"/>
      <c r="N358" s="155"/>
      <c r="O358" s="158"/>
    </row>
    <row r="359">
      <c r="A359" s="153"/>
      <c r="B359" s="153"/>
      <c r="C359" s="154"/>
      <c r="D359" s="155"/>
      <c r="E359" s="153"/>
      <c r="F359" s="155"/>
      <c r="G359" s="155"/>
      <c r="H359" s="155"/>
      <c r="I359" s="153"/>
      <c r="J359" s="153"/>
      <c r="K359" s="153"/>
      <c r="L359" s="155"/>
      <c r="M359" s="155"/>
      <c r="N359" s="155"/>
      <c r="O359" s="158"/>
    </row>
    <row r="360">
      <c r="A360" s="153"/>
      <c r="B360" s="153"/>
      <c r="C360" s="154"/>
      <c r="D360" s="155"/>
      <c r="E360" s="153"/>
      <c r="F360" s="155"/>
      <c r="G360" s="155"/>
      <c r="H360" s="155"/>
      <c r="I360" s="153"/>
      <c r="J360" s="153"/>
      <c r="K360" s="153"/>
      <c r="L360" s="155"/>
      <c r="M360" s="155"/>
      <c r="N360" s="155"/>
      <c r="O360" s="158"/>
    </row>
    <row r="361">
      <c r="A361" s="153"/>
      <c r="B361" s="153"/>
      <c r="C361" s="154"/>
      <c r="D361" s="155"/>
      <c r="E361" s="153"/>
      <c r="F361" s="155"/>
      <c r="G361" s="155"/>
      <c r="H361" s="155"/>
      <c r="I361" s="153"/>
      <c r="J361" s="153"/>
      <c r="K361" s="153"/>
      <c r="L361" s="155"/>
      <c r="M361" s="155"/>
      <c r="N361" s="155"/>
      <c r="O361" s="158"/>
    </row>
    <row r="362">
      <c r="A362" s="153"/>
      <c r="B362" s="153"/>
      <c r="C362" s="154"/>
      <c r="D362" s="155"/>
      <c r="E362" s="153"/>
      <c r="F362" s="155"/>
      <c r="G362" s="155"/>
      <c r="H362" s="155"/>
      <c r="I362" s="153"/>
      <c r="J362" s="153"/>
      <c r="K362" s="153"/>
      <c r="L362" s="155"/>
      <c r="M362" s="155"/>
      <c r="N362" s="155"/>
      <c r="O362" s="158"/>
    </row>
    <row r="363">
      <c r="A363" s="153"/>
      <c r="B363" s="153"/>
      <c r="C363" s="154"/>
      <c r="D363" s="155"/>
      <c r="E363" s="153"/>
      <c r="F363" s="155"/>
      <c r="G363" s="155"/>
      <c r="H363" s="155"/>
      <c r="I363" s="153"/>
      <c r="J363" s="153"/>
      <c r="K363" s="153"/>
      <c r="L363" s="155"/>
      <c r="M363" s="155"/>
      <c r="N363" s="155"/>
      <c r="O363" s="158"/>
    </row>
    <row r="364">
      <c r="A364" s="153"/>
      <c r="B364" s="153"/>
      <c r="C364" s="154"/>
      <c r="D364" s="155"/>
      <c r="E364" s="153"/>
      <c r="F364" s="155"/>
      <c r="G364" s="155"/>
      <c r="H364" s="155"/>
      <c r="I364" s="153"/>
      <c r="J364" s="153"/>
      <c r="K364" s="153"/>
      <c r="L364" s="155"/>
      <c r="M364" s="155"/>
      <c r="N364" s="155"/>
      <c r="O364" s="158"/>
    </row>
    <row r="365">
      <c r="A365" s="153"/>
      <c r="B365" s="153"/>
      <c r="C365" s="154"/>
      <c r="D365" s="155"/>
      <c r="E365" s="153"/>
      <c r="F365" s="155"/>
      <c r="G365" s="155"/>
      <c r="H365" s="155"/>
      <c r="I365" s="153"/>
      <c r="J365" s="153"/>
      <c r="K365" s="153"/>
      <c r="L365" s="155"/>
      <c r="M365" s="155"/>
      <c r="N365" s="155"/>
      <c r="O365" s="158"/>
    </row>
    <row r="366">
      <c r="A366" s="153"/>
      <c r="B366" s="153"/>
      <c r="C366" s="154"/>
      <c r="D366" s="155"/>
      <c r="E366" s="153"/>
      <c r="F366" s="155"/>
      <c r="G366" s="155"/>
      <c r="H366" s="155"/>
      <c r="I366" s="153"/>
      <c r="J366" s="153"/>
      <c r="K366" s="153"/>
      <c r="L366" s="155"/>
      <c r="M366" s="155"/>
      <c r="N366" s="155"/>
      <c r="O366" s="158"/>
    </row>
    <row r="367">
      <c r="A367" s="153"/>
      <c r="B367" s="153"/>
      <c r="C367" s="154"/>
      <c r="D367" s="155"/>
      <c r="E367" s="153"/>
      <c r="F367" s="155"/>
      <c r="G367" s="155"/>
      <c r="H367" s="155"/>
      <c r="I367" s="153"/>
      <c r="J367" s="153"/>
      <c r="K367" s="153"/>
      <c r="L367" s="155"/>
      <c r="M367" s="155"/>
      <c r="N367" s="155"/>
      <c r="O367" s="158"/>
    </row>
    <row r="368">
      <c r="A368" s="153"/>
      <c r="B368" s="153"/>
      <c r="C368" s="154"/>
      <c r="D368" s="155"/>
      <c r="E368" s="153"/>
      <c r="F368" s="155"/>
      <c r="G368" s="155"/>
      <c r="H368" s="155"/>
      <c r="I368" s="153"/>
      <c r="J368" s="153"/>
      <c r="K368" s="153"/>
      <c r="L368" s="155"/>
      <c r="M368" s="155"/>
      <c r="N368" s="155"/>
      <c r="O368" s="158"/>
    </row>
    <row r="369">
      <c r="A369" s="153"/>
      <c r="B369" s="153"/>
      <c r="C369" s="154"/>
      <c r="D369" s="155"/>
      <c r="E369" s="153"/>
      <c r="F369" s="155"/>
      <c r="G369" s="155"/>
      <c r="H369" s="155"/>
      <c r="I369" s="153"/>
      <c r="J369" s="153"/>
      <c r="K369" s="153"/>
      <c r="L369" s="155"/>
      <c r="M369" s="155"/>
      <c r="N369" s="155"/>
      <c r="O369" s="158"/>
    </row>
    <row r="370">
      <c r="A370" s="153"/>
      <c r="B370" s="153"/>
      <c r="C370" s="154"/>
      <c r="D370" s="155"/>
      <c r="E370" s="153"/>
      <c r="F370" s="155"/>
      <c r="G370" s="155"/>
      <c r="H370" s="155"/>
      <c r="I370" s="153"/>
      <c r="J370" s="153"/>
      <c r="K370" s="153"/>
      <c r="L370" s="155"/>
      <c r="M370" s="155"/>
      <c r="N370" s="155"/>
      <c r="O370" s="158"/>
    </row>
    <row r="371">
      <c r="A371" s="153"/>
      <c r="B371" s="153"/>
      <c r="C371" s="154"/>
      <c r="D371" s="155"/>
      <c r="E371" s="153"/>
      <c r="F371" s="155"/>
      <c r="G371" s="155"/>
      <c r="H371" s="155"/>
      <c r="I371" s="153"/>
      <c r="J371" s="153"/>
      <c r="K371" s="153"/>
      <c r="L371" s="155"/>
      <c r="M371" s="155"/>
      <c r="N371" s="155"/>
      <c r="O371" s="158"/>
    </row>
    <row r="372">
      <c r="A372" s="153"/>
      <c r="B372" s="153"/>
      <c r="C372" s="154"/>
      <c r="D372" s="155"/>
      <c r="E372" s="153"/>
      <c r="F372" s="155"/>
      <c r="G372" s="155"/>
      <c r="H372" s="155"/>
      <c r="I372" s="153"/>
      <c r="J372" s="153"/>
      <c r="K372" s="153"/>
      <c r="L372" s="155"/>
      <c r="M372" s="155"/>
      <c r="N372" s="155"/>
      <c r="O372" s="158"/>
    </row>
    <row r="373">
      <c r="A373" s="153"/>
      <c r="B373" s="153"/>
      <c r="C373" s="154"/>
      <c r="D373" s="155"/>
      <c r="E373" s="153"/>
      <c r="F373" s="155"/>
      <c r="G373" s="155"/>
      <c r="H373" s="155"/>
      <c r="I373" s="153"/>
      <c r="J373" s="153"/>
      <c r="K373" s="153"/>
      <c r="L373" s="155"/>
      <c r="M373" s="155"/>
      <c r="N373" s="155"/>
      <c r="O373" s="158"/>
    </row>
    <row r="374">
      <c r="A374" s="153"/>
      <c r="B374" s="153"/>
      <c r="C374" s="154"/>
      <c r="D374" s="155"/>
      <c r="E374" s="153"/>
      <c r="F374" s="155"/>
      <c r="G374" s="155"/>
      <c r="H374" s="155"/>
      <c r="I374" s="153"/>
      <c r="J374" s="153"/>
      <c r="K374" s="153"/>
      <c r="L374" s="155"/>
      <c r="M374" s="155"/>
      <c r="N374" s="155"/>
      <c r="O374" s="158"/>
    </row>
    <row r="375">
      <c r="A375" s="153"/>
      <c r="B375" s="153"/>
      <c r="C375" s="154"/>
      <c r="D375" s="155"/>
      <c r="E375" s="153"/>
      <c r="F375" s="155"/>
      <c r="G375" s="155"/>
      <c r="H375" s="155"/>
      <c r="I375" s="153"/>
      <c r="J375" s="153"/>
      <c r="K375" s="153"/>
      <c r="L375" s="155"/>
      <c r="M375" s="155"/>
      <c r="N375" s="155"/>
      <c r="O375" s="158"/>
    </row>
    <row r="376">
      <c r="A376" s="153"/>
      <c r="B376" s="153"/>
      <c r="C376" s="154"/>
      <c r="D376" s="155"/>
      <c r="E376" s="153"/>
      <c r="F376" s="155"/>
      <c r="G376" s="155"/>
      <c r="H376" s="155"/>
      <c r="I376" s="153"/>
      <c r="J376" s="153"/>
      <c r="K376" s="153"/>
      <c r="L376" s="155"/>
      <c r="M376" s="155"/>
      <c r="N376" s="155"/>
      <c r="O376" s="158"/>
    </row>
    <row r="377">
      <c r="A377" s="153"/>
      <c r="B377" s="153"/>
      <c r="C377" s="154"/>
      <c r="D377" s="155"/>
      <c r="E377" s="153"/>
      <c r="F377" s="155"/>
      <c r="G377" s="155"/>
      <c r="H377" s="155"/>
      <c r="I377" s="153"/>
      <c r="J377" s="153"/>
      <c r="K377" s="153"/>
      <c r="L377" s="155"/>
      <c r="M377" s="155"/>
      <c r="N377" s="155"/>
      <c r="O377" s="158"/>
    </row>
    <row r="378">
      <c r="A378" s="153"/>
      <c r="B378" s="153"/>
      <c r="C378" s="154"/>
      <c r="D378" s="155"/>
      <c r="E378" s="153"/>
      <c r="F378" s="155"/>
      <c r="G378" s="155"/>
      <c r="H378" s="155"/>
      <c r="I378" s="153"/>
      <c r="J378" s="153"/>
      <c r="K378" s="153"/>
      <c r="L378" s="155"/>
      <c r="M378" s="155"/>
      <c r="N378" s="155"/>
      <c r="O378" s="158"/>
    </row>
    <row r="379">
      <c r="A379" s="153"/>
      <c r="B379" s="153"/>
      <c r="C379" s="154"/>
      <c r="D379" s="155"/>
      <c r="E379" s="153"/>
      <c r="F379" s="155"/>
      <c r="G379" s="155"/>
      <c r="H379" s="155"/>
      <c r="I379" s="153"/>
      <c r="J379" s="153"/>
      <c r="K379" s="153"/>
      <c r="L379" s="155"/>
      <c r="M379" s="155"/>
      <c r="N379" s="155"/>
      <c r="O379" s="158"/>
    </row>
    <row r="380">
      <c r="A380" s="153"/>
      <c r="B380" s="153"/>
      <c r="C380" s="154"/>
      <c r="D380" s="155"/>
      <c r="E380" s="153"/>
      <c r="F380" s="155"/>
      <c r="G380" s="155"/>
      <c r="H380" s="155"/>
      <c r="I380" s="153"/>
      <c r="J380" s="153"/>
      <c r="K380" s="153"/>
      <c r="L380" s="155"/>
      <c r="M380" s="155"/>
      <c r="N380" s="155"/>
      <c r="O380" s="158"/>
    </row>
    <row r="381">
      <c r="A381" s="153"/>
      <c r="B381" s="153"/>
      <c r="C381" s="154"/>
      <c r="D381" s="155"/>
      <c r="E381" s="153"/>
      <c r="F381" s="155"/>
      <c r="G381" s="155"/>
      <c r="H381" s="155"/>
      <c r="I381" s="153"/>
      <c r="J381" s="153"/>
      <c r="K381" s="153"/>
      <c r="L381" s="155"/>
      <c r="M381" s="155"/>
      <c r="N381" s="155"/>
      <c r="O381" s="158"/>
    </row>
    <row r="382">
      <c r="A382" s="153"/>
      <c r="B382" s="153"/>
      <c r="C382" s="154"/>
      <c r="D382" s="155"/>
      <c r="E382" s="153"/>
      <c r="F382" s="155"/>
      <c r="G382" s="155"/>
      <c r="H382" s="155"/>
      <c r="I382" s="153"/>
      <c r="J382" s="153"/>
      <c r="K382" s="153"/>
      <c r="L382" s="155"/>
      <c r="M382" s="155"/>
      <c r="N382" s="155"/>
      <c r="O382" s="158"/>
    </row>
    <row r="383">
      <c r="A383" s="153"/>
      <c r="B383" s="153"/>
      <c r="C383" s="154"/>
      <c r="D383" s="155"/>
      <c r="E383" s="153"/>
      <c r="F383" s="155"/>
      <c r="G383" s="155"/>
      <c r="H383" s="155"/>
      <c r="I383" s="153"/>
      <c r="J383" s="153"/>
      <c r="K383" s="153"/>
      <c r="L383" s="155"/>
      <c r="M383" s="155"/>
      <c r="N383" s="155"/>
      <c r="O383" s="158"/>
    </row>
    <row r="384">
      <c r="A384" s="153"/>
      <c r="B384" s="153"/>
      <c r="C384" s="154"/>
      <c r="D384" s="155"/>
      <c r="E384" s="153"/>
      <c r="F384" s="155"/>
      <c r="G384" s="155"/>
      <c r="H384" s="155"/>
      <c r="I384" s="153"/>
      <c r="J384" s="153"/>
      <c r="K384" s="153"/>
      <c r="L384" s="155"/>
      <c r="M384" s="155"/>
      <c r="N384" s="155"/>
      <c r="O384" s="158"/>
    </row>
    <row r="385">
      <c r="A385" s="153"/>
      <c r="B385" s="153"/>
      <c r="C385" s="154"/>
      <c r="D385" s="155"/>
      <c r="E385" s="153"/>
      <c r="F385" s="155"/>
      <c r="G385" s="155"/>
      <c r="H385" s="155"/>
      <c r="I385" s="153"/>
      <c r="J385" s="153"/>
      <c r="K385" s="153"/>
      <c r="L385" s="155"/>
      <c r="M385" s="155"/>
      <c r="N385" s="155"/>
      <c r="O385" s="158"/>
    </row>
    <row r="386">
      <c r="A386" s="153"/>
      <c r="B386" s="153"/>
      <c r="C386" s="154"/>
      <c r="D386" s="155"/>
      <c r="E386" s="153"/>
      <c r="F386" s="155"/>
      <c r="G386" s="155"/>
      <c r="H386" s="155"/>
      <c r="I386" s="153"/>
      <c r="J386" s="153"/>
      <c r="K386" s="153"/>
      <c r="L386" s="155"/>
      <c r="M386" s="155"/>
      <c r="N386" s="155"/>
      <c r="O386" s="158"/>
    </row>
    <row r="387">
      <c r="A387" s="153"/>
      <c r="B387" s="153"/>
      <c r="C387" s="154"/>
      <c r="D387" s="155"/>
      <c r="E387" s="153"/>
      <c r="F387" s="155"/>
      <c r="G387" s="155"/>
      <c r="H387" s="155"/>
      <c r="I387" s="153"/>
      <c r="J387" s="153"/>
      <c r="K387" s="153"/>
      <c r="L387" s="155"/>
      <c r="M387" s="155"/>
      <c r="N387" s="155"/>
      <c r="O387" s="158"/>
    </row>
    <row r="388">
      <c r="A388" s="153"/>
      <c r="B388" s="153"/>
      <c r="C388" s="154"/>
      <c r="D388" s="155"/>
      <c r="E388" s="153"/>
      <c r="F388" s="155"/>
      <c r="G388" s="155"/>
      <c r="H388" s="155"/>
      <c r="I388" s="153"/>
      <c r="J388" s="153"/>
      <c r="K388" s="153"/>
      <c r="L388" s="155"/>
      <c r="M388" s="155"/>
      <c r="N388" s="155"/>
      <c r="O388" s="158"/>
    </row>
    <row r="389">
      <c r="A389" s="153"/>
      <c r="B389" s="153"/>
      <c r="C389" s="154"/>
      <c r="D389" s="155"/>
      <c r="E389" s="153"/>
      <c r="F389" s="155"/>
      <c r="G389" s="155"/>
      <c r="H389" s="155"/>
      <c r="I389" s="153"/>
      <c r="J389" s="153"/>
      <c r="K389" s="153"/>
      <c r="L389" s="155"/>
      <c r="M389" s="155"/>
      <c r="N389" s="155"/>
      <c r="O389" s="158"/>
    </row>
    <row r="390">
      <c r="A390" s="153"/>
      <c r="B390" s="153"/>
      <c r="C390" s="154"/>
      <c r="D390" s="155"/>
      <c r="E390" s="153"/>
      <c r="F390" s="155"/>
      <c r="G390" s="155"/>
      <c r="H390" s="155"/>
      <c r="I390" s="153"/>
      <c r="J390" s="153"/>
      <c r="K390" s="153"/>
      <c r="L390" s="155"/>
      <c r="M390" s="155"/>
      <c r="N390" s="155"/>
      <c r="O390" s="158"/>
    </row>
    <row r="391">
      <c r="A391" s="153"/>
      <c r="B391" s="153"/>
      <c r="C391" s="154"/>
      <c r="D391" s="155"/>
      <c r="E391" s="153"/>
      <c r="F391" s="155"/>
      <c r="G391" s="155"/>
      <c r="H391" s="155"/>
      <c r="I391" s="153"/>
      <c r="J391" s="153"/>
      <c r="K391" s="153"/>
      <c r="L391" s="155"/>
      <c r="M391" s="155"/>
      <c r="N391" s="155"/>
      <c r="O391" s="158"/>
    </row>
    <row r="392">
      <c r="A392" s="153"/>
      <c r="B392" s="153"/>
      <c r="C392" s="154"/>
      <c r="D392" s="155"/>
      <c r="E392" s="153"/>
      <c r="F392" s="155"/>
      <c r="G392" s="155"/>
      <c r="H392" s="155"/>
      <c r="I392" s="153"/>
      <c r="J392" s="153"/>
      <c r="K392" s="153"/>
      <c r="L392" s="155"/>
      <c r="M392" s="155"/>
      <c r="N392" s="155"/>
      <c r="O392" s="158"/>
    </row>
    <row r="393">
      <c r="A393" s="153"/>
      <c r="B393" s="153"/>
      <c r="C393" s="154"/>
      <c r="D393" s="155"/>
      <c r="E393" s="153"/>
      <c r="F393" s="155"/>
      <c r="G393" s="155"/>
      <c r="H393" s="155"/>
      <c r="I393" s="153"/>
      <c r="J393" s="153"/>
      <c r="K393" s="153"/>
      <c r="L393" s="155"/>
      <c r="M393" s="155"/>
      <c r="N393" s="155"/>
      <c r="O393" s="158"/>
    </row>
    <row r="394">
      <c r="A394" s="153"/>
      <c r="B394" s="153"/>
      <c r="C394" s="154"/>
      <c r="D394" s="155"/>
      <c r="E394" s="153"/>
      <c r="F394" s="155"/>
      <c r="G394" s="155"/>
      <c r="H394" s="155"/>
      <c r="I394" s="153"/>
      <c r="J394" s="153"/>
      <c r="K394" s="153"/>
      <c r="L394" s="155"/>
      <c r="M394" s="155"/>
      <c r="N394" s="155"/>
      <c r="O394" s="158"/>
    </row>
    <row r="395">
      <c r="A395" s="153"/>
      <c r="B395" s="153"/>
      <c r="C395" s="154"/>
      <c r="D395" s="155"/>
      <c r="E395" s="153"/>
      <c r="F395" s="155"/>
      <c r="G395" s="155"/>
      <c r="H395" s="155"/>
      <c r="I395" s="153"/>
      <c r="J395" s="153"/>
      <c r="K395" s="153"/>
      <c r="L395" s="155"/>
      <c r="M395" s="155"/>
      <c r="N395" s="155"/>
      <c r="O395" s="158"/>
    </row>
    <row r="396">
      <c r="A396" s="153"/>
      <c r="B396" s="153"/>
      <c r="C396" s="154"/>
      <c r="D396" s="155"/>
      <c r="E396" s="153"/>
      <c r="F396" s="155"/>
      <c r="G396" s="155"/>
      <c r="H396" s="155"/>
      <c r="I396" s="153"/>
      <c r="J396" s="153"/>
      <c r="K396" s="153"/>
      <c r="L396" s="155"/>
      <c r="M396" s="155"/>
      <c r="N396" s="155"/>
      <c r="O396" s="158"/>
    </row>
    <row r="397">
      <c r="A397" s="153"/>
      <c r="B397" s="153"/>
      <c r="C397" s="154"/>
      <c r="D397" s="155"/>
      <c r="E397" s="153"/>
      <c r="F397" s="155"/>
      <c r="G397" s="155"/>
      <c r="H397" s="155"/>
      <c r="I397" s="153"/>
      <c r="J397" s="153"/>
      <c r="K397" s="153"/>
      <c r="L397" s="155"/>
      <c r="M397" s="155"/>
      <c r="N397" s="155"/>
      <c r="O397" s="158"/>
    </row>
    <row r="398">
      <c r="A398" s="153"/>
      <c r="B398" s="153"/>
      <c r="C398" s="154"/>
      <c r="D398" s="155"/>
      <c r="E398" s="153"/>
      <c r="F398" s="155"/>
      <c r="G398" s="155"/>
      <c r="H398" s="155"/>
      <c r="I398" s="153"/>
      <c r="J398" s="153"/>
      <c r="K398" s="153"/>
      <c r="L398" s="155"/>
      <c r="M398" s="155"/>
      <c r="N398" s="155"/>
      <c r="O398" s="158"/>
    </row>
    <row r="399">
      <c r="A399" s="153"/>
      <c r="B399" s="153"/>
      <c r="C399" s="154"/>
      <c r="D399" s="155"/>
      <c r="E399" s="153"/>
      <c r="F399" s="155"/>
      <c r="G399" s="155"/>
      <c r="H399" s="155"/>
      <c r="I399" s="153"/>
      <c r="J399" s="153"/>
      <c r="K399" s="153"/>
      <c r="L399" s="155"/>
      <c r="M399" s="155"/>
      <c r="N399" s="155"/>
      <c r="O399" s="158"/>
    </row>
    <row r="400">
      <c r="A400" s="153"/>
      <c r="B400" s="153"/>
      <c r="C400" s="154"/>
      <c r="D400" s="155"/>
      <c r="E400" s="153"/>
      <c r="F400" s="155"/>
      <c r="G400" s="155"/>
      <c r="H400" s="155"/>
      <c r="I400" s="153"/>
      <c r="J400" s="153"/>
      <c r="K400" s="153"/>
      <c r="L400" s="155"/>
      <c r="M400" s="155"/>
      <c r="N400" s="155"/>
      <c r="O400" s="158"/>
    </row>
    <row r="401">
      <c r="A401" s="153"/>
      <c r="B401" s="153"/>
      <c r="C401" s="154"/>
      <c r="D401" s="155"/>
      <c r="E401" s="153"/>
      <c r="F401" s="155"/>
      <c r="G401" s="155"/>
      <c r="H401" s="155"/>
      <c r="I401" s="153"/>
      <c r="J401" s="153"/>
      <c r="K401" s="153"/>
      <c r="L401" s="155"/>
      <c r="M401" s="155"/>
      <c r="N401" s="155"/>
      <c r="O401" s="158"/>
    </row>
    <row r="402">
      <c r="A402" s="153"/>
      <c r="B402" s="153"/>
      <c r="C402" s="154"/>
      <c r="D402" s="155"/>
      <c r="E402" s="153"/>
      <c r="F402" s="155"/>
      <c r="G402" s="155"/>
      <c r="H402" s="155"/>
      <c r="I402" s="153"/>
      <c r="J402" s="153"/>
      <c r="K402" s="153"/>
      <c r="L402" s="155"/>
      <c r="M402" s="155"/>
      <c r="N402" s="155"/>
      <c r="O402" s="158"/>
    </row>
    <row r="403">
      <c r="A403" s="153"/>
      <c r="B403" s="153"/>
      <c r="C403" s="154"/>
      <c r="D403" s="155"/>
      <c r="E403" s="153"/>
      <c r="F403" s="155"/>
      <c r="G403" s="155"/>
      <c r="H403" s="155"/>
      <c r="I403" s="153"/>
      <c r="J403" s="153"/>
      <c r="K403" s="153"/>
      <c r="L403" s="155"/>
      <c r="M403" s="155"/>
      <c r="N403" s="155"/>
      <c r="O403" s="158"/>
    </row>
    <row r="404">
      <c r="A404" s="153"/>
      <c r="B404" s="153"/>
      <c r="C404" s="154"/>
      <c r="D404" s="155"/>
      <c r="E404" s="153"/>
      <c r="F404" s="155"/>
      <c r="G404" s="155"/>
      <c r="H404" s="155"/>
      <c r="I404" s="153"/>
      <c r="J404" s="153"/>
      <c r="K404" s="153"/>
      <c r="L404" s="155"/>
      <c r="M404" s="155"/>
      <c r="N404" s="155"/>
      <c r="O404" s="158"/>
    </row>
    <row r="405">
      <c r="A405" s="153"/>
      <c r="B405" s="153"/>
      <c r="C405" s="154"/>
      <c r="D405" s="155"/>
      <c r="E405" s="153"/>
      <c r="F405" s="155"/>
      <c r="G405" s="155"/>
      <c r="H405" s="155"/>
      <c r="I405" s="153"/>
      <c r="J405" s="153"/>
      <c r="K405" s="153"/>
      <c r="L405" s="155"/>
      <c r="M405" s="155"/>
      <c r="N405" s="155"/>
      <c r="O405" s="158"/>
    </row>
    <row r="406">
      <c r="A406" s="153"/>
      <c r="B406" s="153"/>
      <c r="C406" s="154"/>
      <c r="D406" s="155"/>
      <c r="E406" s="153"/>
      <c r="F406" s="155"/>
      <c r="G406" s="155"/>
      <c r="H406" s="155"/>
      <c r="I406" s="153"/>
      <c r="J406" s="153"/>
      <c r="K406" s="153"/>
      <c r="L406" s="155"/>
      <c r="M406" s="155"/>
      <c r="N406" s="155"/>
      <c r="O406" s="158"/>
    </row>
    <row r="407">
      <c r="A407" s="153"/>
      <c r="B407" s="153"/>
      <c r="C407" s="154"/>
      <c r="D407" s="155"/>
      <c r="E407" s="153"/>
      <c r="F407" s="155"/>
      <c r="G407" s="155"/>
      <c r="H407" s="155"/>
      <c r="I407" s="153"/>
      <c r="J407" s="153"/>
      <c r="K407" s="153"/>
      <c r="L407" s="155"/>
      <c r="M407" s="155"/>
      <c r="N407" s="155"/>
      <c r="O407" s="158"/>
    </row>
    <row r="408">
      <c r="A408" s="153"/>
      <c r="B408" s="153"/>
      <c r="C408" s="154"/>
      <c r="D408" s="155"/>
      <c r="E408" s="153"/>
      <c r="F408" s="155"/>
      <c r="G408" s="155"/>
      <c r="H408" s="155"/>
      <c r="I408" s="153"/>
      <c r="J408" s="153"/>
      <c r="K408" s="153"/>
      <c r="L408" s="155"/>
      <c r="M408" s="155"/>
      <c r="N408" s="155"/>
      <c r="O408" s="158"/>
    </row>
    <row r="409">
      <c r="A409" s="153"/>
      <c r="B409" s="153"/>
      <c r="C409" s="154"/>
      <c r="D409" s="155"/>
      <c r="E409" s="153"/>
      <c r="F409" s="155"/>
      <c r="G409" s="155"/>
      <c r="H409" s="155"/>
      <c r="I409" s="153"/>
      <c r="J409" s="153"/>
      <c r="K409" s="153"/>
      <c r="L409" s="155"/>
      <c r="M409" s="155"/>
      <c r="N409" s="155"/>
      <c r="O409" s="158"/>
    </row>
    <row r="410">
      <c r="A410" s="153"/>
      <c r="B410" s="153"/>
      <c r="C410" s="154"/>
      <c r="D410" s="155"/>
      <c r="E410" s="153"/>
      <c r="F410" s="155"/>
      <c r="G410" s="155"/>
      <c r="H410" s="155"/>
      <c r="I410" s="153"/>
      <c r="J410" s="153"/>
      <c r="K410" s="153"/>
      <c r="L410" s="155"/>
      <c r="M410" s="155"/>
      <c r="N410" s="155"/>
      <c r="O410" s="158"/>
    </row>
    <row r="411">
      <c r="A411" s="153"/>
      <c r="B411" s="153"/>
      <c r="C411" s="154"/>
      <c r="D411" s="155"/>
      <c r="E411" s="153"/>
      <c r="F411" s="155"/>
      <c r="G411" s="155"/>
      <c r="H411" s="155"/>
      <c r="I411" s="153"/>
      <c r="J411" s="153"/>
      <c r="K411" s="153"/>
      <c r="L411" s="155"/>
      <c r="M411" s="155"/>
      <c r="N411" s="155"/>
      <c r="O411" s="158"/>
    </row>
    <row r="412">
      <c r="A412" s="153"/>
      <c r="B412" s="153"/>
      <c r="C412" s="154"/>
      <c r="D412" s="155"/>
      <c r="E412" s="153"/>
      <c r="F412" s="155"/>
      <c r="G412" s="155"/>
      <c r="H412" s="155"/>
      <c r="I412" s="153"/>
      <c r="J412" s="153"/>
      <c r="K412" s="153"/>
      <c r="L412" s="155"/>
      <c r="M412" s="155"/>
      <c r="N412" s="155"/>
      <c r="O412" s="158"/>
    </row>
    <row r="413">
      <c r="A413" s="153"/>
      <c r="B413" s="153"/>
      <c r="C413" s="154"/>
      <c r="D413" s="155"/>
      <c r="E413" s="153"/>
      <c r="F413" s="155"/>
      <c r="G413" s="155"/>
      <c r="H413" s="155"/>
      <c r="I413" s="153"/>
      <c r="J413" s="153"/>
      <c r="K413" s="153"/>
      <c r="L413" s="155"/>
      <c r="M413" s="155"/>
      <c r="N413" s="155"/>
      <c r="O413" s="158"/>
    </row>
    <row r="414">
      <c r="A414" s="153"/>
      <c r="B414" s="153"/>
      <c r="C414" s="154"/>
      <c r="D414" s="155"/>
      <c r="E414" s="153"/>
      <c r="F414" s="155"/>
      <c r="G414" s="155"/>
      <c r="H414" s="155"/>
      <c r="I414" s="153"/>
      <c r="J414" s="153"/>
      <c r="K414" s="153"/>
      <c r="L414" s="155"/>
      <c r="M414" s="155"/>
      <c r="N414" s="155"/>
      <c r="O414" s="158"/>
    </row>
    <row r="415">
      <c r="A415" s="153"/>
      <c r="B415" s="153"/>
      <c r="C415" s="154"/>
      <c r="D415" s="155"/>
      <c r="E415" s="153"/>
      <c r="F415" s="155"/>
      <c r="G415" s="155"/>
      <c r="H415" s="155"/>
      <c r="I415" s="153"/>
      <c r="J415" s="153"/>
      <c r="K415" s="153"/>
      <c r="L415" s="155"/>
      <c r="M415" s="155"/>
      <c r="N415" s="155"/>
      <c r="O415" s="158"/>
    </row>
    <row r="416">
      <c r="A416" s="153"/>
      <c r="B416" s="153"/>
      <c r="C416" s="154"/>
      <c r="D416" s="155"/>
      <c r="E416" s="153"/>
      <c r="F416" s="155"/>
      <c r="G416" s="155"/>
      <c r="H416" s="155"/>
      <c r="I416" s="153"/>
      <c r="J416" s="153"/>
      <c r="K416" s="153"/>
      <c r="L416" s="155"/>
      <c r="M416" s="155"/>
      <c r="N416" s="155"/>
      <c r="O416" s="158"/>
    </row>
    <row r="417">
      <c r="A417" s="153"/>
      <c r="B417" s="153"/>
      <c r="C417" s="154"/>
      <c r="D417" s="155"/>
      <c r="E417" s="153"/>
      <c r="F417" s="155"/>
      <c r="G417" s="155"/>
      <c r="H417" s="155"/>
      <c r="I417" s="153"/>
      <c r="J417" s="153"/>
      <c r="K417" s="153"/>
      <c r="L417" s="155"/>
      <c r="M417" s="155"/>
      <c r="N417" s="155"/>
      <c r="O417" s="158"/>
    </row>
    <row r="418">
      <c r="A418" s="153"/>
      <c r="B418" s="153"/>
      <c r="C418" s="154"/>
      <c r="D418" s="155"/>
      <c r="E418" s="153"/>
      <c r="F418" s="155"/>
      <c r="G418" s="155"/>
      <c r="H418" s="155"/>
      <c r="I418" s="153"/>
      <c r="J418" s="153"/>
      <c r="K418" s="153"/>
      <c r="L418" s="155"/>
      <c r="M418" s="155"/>
      <c r="N418" s="155"/>
      <c r="O418" s="158"/>
    </row>
    <row r="419">
      <c r="A419" s="153"/>
      <c r="B419" s="153"/>
      <c r="C419" s="154"/>
      <c r="D419" s="155"/>
      <c r="E419" s="153"/>
      <c r="F419" s="155"/>
      <c r="G419" s="155"/>
      <c r="H419" s="155"/>
      <c r="I419" s="153"/>
      <c r="J419" s="153"/>
      <c r="K419" s="153"/>
      <c r="L419" s="155"/>
      <c r="M419" s="155"/>
      <c r="N419" s="155"/>
      <c r="O419" s="158"/>
    </row>
    <row r="420">
      <c r="A420" s="153"/>
      <c r="B420" s="153"/>
      <c r="C420" s="154"/>
      <c r="D420" s="155"/>
      <c r="E420" s="153"/>
      <c r="F420" s="155"/>
      <c r="G420" s="155"/>
      <c r="H420" s="155"/>
      <c r="I420" s="153"/>
      <c r="J420" s="153"/>
      <c r="K420" s="153"/>
      <c r="L420" s="155"/>
      <c r="M420" s="155"/>
      <c r="N420" s="155"/>
      <c r="O420" s="158"/>
    </row>
    <row r="421">
      <c r="A421" s="153"/>
      <c r="B421" s="153"/>
      <c r="C421" s="154"/>
      <c r="D421" s="155"/>
      <c r="E421" s="153"/>
      <c r="F421" s="155"/>
      <c r="G421" s="155"/>
      <c r="H421" s="155"/>
      <c r="I421" s="153"/>
      <c r="J421" s="153"/>
      <c r="K421" s="153"/>
      <c r="L421" s="155"/>
      <c r="M421" s="155"/>
      <c r="N421" s="155"/>
      <c r="O421" s="158"/>
    </row>
    <row r="422">
      <c r="A422" s="153"/>
      <c r="B422" s="153"/>
      <c r="C422" s="154"/>
      <c r="D422" s="155"/>
      <c r="E422" s="153"/>
      <c r="F422" s="155"/>
      <c r="G422" s="155"/>
      <c r="H422" s="155"/>
      <c r="I422" s="153"/>
      <c r="J422" s="153"/>
      <c r="K422" s="153"/>
      <c r="L422" s="155"/>
      <c r="M422" s="155"/>
      <c r="N422" s="155"/>
      <c r="O422" s="158"/>
    </row>
    <row r="423">
      <c r="A423" s="153"/>
      <c r="B423" s="153"/>
      <c r="C423" s="154"/>
      <c r="D423" s="155"/>
      <c r="E423" s="153"/>
      <c r="F423" s="155"/>
      <c r="G423" s="155"/>
      <c r="H423" s="155"/>
      <c r="I423" s="153"/>
      <c r="J423" s="153"/>
      <c r="K423" s="153"/>
      <c r="L423" s="155"/>
      <c r="M423" s="155"/>
      <c r="N423" s="155"/>
      <c r="O423" s="158"/>
    </row>
    <row r="424">
      <c r="A424" s="153"/>
      <c r="B424" s="153"/>
      <c r="C424" s="154"/>
      <c r="D424" s="155"/>
      <c r="E424" s="153"/>
      <c r="F424" s="155"/>
      <c r="G424" s="155"/>
      <c r="H424" s="155"/>
      <c r="I424" s="153"/>
      <c r="J424" s="153"/>
      <c r="K424" s="153"/>
      <c r="L424" s="155"/>
      <c r="M424" s="155"/>
      <c r="N424" s="155"/>
      <c r="O424" s="158"/>
    </row>
    <row r="425">
      <c r="A425" s="153"/>
      <c r="B425" s="153"/>
      <c r="C425" s="154"/>
      <c r="D425" s="155"/>
      <c r="E425" s="153"/>
      <c r="F425" s="155"/>
      <c r="G425" s="155"/>
      <c r="H425" s="155"/>
      <c r="I425" s="153"/>
      <c r="J425" s="153"/>
      <c r="K425" s="153"/>
      <c r="L425" s="155"/>
      <c r="M425" s="155"/>
      <c r="N425" s="155"/>
      <c r="O425" s="158"/>
    </row>
    <row r="426">
      <c r="A426" s="153"/>
      <c r="B426" s="153"/>
      <c r="C426" s="154"/>
      <c r="D426" s="155"/>
      <c r="E426" s="153"/>
      <c r="F426" s="155"/>
      <c r="G426" s="155"/>
      <c r="H426" s="155"/>
      <c r="I426" s="153"/>
      <c r="J426" s="153"/>
      <c r="K426" s="153"/>
      <c r="L426" s="155"/>
      <c r="M426" s="155"/>
      <c r="N426" s="155"/>
      <c r="O426" s="158"/>
    </row>
    <row r="427">
      <c r="A427" s="153"/>
      <c r="B427" s="153"/>
      <c r="C427" s="154"/>
      <c r="D427" s="155"/>
      <c r="E427" s="153"/>
      <c r="F427" s="155"/>
      <c r="G427" s="155"/>
      <c r="H427" s="155"/>
      <c r="I427" s="153"/>
      <c r="J427" s="153"/>
      <c r="K427" s="153"/>
      <c r="L427" s="155"/>
      <c r="M427" s="155"/>
      <c r="N427" s="155"/>
      <c r="O427" s="158"/>
    </row>
    <row r="428">
      <c r="A428" s="153"/>
      <c r="B428" s="153"/>
      <c r="C428" s="154"/>
      <c r="D428" s="155"/>
      <c r="E428" s="153"/>
      <c r="F428" s="155"/>
      <c r="G428" s="155"/>
      <c r="H428" s="155"/>
      <c r="I428" s="153"/>
      <c r="J428" s="153"/>
      <c r="K428" s="153"/>
      <c r="L428" s="155"/>
      <c r="M428" s="155"/>
      <c r="N428" s="155"/>
      <c r="O428" s="158"/>
    </row>
    <row r="429">
      <c r="A429" s="153"/>
      <c r="B429" s="153"/>
      <c r="C429" s="154"/>
      <c r="D429" s="155"/>
      <c r="E429" s="153"/>
      <c r="F429" s="155"/>
      <c r="G429" s="155"/>
      <c r="H429" s="155"/>
      <c r="I429" s="153"/>
      <c r="J429" s="153"/>
      <c r="K429" s="153"/>
      <c r="L429" s="155"/>
      <c r="M429" s="155"/>
      <c r="N429" s="155"/>
      <c r="O429" s="158"/>
    </row>
    <row r="430">
      <c r="A430" s="153"/>
      <c r="B430" s="153"/>
      <c r="C430" s="154"/>
      <c r="D430" s="155"/>
      <c r="E430" s="153"/>
      <c r="F430" s="155"/>
      <c r="G430" s="155"/>
      <c r="H430" s="155"/>
      <c r="I430" s="153"/>
      <c r="J430" s="153"/>
      <c r="K430" s="153"/>
      <c r="L430" s="155"/>
      <c r="M430" s="155"/>
      <c r="N430" s="155"/>
      <c r="O430" s="158"/>
    </row>
    <row r="431">
      <c r="A431" s="153"/>
      <c r="B431" s="153"/>
      <c r="C431" s="154"/>
      <c r="D431" s="155"/>
      <c r="E431" s="153"/>
      <c r="F431" s="155"/>
      <c r="G431" s="155"/>
      <c r="H431" s="155"/>
      <c r="I431" s="153"/>
      <c r="J431" s="153"/>
      <c r="K431" s="153"/>
      <c r="L431" s="155"/>
      <c r="M431" s="155"/>
      <c r="N431" s="155"/>
      <c r="O431" s="158"/>
    </row>
    <row r="432">
      <c r="A432" s="153"/>
      <c r="B432" s="153"/>
      <c r="C432" s="154"/>
      <c r="D432" s="155"/>
      <c r="E432" s="153"/>
      <c r="F432" s="155"/>
      <c r="G432" s="155"/>
      <c r="H432" s="155"/>
      <c r="I432" s="153"/>
      <c r="J432" s="153"/>
      <c r="K432" s="153"/>
      <c r="L432" s="155"/>
      <c r="M432" s="155"/>
      <c r="N432" s="155"/>
      <c r="O432" s="158"/>
    </row>
    <row r="433">
      <c r="A433" s="153"/>
      <c r="B433" s="153"/>
      <c r="C433" s="154"/>
      <c r="D433" s="155"/>
      <c r="E433" s="153"/>
      <c r="F433" s="155"/>
      <c r="G433" s="155"/>
      <c r="H433" s="155"/>
      <c r="I433" s="153"/>
      <c r="J433" s="153"/>
      <c r="K433" s="153"/>
      <c r="L433" s="155"/>
      <c r="M433" s="155"/>
      <c r="N433" s="155"/>
      <c r="O433" s="158"/>
    </row>
    <row r="434">
      <c r="A434" s="153"/>
      <c r="B434" s="153"/>
      <c r="C434" s="154"/>
      <c r="D434" s="155"/>
      <c r="E434" s="153"/>
      <c r="F434" s="155"/>
      <c r="G434" s="155"/>
      <c r="H434" s="155"/>
      <c r="I434" s="153"/>
      <c r="J434" s="153"/>
      <c r="K434" s="153"/>
      <c r="L434" s="155"/>
      <c r="M434" s="155"/>
      <c r="N434" s="155"/>
      <c r="O434" s="158"/>
    </row>
    <row r="435">
      <c r="A435" s="153"/>
      <c r="B435" s="153"/>
      <c r="C435" s="154"/>
      <c r="D435" s="155"/>
      <c r="E435" s="153"/>
      <c r="F435" s="155"/>
      <c r="G435" s="155"/>
      <c r="H435" s="155"/>
      <c r="I435" s="153"/>
      <c r="J435" s="153"/>
      <c r="K435" s="153"/>
      <c r="L435" s="155"/>
      <c r="M435" s="155"/>
      <c r="N435" s="155"/>
      <c r="O435" s="158"/>
    </row>
    <row r="436">
      <c r="A436" s="153"/>
      <c r="B436" s="153"/>
      <c r="C436" s="154"/>
      <c r="D436" s="155"/>
      <c r="E436" s="153"/>
      <c r="F436" s="155"/>
      <c r="G436" s="155"/>
      <c r="H436" s="155"/>
      <c r="I436" s="153"/>
      <c r="J436" s="153"/>
      <c r="K436" s="153"/>
      <c r="L436" s="155"/>
      <c r="M436" s="155"/>
      <c r="N436" s="155"/>
      <c r="O436" s="158"/>
    </row>
    <row r="437">
      <c r="A437" s="153"/>
      <c r="B437" s="153"/>
      <c r="C437" s="154"/>
      <c r="D437" s="155"/>
      <c r="E437" s="153"/>
      <c r="F437" s="155"/>
      <c r="G437" s="155"/>
      <c r="H437" s="155"/>
      <c r="I437" s="153"/>
      <c r="J437" s="153"/>
      <c r="K437" s="153"/>
      <c r="L437" s="155"/>
      <c r="M437" s="155"/>
      <c r="N437" s="155"/>
      <c r="O437" s="158"/>
    </row>
    <row r="438">
      <c r="A438" s="153"/>
      <c r="B438" s="153"/>
      <c r="C438" s="154"/>
      <c r="D438" s="155"/>
      <c r="E438" s="153"/>
      <c r="F438" s="155"/>
      <c r="G438" s="155"/>
      <c r="H438" s="155"/>
      <c r="I438" s="153"/>
      <c r="J438" s="153"/>
      <c r="K438" s="153"/>
      <c r="L438" s="155"/>
      <c r="M438" s="155"/>
      <c r="N438" s="155"/>
      <c r="O438" s="158"/>
    </row>
    <row r="439">
      <c r="A439" s="153"/>
      <c r="B439" s="153"/>
      <c r="C439" s="154"/>
      <c r="D439" s="155"/>
      <c r="E439" s="153"/>
      <c r="F439" s="155"/>
      <c r="G439" s="155"/>
      <c r="H439" s="155"/>
      <c r="I439" s="153"/>
      <c r="J439" s="153"/>
      <c r="K439" s="153"/>
      <c r="L439" s="155"/>
      <c r="M439" s="155"/>
      <c r="N439" s="155"/>
      <c r="O439" s="158"/>
    </row>
    <row r="440">
      <c r="A440" s="153"/>
      <c r="B440" s="153"/>
      <c r="C440" s="154"/>
      <c r="D440" s="155"/>
      <c r="E440" s="153"/>
      <c r="F440" s="155"/>
      <c r="G440" s="155"/>
      <c r="H440" s="155"/>
      <c r="I440" s="153"/>
      <c r="J440" s="153"/>
      <c r="K440" s="153"/>
      <c r="L440" s="155"/>
      <c r="M440" s="155"/>
      <c r="N440" s="155"/>
      <c r="O440" s="158"/>
    </row>
    <row r="441">
      <c r="A441" s="153"/>
      <c r="B441" s="153"/>
      <c r="C441" s="154"/>
      <c r="D441" s="155"/>
      <c r="E441" s="153"/>
      <c r="F441" s="155"/>
      <c r="G441" s="155"/>
      <c r="H441" s="155"/>
      <c r="I441" s="153"/>
      <c r="J441" s="153"/>
      <c r="K441" s="153"/>
      <c r="L441" s="155"/>
      <c r="M441" s="155"/>
      <c r="N441" s="155"/>
      <c r="O441" s="158"/>
    </row>
    <row r="442">
      <c r="A442" s="153"/>
      <c r="B442" s="153"/>
      <c r="C442" s="154"/>
      <c r="D442" s="155"/>
      <c r="E442" s="153"/>
      <c r="F442" s="155"/>
      <c r="G442" s="155"/>
      <c r="H442" s="155"/>
      <c r="I442" s="153"/>
      <c r="J442" s="153"/>
      <c r="K442" s="153"/>
      <c r="L442" s="155"/>
      <c r="M442" s="155"/>
      <c r="N442" s="155"/>
      <c r="O442" s="158"/>
    </row>
    <row r="443">
      <c r="A443" s="153"/>
      <c r="B443" s="153"/>
      <c r="C443" s="154"/>
      <c r="D443" s="155"/>
      <c r="E443" s="153"/>
      <c r="F443" s="155"/>
      <c r="G443" s="155"/>
      <c r="H443" s="155"/>
      <c r="I443" s="153"/>
      <c r="J443" s="153"/>
      <c r="K443" s="153"/>
      <c r="L443" s="155"/>
      <c r="M443" s="155"/>
      <c r="N443" s="155"/>
      <c r="O443" s="158"/>
    </row>
    <row r="444">
      <c r="A444" s="153"/>
      <c r="B444" s="153"/>
      <c r="C444" s="154"/>
      <c r="D444" s="155"/>
      <c r="E444" s="153"/>
      <c r="F444" s="155"/>
      <c r="G444" s="155"/>
      <c r="H444" s="155"/>
      <c r="I444" s="153"/>
      <c r="J444" s="153"/>
      <c r="K444" s="153"/>
      <c r="L444" s="155"/>
      <c r="M444" s="155"/>
      <c r="N444" s="155"/>
      <c r="O444" s="158"/>
    </row>
    <row r="445">
      <c r="A445" s="153"/>
      <c r="B445" s="153"/>
      <c r="C445" s="154"/>
      <c r="D445" s="155"/>
      <c r="E445" s="153"/>
      <c r="F445" s="155"/>
      <c r="G445" s="155"/>
      <c r="H445" s="155"/>
      <c r="I445" s="153"/>
      <c r="J445" s="153"/>
      <c r="K445" s="153"/>
      <c r="L445" s="155"/>
      <c r="M445" s="155"/>
      <c r="N445" s="155"/>
      <c r="O445" s="158"/>
    </row>
    <row r="446">
      <c r="A446" s="153"/>
      <c r="B446" s="153"/>
      <c r="C446" s="154"/>
      <c r="D446" s="155"/>
      <c r="E446" s="153"/>
      <c r="F446" s="155"/>
      <c r="G446" s="155"/>
      <c r="H446" s="155"/>
      <c r="I446" s="153"/>
      <c r="J446" s="153"/>
      <c r="K446" s="153"/>
      <c r="L446" s="155"/>
      <c r="M446" s="155"/>
      <c r="N446" s="155"/>
      <c r="O446" s="158"/>
    </row>
    <row r="447">
      <c r="A447" s="153"/>
      <c r="B447" s="153"/>
      <c r="C447" s="154"/>
      <c r="D447" s="155"/>
      <c r="E447" s="153"/>
      <c r="F447" s="155"/>
      <c r="G447" s="155"/>
      <c r="H447" s="155"/>
      <c r="I447" s="153"/>
      <c r="J447" s="153"/>
      <c r="K447" s="153"/>
      <c r="L447" s="155"/>
      <c r="M447" s="155"/>
      <c r="N447" s="155"/>
      <c r="O447" s="158"/>
    </row>
    <row r="448">
      <c r="A448" s="153"/>
      <c r="B448" s="153"/>
      <c r="C448" s="154"/>
      <c r="D448" s="155"/>
      <c r="E448" s="153"/>
      <c r="F448" s="155"/>
      <c r="G448" s="155"/>
      <c r="H448" s="155"/>
      <c r="I448" s="153"/>
      <c r="J448" s="153"/>
      <c r="K448" s="153"/>
      <c r="L448" s="155"/>
      <c r="M448" s="155"/>
      <c r="N448" s="155"/>
      <c r="O448" s="158"/>
    </row>
    <row r="449">
      <c r="A449" s="153"/>
      <c r="B449" s="153"/>
      <c r="C449" s="154"/>
      <c r="D449" s="155"/>
      <c r="E449" s="153"/>
      <c r="F449" s="155"/>
      <c r="G449" s="155"/>
      <c r="H449" s="155"/>
      <c r="I449" s="153"/>
      <c r="J449" s="153"/>
      <c r="K449" s="153"/>
      <c r="L449" s="155"/>
      <c r="M449" s="155"/>
      <c r="N449" s="155"/>
      <c r="O449" s="158"/>
    </row>
    <row r="450">
      <c r="A450" s="153"/>
      <c r="B450" s="153"/>
      <c r="C450" s="154"/>
      <c r="D450" s="155"/>
      <c r="E450" s="153"/>
      <c r="F450" s="155"/>
      <c r="G450" s="155"/>
      <c r="H450" s="155"/>
      <c r="I450" s="153"/>
      <c r="J450" s="153"/>
      <c r="K450" s="153"/>
      <c r="L450" s="155"/>
      <c r="M450" s="155"/>
      <c r="N450" s="155"/>
      <c r="O450" s="158"/>
    </row>
    <row r="451">
      <c r="A451" s="153"/>
      <c r="B451" s="153"/>
      <c r="C451" s="154"/>
      <c r="D451" s="155"/>
      <c r="E451" s="153"/>
      <c r="F451" s="155"/>
      <c r="G451" s="155"/>
      <c r="H451" s="155"/>
      <c r="I451" s="153"/>
      <c r="J451" s="153"/>
      <c r="K451" s="153"/>
      <c r="L451" s="155"/>
      <c r="M451" s="155"/>
      <c r="N451" s="155"/>
      <c r="O451" s="158"/>
    </row>
    <row r="452">
      <c r="A452" s="153"/>
      <c r="B452" s="153"/>
      <c r="C452" s="154"/>
      <c r="D452" s="155"/>
      <c r="E452" s="153"/>
      <c r="F452" s="155"/>
      <c r="G452" s="155"/>
      <c r="H452" s="155"/>
      <c r="I452" s="153"/>
      <c r="J452" s="153"/>
      <c r="K452" s="153"/>
      <c r="L452" s="155"/>
      <c r="M452" s="155"/>
      <c r="N452" s="155"/>
      <c r="O452" s="158"/>
    </row>
    <row r="453">
      <c r="A453" s="153"/>
      <c r="B453" s="153"/>
      <c r="C453" s="154"/>
      <c r="D453" s="155"/>
      <c r="E453" s="153"/>
      <c r="F453" s="155"/>
      <c r="G453" s="155"/>
      <c r="H453" s="155"/>
      <c r="I453" s="153"/>
      <c r="J453" s="153"/>
      <c r="K453" s="153"/>
      <c r="L453" s="155"/>
      <c r="M453" s="155"/>
      <c r="N453" s="155"/>
      <c r="O453" s="158"/>
    </row>
    <row r="454">
      <c r="A454" s="153"/>
      <c r="B454" s="153"/>
      <c r="C454" s="154"/>
      <c r="D454" s="155"/>
      <c r="E454" s="153"/>
      <c r="F454" s="155"/>
      <c r="G454" s="155"/>
      <c r="H454" s="155"/>
      <c r="I454" s="153"/>
      <c r="J454" s="153"/>
      <c r="K454" s="153"/>
      <c r="L454" s="155"/>
      <c r="M454" s="155"/>
      <c r="N454" s="155"/>
      <c r="O454" s="158"/>
    </row>
    <row r="455">
      <c r="A455" s="153"/>
      <c r="B455" s="153"/>
      <c r="C455" s="154"/>
      <c r="D455" s="155"/>
      <c r="E455" s="153"/>
      <c r="F455" s="155"/>
      <c r="G455" s="155"/>
      <c r="H455" s="155"/>
      <c r="I455" s="153"/>
      <c r="J455" s="153"/>
      <c r="K455" s="153"/>
      <c r="L455" s="155"/>
      <c r="M455" s="155"/>
      <c r="N455" s="155"/>
      <c r="O455" s="158"/>
    </row>
    <row r="456">
      <c r="A456" s="153"/>
      <c r="B456" s="153"/>
      <c r="C456" s="154"/>
      <c r="D456" s="155"/>
      <c r="E456" s="153"/>
      <c r="F456" s="155"/>
      <c r="G456" s="155"/>
      <c r="H456" s="155"/>
      <c r="I456" s="153"/>
      <c r="J456" s="153"/>
      <c r="K456" s="153"/>
      <c r="L456" s="155"/>
      <c r="M456" s="155"/>
      <c r="N456" s="155"/>
      <c r="O456" s="158"/>
    </row>
    <row r="457">
      <c r="A457" s="153"/>
      <c r="B457" s="153"/>
      <c r="C457" s="154"/>
      <c r="D457" s="155"/>
      <c r="E457" s="153"/>
      <c r="F457" s="155"/>
      <c r="G457" s="155"/>
      <c r="H457" s="155"/>
      <c r="I457" s="153"/>
      <c r="J457" s="153"/>
      <c r="K457" s="153"/>
      <c r="L457" s="155"/>
      <c r="M457" s="155"/>
      <c r="N457" s="155"/>
      <c r="O457" s="158"/>
    </row>
    <row r="458">
      <c r="A458" s="153"/>
      <c r="B458" s="153"/>
      <c r="C458" s="154"/>
      <c r="D458" s="155"/>
      <c r="E458" s="153"/>
      <c r="F458" s="155"/>
      <c r="G458" s="155"/>
      <c r="H458" s="155"/>
      <c r="I458" s="153"/>
      <c r="J458" s="153"/>
      <c r="K458" s="153"/>
      <c r="L458" s="155"/>
      <c r="M458" s="155"/>
      <c r="N458" s="155"/>
      <c r="O458" s="158"/>
    </row>
    <row r="459">
      <c r="A459" s="153"/>
      <c r="B459" s="153"/>
      <c r="C459" s="154"/>
      <c r="D459" s="155"/>
      <c r="E459" s="153"/>
      <c r="F459" s="155"/>
      <c r="G459" s="155"/>
      <c r="H459" s="155"/>
      <c r="I459" s="153"/>
      <c r="J459" s="153"/>
      <c r="K459" s="153"/>
      <c r="L459" s="155"/>
      <c r="M459" s="155"/>
      <c r="N459" s="155"/>
      <c r="O459" s="158"/>
    </row>
    <row r="460">
      <c r="A460" s="153"/>
      <c r="B460" s="153"/>
      <c r="C460" s="154"/>
      <c r="D460" s="155"/>
      <c r="E460" s="153"/>
      <c r="F460" s="155"/>
      <c r="G460" s="155"/>
      <c r="H460" s="155"/>
      <c r="I460" s="153"/>
      <c r="J460" s="153"/>
      <c r="K460" s="153"/>
      <c r="L460" s="155"/>
      <c r="M460" s="155"/>
      <c r="N460" s="155"/>
      <c r="O460" s="158"/>
    </row>
    <row r="461">
      <c r="A461" s="153"/>
      <c r="B461" s="153"/>
      <c r="C461" s="154"/>
      <c r="D461" s="155"/>
      <c r="E461" s="153"/>
      <c r="F461" s="155"/>
      <c r="G461" s="155"/>
      <c r="H461" s="155"/>
      <c r="I461" s="153"/>
      <c r="J461" s="153"/>
      <c r="K461" s="153"/>
      <c r="L461" s="155"/>
      <c r="M461" s="155"/>
      <c r="N461" s="155"/>
      <c r="O461" s="158"/>
    </row>
    <row r="462">
      <c r="A462" s="153"/>
      <c r="B462" s="153"/>
      <c r="C462" s="154"/>
      <c r="D462" s="155"/>
      <c r="E462" s="153"/>
      <c r="F462" s="155"/>
      <c r="G462" s="155"/>
      <c r="H462" s="155"/>
      <c r="I462" s="153"/>
      <c r="J462" s="153"/>
      <c r="K462" s="153"/>
      <c r="L462" s="155"/>
      <c r="M462" s="155"/>
      <c r="N462" s="155"/>
      <c r="O462" s="158"/>
    </row>
    <row r="463">
      <c r="A463" s="153"/>
      <c r="B463" s="153"/>
      <c r="C463" s="154"/>
      <c r="D463" s="155"/>
      <c r="E463" s="153"/>
      <c r="F463" s="155"/>
      <c r="G463" s="155"/>
      <c r="H463" s="155"/>
      <c r="I463" s="153"/>
      <c r="J463" s="153"/>
      <c r="K463" s="153"/>
      <c r="L463" s="155"/>
      <c r="M463" s="155"/>
      <c r="N463" s="155"/>
      <c r="O463" s="158"/>
    </row>
    <row r="464">
      <c r="A464" s="153"/>
      <c r="B464" s="153"/>
      <c r="C464" s="154"/>
      <c r="D464" s="155"/>
      <c r="E464" s="153"/>
      <c r="F464" s="155"/>
      <c r="G464" s="155"/>
      <c r="H464" s="155"/>
      <c r="I464" s="153"/>
      <c r="J464" s="153"/>
      <c r="K464" s="153"/>
      <c r="L464" s="155"/>
      <c r="M464" s="155"/>
      <c r="N464" s="155"/>
      <c r="O464" s="158"/>
    </row>
    <row r="465">
      <c r="A465" s="153"/>
      <c r="B465" s="153"/>
      <c r="C465" s="154"/>
      <c r="D465" s="155"/>
      <c r="E465" s="153"/>
      <c r="F465" s="155"/>
      <c r="G465" s="155"/>
      <c r="H465" s="155"/>
      <c r="I465" s="153"/>
      <c r="J465" s="153"/>
      <c r="K465" s="153"/>
      <c r="L465" s="155"/>
      <c r="M465" s="155"/>
      <c r="N465" s="155"/>
      <c r="O465" s="158"/>
    </row>
    <row r="466">
      <c r="A466" s="153"/>
      <c r="B466" s="153"/>
      <c r="C466" s="154"/>
      <c r="D466" s="155"/>
      <c r="E466" s="153"/>
      <c r="F466" s="155"/>
      <c r="G466" s="155"/>
      <c r="H466" s="155"/>
      <c r="I466" s="153"/>
      <c r="J466" s="153"/>
      <c r="K466" s="153"/>
      <c r="L466" s="155"/>
      <c r="M466" s="155"/>
      <c r="N466" s="155"/>
      <c r="O466" s="158"/>
    </row>
    <row r="467">
      <c r="A467" s="153"/>
      <c r="B467" s="153"/>
      <c r="C467" s="154"/>
      <c r="D467" s="155"/>
      <c r="E467" s="153"/>
      <c r="F467" s="155"/>
      <c r="G467" s="155"/>
      <c r="H467" s="155"/>
      <c r="I467" s="153"/>
      <c r="J467" s="153"/>
      <c r="K467" s="153"/>
      <c r="L467" s="155"/>
      <c r="M467" s="155"/>
      <c r="N467" s="155"/>
      <c r="O467" s="158"/>
    </row>
    <row r="468">
      <c r="A468" s="153"/>
      <c r="B468" s="153"/>
      <c r="C468" s="154"/>
      <c r="D468" s="155"/>
      <c r="E468" s="153"/>
      <c r="F468" s="155"/>
      <c r="G468" s="155"/>
      <c r="H468" s="155"/>
      <c r="I468" s="153"/>
      <c r="J468" s="153"/>
      <c r="K468" s="153"/>
      <c r="L468" s="155"/>
      <c r="M468" s="155"/>
      <c r="N468" s="155"/>
      <c r="O468" s="158"/>
    </row>
    <row r="469">
      <c r="A469" s="153"/>
      <c r="B469" s="153"/>
      <c r="C469" s="154"/>
      <c r="D469" s="155"/>
      <c r="E469" s="153"/>
      <c r="F469" s="155"/>
      <c r="G469" s="155"/>
      <c r="H469" s="155"/>
      <c r="I469" s="153"/>
      <c r="J469" s="153"/>
      <c r="K469" s="153"/>
      <c r="L469" s="155"/>
      <c r="M469" s="155"/>
      <c r="N469" s="155"/>
      <c r="O469" s="158"/>
    </row>
    <row r="470">
      <c r="A470" s="153"/>
      <c r="B470" s="153"/>
      <c r="C470" s="154"/>
      <c r="D470" s="155"/>
      <c r="E470" s="153"/>
      <c r="F470" s="155"/>
      <c r="G470" s="155"/>
      <c r="H470" s="155"/>
      <c r="I470" s="153"/>
      <c r="J470" s="153"/>
      <c r="K470" s="153"/>
      <c r="L470" s="155"/>
      <c r="M470" s="155"/>
      <c r="N470" s="155"/>
      <c r="O470" s="158"/>
    </row>
    <row r="471">
      <c r="A471" s="153"/>
      <c r="B471" s="153"/>
      <c r="C471" s="154"/>
      <c r="D471" s="155"/>
      <c r="E471" s="153"/>
      <c r="F471" s="155"/>
      <c r="G471" s="155"/>
      <c r="H471" s="155"/>
      <c r="I471" s="153"/>
      <c r="J471" s="153"/>
      <c r="K471" s="153"/>
      <c r="L471" s="155"/>
      <c r="M471" s="155"/>
      <c r="N471" s="155"/>
      <c r="O471" s="158"/>
    </row>
    <row r="472">
      <c r="A472" s="153"/>
      <c r="B472" s="153"/>
      <c r="C472" s="154"/>
      <c r="D472" s="155"/>
      <c r="E472" s="153"/>
      <c r="F472" s="155"/>
      <c r="G472" s="155"/>
      <c r="H472" s="155"/>
      <c r="I472" s="153"/>
      <c r="J472" s="153"/>
      <c r="K472" s="153"/>
      <c r="L472" s="155"/>
      <c r="M472" s="155"/>
      <c r="N472" s="155"/>
      <c r="O472" s="158"/>
    </row>
    <row r="473">
      <c r="A473" s="153"/>
      <c r="B473" s="153"/>
      <c r="C473" s="154"/>
      <c r="D473" s="155"/>
      <c r="E473" s="153"/>
      <c r="F473" s="155"/>
      <c r="G473" s="155"/>
      <c r="H473" s="155"/>
      <c r="I473" s="153"/>
      <c r="J473" s="153"/>
      <c r="K473" s="153"/>
      <c r="L473" s="155"/>
      <c r="M473" s="155"/>
      <c r="N473" s="155"/>
      <c r="O473" s="158"/>
    </row>
    <row r="474">
      <c r="A474" s="153"/>
      <c r="B474" s="153"/>
      <c r="C474" s="154"/>
      <c r="D474" s="155"/>
      <c r="E474" s="153"/>
      <c r="F474" s="155"/>
      <c r="G474" s="155"/>
      <c r="H474" s="155"/>
      <c r="I474" s="153"/>
      <c r="J474" s="153"/>
      <c r="K474" s="153"/>
      <c r="L474" s="155"/>
      <c r="M474" s="155"/>
      <c r="N474" s="155"/>
      <c r="O474" s="158"/>
    </row>
    <row r="475">
      <c r="A475" s="153"/>
      <c r="B475" s="153"/>
      <c r="C475" s="154"/>
      <c r="D475" s="155"/>
      <c r="E475" s="153"/>
      <c r="F475" s="155"/>
      <c r="G475" s="155"/>
      <c r="H475" s="155"/>
      <c r="I475" s="153"/>
      <c r="J475" s="153"/>
      <c r="K475" s="153"/>
      <c r="L475" s="155"/>
      <c r="M475" s="155"/>
      <c r="N475" s="155"/>
      <c r="O475" s="158"/>
    </row>
    <row r="476">
      <c r="A476" s="153"/>
      <c r="B476" s="153"/>
      <c r="C476" s="154"/>
      <c r="D476" s="155"/>
      <c r="E476" s="153"/>
      <c r="F476" s="155"/>
      <c r="G476" s="155"/>
      <c r="H476" s="155"/>
      <c r="I476" s="153"/>
      <c r="J476" s="153"/>
      <c r="K476" s="153"/>
      <c r="L476" s="155"/>
      <c r="M476" s="155"/>
      <c r="N476" s="155"/>
      <c r="O476" s="158"/>
    </row>
    <row r="477">
      <c r="A477" s="153"/>
      <c r="B477" s="153"/>
      <c r="C477" s="154"/>
      <c r="D477" s="155"/>
      <c r="E477" s="153"/>
      <c r="F477" s="155"/>
      <c r="G477" s="155"/>
      <c r="H477" s="155"/>
      <c r="I477" s="153"/>
      <c r="J477" s="153"/>
      <c r="K477" s="153"/>
      <c r="L477" s="155"/>
      <c r="M477" s="155"/>
      <c r="N477" s="155"/>
      <c r="O477" s="158"/>
    </row>
    <row r="478">
      <c r="A478" s="153"/>
      <c r="B478" s="153"/>
      <c r="C478" s="154"/>
      <c r="D478" s="155"/>
      <c r="E478" s="153"/>
      <c r="F478" s="155"/>
      <c r="G478" s="155"/>
      <c r="H478" s="155"/>
      <c r="I478" s="153"/>
      <c r="J478" s="153"/>
      <c r="K478" s="153"/>
      <c r="L478" s="155"/>
      <c r="M478" s="155"/>
      <c r="N478" s="155"/>
      <c r="O478" s="158"/>
    </row>
    <row r="479">
      <c r="A479" s="153"/>
      <c r="B479" s="153"/>
      <c r="C479" s="154"/>
      <c r="D479" s="155"/>
      <c r="E479" s="153"/>
      <c r="F479" s="155"/>
      <c r="G479" s="155"/>
      <c r="H479" s="155"/>
      <c r="I479" s="153"/>
      <c r="J479" s="153"/>
      <c r="K479" s="153"/>
      <c r="L479" s="155"/>
      <c r="M479" s="155"/>
      <c r="N479" s="155"/>
      <c r="O479" s="158"/>
    </row>
    <row r="480">
      <c r="A480" s="153"/>
      <c r="B480" s="153"/>
      <c r="C480" s="154"/>
      <c r="D480" s="155"/>
      <c r="E480" s="153"/>
      <c r="F480" s="155"/>
      <c r="G480" s="155"/>
      <c r="H480" s="155"/>
      <c r="I480" s="153"/>
      <c r="J480" s="153"/>
      <c r="K480" s="153"/>
      <c r="L480" s="155"/>
      <c r="M480" s="155"/>
      <c r="N480" s="155"/>
      <c r="O480" s="158"/>
    </row>
    <row r="481">
      <c r="A481" s="153"/>
      <c r="B481" s="153"/>
      <c r="C481" s="154"/>
      <c r="D481" s="155"/>
      <c r="E481" s="153"/>
      <c r="F481" s="155"/>
      <c r="G481" s="155"/>
      <c r="H481" s="155"/>
      <c r="I481" s="153"/>
      <c r="J481" s="153"/>
      <c r="K481" s="153"/>
      <c r="L481" s="155"/>
      <c r="M481" s="155"/>
      <c r="N481" s="155"/>
      <c r="O481" s="158"/>
    </row>
    <row r="482">
      <c r="A482" s="153"/>
      <c r="B482" s="153"/>
      <c r="C482" s="154"/>
      <c r="D482" s="155"/>
      <c r="E482" s="153"/>
      <c r="F482" s="155"/>
      <c r="G482" s="155"/>
      <c r="H482" s="155"/>
      <c r="I482" s="153"/>
      <c r="J482" s="153"/>
      <c r="K482" s="153"/>
      <c r="L482" s="155"/>
      <c r="M482" s="155"/>
      <c r="N482" s="155"/>
      <c r="O482" s="158"/>
    </row>
    <row r="483">
      <c r="A483" s="153"/>
      <c r="B483" s="153"/>
      <c r="C483" s="154"/>
      <c r="D483" s="155"/>
      <c r="E483" s="153"/>
      <c r="F483" s="155"/>
      <c r="G483" s="155"/>
      <c r="H483" s="155"/>
      <c r="I483" s="153"/>
      <c r="J483" s="153"/>
      <c r="K483" s="153"/>
      <c r="L483" s="155"/>
      <c r="M483" s="155"/>
      <c r="N483" s="155"/>
      <c r="O483" s="158"/>
    </row>
    <row r="484">
      <c r="A484" s="153"/>
      <c r="B484" s="153"/>
      <c r="C484" s="154"/>
      <c r="D484" s="155"/>
      <c r="E484" s="153"/>
      <c r="F484" s="155"/>
      <c r="G484" s="155"/>
      <c r="H484" s="155"/>
      <c r="I484" s="153"/>
      <c r="J484" s="153"/>
      <c r="K484" s="153"/>
      <c r="L484" s="155"/>
      <c r="M484" s="155"/>
      <c r="N484" s="155"/>
      <c r="O484" s="158"/>
    </row>
    <row r="485">
      <c r="A485" s="153"/>
      <c r="B485" s="153"/>
      <c r="C485" s="154"/>
      <c r="D485" s="155"/>
      <c r="E485" s="153"/>
      <c r="F485" s="155"/>
      <c r="G485" s="155"/>
      <c r="H485" s="155"/>
      <c r="I485" s="153"/>
      <c r="J485" s="153"/>
      <c r="K485" s="153"/>
      <c r="L485" s="155"/>
      <c r="M485" s="155"/>
      <c r="N485" s="155"/>
      <c r="O485" s="158"/>
    </row>
    <row r="486">
      <c r="A486" s="153"/>
      <c r="B486" s="153"/>
      <c r="C486" s="154"/>
      <c r="D486" s="155"/>
      <c r="E486" s="153"/>
      <c r="F486" s="155"/>
      <c r="G486" s="155"/>
      <c r="H486" s="155"/>
      <c r="I486" s="153"/>
      <c r="J486" s="153"/>
      <c r="K486" s="153"/>
      <c r="L486" s="155"/>
      <c r="M486" s="155"/>
      <c r="N486" s="155"/>
      <c r="O486" s="158"/>
    </row>
    <row r="487">
      <c r="A487" s="153"/>
      <c r="B487" s="153"/>
      <c r="C487" s="154"/>
      <c r="D487" s="155"/>
      <c r="E487" s="153"/>
      <c r="F487" s="155"/>
      <c r="G487" s="155"/>
      <c r="H487" s="155"/>
      <c r="I487" s="153"/>
      <c r="J487" s="153"/>
      <c r="K487" s="153"/>
      <c r="L487" s="155"/>
      <c r="M487" s="155"/>
      <c r="N487" s="155"/>
      <c r="O487" s="158"/>
    </row>
    <row r="488">
      <c r="A488" s="153"/>
      <c r="B488" s="153"/>
      <c r="C488" s="154"/>
      <c r="D488" s="155"/>
      <c r="E488" s="153"/>
      <c r="F488" s="155"/>
      <c r="G488" s="155"/>
      <c r="H488" s="155"/>
      <c r="I488" s="153"/>
      <c r="J488" s="153"/>
      <c r="K488" s="153"/>
      <c r="L488" s="155"/>
      <c r="M488" s="155"/>
      <c r="N488" s="155"/>
      <c r="O488" s="158"/>
    </row>
    <row r="489">
      <c r="A489" s="153"/>
      <c r="B489" s="153"/>
      <c r="C489" s="154"/>
      <c r="D489" s="155"/>
      <c r="E489" s="153"/>
      <c r="F489" s="155"/>
      <c r="G489" s="155"/>
      <c r="H489" s="155"/>
      <c r="I489" s="153"/>
      <c r="J489" s="153"/>
      <c r="K489" s="153"/>
      <c r="L489" s="155"/>
      <c r="M489" s="155"/>
      <c r="N489" s="155"/>
      <c r="O489" s="158"/>
    </row>
    <row r="490">
      <c r="A490" s="153"/>
      <c r="B490" s="153"/>
      <c r="C490" s="154"/>
      <c r="D490" s="155"/>
      <c r="E490" s="153"/>
      <c r="F490" s="155"/>
      <c r="G490" s="155"/>
      <c r="H490" s="155"/>
      <c r="I490" s="153"/>
      <c r="J490" s="153"/>
      <c r="K490" s="153"/>
      <c r="L490" s="155"/>
      <c r="M490" s="155"/>
      <c r="N490" s="155"/>
      <c r="O490" s="158"/>
    </row>
    <row r="491">
      <c r="A491" s="153"/>
      <c r="B491" s="153"/>
      <c r="C491" s="154"/>
      <c r="D491" s="155"/>
      <c r="E491" s="153"/>
      <c r="F491" s="155"/>
      <c r="G491" s="155"/>
      <c r="H491" s="155"/>
      <c r="I491" s="153"/>
      <c r="J491" s="153"/>
      <c r="K491" s="153"/>
      <c r="L491" s="155"/>
      <c r="M491" s="155"/>
      <c r="N491" s="155"/>
      <c r="O491" s="158"/>
    </row>
    <row r="492">
      <c r="A492" s="153"/>
      <c r="B492" s="153"/>
      <c r="C492" s="154"/>
      <c r="D492" s="155"/>
      <c r="E492" s="153"/>
      <c r="F492" s="155"/>
      <c r="G492" s="155"/>
      <c r="H492" s="155"/>
      <c r="I492" s="153"/>
      <c r="J492" s="153"/>
      <c r="K492" s="153"/>
      <c r="L492" s="155"/>
      <c r="M492" s="155"/>
      <c r="N492" s="155"/>
      <c r="O492" s="158"/>
    </row>
    <row r="493">
      <c r="A493" s="153"/>
      <c r="B493" s="153"/>
      <c r="C493" s="154"/>
      <c r="D493" s="155"/>
      <c r="E493" s="153"/>
      <c r="F493" s="155"/>
      <c r="G493" s="155"/>
      <c r="H493" s="155"/>
      <c r="I493" s="153"/>
      <c r="J493" s="153"/>
      <c r="K493" s="153"/>
      <c r="L493" s="155"/>
      <c r="M493" s="155"/>
      <c r="N493" s="155"/>
      <c r="O493" s="158"/>
    </row>
    <row r="494">
      <c r="A494" s="153"/>
      <c r="B494" s="153"/>
      <c r="C494" s="154"/>
      <c r="D494" s="155"/>
      <c r="E494" s="153"/>
      <c r="F494" s="155"/>
      <c r="G494" s="155"/>
      <c r="H494" s="155"/>
      <c r="I494" s="153"/>
      <c r="J494" s="153"/>
      <c r="K494" s="153"/>
      <c r="L494" s="155"/>
      <c r="M494" s="155"/>
      <c r="N494" s="155"/>
      <c r="O494" s="158"/>
    </row>
    <row r="495">
      <c r="A495" s="153"/>
      <c r="B495" s="153"/>
      <c r="C495" s="154"/>
      <c r="D495" s="155"/>
      <c r="E495" s="153"/>
      <c r="F495" s="155"/>
      <c r="G495" s="155"/>
      <c r="H495" s="155"/>
      <c r="I495" s="153"/>
      <c r="J495" s="153"/>
      <c r="K495" s="153"/>
      <c r="L495" s="155"/>
      <c r="M495" s="155"/>
      <c r="N495" s="155"/>
      <c r="O495" s="158"/>
    </row>
    <row r="496">
      <c r="A496" s="153"/>
      <c r="B496" s="153"/>
      <c r="C496" s="154"/>
      <c r="D496" s="155"/>
      <c r="E496" s="153"/>
      <c r="F496" s="155"/>
      <c r="G496" s="155"/>
      <c r="H496" s="155"/>
      <c r="I496" s="153"/>
      <c r="J496" s="153"/>
      <c r="K496" s="153"/>
      <c r="L496" s="155"/>
      <c r="M496" s="155"/>
      <c r="N496" s="155"/>
      <c r="O496" s="158"/>
    </row>
    <row r="497">
      <c r="A497" s="153"/>
      <c r="B497" s="153"/>
      <c r="C497" s="154"/>
      <c r="D497" s="155"/>
      <c r="E497" s="153"/>
      <c r="F497" s="155"/>
      <c r="G497" s="155"/>
      <c r="H497" s="155"/>
      <c r="I497" s="153"/>
      <c r="J497" s="153"/>
      <c r="K497" s="153"/>
      <c r="L497" s="155"/>
      <c r="M497" s="155"/>
      <c r="N497" s="155"/>
      <c r="O497" s="158"/>
    </row>
    <row r="498">
      <c r="A498" s="153"/>
      <c r="B498" s="153"/>
      <c r="C498" s="154"/>
      <c r="D498" s="155"/>
      <c r="E498" s="153"/>
      <c r="F498" s="155"/>
      <c r="G498" s="155"/>
      <c r="H498" s="155"/>
      <c r="I498" s="153"/>
      <c r="J498" s="153"/>
      <c r="K498" s="153"/>
      <c r="L498" s="155"/>
      <c r="M498" s="155"/>
      <c r="N498" s="155"/>
      <c r="O498" s="158"/>
    </row>
    <row r="499">
      <c r="A499" s="153"/>
      <c r="B499" s="153"/>
      <c r="C499" s="154"/>
      <c r="D499" s="155"/>
      <c r="E499" s="153"/>
      <c r="F499" s="155"/>
      <c r="G499" s="155"/>
      <c r="H499" s="155"/>
      <c r="I499" s="153"/>
      <c r="J499" s="153"/>
      <c r="K499" s="153"/>
      <c r="L499" s="155"/>
      <c r="M499" s="155"/>
      <c r="N499" s="155"/>
      <c r="O499" s="158"/>
    </row>
    <row r="500">
      <c r="A500" s="153"/>
      <c r="B500" s="153"/>
      <c r="C500" s="154"/>
      <c r="D500" s="155"/>
      <c r="E500" s="153"/>
      <c r="F500" s="155"/>
      <c r="G500" s="155"/>
      <c r="H500" s="155"/>
      <c r="I500" s="153"/>
      <c r="J500" s="153"/>
      <c r="K500" s="153"/>
      <c r="L500" s="155"/>
      <c r="M500" s="155"/>
      <c r="N500" s="155"/>
      <c r="O500" s="158"/>
    </row>
    <row r="501">
      <c r="A501" s="153"/>
      <c r="B501" s="153"/>
      <c r="C501" s="154"/>
      <c r="D501" s="155"/>
      <c r="E501" s="153"/>
      <c r="F501" s="155"/>
      <c r="G501" s="155"/>
      <c r="H501" s="155"/>
      <c r="I501" s="153"/>
      <c r="J501" s="153"/>
      <c r="K501" s="153"/>
      <c r="L501" s="155"/>
      <c r="M501" s="155"/>
      <c r="N501" s="155"/>
      <c r="O501" s="158"/>
    </row>
    <row r="502">
      <c r="A502" s="153"/>
      <c r="B502" s="153"/>
      <c r="C502" s="154"/>
      <c r="D502" s="155"/>
      <c r="E502" s="153"/>
      <c r="F502" s="155"/>
      <c r="G502" s="155"/>
      <c r="H502" s="155"/>
      <c r="I502" s="153"/>
      <c r="J502" s="153"/>
      <c r="K502" s="153"/>
      <c r="L502" s="155"/>
      <c r="M502" s="155"/>
      <c r="N502" s="155"/>
      <c r="O502" s="158"/>
    </row>
    <row r="503">
      <c r="A503" s="153"/>
      <c r="B503" s="153"/>
      <c r="C503" s="154"/>
      <c r="D503" s="155"/>
      <c r="E503" s="153"/>
      <c r="F503" s="155"/>
      <c r="G503" s="155"/>
      <c r="H503" s="155"/>
      <c r="I503" s="153"/>
      <c r="J503" s="153"/>
      <c r="K503" s="153"/>
      <c r="L503" s="155"/>
      <c r="M503" s="155"/>
      <c r="N503" s="155"/>
      <c r="O503" s="158"/>
    </row>
    <row r="504">
      <c r="A504" s="153"/>
      <c r="B504" s="153"/>
      <c r="C504" s="154"/>
      <c r="D504" s="155"/>
      <c r="E504" s="153"/>
      <c r="F504" s="155"/>
      <c r="G504" s="155"/>
      <c r="H504" s="155"/>
      <c r="I504" s="153"/>
      <c r="J504" s="153"/>
      <c r="K504" s="153"/>
      <c r="L504" s="155"/>
      <c r="M504" s="155"/>
      <c r="N504" s="155"/>
      <c r="O504" s="158"/>
    </row>
    <row r="505">
      <c r="A505" s="153"/>
      <c r="B505" s="153"/>
      <c r="C505" s="154"/>
      <c r="D505" s="155"/>
      <c r="E505" s="153"/>
      <c r="F505" s="155"/>
      <c r="G505" s="155"/>
      <c r="H505" s="155"/>
      <c r="I505" s="153"/>
      <c r="J505" s="153"/>
      <c r="K505" s="153"/>
      <c r="L505" s="155"/>
      <c r="M505" s="155"/>
      <c r="N505" s="155"/>
      <c r="O505" s="158"/>
    </row>
    <row r="506">
      <c r="A506" s="153"/>
      <c r="B506" s="153"/>
      <c r="C506" s="154"/>
      <c r="D506" s="155"/>
      <c r="E506" s="153"/>
      <c r="F506" s="155"/>
      <c r="G506" s="155"/>
      <c r="H506" s="155"/>
      <c r="I506" s="153"/>
      <c r="J506" s="153"/>
      <c r="K506" s="153"/>
      <c r="L506" s="155"/>
      <c r="M506" s="155"/>
      <c r="N506" s="155"/>
      <c r="O506" s="158"/>
    </row>
    <row r="507">
      <c r="A507" s="153"/>
      <c r="B507" s="153"/>
      <c r="C507" s="154"/>
      <c r="D507" s="155"/>
      <c r="E507" s="153"/>
      <c r="F507" s="155"/>
      <c r="G507" s="155"/>
      <c r="H507" s="155"/>
      <c r="I507" s="153"/>
      <c r="J507" s="153"/>
      <c r="K507" s="153"/>
      <c r="L507" s="155"/>
      <c r="M507" s="155"/>
      <c r="N507" s="155"/>
      <c r="O507" s="158"/>
    </row>
    <row r="508">
      <c r="A508" s="153"/>
      <c r="B508" s="153"/>
      <c r="C508" s="154"/>
      <c r="D508" s="155"/>
      <c r="E508" s="153"/>
      <c r="F508" s="155"/>
      <c r="G508" s="155"/>
      <c r="H508" s="155"/>
      <c r="I508" s="153"/>
      <c r="J508" s="153"/>
      <c r="K508" s="153"/>
      <c r="L508" s="155"/>
      <c r="M508" s="155"/>
      <c r="N508" s="155"/>
      <c r="O508" s="158"/>
    </row>
    <row r="509">
      <c r="A509" s="153"/>
      <c r="B509" s="153"/>
      <c r="C509" s="154"/>
      <c r="D509" s="155"/>
      <c r="E509" s="153"/>
      <c r="F509" s="155"/>
      <c r="G509" s="155"/>
      <c r="H509" s="155"/>
      <c r="I509" s="153"/>
      <c r="J509" s="153"/>
      <c r="K509" s="153"/>
      <c r="L509" s="155"/>
      <c r="M509" s="155"/>
      <c r="N509" s="155"/>
      <c r="O509" s="158"/>
    </row>
    <row r="510">
      <c r="A510" s="153"/>
      <c r="B510" s="153"/>
      <c r="C510" s="154"/>
      <c r="D510" s="155"/>
      <c r="E510" s="153"/>
      <c r="F510" s="155"/>
      <c r="G510" s="155"/>
      <c r="H510" s="155"/>
      <c r="I510" s="153"/>
      <c r="J510" s="153"/>
      <c r="K510" s="153"/>
      <c r="L510" s="155"/>
      <c r="M510" s="155"/>
      <c r="N510" s="155"/>
      <c r="O510" s="158"/>
    </row>
    <row r="511">
      <c r="A511" s="153"/>
      <c r="B511" s="153"/>
      <c r="C511" s="154"/>
      <c r="D511" s="155"/>
      <c r="E511" s="153"/>
      <c r="F511" s="155"/>
      <c r="G511" s="155"/>
      <c r="H511" s="155"/>
      <c r="I511" s="153"/>
      <c r="J511" s="153"/>
      <c r="K511" s="153"/>
      <c r="L511" s="155"/>
      <c r="M511" s="155"/>
      <c r="N511" s="155"/>
      <c r="O511" s="158"/>
    </row>
    <row r="512">
      <c r="A512" s="153"/>
      <c r="B512" s="153"/>
      <c r="C512" s="154"/>
      <c r="D512" s="155"/>
      <c r="E512" s="153"/>
      <c r="F512" s="155"/>
      <c r="G512" s="155"/>
      <c r="H512" s="155"/>
      <c r="I512" s="153"/>
      <c r="J512" s="153"/>
      <c r="K512" s="153"/>
      <c r="L512" s="155"/>
      <c r="M512" s="155"/>
      <c r="N512" s="155"/>
      <c r="O512" s="158"/>
    </row>
    <row r="513">
      <c r="A513" s="153"/>
      <c r="B513" s="153"/>
      <c r="C513" s="154"/>
      <c r="D513" s="155"/>
      <c r="E513" s="153"/>
      <c r="F513" s="155"/>
      <c r="G513" s="155"/>
      <c r="H513" s="155"/>
      <c r="I513" s="153"/>
      <c r="J513" s="153"/>
      <c r="K513" s="153"/>
      <c r="L513" s="155"/>
      <c r="M513" s="155"/>
      <c r="N513" s="155"/>
      <c r="O513" s="158"/>
    </row>
    <row r="514">
      <c r="A514" s="153"/>
      <c r="B514" s="153"/>
      <c r="C514" s="154"/>
      <c r="D514" s="155"/>
      <c r="E514" s="153"/>
      <c r="F514" s="155"/>
      <c r="G514" s="155"/>
      <c r="H514" s="155"/>
      <c r="I514" s="153"/>
      <c r="J514" s="153"/>
      <c r="K514" s="153"/>
      <c r="L514" s="155"/>
      <c r="M514" s="155"/>
      <c r="N514" s="155"/>
      <c r="O514" s="158"/>
    </row>
    <row r="515">
      <c r="A515" s="153"/>
      <c r="B515" s="153"/>
      <c r="C515" s="154"/>
      <c r="D515" s="155"/>
      <c r="E515" s="153"/>
      <c r="F515" s="155"/>
      <c r="G515" s="155"/>
      <c r="H515" s="155"/>
      <c r="I515" s="153"/>
      <c r="J515" s="153"/>
      <c r="K515" s="153"/>
      <c r="L515" s="155"/>
      <c r="M515" s="155"/>
      <c r="N515" s="155"/>
      <c r="O515" s="158"/>
    </row>
    <row r="516">
      <c r="A516" s="153"/>
      <c r="B516" s="153"/>
      <c r="C516" s="154"/>
      <c r="D516" s="155"/>
      <c r="E516" s="153"/>
      <c r="F516" s="155"/>
      <c r="G516" s="155"/>
      <c r="H516" s="155"/>
      <c r="I516" s="153"/>
      <c r="J516" s="153"/>
      <c r="K516" s="153"/>
      <c r="L516" s="155"/>
      <c r="M516" s="155"/>
      <c r="N516" s="155"/>
      <c r="O516" s="158"/>
    </row>
    <row r="517">
      <c r="A517" s="153"/>
      <c r="B517" s="153"/>
      <c r="C517" s="154"/>
      <c r="D517" s="155"/>
      <c r="E517" s="153"/>
      <c r="F517" s="155"/>
      <c r="G517" s="155"/>
      <c r="H517" s="155"/>
      <c r="I517" s="153"/>
      <c r="J517" s="153"/>
      <c r="K517" s="153"/>
      <c r="L517" s="155"/>
      <c r="M517" s="155"/>
      <c r="N517" s="155"/>
      <c r="O517" s="158"/>
    </row>
    <row r="518">
      <c r="A518" s="153"/>
      <c r="B518" s="153"/>
      <c r="C518" s="154"/>
      <c r="D518" s="155"/>
      <c r="E518" s="153"/>
      <c r="F518" s="155"/>
      <c r="G518" s="155"/>
      <c r="H518" s="155"/>
      <c r="I518" s="153"/>
      <c r="J518" s="153"/>
      <c r="K518" s="153"/>
      <c r="L518" s="155"/>
      <c r="M518" s="155"/>
      <c r="N518" s="155"/>
      <c r="O518" s="158"/>
    </row>
    <row r="519">
      <c r="A519" s="153"/>
      <c r="B519" s="153"/>
      <c r="C519" s="154"/>
      <c r="D519" s="155"/>
      <c r="E519" s="153"/>
      <c r="F519" s="155"/>
      <c r="G519" s="155"/>
      <c r="H519" s="155"/>
      <c r="I519" s="153"/>
      <c r="J519" s="153"/>
      <c r="K519" s="153"/>
      <c r="L519" s="155"/>
      <c r="M519" s="155"/>
      <c r="N519" s="155"/>
      <c r="O519" s="158"/>
    </row>
    <row r="520">
      <c r="A520" s="153"/>
      <c r="B520" s="153"/>
      <c r="C520" s="154"/>
      <c r="D520" s="155"/>
      <c r="E520" s="153"/>
      <c r="F520" s="155"/>
      <c r="G520" s="155"/>
      <c r="H520" s="155"/>
      <c r="I520" s="153"/>
      <c r="J520" s="153"/>
      <c r="K520" s="153"/>
      <c r="L520" s="155"/>
      <c r="M520" s="155"/>
      <c r="N520" s="155"/>
      <c r="O520" s="158"/>
    </row>
    <row r="521">
      <c r="A521" s="153"/>
      <c r="B521" s="153"/>
      <c r="C521" s="154"/>
      <c r="D521" s="155"/>
      <c r="E521" s="153"/>
      <c r="F521" s="155"/>
      <c r="G521" s="155"/>
      <c r="H521" s="155"/>
      <c r="I521" s="153"/>
      <c r="J521" s="153"/>
      <c r="K521" s="153"/>
      <c r="L521" s="155"/>
      <c r="M521" s="155"/>
      <c r="N521" s="155"/>
      <c r="O521" s="158"/>
    </row>
    <row r="522">
      <c r="A522" s="153"/>
      <c r="B522" s="153"/>
      <c r="C522" s="154"/>
      <c r="D522" s="155"/>
      <c r="E522" s="153"/>
      <c r="F522" s="155"/>
      <c r="G522" s="155"/>
      <c r="H522" s="155"/>
      <c r="I522" s="153"/>
      <c r="J522" s="153"/>
      <c r="K522" s="153"/>
      <c r="L522" s="155"/>
      <c r="M522" s="155"/>
      <c r="N522" s="155"/>
      <c r="O522" s="158"/>
    </row>
    <row r="523">
      <c r="A523" s="153"/>
      <c r="B523" s="153"/>
      <c r="C523" s="154"/>
      <c r="D523" s="155"/>
      <c r="E523" s="153"/>
      <c r="F523" s="155"/>
      <c r="G523" s="155"/>
      <c r="H523" s="155"/>
      <c r="I523" s="153"/>
      <c r="J523" s="153"/>
      <c r="K523" s="153"/>
      <c r="L523" s="155"/>
      <c r="M523" s="155"/>
      <c r="N523" s="155"/>
      <c r="O523" s="158"/>
    </row>
    <row r="524">
      <c r="A524" s="153"/>
      <c r="B524" s="153"/>
      <c r="C524" s="154"/>
      <c r="D524" s="155"/>
      <c r="E524" s="153"/>
      <c r="F524" s="155"/>
      <c r="G524" s="155"/>
      <c r="H524" s="155"/>
      <c r="I524" s="153"/>
      <c r="J524" s="153"/>
      <c r="K524" s="153"/>
      <c r="L524" s="155"/>
      <c r="M524" s="155"/>
      <c r="N524" s="155"/>
      <c r="O524" s="158"/>
    </row>
    <row r="525">
      <c r="A525" s="153"/>
      <c r="B525" s="153"/>
      <c r="C525" s="154"/>
      <c r="D525" s="155"/>
      <c r="E525" s="153"/>
      <c r="F525" s="155"/>
      <c r="G525" s="155"/>
      <c r="H525" s="155"/>
      <c r="I525" s="153"/>
      <c r="J525" s="153"/>
      <c r="K525" s="153"/>
      <c r="L525" s="155"/>
      <c r="M525" s="155"/>
      <c r="N525" s="155"/>
      <c r="O525" s="158"/>
    </row>
    <row r="526">
      <c r="A526" s="153"/>
      <c r="B526" s="153"/>
      <c r="C526" s="154"/>
      <c r="D526" s="155"/>
      <c r="E526" s="153"/>
      <c r="F526" s="155"/>
      <c r="G526" s="155"/>
      <c r="H526" s="155"/>
      <c r="I526" s="153"/>
      <c r="J526" s="153"/>
      <c r="K526" s="153"/>
      <c r="L526" s="155"/>
      <c r="M526" s="155"/>
      <c r="N526" s="155"/>
      <c r="O526" s="158"/>
    </row>
    <row r="527">
      <c r="A527" s="153"/>
      <c r="B527" s="153"/>
      <c r="C527" s="154"/>
      <c r="D527" s="155"/>
      <c r="E527" s="153"/>
      <c r="F527" s="155"/>
      <c r="G527" s="155"/>
      <c r="H527" s="155"/>
      <c r="I527" s="153"/>
      <c r="J527" s="153"/>
      <c r="K527" s="153"/>
      <c r="L527" s="155"/>
      <c r="M527" s="155"/>
      <c r="N527" s="155"/>
      <c r="O527" s="158"/>
    </row>
    <row r="528">
      <c r="A528" s="153"/>
      <c r="B528" s="153"/>
      <c r="C528" s="154"/>
      <c r="D528" s="155"/>
      <c r="E528" s="153"/>
      <c r="F528" s="155"/>
      <c r="G528" s="155"/>
      <c r="H528" s="155"/>
      <c r="I528" s="153"/>
      <c r="J528" s="153"/>
      <c r="K528" s="153"/>
      <c r="L528" s="155"/>
      <c r="M528" s="155"/>
      <c r="N528" s="155"/>
      <c r="O528" s="158"/>
    </row>
    <row r="529">
      <c r="A529" s="153"/>
      <c r="B529" s="153"/>
      <c r="C529" s="154"/>
      <c r="D529" s="155"/>
      <c r="E529" s="153"/>
      <c r="F529" s="155"/>
      <c r="G529" s="155"/>
      <c r="H529" s="155"/>
      <c r="I529" s="153"/>
      <c r="J529" s="153"/>
      <c r="K529" s="153"/>
      <c r="L529" s="155"/>
      <c r="M529" s="155"/>
      <c r="N529" s="155"/>
      <c r="O529" s="158"/>
    </row>
    <row r="530">
      <c r="A530" s="153"/>
      <c r="B530" s="153"/>
      <c r="C530" s="154"/>
      <c r="D530" s="155"/>
      <c r="E530" s="153"/>
      <c r="F530" s="155"/>
      <c r="G530" s="155"/>
      <c r="H530" s="155"/>
      <c r="I530" s="153"/>
      <c r="J530" s="153"/>
      <c r="K530" s="153"/>
      <c r="L530" s="155"/>
      <c r="M530" s="155"/>
      <c r="N530" s="155"/>
      <c r="O530" s="158"/>
    </row>
    <row r="531">
      <c r="A531" s="153"/>
      <c r="B531" s="153"/>
      <c r="C531" s="154"/>
      <c r="D531" s="155"/>
      <c r="E531" s="153"/>
      <c r="F531" s="155"/>
      <c r="G531" s="155"/>
      <c r="H531" s="155"/>
      <c r="I531" s="153"/>
      <c r="J531" s="153"/>
      <c r="K531" s="153"/>
      <c r="L531" s="155"/>
      <c r="M531" s="155"/>
      <c r="N531" s="155"/>
      <c r="O531" s="158"/>
    </row>
    <row r="532">
      <c r="A532" s="153"/>
      <c r="B532" s="153"/>
      <c r="C532" s="154"/>
      <c r="D532" s="155"/>
      <c r="E532" s="153"/>
      <c r="F532" s="155"/>
      <c r="G532" s="155"/>
      <c r="H532" s="155"/>
      <c r="I532" s="153"/>
      <c r="J532" s="153"/>
      <c r="K532" s="153"/>
      <c r="L532" s="155"/>
      <c r="M532" s="155"/>
      <c r="N532" s="155"/>
      <c r="O532" s="158"/>
    </row>
    <row r="533">
      <c r="A533" s="153"/>
      <c r="B533" s="153"/>
      <c r="C533" s="154"/>
      <c r="D533" s="155"/>
      <c r="E533" s="153"/>
      <c r="F533" s="155"/>
      <c r="G533" s="155"/>
      <c r="H533" s="155"/>
      <c r="I533" s="153"/>
      <c r="J533" s="153"/>
      <c r="K533" s="153"/>
      <c r="L533" s="155"/>
      <c r="M533" s="155"/>
      <c r="N533" s="155"/>
      <c r="O533" s="158"/>
    </row>
    <row r="534">
      <c r="A534" s="153"/>
      <c r="B534" s="153"/>
      <c r="C534" s="154"/>
      <c r="D534" s="155"/>
      <c r="E534" s="153"/>
      <c r="F534" s="155"/>
      <c r="G534" s="155"/>
      <c r="H534" s="155"/>
      <c r="I534" s="153"/>
      <c r="J534" s="153"/>
      <c r="K534" s="153"/>
      <c r="L534" s="155"/>
      <c r="M534" s="155"/>
      <c r="N534" s="155"/>
      <c r="O534" s="158"/>
    </row>
    <row r="535">
      <c r="A535" s="153"/>
      <c r="B535" s="153"/>
      <c r="C535" s="154"/>
      <c r="D535" s="155"/>
      <c r="E535" s="153"/>
      <c r="F535" s="155"/>
      <c r="G535" s="155"/>
      <c r="H535" s="155"/>
      <c r="I535" s="153"/>
      <c r="J535" s="153"/>
      <c r="K535" s="153"/>
      <c r="L535" s="155"/>
      <c r="M535" s="155"/>
      <c r="N535" s="155"/>
      <c r="O535" s="158"/>
    </row>
    <row r="536">
      <c r="A536" s="153"/>
      <c r="B536" s="153"/>
      <c r="C536" s="154"/>
      <c r="D536" s="155"/>
      <c r="E536" s="153"/>
      <c r="F536" s="155"/>
      <c r="G536" s="155"/>
      <c r="H536" s="155"/>
      <c r="I536" s="153"/>
      <c r="J536" s="153"/>
      <c r="K536" s="153"/>
      <c r="L536" s="155"/>
      <c r="M536" s="155"/>
      <c r="N536" s="155"/>
      <c r="O536" s="158"/>
    </row>
    <row r="537">
      <c r="A537" s="153"/>
      <c r="B537" s="153"/>
      <c r="C537" s="154"/>
      <c r="D537" s="155"/>
      <c r="E537" s="153"/>
      <c r="F537" s="155"/>
      <c r="G537" s="155"/>
      <c r="H537" s="155"/>
      <c r="I537" s="153"/>
      <c r="J537" s="153"/>
      <c r="K537" s="153"/>
      <c r="L537" s="155"/>
      <c r="M537" s="155"/>
      <c r="N537" s="155"/>
      <c r="O537" s="158"/>
    </row>
    <row r="538">
      <c r="A538" s="153"/>
      <c r="B538" s="153"/>
      <c r="C538" s="154"/>
      <c r="D538" s="155"/>
      <c r="E538" s="153"/>
      <c r="F538" s="155"/>
      <c r="G538" s="155"/>
      <c r="H538" s="155"/>
      <c r="I538" s="153"/>
      <c r="J538" s="153"/>
      <c r="K538" s="153"/>
      <c r="L538" s="155"/>
      <c r="M538" s="155"/>
      <c r="N538" s="155"/>
      <c r="O538" s="158"/>
    </row>
    <row r="539">
      <c r="A539" s="153"/>
      <c r="B539" s="153"/>
      <c r="C539" s="154"/>
      <c r="D539" s="155"/>
      <c r="E539" s="153"/>
      <c r="F539" s="155"/>
      <c r="G539" s="155"/>
      <c r="H539" s="155"/>
      <c r="I539" s="153"/>
      <c r="J539" s="153"/>
      <c r="K539" s="153"/>
      <c r="L539" s="155"/>
      <c r="M539" s="155"/>
      <c r="N539" s="155"/>
      <c r="O539" s="158"/>
    </row>
    <row r="540">
      <c r="A540" s="153"/>
      <c r="B540" s="153"/>
      <c r="C540" s="154"/>
      <c r="D540" s="155"/>
      <c r="E540" s="153"/>
      <c r="F540" s="155"/>
      <c r="G540" s="155"/>
      <c r="H540" s="155"/>
      <c r="I540" s="153"/>
      <c r="J540" s="153"/>
      <c r="K540" s="153"/>
      <c r="L540" s="155"/>
      <c r="M540" s="155"/>
      <c r="N540" s="155"/>
      <c r="O540" s="158"/>
    </row>
    <row r="541">
      <c r="A541" s="153"/>
      <c r="B541" s="153"/>
      <c r="C541" s="154"/>
      <c r="D541" s="155"/>
      <c r="E541" s="153"/>
      <c r="F541" s="155"/>
      <c r="G541" s="155"/>
      <c r="H541" s="155"/>
      <c r="I541" s="153"/>
      <c r="J541" s="153"/>
      <c r="K541" s="153"/>
      <c r="L541" s="155"/>
      <c r="M541" s="155"/>
      <c r="N541" s="155"/>
      <c r="O541" s="158"/>
    </row>
    <row r="542">
      <c r="A542" s="153"/>
      <c r="B542" s="153"/>
      <c r="C542" s="154"/>
      <c r="D542" s="155"/>
      <c r="E542" s="153"/>
      <c r="F542" s="155"/>
      <c r="G542" s="155"/>
      <c r="H542" s="155"/>
      <c r="I542" s="153"/>
      <c r="J542" s="153"/>
      <c r="K542" s="153"/>
      <c r="L542" s="155"/>
      <c r="M542" s="155"/>
      <c r="N542" s="155"/>
      <c r="O542" s="158"/>
    </row>
    <row r="543">
      <c r="A543" s="153"/>
      <c r="B543" s="153"/>
      <c r="C543" s="154"/>
      <c r="D543" s="155"/>
      <c r="E543" s="153"/>
      <c r="F543" s="155"/>
      <c r="G543" s="155"/>
      <c r="H543" s="155"/>
      <c r="I543" s="153"/>
      <c r="J543" s="153"/>
      <c r="K543" s="153"/>
      <c r="L543" s="155"/>
      <c r="M543" s="155"/>
      <c r="N543" s="155"/>
      <c r="O543" s="158"/>
    </row>
    <row r="544">
      <c r="A544" s="153"/>
      <c r="B544" s="153"/>
      <c r="C544" s="154"/>
      <c r="D544" s="155"/>
      <c r="E544" s="153"/>
      <c r="F544" s="155"/>
      <c r="G544" s="155"/>
      <c r="H544" s="155"/>
      <c r="I544" s="153"/>
      <c r="J544" s="153"/>
      <c r="K544" s="153"/>
      <c r="L544" s="155"/>
      <c r="M544" s="155"/>
      <c r="N544" s="155"/>
      <c r="O544" s="158"/>
    </row>
    <row r="545">
      <c r="A545" s="153"/>
      <c r="B545" s="153"/>
      <c r="C545" s="154"/>
      <c r="D545" s="155"/>
      <c r="E545" s="153"/>
      <c r="F545" s="155"/>
      <c r="G545" s="155"/>
      <c r="H545" s="155"/>
      <c r="I545" s="153"/>
      <c r="J545" s="153"/>
      <c r="K545" s="153"/>
      <c r="L545" s="155"/>
      <c r="M545" s="155"/>
      <c r="N545" s="155"/>
      <c r="O545" s="158"/>
    </row>
    <row r="546">
      <c r="A546" s="153"/>
      <c r="B546" s="153"/>
      <c r="C546" s="154"/>
      <c r="D546" s="155"/>
      <c r="E546" s="153"/>
      <c r="F546" s="155"/>
      <c r="G546" s="155"/>
      <c r="H546" s="155"/>
      <c r="I546" s="153"/>
      <c r="J546" s="153"/>
      <c r="K546" s="153"/>
      <c r="L546" s="155"/>
      <c r="M546" s="155"/>
      <c r="N546" s="155"/>
      <c r="O546" s="158"/>
    </row>
    <row r="547">
      <c r="A547" s="153"/>
      <c r="B547" s="153"/>
      <c r="C547" s="154"/>
      <c r="D547" s="155"/>
      <c r="E547" s="153"/>
      <c r="F547" s="155"/>
      <c r="G547" s="155"/>
      <c r="H547" s="155"/>
      <c r="I547" s="153"/>
      <c r="J547" s="153"/>
      <c r="K547" s="153"/>
      <c r="L547" s="155"/>
      <c r="M547" s="155"/>
      <c r="N547" s="155"/>
      <c r="O547" s="158"/>
    </row>
    <row r="548">
      <c r="A548" s="153"/>
      <c r="B548" s="153"/>
      <c r="C548" s="154"/>
      <c r="D548" s="155"/>
      <c r="E548" s="153"/>
      <c r="F548" s="155"/>
      <c r="G548" s="155"/>
      <c r="H548" s="155"/>
      <c r="I548" s="153"/>
      <c r="J548" s="153"/>
      <c r="K548" s="153"/>
      <c r="L548" s="155"/>
      <c r="M548" s="155"/>
      <c r="N548" s="155"/>
      <c r="O548" s="158"/>
    </row>
    <row r="549">
      <c r="A549" s="153"/>
      <c r="B549" s="153"/>
      <c r="C549" s="154"/>
      <c r="D549" s="155"/>
      <c r="E549" s="153"/>
      <c r="F549" s="155"/>
      <c r="G549" s="155"/>
      <c r="H549" s="155"/>
      <c r="I549" s="153"/>
      <c r="J549" s="153"/>
      <c r="K549" s="153"/>
      <c r="L549" s="155"/>
      <c r="M549" s="155"/>
      <c r="N549" s="155"/>
      <c r="O549" s="158"/>
    </row>
    <row r="550">
      <c r="A550" s="153"/>
      <c r="B550" s="153"/>
      <c r="C550" s="154"/>
      <c r="D550" s="155"/>
      <c r="E550" s="153"/>
      <c r="F550" s="155"/>
      <c r="G550" s="155"/>
      <c r="H550" s="155"/>
      <c r="I550" s="153"/>
      <c r="J550" s="153"/>
      <c r="K550" s="153"/>
      <c r="L550" s="155"/>
      <c r="M550" s="155"/>
      <c r="N550" s="155"/>
      <c r="O550" s="158"/>
    </row>
    <row r="551">
      <c r="A551" s="153"/>
      <c r="B551" s="153"/>
      <c r="C551" s="154"/>
      <c r="D551" s="155"/>
      <c r="E551" s="153"/>
      <c r="F551" s="155"/>
      <c r="G551" s="155"/>
      <c r="H551" s="155"/>
      <c r="I551" s="153"/>
      <c r="J551" s="153"/>
      <c r="K551" s="153"/>
      <c r="L551" s="155"/>
      <c r="M551" s="155"/>
      <c r="N551" s="155"/>
      <c r="O551" s="158"/>
    </row>
    <row r="552">
      <c r="A552" s="153"/>
      <c r="B552" s="153"/>
      <c r="C552" s="154"/>
      <c r="D552" s="155"/>
      <c r="E552" s="153"/>
      <c r="F552" s="155"/>
      <c r="G552" s="155"/>
      <c r="H552" s="155"/>
      <c r="I552" s="153"/>
      <c r="J552" s="153"/>
      <c r="K552" s="153"/>
      <c r="L552" s="155"/>
      <c r="M552" s="155"/>
      <c r="N552" s="155"/>
      <c r="O552" s="158"/>
    </row>
    <row r="553">
      <c r="A553" s="153"/>
      <c r="B553" s="153"/>
      <c r="C553" s="154"/>
      <c r="D553" s="155"/>
      <c r="E553" s="153"/>
      <c r="F553" s="155"/>
      <c r="G553" s="155"/>
      <c r="H553" s="155"/>
      <c r="I553" s="153"/>
      <c r="J553" s="153"/>
      <c r="K553" s="153"/>
      <c r="L553" s="155"/>
      <c r="M553" s="155"/>
      <c r="N553" s="155"/>
      <c r="O553" s="158"/>
    </row>
    <row r="554">
      <c r="A554" s="153"/>
      <c r="B554" s="153"/>
      <c r="C554" s="154"/>
      <c r="D554" s="155"/>
      <c r="E554" s="153"/>
      <c r="F554" s="155"/>
      <c r="G554" s="155"/>
      <c r="H554" s="155"/>
      <c r="I554" s="153"/>
      <c r="J554" s="153"/>
      <c r="K554" s="153"/>
      <c r="L554" s="155"/>
      <c r="M554" s="155"/>
      <c r="N554" s="155"/>
      <c r="O554" s="158"/>
    </row>
    <row r="555">
      <c r="A555" s="153"/>
      <c r="B555" s="153"/>
      <c r="C555" s="154"/>
      <c r="D555" s="155"/>
      <c r="E555" s="153"/>
      <c r="F555" s="155"/>
      <c r="G555" s="155"/>
      <c r="H555" s="155"/>
      <c r="I555" s="153"/>
      <c r="J555" s="153"/>
      <c r="K555" s="153"/>
      <c r="L555" s="155"/>
      <c r="M555" s="155"/>
      <c r="N555" s="155"/>
      <c r="O555" s="158"/>
    </row>
    <row r="556">
      <c r="A556" s="153"/>
      <c r="B556" s="153"/>
      <c r="C556" s="154"/>
      <c r="D556" s="155"/>
      <c r="E556" s="153"/>
      <c r="F556" s="155"/>
      <c r="G556" s="155"/>
      <c r="H556" s="155"/>
      <c r="I556" s="153"/>
      <c r="J556" s="153"/>
      <c r="K556" s="153"/>
      <c r="L556" s="155"/>
      <c r="M556" s="155"/>
      <c r="N556" s="155"/>
      <c r="O556" s="158"/>
    </row>
    <row r="557">
      <c r="A557" s="153"/>
      <c r="B557" s="153"/>
      <c r="C557" s="154"/>
      <c r="D557" s="155"/>
      <c r="E557" s="153"/>
      <c r="F557" s="155"/>
      <c r="G557" s="155"/>
      <c r="H557" s="155"/>
      <c r="I557" s="153"/>
      <c r="J557" s="153"/>
      <c r="K557" s="153"/>
      <c r="L557" s="155"/>
      <c r="M557" s="155"/>
      <c r="N557" s="155"/>
      <c r="O557" s="158"/>
    </row>
    <row r="558">
      <c r="A558" s="153"/>
      <c r="B558" s="153"/>
      <c r="C558" s="154"/>
      <c r="D558" s="155"/>
      <c r="E558" s="153"/>
      <c r="F558" s="155"/>
      <c r="G558" s="155"/>
      <c r="H558" s="155"/>
      <c r="I558" s="153"/>
      <c r="J558" s="153"/>
      <c r="K558" s="153"/>
      <c r="L558" s="155"/>
      <c r="M558" s="155"/>
      <c r="N558" s="155"/>
      <c r="O558" s="158"/>
    </row>
    <row r="559">
      <c r="A559" s="153"/>
      <c r="B559" s="153"/>
      <c r="C559" s="154"/>
      <c r="D559" s="155"/>
      <c r="E559" s="153"/>
      <c r="F559" s="155"/>
      <c r="G559" s="155"/>
      <c r="H559" s="155"/>
      <c r="I559" s="153"/>
      <c r="J559" s="153"/>
      <c r="K559" s="153"/>
      <c r="L559" s="155"/>
      <c r="M559" s="155"/>
      <c r="N559" s="155"/>
      <c r="O559" s="158"/>
    </row>
    <row r="560">
      <c r="A560" s="153"/>
      <c r="B560" s="153"/>
      <c r="C560" s="154"/>
      <c r="D560" s="155"/>
      <c r="E560" s="153"/>
      <c r="F560" s="155"/>
      <c r="G560" s="155"/>
      <c r="H560" s="155"/>
      <c r="I560" s="153"/>
      <c r="J560" s="153"/>
      <c r="K560" s="153"/>
      <c r="L560" s="155"/>
      <c r="M560" s="155"/>
      <c r="N560" s="155"/>
      <c r="O560" s="158"/>
    </row>
    <row r="561">
      <c r="A561" s="153"/>
      <c r="B561" s="153"/>
      <c r="C561" s="154"/>
      <c r="D561" s="155"/>
      <c r="E561" s="153"/>
      <c r="F561" s="155"/>
      <c r="G561" s="155"/>
      <c r="H561" s="155"/>
      <c r="I561" s="153"/>
      <c r="J561" s="153"/>
      <c r="K561" s="153"/>
      <c r="L561" s="155"/>
      <c r="M561" s="155"/>
      <c r="N561" s="155"/>
      <c r="O561" s="158"/>
    </row>
    <row r="562">
      <c r="A562" s="153"/>
      <c r="B562" s="153"/>
      <c r="C562" s="154"/>
      <c r="D562" s="155"/>
      <c r="E562" s="153"/>
      <c r="F562" s="155"/>
      <c r="G562" s="155"/>
      <c r="H562" s="155"/>
      <c r="I562" s="153"/>
      <c r="J562" s="153"/>
      <c r="K562" s="153"/>
      <c r="L562" s="155"/>
      <c r="M562" s="155"/>
      <c r="N562" s="155"/>
      <c r="O562" s="158"/>
    </row>
    <row r="563">
      <c r="A563" s="153"/>
      <c r="B563" s="153"/>
      <c r="C563" s="154"/>
      <c r="D563" s="155"/>
      <c r="E563" s="153"/>
      <c r="F563" s="155"/>
      <c r="G563" s="155"/>
      <c r="H563" s="155"/>
      <c r="I563" s="153"/>
      <c r="J563" s="153"/>
      <c r="K563" s="153"/>
      <c r="L563" s="155"/>
      <c r="M563" s="155"/>
      <c r="N563" s="155"/>
      <c r="O563" s="158"/>
    </row>
    <row r="564">
      <c r="A564" s="153"/>
      <c r="B564" s="153"/>
      <c r="C564" s="154"/>
      <c r="D564" s="155"/>
      <c r="E564" s="153"/>
      <c r="F564" s="155"/>
      <c r="G564" s="155"/>
      <c r="H564" s="155"/>
      <c r="I564" s="153"/>
      <c r="J564" s="153"/>
      <c r="K564" s="153"/>
      <c r="L564" s="155"/>
      <c r="M564" s="155"/>
      <c r="N564" s="155"/>
      <c r="O564" s="158"/>
    </row>
    <row r="565">
      <c r="A565" s="153"/>
      <c r="B565" s="153"/>
      <c r="C565" s="154"/>
      <c r="D565" s="155"/>
      <c r="E565" s="153"/>
      <c r="F565" s="155"/>
      <c r="G565" s="155"/>
      <c r="H565" s="155"/>
      <c r="I565" s="153"/>
      <c r="J565" s="153"/>
      <c r="K565" s="153"/>
      <c r="L565" s="155"/>
      <c r="M565" s="155"/>
      <c r="N565" s="155"/>
      <c r="O565" s="158"/>
    </row>
    <row r="566">
      <c r="A566" s="153"/>
      <c r="B566" s="153"/>
      <c r="C566" s="154"/>
      <c r="D566" s="155"/>
      <c r="E566" s="153"/>
      <c r="F566" s="155"/>
      <c r="G566" s="155"/>
      <c r="H566" s="155"/>
      <c r="I566" s="153"/>
      <c r="J566" s="153"/>
      <c r="K566" s="153"/>
      <c r="L566" s="155"/>
      <c r="M566" s="155"/>
      <c r="N566" s="155"/>
      <c r="O566" s="158"/>
    </row>
    <row r="567">
      <c r="A567" s="153"/>
      <c r="B567" s="153"/>
      <c r="C567" s="154"/>
      <c r="D567" s="155"/>
      <c r="E567" s="153"/>
      <c r="F567" s="155"/>
      <c r="G567" s="155"/>
      <c r="H567" s="155"/>
      <c r="I567" s="153"/>
      <c r="J567" s="153"/>
      <c r="K567" s="153"/>
      <c r="L567" s="155"/>
      <c r="M567" s="155"/>
      <c r="N567" s="155"/>
      <c r="O567" s="158"/>
    </row>
    <row r="568">
      <c r="A568" s="153"/>
      <c r="B568" s="153"/>
      <c r="C568" s="154"/>
      <c r="D568" s="155"/>
      <c r="E568" s="153"/>
      <c r="F568" s="155"/>
      <c r="G568" s="155"/>
      <c r="H568" s="155"/>
      <c r="I568" s="153"/>
      <c r="J568" s="153"/>
      <c r="K568" s="153"/>
      <c r="L568" s="155"/>
      <c r="M568" s="155"/>
      <c r="N568" s="155"/>
      <c r="O568" s="158"/>
    </row>
    <row r="569">
      <c r="A569" s="153"/>
      <c r="B569" s="153"/>
      <c r="C569" s="154"/>
      <c r="D569" s="155"/>
      <c r="E569" s="153"/>
      <c r="F569" s="155"/>
      <c r="G569" s="155"/>
      <c r="H569" s="155"/>
      <c r="I569" s="153"/>
      <c r="J569" s="153"/>
      <c r="K569" s="153"/>
      <c r="L569" s="155"/>
      <c r="M569" s="155"/>
      <c r="N569" s="155"/>
      <c r="O569" s="158"/>
    </row>
    <row r="570">
      <c r="A570" s="153"/>
      <c r="B570" s="153"/>
      <c r="C570" s="154"/>
      <c r="D570" s="155"/>
      <c r="E570" s="153"/>
      <c r="F570" s="155"/>
      <c r="G570" s="155"/>
      <c r="H570" s="155"/>
      <c r="I570" s="153"/>
      <c r="J570" s="153"/>
      <c r="K570" s="153"/>
      <c r="L570" s="155"/>
      <c r="M570" s="155"/>
      <c r="N570" s="155"/>
      <c r="O570" s="158"/>
    </row>
    <row r="571">
      <c r="A571" s="153"/>
      <c r="B571" s="153"/>
      <c r="C571" s="154"/>
      <c r="D571" s="155"/>
      <c r="E571" s="153"/>
      <c r="F571" s="155"/>
      <c r="G571" s="155"/>
      <c r="H571" s="155"/>
      <c r="I571" s="153"/>
      <c r="J571" s="153"/>
      <c r="K571" s="153"/>
      <c r="L571" s="155"/>
      <c r="M571" s="155"/>
      <c r="N571" s="155"/>
      <c r="O571" s="158"/>
    </row>
    <row r="572">
      <c r="A572" s="153"/>
      <c r="B572" s="153"/>
      <c r="C572" s="154"/>
      <c r="D572" s="155"/>
      <c r="E572" s="153"/>
      <c r="F572" s="155"/>
      <c r="G572" s="155"/>
      <c r="H572" s="155"/>
      <c r="I572" s="153"/>
      <c r="J572" s="153"/>
      <c r="K572" s="153"/>
      <c r="L572" s="155"/>
      <c r="M572" s="155"/>
      <c r="N572" s="155"/>
      <c r="O572" s="158"/>
    </row>
    <row r="573">
      <c r="A573" s="153"/>
      <c r="B573" s="153"/>
      <c r="C573" s="154"/>
      <c r="D573" s="155"/>
      <c r="E573" s="153"/>
      <c r="F573" s="155"/>
      <c r="G573" s="155"/>
      <c r="H573" s="155"/>
      <c r="I573" s="153"/>
      <c r="J573" s="153"/>
      <c r="K573" s="153"/>
      <c r="L573" s="155"/>
      <c r="M573" s="155"/>
      <c r="N573" s="155"/>
      <c r="O573" s="158"/>
    </row>
    <row r="574">
      <c r="A574" s="153"/>
      <c r="B574" s="153"/>
      <c r="C574" s="154"/>
      <c r="D574" s="155"/>
      <c r="E574" s="153"/>
      <c r="F574" s="155"/>
      <c r="G574" s="155"/>
      <c r="H574" s="155"/>
      <c r="I574" s="153"/>
      <c r="J574" s="153"/>
      <c r="K574" s="153"/>
      <c r="L574" s="155"/>
      <c r="M574" s="155"/>
      <c r="N574" s="155"/>
      <c r="O574" s="158"/>
    </row>
    <row r="575">
      <c r="A575" s="153"/>
      <c r="B575" s="153"/>
      <c r="C575" s="154"/>
      <c r="D575" s="155"/>
      <c r="E575" s="153"/>
      <c r="F575" s="155"/>
      <c r="G575" s="155"/>
      <c r="H575" s="155"/>
      <c r="I575" s="153"/>
      <c r="J575" s="153"/>
      <c r="K575" s="153"/>
      <c r="L575" s="155"/>
      <c r="M575" s="155"/>
      <c r="N575" s="155"/>
      <c r="O575" s="158"/>
    </row>
    <row r="576">
      <c r="A576" s="153"/>
      <c r="B576" s="153"/>
      <c r="C576" s="154"/>
      <c r="D576" s="155"/>
      <c r="E576" s="153"/>
      <c r="F576" s="155"/>
      <c r="G576" s="155"/>
      <c r="H576" s="155"/>
      <c r="I576" s="153"/>
      <c r="J576" s="153"/>
      <c r="K576" s="153"/>
      <c r="L576" s="155"/>
      <c r="M576" s="155"/>
      <c r="N576" s="155"/>
      <c r="O576" s="158"/>
    </row>
    <row r="577">
      <c r="A577" s="153"/>
      <c r="B577" s="153"/>
      <c r="C577" s="154"/>
      <c r="D577" s="155"/>
      <c r="E577" s="153"/>
      <c r="F577" s="155"/>
      <c r="G577" s="155"/>
      <c r="H577" s="155"/>
      <c r="I577" s="153"/>
      <c r="J577" s="153"/>
      <c r="K577" s="153"/>
      <c r="L577" s="155"/>
      <c r="M577" s="155"/>
      <c r="N577" s="155"/>
      <c r="O577" s="158"/>
    </row>
    <row r="578">
      <c r="A578" s="153"/>
      <c r="B578" s="153"/>
      <c r="C578" s="154"/>
      <c r="D578" s="155"/>
      <c r="E578" s="153"/>
      <c r="F578" s="155"/>
      <c r="G578" s="155"/>
      <c r="H578" s="155"/>
      <c r="I578" s="153"/>
      <c r="J578" s="153"/>
      <c r="K578" s="153"/>
      <c r="L578" s="155"/>
      <c r="M578" s="155"/>
      <c r="N578" s="155"/>
      <c r="O578" s="158"/>
    </row>
    <row r="579">
      <c r="A579" s="153"/>
      <c r="B579" s="153"/>
      <c r="C579" s="154"/>
      <c r="D579" s="155"/>
      <c r="E579" s="153"/>
      <c r="F579" s="155"/>
      <c r="G579" s="155"/>
      <c r="H579" s="155"/>
      <c r="I579" s="153"/>
      <c r="J579" s="153"/>
      <c r="K579" s="153"/>
      <c r="L579" s="155"/>
      <c r="M579" s="155"/>
      <c r="N579" s="155"/>
      <c r="O579" s="158"/>
    </row>
    <row r="580">
      <c r="A580" s="153"/>
      <c r="B580" s="153"/>
      <c r="C580" s="154"/>
      <c r="D580" s="155"/>
      <c r="E580" s="153"/>
      <c r="F580" s="155"/>
      <c r="G580" s="155"/>
      <c r="H580" s="155"/>
      <c r="I580" s="153"/>
      <c r="J580" s="153"/>
      <c r="K580" s="153"/>
      <c r="L580" s="155"/>
      <c r="M580" s="155"/>
      <c r="N580" s="155"/>
      <c r="O580" s="158"/>
    </row>
    <row r="581">
      <c r="A581" s="153"/>
      <c r="B581" s="153"/>
      <c r="C581" s="154"/>
      <c r="D581" s="155"/>
      <c r="E581" s="153"/>
      <c r="F581" s="155"/>
      <c r="G581" s="155"/>
      <c r="H581" s="155"/>
      <c r="I581" s="153"/>
      <c r="J581" s="153"/>
      <c r="K581" s="153"/>
      <c r="L581" s="155"/>
      <c r="M581" s="155"/>
      <c r="N581" s="155"/>
      <c r="O581" s="158"/>
    </row>
    <row r="582">
      <c r="A582" s="153"/>
      <c r="B582" s="153"/>
      <c r="C582" s="154"/>
      <c r="D582" s="155"/>
      <c r="E582" s="153"/>
      <c r="F582" s="155"/>
      <c r="G582" s="155"/>
      <c r="H582" s="155"/>
      <c r="I582" s="153"/>
      <c r="J582" s="153"/>
      <c r="K582" s="153"/>
      <c r="L582" s="155"/>
      <c r="M582" s="155"/>
      <c r="N582" s="155"/>
      <c r="O582" s="158"/>
    </row>
    <row r="583">
      <c r="A583" s="153"/>
      <c r="B583" s="153"/>
      <c r="C583" s="154"/>
      <c r="D583" s="155"/>
      <c r="E583" s="153"/>
      <c r="F583" s="155"/>
      <c r="G583" s="155"/>
      <c r="H583" s="155"/>
      <c r="I583" s="153"/>
      <c r="J583" s="153"/>
      <c r="K583" s="153"/>
      <c r="L583" s="155"/>
      <c r="M583" s="155"/>
      <c r="N583" s="155"/>
      <c r="O583" s="158"/>
    </row>
    <row r="584">
      <c r="A584" s="153"/>
      <c r="B584" s="153"/>
      <c r="C584" s="154"/>
      <c r="D584" s="155"/>
      <c r="E584" s="153"/>
      <c r="F584" s="155"/>
      <c r="G584" s="155"/>
      <c r="H584" s="155"/>
      <c r="I584" s="153"/>
      <c r="J584" s="153"/>
      <c r="K584" s="153"/>
      <c r="L584" s="155"/>
      <c r="M584" s="155"/>
      <c r="N584" s="155"/>
      <c r="O584" s="158"/>
    </row>
    <row r="585">
      <c r="A585" s="153"/>
      <c r="B585" s="153"/>
      <c r="C585" s="154"/>
      <c r="D585" s="155"/>
      <c r="E585" s="153"/>
      <c r="F585" s="155"/>
      <c r="G585" s="155"/>
      <c r="H585" s="155"/>
      <c r="I585" s="153"/>
      <c r="J585" s="153"/>
      <c r="K585" s="153"/>
      <c r="L585" s="155"/>
      <c r="M585" s="155"/>
      <c r="N585" s="155"/>
      <c r="O585" s="158"/>
    </row>
    <row r="586">
      <c r="A586" s="153"/>
      <c r="B586" s="153"/>
      <c r="C586" s="154"/>
      <c r="D586" s="155"/>
      <c r="E586" s="153"/>
      <c r="F586" s="155"/>
      <c r="G586" s="155"/>
      <c r="H586" s="155"/>
      <c r="I586" s="153"/>
      <c r="J586" s="153"/>
      <c r="K586" s="153"/>
      <c r="L586" s="155"/>
      <c r="M586" s="155"/>
      <c r="N586" s="155"/>
      <c r="O586" s="158"/>
    </row>
    <row r="587">
      <c r="A587" s="153"/>
      <c r="B587" s="153"/>
      <c r="C587" s="154"/>
      <c r="D587" s="155"/>
      <c r="E587" s="153"/>
      <c r="F587" s="155"/>
      <c r="G587" s="155"/>
      <c r="H587" s="155"/>
      <c r="I587" s="153"/>
      <c r="J587" s="153"/>
      <c r="K587" s="153"/>
      <c r="L587" s="155"/>
      <c r="M587" s="155"/>
      <c r="N587" s="155"/>
      <c r="O587" s="158"/>
    </row>
    <row r="588">
      <c r="A588" s="153"/>
      <c r="B588" s="153"/>
      <c r="C588" s="154"/>
      <c r="D588" s="155"/>
      <c r="E588" s="153"/>
      <c r="F588" s="155"/>
      <c r="G588" s="155"/>
      <c r="H588" s="155"/>
      <c r="I588" s="153"/>
      <c r="J588" s="153"/>
      <c r="K588" s="153"/>
      <c r="L588" s="155"/>
      <c r="M588" s="155"/>
      <c r="N588" s="155"/>
      <c r="O588" s="158"/>
    </row>
    <row r="589">
      <c r="A589" s="153"/>
      <c r="B589" s="153"/>
      <c r="C589" s="154"/>
      <c r="D589" s="155"/>
      <c r="E589" s="153"/>
      <c r="F589" s="155"/>
      <c r="G589" s="155"/>
      <c r="H589" s="155"/>
      <c r="I589" s="153"/>
      <c r="J589" s="153"/>
      <c r="K589" s="153"/>
      <c r="L589" s="155"/>
      <c r="M589" s="155"/>
      <c r="N589" s="155"/>
      <c r="O589" s="158"/>
    </row>
    <row r="590">
      <c r="A590" s="153"/>
      <c r="B590" s="153"/>
      <c r="C590" s="154"/>
      <c r="D590" s="155"/>
      <c r="E590" s="153"/>
      <c r="F590" s="155"/>
      <c r="G590" s="155"/>
      <c r="H590" s="155"/>
      <c r="I590" s="153"/>
      <c r="J590" s="153"/>
      <c r="K590" s="153"/>
      <c r="L590" s="155"/>
      <c r="M590" s="155"/>
      <c r="N590" s="155"/>
      <c r="O590" s="158"/>
    </row>
    <row r="591">
      <c r="A591" s="153"/>
      <c r="B591" s="153"/>
      <c r="C591" s="154"/>
      <c r="D591" s="155"/>
      <c r="E591" s="153"/>
      <c r="F591" s="155"/>
      <c r="G591" s="155"/>
      <c r="H591" s="155"/>
      <c r="I591" s="153"/>
      <c r="J591" s="153"/>
      <c r="K591" s="153"/>
      <c r="L591" s="155"/>
      <c r="M591" s="155"/>
      <c r="N591" s="155"/>
      <c r="O591" s="158"/>
    </row>
    <row r="592">
      <c r="A592" s="153"/>
      <c r="B592" s="153"/>
      <c r="C592" s="154"/>
      <c r="D592" s="155"/>
      <c r="E592" s="153"/>
      <c r="F592" s="155"/>
      <c r="G592" s="155"/>
      <c r="H592" s="155"/>
      <c r="I592" s="153"/>
      <c r="J592" s="153"/>
      <c r="K592" s="153"/>
      <c r="L592" s="155"/>
      <c r="M592" s="155"/>
      <c r="N592" s="155"/>
      <c r="O592" s="158"/>
    </row>
    <row r="593">
      <c r="A593" s="153"/>
      <c r="B593" s="153"/>
      <c r="C593" s="154"/>
      <c r="D593" s="155"/>
      <c r="E593" s="153"/>
      <c r="F593" s="155"/>
      <c r="G593" s="155"/>
      <c r="H593" s="155"/>
      <c r="I593" s="153"/>
      <c r="J593" s="153"/>
      <c r="K593" s="153"/>
      <c r="L593" s="155"/>
      <c r="M593" s="155"/>
      <c r="N593" s="155"/>
      <c r="O593" s="158"/>
    </row>
    <row r="594">
      <c r="A594" s="153"/>
      <c r="B594" s="153"/>
      <c r="C594" s="154"/>
      <c r="D594" s="155"/>
      <c r="E594" s="153"/>
      <c r="F594" s="155"/>
      <c r="G594" s="155"/>
      <c r="H594" s="155"/>
      <c r="I594" s="153"/>
      <c r="J594" s="153"/>
      <c r="K594" s="153"/>
      <c r="L594" s="155"/>
      <c r="M594" s="155"/>
      <c r="N594" s="155"/>
      <c r="O594" s="158"/>
    </row>
    <row r="595">
      <c r="A595" s="153"/>
      <c r="B595" s="153"/>
      <c r="C595" s="154"/>
      <c r="D595" s="155"/>
      <c r="E595" s="153"/>
      <c r="F595" s="155"/>
      <c r="G595" s="155"/>
      <c r="H595" s="155"/>
      <c r="I595" s="153"/>
      <c r="J595" s="153"/>
      <c r="K595" s="153"/>
      <c r="L595" s="155"/>
      <c r="M595" s="155"/>
      <c r="N595" s="155"/>
      <c r="O595" s="158"/>
    </row>
    <row r="596">
      <c r="A596" s="153"/>
      <c r="B596" s="153"/>
      <c r="C596" s="154"/>
      <c r="D596" s="155"/>
      <c r="E596" s="153"/>
      <c r="F596" s="155"/>
      <c r="G596" s="155"/>
      <c r="H596" s="155"/>
      <c r="I596" s="153"/>
      <c r="J596" s="153"/>
      <c r="K596" s="153"/>
      <c r="L596" s="155"/>
      <c r="M596" s="155"/>
      <c r="N596" s="155"/>
      <c r="O596" s="158"/>
    </row>
    <row r="597">
      <c r="A597" s="153"/>
      <c r="B597" s="153"/>
      <c r="C597" s="154"/>
      <c r="D597" s="155"/>
      <c r="E597" s="153"/>
      <c r="F597" s="155"/>
      <c r="G597" s="155"/>
      <c r="H597" s="155"/>
      <c r="I597" s="153"/>
      <c r="J597" s="153"/>
      <c r="K597" s="153"/>
      <c r="L597" s="155"/>
      <c r="M597" s="155"/>
      <c r="N597" s="155"/>
      <c r="O597" s="158"/>
    </row>
    <row r="598">
      <c r="A598" s="153"/>
      <c r="B598" s="153"/>
      <c r="C598" s="154"/>
      <c r="D598" s="155"/>
      <c r="E598" s="153"/>
      <c r="F598" s="155"/>
      <c r="G598" s="155"/>
      <c r="H598" s="155"/>
      <c r="I598" s="153"/>
      <c r="J598" s="153"/>
      <c r="K598" s="153"/>
      <c r="L598" s="155"/>
      <c r="M598" s="155"/>
      <c r="N598" s="155"/>
      <c r="O598" s="158"/>
    </row>
    <row r="599">
      <c r="A599" s="153"/>
      <c r="B599" s="153"/>
      <c r="C599" s="154"/>
      <c r="D599" s="155"/>
      <c r="E599" s="153"/>
      <c r="F599" s="155"/>
      <c r="G599" s="155"/>
      <c r="H599" s="155"/>
      <c r="I599" s="153"/>
      <c r="J599" s="153"/>
      <c r="K599" s="153"/>
      <c r="L599" s="155"/>
      <c r="M599" s="155"/>
      <c r="N599" s="155"/>
      <c r="O599" s="158"/>
    </row>
    <row r="600">
      <c r="A600" s="153"/>
      <c r="B600" s="153"/>
      <c r="C600" s="154"/>
      <c r="D600" s="155"/>
      <c r="E600" s="153"/>
      <c r="F600" s="155"/>
      <c r="G600" s="155"/>
      <c r="H600" s="155"/>
      <c r="I600" s="153"/>
      <c r="J600" s="153"/>
      <c r="K600" s="153"/>
      <c r="L600" s="155"/>
      <c r="M600" s="155"/>
      <c r="N600" s="155"/>
      <c r="O600" s="158"/>
    </row>
    <row r="601">
      <c r="A601" s="153"/>
      <c r="B601" s="153"/>
      <c r="C601" s="154"/>
      <c r="D601" s="155"/>
      <c r="E601" s="153"/>
      <c r="F601" s="155"/>
      <c r="G601" s="155"/>
      <c r="H601" s="155"/>
      <c r="I601" s="153"/>
      <c r="J601" s="153"/>
      <c r="K601" s="153"/>
      <c r="L601" s="155"/>
      <c r="M601" s="155"/>
      <c r="N601" s="155"/>
      <c r="O601" s="158"/>
    </row>
    <row r="602">
      <c r="A602" s="153"/>
      <c r="B602" s="153"/>
      <c r="C602" s="154"/>
      <c r="D602" s="155"/>
      <c r="E602" s="153"/>
      <c r="F602" s="155"/>
      <c r="G602" s="155"/>
      <c r="H602" s="155"/>
      <c r="I602" s="153"/>
      <c r="J602" s="153"/>
      <c r="K602" s="153"/>
      <c r="L602" s="155"/>
      <c r="M602" s="155"/>
      <c r="N602" s="155"/>
      <c r="O602" s="158"/>
    </row>
    <row r="603">
      <c r="A603" s="153"/>
      <c r="B603" s="153"/>
      <c r="C603" s="154"/>
      <c r="D603" s="155"/>
      <c r="E603" s="153"/>
      <c r="F603" s="155"/>
      <c r="G603" s="155"/>
      <c r="H603" s="155"/>
      <c r="I603" s="153"/>
      <c r="J603" s="153"/>
      <c r="K603" s="153"/>
      <c r="L603" s="155"/>
      <c r="M603" s="155"/>
      <c r="N603" s="155"/>
      <c r="O603" s="158"/>
    </row>
    <row r="604">
      <c r="A604" s="153"/>
      <c r="B604" s="153"/>
      <c r="C604" s="154"/>
      <c r="D604" s="155"/>
      <c r="E604" s="153"/>
      <c r="F604" s="155"/>
      <c r="G604" s="155"/>
      <c r="H604" s="155"/>
      <c r="I604" s="153"/>
      <c r="J604" s="153"/>
      <c r="K604" s="153"/>
      <c r="L604" s="155"/>
      <c r="M604" s="155"/>
      <c r="N604" s="155"/>
      <c r="O604" s="158"/>
    </row>
    <row r="605">
      <c r="A605" s="153"/>
      <c r="B605" s="153"/>
      <c r="C605" s="154"/>
      <c r="D605" s="155"/>
      <c r="E605" s="153"/>
      <c r="F605" s="155"/>
      <c r="G605" s="155"/>
      <c r="H605" s="155"/>
      <c r="I605" s="153"/>
      <c r="J605" s="153"/>
      <c r="K605" s="153"/>
      <c r="L605" s="155"/>
      <c r="M605" s="155"/>
      <c r="N605" s="155"/>
      <c r="O605" s="158"/>
    </row>
    <row r="606">
      <c r="A606" s="153"/>
      <c r="B606" s="153"/>
      <c r="C606" s="154"/>
      <c r="D606" s="155"/>
      <c r="E606" s="153"/>
      <c r="F606" s="155"/>
      <c r="G606" s="155"/>
      <c r="H606" s="155"/>
      <c r="I606" s="153"/>
      <c r="J606" s="153"/>
      <c r="K606" s="153"/>
      <c r="L606" s="155"/>
      <c r="M606" s="155"/>
      <c r="N606" s="155"/>
      <c r="O606" s="158"/>
    </row>
    <row r="607">
      <c r="A607" s="153"/>
      <c r="B607" s="153"/>
      <c r="C607" s="154"/>
      <c r="D607" s="155"/>
      <c r="E607" s="153"/>
      <c r="F607" s="155"/>
      <c r="G607" s="155"/>
      <c r="H607" s="155"/>
      <c r="I607" s="153"/>
      <c r="J607" s="153"/>
      <c r="K607" s="153"/>
      <c r="L607" s="155"/>
      <c r="M607" s="155"/>
      <c r="N607" s="155"/>
      <c r="O607" s="158"/>
    </row>
    <row r="608">
      <c r="A608" s="153"/>
      <c r="B608" s="153"/>
      <c r="C608" s="154"/>
      <c r="D608" s="155"/>
      <c r="E608" s="153"/>
      <c r="F608" s="155"/>
      <c r="G608" s="155"/>
      <c r="H608" s="155"/>
      <c r="I608" s="153"/>
      <c r="J608" s="153"/>
      <c r="K608" s="153"/>
      <c r="L608" s="155"/>
      <c r="M608" s="155"/>
      <c r="N608" s="155"/>
      <c r="O608" s="158"/>
    </row>
    <row r="609">
      <c r="A609" s="153"/>
      <c r="B609" s="153"/>
      <c r="C609" s="154"/>
      <c r="D609" s="155"/>
      <c r="E609" s="153"/>
      <c r="F609" s="155"/>
      <c r="G609" s="155"/>
      <c r="H609" s="155"/>
      <c r="I609" s="153"/>
      <c r="J609" s="153"/>
      <c r="K609" s="153"/>
      <c r="L609" s="155"/>
      <c r="M609" s="155"/>
      <c r="N609" s="155"/>
      <c r="O609" s="158"/>
    </row>
    <row r="610">
      <c r="A610" s="153"/>
      <c r="B610" s="153"/>
      <c r="C610" s="154"/>
      <c r="D610" s="155"/>
      <c r="E610" s="153"/>
      <c r="F610" s="155"/>
      <c r="G610" s="155"/>
      <c r="H610" s="155"/>
      <c r="I610" s="153"/>
      <c r="J610" s="153"/>
      <c r="K610" s="153"/>
      <c r="L610" s="155"/>
      <c r="M610" s="155"/>
      <c r="N610" s="155"/>
      <c r="O610" s="158"/>
    </row>
    <row r="611">
      <c r="A611" s="153"/>
      <c r="B611" s="153"/>
      <c r="C611" s="154"/>
      <c r="D611" s="155"/>
      <c r="E611" s="153"/>
      <c r="F611" s="155"/>
      <c r="G611" s="155"/>
      <c r="H611" s="155"/>
      <c r="I611" s="153"/>
      <c r="J611" s="153"/>
      <c r="K611" s="153"/>
      <c r="L611" s="155"/>
      <c r="M611" s="155"/>
      <c r="N611" s="155"/>
      <c r="O611" s="158"/>
    </row>
    <row r="612">
      <c r="A612" s="153"/>
      <c r="B612" s="153"/>
      <c r="C612" s="154"/>
      <c r="D612" s="155"/>
      <c r="E612" s="153"/>
      <c r="F612" s="155"/>
      <c r="G612" s="155"/>
      <c r="H612" s="155"/>
      <c r="I612" s="153"/>
      <c r="J612" s="153"/>
      <c r="K612" s="153"/>
      <c r="L612" s="155"/>
      <c r="M612" s="155"/>
      <c r="N612" s="155"/>
      <c r="O612" s="158"/>
    </row>
    <row r="613">
      <c r="A613" s="153"/>
      <c r="B613" s="153"/>
      <c r="C613" s="154"/>
      <c r="D613" s="155"/>
      <c r="E613" s="153"/>
      <c r="F613" s="155"/>
      <c r="G613" s="155"/>
      <c r="H613" s="155"/>
      <c r="I613" s="153"/>
      <c r="J613" s="153"/>
      <c r="K613" s="153"/>
      <c r="L613" s="155"/>
      <c r="M613" s="155"/>
      <c r="N613" s="155"/>
      <c r="O613" s="158"/>
    </row>
    <row r="614">
      <c r="A614" s="153"/>
      <c r="B614" s="153"/>
      <c r="C614" s="154"/>
      <c r="D614" s="155"/>
      <c r="E614" s="153"/>
      <c r="F614" s="155"/>
      <c r="G614" s="155"/>
      <c r="H614" s="155"/>
      <c r="I614" s="153"/>
      <c r="J614" s="153"/>
      <c r="K614" s="153"/>
      <c r="L614" s="155"/>
      <c r="M614" s="155"/>
      <c r="N614" s="155"/>
      <c r="O614" s="158"/>
    </row>
    <row r="615">
      <c r="A615" s="153"/>
      <c r="B615" s="153"/>
      <c r="C615" s="154"/>
      <c r="D615" s="155"/>
      <c r="E615" s="153"/>
      <c r="F615" s="155"/>
      <c r="G615" s="155"/>
      <c r="H615" s="155"/>
      <c r="I615" s="153"/>
      <c r="J615" s="153"/>
      <c r="K615" s="153"/>
      <c r="L615" s="155"/>
      <c r="M615" s="155"/>
      <c r="N615" s="155"/>
      <c r="O615" s="158"/>
    </row>
    <row r="616">
      <c r="A616" s="153"/>
      <c r="B616" s="153"/>
      <c r="C616" s="154"/>
      <c r="D616" s="155"/>
      <c r="E616" s="153"/>
      <c r="F616" s="155"/>
      <c r="G616" s="155"/>
      <c r="H616" s="155"/>
      <c r="I616" s="153"/>
      <c r="J616" s="153"/>
      <c r="K616" s="153"/>
      <c r="L616" s="155"/>
      <c r="M616" s="155"/>
      <c r="N616" s="155"/>
      <c r="O616" s="158"/>
    </row>
    <row r="617">
      <c r="A617" s="153"/>
      <c r="B617" s="153"/>
      <c r="C617" s="154"/>
      <c r="D617" s="155"/>
      <c r="E617" s="153"/>
      <c r="F617" s="155"/>
      <c r="G617" s="155"/>
      <c r="H617" s="155"/>
      <c r="I617" s="153"/>
      <c r="J617" s="153"/>
      <c r="K617" s="153"/>
      <c r="L617" s="155"/>
      <c r="M617" s="155"/>
      <c r="N617" s="155"/>
      <c r="O617" s="158"/>
    </row>
    <row r="618">
      <c r="A618" s="153"/>
      <c r="B618" s="153"/>
      <c r="C618" s="154"/>
      <c r="D618" s="155"/>
      <c r="E618" s="153"/>
      <c r="F618" s="155"/>
      <c r="G618" s="155"/>
      <c r="H618" s="155"/>
      <c r="I618" s="153"/>
      <c r="J618" s="153"/>
      <c r="K618" s="153"/>
      <c r="L618" s="155"/>
      <c r="M618" s="155"/>
      <c r="N618" s="155"/>
      <c r="O618" s="158"/>
    </row>
    <row r="619">
      <c r="A619" s="153"/>
      <c r="B619" s="153"/>
      <c r="C619" s="154"/>
      <c r="D619" s="155"/>
      <c r="E619" s="153"/>
      <c r="F619" s="155"/>
      <c r="G619" s="155"/>
      <c r="H619" s="155"/>
      <c r="I619" s="153"/>
      <c r="J619" s="153"/>
      <c r="K619" s="153"/>
      <c r="L619" s="155"/>
      <c r="M619" s="155"/>
      <c r="N619" s="155"/>
      <c r="O619" s="158"/>
    </row>
    <row r="620">
      <c r="A620" s="153"/>
      <c r="B620" s="153"/>
      <c r="C620" s="154"/>
      <c r="D620" s="155"/>
      <c r="E620" s="153"/>
      <c r="F620" s="155"/>
      <c r="G620" s="155"/>
      <c r="H620" s="155"/>
      <c r="I620" s="153"/>
      <c r="J620" s="153"/>
      <c r="K620" s="153"/>
      <c r="L620" s="155"/>
      <c r="M620" s="155"/>
      <c r="N620" s="155"/>
      <c r="O620" s="158"/>
    </row>
    <row r="621">
      <c r="A621" s="153"/>
      <c r="B621" s="153"/>
      <c r="C621" s="154"/>
      <c r="D621" s="155"/>
      <c r="E621" s="153"/>
      <c r="F621" s="155"/>
      <c r="G621" s="155"/>
      <c r="H621" s="155"/>
      <c r="I621" s="153"/>
      <c r="J621" s="153"/>
      <c r="K621" s="153"/>
      <c r="L621" s="155"/>
      <c r="M621" s="155"/>
      <c r="N621" s="155"/>
      <c r="O621" s="158"/>
    </row>
    <row r="622">
      <c r="A622" s="153"/>
      <c r="B622" s="153"/>
      <c r="C622" s="154"/>
      <c r="D622" s="155"/>
      <c r="E622" s="153"/>
      <c r="F622" s="155"/>
      <c r="G622" s="155"/>
      <c r="H622" s="155"/>
      <c r="I622" s="153"/>
      <c r="J622" s="153"/>
      <c r="K622" s="153"/>
      <c r="L622" s="155"/>
      <c r="M622" s="155"/>
      <c r="N622" s="155"/>
      <c r="O622" s="158"/>
    </row>
    <row r="623">
      <c r="A623" s="153"/>
      <c r="B623" s="153"/>
      <c r="C623" s="154"/>
      <c r="D623" s="155"/>
      <c r="E623" s="153"/>
      <c r="F623" s="155"/>
      <c r="G623" s="155"/>
      <c r="H623" s="155"/>
      <c r="I623" s="153"/>
      <c r="J623" s="153"/>
      <c r="K623" s="153"/>
      <c r="L623" s="155"/>
      <c r="M623" s="155"/>
      <c r="N623" s="155"/>
      <c r="O623" s="158"/>
    </row>
    <row r="624">
      <c r="A624" s="153"/>
      <c r="B624" s="153"/>
      <c r="C624" s="154"/>
      <c r="D624" s="155"/>
      <c r="E624" s="153"/>
      <c r="F624" s="155"/>
      <c r="G624" s="155"/>
      <c r="H624" s="155"/>
      <c r="I624" s="153"/>
      <c r="J624" s="153"/>
      <c r="K624" s="153"/>
      <c r="L624" s="155"/>
      <c r="M624" s="155"/>
      <c r="N624" s="155"/>
      <c r="O624" s="158"/>
    </row>
    <row r="625">
      <c r="A625" s="153"/>
      <c r="B625" s="153"/>
      <c r="C625" s="154"/>
      <c r="D625" s="155"/>
      <c r="E625" s="153"/>
      <c r="F625" s="155"/>
      <c r="G625" s="155"/>
      <c r="H625" s="155"/>
      <c r="I625" s="153"/>
      <c r="J625" s="153"/>
      <c r="K625" s="153"/>
      <c r="L625" s="155"/>
      <c r="M625" s="155"/>
      <c r="N625" s="155"/>
      <c r="O625" s="158"/>
    </row>
    <row r="626">
      <c r="A626" s="153"/>
      <c r="B626" s="153"/>
      <c r="C626" s="154"/>
      <c r="D626" s="155"/>
      <c r="E626" s="153"/>
      <c r="F626" s="155"/>
      <c r="G626" s="155"/>
      <c r="H626" s="155"/>
      <c r="I626" s="153"/>
      <c r="J626" s="153"/>
      <c r="K626" s="153"/>
      <c r="L626" s="155"/>
      <c r="M626" s="155"/>
      <c r="N626" s="155"/>
      <c r="O626" s="158"/>
    </row>
    <row r="627">
      <c r="A627" s="153"/>
      <c r="B627" s="153"/>
      <c r="C627" s="154"/>
      <c r="D627" s="155"/>
      <c r="E627" s="153"/>
      <c r="F627" s="155"/>
      <c r="G627" s="155"/>
      <c r="H627" s="155"/>
      <c r="I627" s="153"/>
      <c r="J627" s="153"/>
      <c r="K627" s="153"/>
      <c r="L627" s="155"/>
      <c r="M627" s="155"/>
      <c r="N627" s="155"/>
      <c r="O627" s="158"/>
    </row>
    <row r="628">
      <c r="A628" s="153"/>
      <c r="B628" s="153"/>
      <c r="C628" s="154"/>
      <c r="D628" s="155"/>
      <c r="E628" s="153"/>
      <c r="F628" s="155"/>
      <c r="G628" s="155"/>
      <c r="H628" s="155"/>
      <c r="I628" s="153"/>
      <c r="J628" s="153"/>
      <c r="K628" s="153"/>
      <c r="L628" s="155"/>
      <c r="M628" s="155"/>
      <c r="N628" s="155"/>
      <c r="O628" s="158"/>
    </row>
    <row r="629">
      <c r="A629" s="153"/>
      <c r="B629" s="153"/>
      <c r="C629" s="154"/>
      <c r="D629" s="155"/>
      <c r="E629" s="153"/>
      <c r="F629" s="155"/>
      <c r="G629" s="155"/>
      <c r="H629" s="155"/>
      <c r="I629" s="153"/>
      <c r="J629" s="153"/>
      <c r="K629" s="153"/>
      <c r="L629" s="155"/>
      <c r="M629" s="155"/>
      <c r="N629" s="155"/>
      <c r="O629" s="158"/>
    </row>
    <row r="630">
      <c r="A630" s="153"/>
      <c r="B630" s="153"/>
      <c r="C630" s="154"/>
      <c r="D630" s="155"/>
      <c r="E630" s="153"/>
      <c r="F630" s="155"/>
      <c r="G630" s="155"/>
      <c r="H630" s="155"/>
      <c r="I630" s="153"/>
      <c r="J630" s="153"/>
      <c r="K630" s="153"/>
      <c r="L630" s="155"/>
      <c r="M630" s="155"/>
      <c r="N630" s="155"/>
      <c r="O630" s="158"/>
    </row>
    <row r="631">
      <c r="A631" s="153"/>
      <c r="B631" s="153"/>
      <c r="C631" s="154"/>
      <c r="D631" s="155"/>
      <c r="E631" s="153"/>
      <c r="F631" s="155"/>
      <c r="G631" s="155"/>
      <c r="H631" s="155"/>
      <c r="I631" s="153"/>
      <c r="J631" s="153"/>
      <c r="K631" s="153"/>
      <c r="L631" s="155"/>
      <c r="M631" s="155"/>
      <c r="N631" s="155"/>
      <c r="O631" s="158"/>
    </row>
    <row r="632">
      <c r="A632" s="153"/>
      <c r="B632" s="153"/>
      <c r="C632" s="154"/>
      <c r="D632" s="155"/>
      <c r="E632" s="153"/>
      <c r="F632" s="155"/>
      <c r="G632" s="155"/>
      <c r="H632" s="155"/>
      <c r="I632" s="153"/>
      <c r="J632" s="153"/>
      <c r="K632" s="153"/>
      <c r="L632" s="155"/>
      <c r="M632" s="155"/>
      <c r="N632" s="155"/>
      <c r="O632" s="158"/>
    </row>
    <row r="633">
      <c r="A633" s="153"/>
      <c r="B633" s="153"/>
      <c r="C633" s="154"/>
      <c r="D633" s="155"/>
      <c r="E633" s="153"/>
      <c r="F633" s="155"/>
      <c r="G633" s="155"/>
      <c r="H633" s="155"/>
      <c r="I633" s="153"/>
      <c r="J633" s="153"/>
      <c r="K633" s="153"/>
      <c r="L633" s="155"/>
      <c r="M633" s="155"/>
      <c r="N633" s="155"/>
      <c r="O633" s="158"/>
    </row>
    <row r="634">
      <c r="A634" s="153"/>
      <c r="B634" s="153"/>
      <c r="C634" s="154"/>
      <c r="D634" s="155"/>
      <c r="E634" s="153"/>
      <c r="F634" s="155"/>
      <c r="G634" s="155"/>
      <c r="H634" s="155"/>
      <c r="I634" s="153"/>
      <c r="J634" s="153"/>
      <c r="K634" s="153"/>
      <c r="L634" s="155"/>
      <c r="M634" s="155"/>
      <c r="N634" s="155"/>
      <c r="O634" s="158"/>
    </row>
    <row r="635">
      <c r="A635" s="153"/>
      <c r="B635" s="153"/>
      <c r="C635" s="154"/>
      <c r="D635" s="155"/>
      <c r="E635" s="153"/>
      <c r="F635" s="155"/>
      <c r="G635" s="155"/>
      <c r="H635" s="155"/>
      <c r="I635" s="153"/>
      <c r="J635" s="153"/>
      <c r="K635" s="153"/>
      <c r="L635" s="155"/>
      <c r="M635" s="155"/>
      <c r="N635" s="155"/>
      <c r="O635" s="158"/>
    </row>
    <row r="636">
      <c r="A636" s="153"/>
      <c r="B636" s="153"/>
      <c r="C636" s="154"/>
      <c r="D636" s="155"/>
      <c r="E636" s="153"/>
      <c r="F636" s="155"/>
      <c r="G636" s="155"/>
      <c r="H636" s="155"/>
      <c r="I636" s="153"/>
      <c r="J636" s="153"/>
      <c r="K636" s="153"/>
      <c r="L636" s="155"/>
      <c r="M636" s="155"/>
      <c r="N636" s="155"/>
      <c r="O636" s="158"/>
    </row>
    <row r="637">
      <c r="A637" s="153"/>
      <c r="B637" s="153"/>
      <c r="C637" s="154"/>
      <c r="D637" s="155"/>
      <c r="E637" s="153"/>
      <c r="F637" s="155"/>
      <c r="G637" s="155"/>
      <c r="H637" s="155"/>
      <c r="I637" s="153"/>
      <c r="J637" s="153"/>
      <c r="K637" s="153"/>
      <c r="L637" s="155"/>
      <c r="M637" s="155"/>
      <c r="N637" s="155"/>
      <c r="O637" s="158"/>
    </row>
    <row r="638">
      <c r="A638" s="153"/>
      <c r="B638" s="153"/>
      <c r="C638" s="154"/>
      <c r="D638" s="155"/>
      <c r="E638" s="153"/>
      <c r="F638" s="155"/>
      <c r="G638" s="155"/>
      <c r="H638" s="155"/>
      <c r="I638" s="153"/>
      <c r="J638" s="153"/>
      <c r="K638" s="153"/>
      <c r="L638" s="155"/>
      <c r="M638" s="155"/>
      <c r="N638" s="155"/>
      <c r="O638" s="158"/>
    </row>
    <row r="639">
      <c r="A639" s="153"/>
      <c r="B639" s="153"/>
      <c r="C639" s="154"/>
      <c r="D639" s="155"/>
      <c r="E639" s="153"/>
      <c r="F639" s="155"/>
      <c r="G639" s="155"/>
      <c r="H639" s="155"/>
      <c r="I639" s="153"/>
      <c r="J639" s="153"/>
      <c r="K639" s="153"/>
      <c r="L639" s="155"/>
      <c r="M639" s="155"/>
      <c r="N639" s="155"/>
      <c r="O639" s="158"/>
    </row>
    <row r="640">
      <c r="A640" s="153"/>
      <c r="B640" s="153"/>
      <c r="C640" s="154"/>
      <c r="D640" s="155"/>
      <c r="E640" s="153"/>
      <c r="F640" s="155"/>
      <c r="G640" s="155"/>
      <c r="H640" s="155"/>
      <c r="I640" s="153"/>
      <c r="J640" s="153"/>
      <c r="K640" s="153"/>
      <c r="L640" s="155"/>
      <c r="M640" s="155"/>
      <c r="N640" s="155"/>
      <c r="O640" s="158"/>
    </row>
    <row r="641">
      <c r="A641" s="153"/>
      <c r="B641" s="153"/>
      <c r="C641" s="154"/>
      <c r="D641" s="155"/>
      <c r="E641" s="153"/>
      <c r="F641" s="155"/>
      <c r="G641" s="155"/>
      <c r="H641" s="155"/>
      <c r="I641" s="153"/>
      <c r="J641" s="153"/>
      <c r="K641" s="153"/>
      <c r="L641" s="155"/>
      <c r="M641" s="155"/>
      <c r="N641" s="155"/>
      <c r="O641" s="158"/>
    </row>
    <row r="642">
      <c r="A642" s="153"/>
      <c r="B642" s="153"/>
      <c r="C642" s="154"/>
      <c r="D642" s="155"/>
      <c r="E642" s="153"/>
      <c r="F642" s="155"/>
      <c r="G642" s="155"/>
      <c r="H642" s="155"/>
      <c r="I642" s="153"/>
      <c r="J642" s="153"/>
      <c r="K642" s="153"/>
      <c r="L642" s="155"/>
      <c r="M642" s="155"/>
      <c r="N642" s="155"/>
      <c r="O642" s="158"/>
    </row>
    <row r="643">
      <c r="A643" s="153"/>
      <c r="B643" s="153"/>
      <c r="C643" s="154"/>
      <c r="D643" s="155"/>
      <c r="E643" s="153"/>
      <c r="F643" s="155"/>
      <c r="G643" s="155"/>
      <c r="H643" s="155"/>
      <c r="I643" s="153"/>
      <c r="J643" s="153"/>
      <c r="K643" s="153"/>
      <c r="L643" s="155"/>
      <c r="M643" s="155"/>
      <c r="N643" s="155"/>
      <c r="O643" s="158"/>
    </row>
    <row r="644">
      <c r="A644" s="153"/>
      <c r="B644" s="153"/>
      <c r="C644" s="154"/>
      <c r="D644" s="155"/>
      <c r="E644" s="153"/>
      <c r="F644" s="155"/>
      <c r="G644" s="155"/>
      <c r="H644" s="155"/>
      <c r="I644" s="153"/>
      <c r="J644" s="153"/>
      <c r="K644" s="153"/>
      <c r="L644" s="155"/>
      <c r="M644" s="155"/>
      <c r="N644" s="155"/>
      <c r="O644" s="158"/>
    </row>
    <row r="645">
      <c r="A645" s="153"/>
      <c r="B645" s="153"/>
      <c r="C645" s="154"/>
      <c r="D645" s="155"/>
      <c r="E645" s="153"/>
      <c r="F645" s="155"/>
      <c r="G645" s="155"/>
      <c r="H645" s="155"/>
      <c r="I645" s="153"/>
      <c r="J645" s="153"/>
      <c r="K645" s="153"/>
      <c r="L645" s="155"/>
      <c r="M645" s="155"/>
      <c r="N645" s="155"/>
      <c r="O645" s="158"/>
    </row>
    <row r="646">
      <c r="A646" s="153"/>
      <c r="B646" s="153"/>
      <c r="C646" s="154"/>
      <c r="D646" s="155"/>
      <c r="E646" s="153"/>
      <c r="F646" s="155"/>
      <c r="G646" s="155"/>
      <c r="H646" s="155"/>
      <c r="I646" s="153"/>
      <c r="J646" s="153"/>
      <c r="K646" s="153"/>
      <c r="L646" s="155"/>
      <c r="M646" s="155"/>
      <c r="N646" s="155"/>
      <c r="O646" s="158"/>
    </row>
    <row r="647">
      <c r="A647" s="153"/>
      <c r="B647" s="153"/>
      <c r="C647" s="154"/>
      <c r="D647" s="155"/>
      <c r="E647" s="153"/>
      <c r="F647" s="155"/>
      <c r="G647" s="155"/>
      <c r="H647" s="155"/>
      <c r="I647" s="153"/>
      <c r="J647" s="153"/>
      <c r="K647" s="153"/>
      <c r="L647" s="155"/>
      <c r="M647" s="155"/>
      <c r="N647" s="155"/>
      <c r="O647" s="158"/>
    </row>
    <row r="648">
      <c r="A648" s="153"/>
      <c r="B648" s="153"/>
      <c r="C648" s="154"/>
      <c r="D648" s="155"/>
      <c r="E648" s="153"/>
      <c r="F648" s="155"/>
      <c r="G648" s="155"/>
      <c r="H648" s="155"/>
      <c r="I648" s="153"/>
      <c r="J648" s="153"/>
      <c r="K648" s="153"/>
      <c r="L648" s="155"/>
      <c r="M648" s="155"/>
      <c r="N648" s="155"/>
      <c r="O648" s="158"/>
    </row>
    <row r="649">
      <c r="A649" s="153"/>
      <c r="B649" s="153"/>
      <c r="C649" s="154"/>
      <c r="D649" s="155"/>
      <c r="E649" s="153"/>
      <c r="F649" s="155"/>
      <c r="G649" s="155"/>
      <c r="H649" s="155"/>
      <c r="I649" s="153"/>
      <c r="J649" s="153"/>
      <c r="K649" s="153"/>
      <c r="L649" s="155"/>
      <c r="M649" s="155"/>
      <c r="N649" s="155"/>
      <c r="O649" s="158"/>
    </row>
    <row r="650">
      <c r="A650" s="153"/>
      <c r="B650" s="153"/>
      <c r="C650" s="154"/>
      <c r="D650" s="155"/>
      <c r="E650" s="153"/>
      <c r="F650" s="155"/>
      <c r="G650" s="155"/>
      <c r="H650" s="155"/>
      <c r="I650" s="153"/>
      <c r="J650" s="153"/>
      <c r="K650" s="153"/>
      <c r="L650" s="155"/>
      <c r="M650" s="155"/>
      <c r="N650" s="155"/>
      <c r="O650" s="158"/>
    </row>
    <row r="651">
      <c r="A651" s="153"/>
      <c r="B651" s="153"/>
      <c r="C651" s="154"/>
      <c r="D651" s="155"/>
      <c r="E651" s="153"/>
      <c r="F651" s="155"/>
      <c r="G651" s="155"/>
      <c r="H651" s="155"/>
      <c r="I651" s="153"/>
      <c r="J651" s="153"/>
      <c r="K651" s="153"/>
      <c r="L651" s="155"/>
      <c r="M651" s="155"/>
      <c r="N651" s="155"/>
      <c r="O651" s="158"/>
    </row>
    <row r="652">
      <c r="A652" s="153"/>
      <c r="B652" s="153"/>
      <c r="C652" s="154"/>
      <c r="D652" s="155"/>
      <c r="E652" s="153"/>
      <c r="F652" s="155"/>
      <c r="G652" s="155"/>
      <c r="H652" s="155"/>
      <c r="I652" s="153"/>
      <c r="J652" s="153"/>
      <c r="K652" s="153"/>
      <c r="L652" s="155"/>
      <c r="M652" s="155"/>
      <c r="N652" s="155"/>
      <c r="O652" s="158"/>
    </row>
    <row r="653">
      <c r="A653" s="153"/>
      <c r="B653" s="153"/>
      <c r="C653" s="154"/>
      <c r="D653" s="155"/>
      <c r="E653" s="153"/>
      <c r="F653" s="155"/>
      <c r="G653" s="155"/>
      <c r="H653" s="155"/>
      <c r="I653" s="153"/>
      <c r="J653" s="153"/>
      <c r="K653" s="153"/>
      <c r="L653" s="155"/>
      <c r="M653" s="155"/>
      <c r="N653" s="155"/>
      <c r="O653" s="158"/>
    </row>
    <row r="654">
      <c r="A654" s="153"/>
      <c r="B654" s="153"/>
      <c r="C654" s="154"/>
      <c r="D654" s="155"/>
      <c r="E654" s="153"/>
      <c r="F654" s="155"/>
      <c r="G654" s="155"/>
      <c r="H654" s="155"/>
      <c r="I654" s="153"/>
      <c r="J654" s="153"/>
      <c r="K654" s="153"/>
      <c r="L654" s="155"/>
      <c r="M654" s="155"/>
      <c r="N654" s="155"/>
      <c r="O654" s="158"/>
    </row>
    <row r="655">
      <c r="A655" s="153"/>
      <c r="B655" s="153"/>
      <c r="C655" s="154"/>
      <c r="D655" s="155"/>
      <c r="E655" s="153"/>
      <c r="F655" s="155"/>
      <c r="G655" s="155"/>
      <c r="H655" s="155"/>
      <c r="I655" s="153"/>
      <c r="J655" s="153"/>
      <c r="K655" s="153"/>
      <c r="L655" s="155"/>
      <c r="M655" s="155"/>
      <c r="N655" s="155"/>
      <c r="O655" s="158"/>
    </row>
    <row r="656">
      <c r="A656" s="153"/>
      <c r="B656" s="153"/>
      <c r="C656" s="154"/>
      <c r="D656" s="155"/>
      <c r="E656" s="153"/>
      <c r="F656" s="155"/>
      <c r="G656" s="155"/>
      <c r="H656" s="155"/>
      <c r="I656" s="153"/>
      <c r="J656" s="153"/>
      <c r="K656" s="153"/>
      <c r="L656" s="155"/>
      <c r="M656" s="155"/>
      <c r="N656" s="155"/>
      <c r="O656" s="158"/>
    </row>
    <row r="657">
      <c r="A657" s="153"/>
      <c r="B657" s="153"/>
      <c r="C657" s="154"/>
      <c r="D657" s="155"/>
      <c r="E657" s="153"/>
      <c r="F657" s="155"/>
      <c r="G657" s="155"/>
      <c r="H657" s="155"/>
      <c r="I657" s="153"/>
      <c r="J657" s="153"/>
      <c r="K657" s="153"/>
      <c r="L657" s="155"/>
      <c r="M657" s="155"/>
      <c r="N657" s="155"/>
      <c r="O657" s="158"/>
    </row>
    <row r="658">
      <c r="A658" s="153"/>
      <c r="B658" s="153"/>
      <c r="C658" s="154"/>
      <c r="D658" s="155"/>
      <c r="E658" s="153"/>
      <c r="F658" s="155"/>
      <c r="G658" s="155"/>
      <c r="H658" s="155"/>
      <c r="I658" s="153"/>
      <c r="J658" s="153"/>
      <c r="K658" s="153"/>
      <c r="L658" s="155"/>
      <c r="M658" s="155"/>
      <c r="N658" s="155"/>
      <c r="O658" s="158"/>
    </row>
    <row r="659">
      <c r="A659" s="153"/>
      <c r="B659" s="153"/>
      <c r="C659" s="154"/>
      <c r="D659" s="155"/>
      <c r="E659" s="153"/>
      <c r="F659" s="155"/>
      <c r="G659" s="155"/>
      <c r="H659" s="155"/>
      <c r="I659" s="153"/>
      <c r="J659" s="153"/>
      <c r="K659" s="153"/>
      <c r="L659" s="155"/>
      <c r="M659" s="155"/>
      <c r="N659" s="155"/>
      <c r="O659" s="158"/>
    </row>
    <row r="660">
      <c r="A660" s="153"/>
      <c r="B660" s="153"/>
      <c r="C660" s="154"/>
      <c r="D660" s="155"/>
      <c r="E660" s="153"/>
      <c r="F660" s="155"/>
      <c r="G660" s="155"/>
      <c r="H660" s="155"/>
      <c r="I660" s="153"/>
      <c r="J660" s="153"/>
      <c r="K660" s="153"/>
      <c r="L660" s="155"/>
      <c r="M660" s="155"/>
      <c r="N660" s="155"/>
      <c r="O660" s="158"/>
    </row>
    <row r="661">
      <c r="A661" s="153"/>
      <c r="B661" s="153"/>
      <c r="C661" s="154"/>
      <c r="D661" s="155"/>
      <c r="E661" s="153"/>
      <c r="F661" s="155"/>
      <c r="G661" s="155"/>
      <c r="H661" s="155"/>
      <c r="I661" s="153"/>
      <c r="J661" s="153"/>
      <c r="K661" s="153"/>
      <c r="L661" s="155"/>
      <c r="M661" s="155"/>
      <c r="N661" s="155"/>
      <c r="O661" s="158"/>
    </row>
    <row r="662">
      <c r="A662" s="153"/>
      <c r="B662" s="153"/>
      <c r="C662" s="154"/>
      <c r="D662" s="155"/>
      <c r="E662" s="153"/>
      <c r="F662" s="155"/>
      <c r="G662" s="155"/>
      <c r="H662" s="155"/>
      <c r="I662" s="153"/>
      <c r="J662" s="153"/>
      <c r="K662" s="153"/>
      <c r="L662" s="155"/>
      <c r="M662" s="155"/>
      <c r="N662" s="155"/>
      <c r="O662" s="158"/>
    </row>
    <row r="663">
      <c r="A663" s="153"/>
      <c r="B663" s="153"/>
      <c r="C663" s="154"/>
      <c r="D663" s="155"/>
      <c r="E663" s="153"/>
      <c r="F663" s="155"/>
      <c r="G663" s="155"/>
      <c r="H663" s="155"/>
      <c r="I663" s="153"/>
      <c r="J663" s="153"/>
      <c r="K663" s="153"/>
      <c r="L663" s="155"/>
      <c r="M663" s="155"/>
      <c r="N663" s="155"/>
      <c r="O663" s="158"/>
    </row>
    <row r="664">
      <c r="A664" s="153"/>
      <c r="B664" s="153"/>
      <c r="C664" s="154"/>
      <c r="D664" s="155"/>
      <c r="E664" s="153"/>
      <c r="F664" s="155"/>
      <c r="G664" s="155"/>
      <c r="H664" s="155"/>
      <c r="I664" s="153"/>
      <c r="J664" s="153"/>
      <c r="K664" s="153"/>
      <c r="L664" s="155"/>
      <c r="M664" s="155"/>
      <c r="N664" s="155"/>
      <c r="O664" s="158"/>
    </row>
    <row r="665">
      <c r="A665" s="153"/>
      <c r="B665" s="153"/>
      <c r="C665" s="154"/>
      <c r="D665" s="155"/>
      <c r="E665" s="153"/>
      <c r="F665" s="155"/>
      <c r="G665" s="155"/>
      <c r="H665" s="155"/>
      <c r="I665" s="153"/>
      <c r="J665" s="153"/>
      <c r="K665" s="153"/>
      <c r="L665" s="155"/>
      <c r="M665" s="155"/>
      <c r="N665" s="155"/>
      <c r="O665" s="158"/>
    </row>
    <row r="666">
      <c r="A666" s="153"/>
      <c r="B666" s="153"/>
      <c r="C666" s="154"/>
      <c r="D666" s="155"/>
      <c r="E666" s="153"/>
      <c r="F666" s="155"/>
      <c r="G666" s="155"/>
      <c r="H666" s="155"/>
      <c r="I666" s="153"/>
      <c r="J666" s="153"/>
      <c r="K666" s="153"/>
      <c r="L666" s="155"/>
      <c r="M666" s="155"/>
      <c r="N666" s="155"/>
      <c r="O666" s="158"/>
    </row>
    <row r="667">
      <c r="A667" s="153"/>
      <c r="B667" s="153"/>
      <c r="C667" s="154"/>
      <c r="D667" s="155"/>
      <c r="E667" s="153"/>
      <c r="F667" s="155"/>
      <c r="G667" s="155"/>
      <c r="H667" s="155"/>
      <c r="I667" s="153"/>
      <c r="J667" s="153"/>
      <c r="K667" s="153"/>
      <c r="L667" s="155"/>
      <c r="M667" s="155"/>
      <c r="N667" s="155"/>
      <c r="O667" s="158"/>
    </row>
    <row r="668">
      <c r="A668" s="153"/>
      <c r="B668" s="153"/>
      <c r="C668" s="154"/>
      <c r="D668" s="155"/>
      <c r="E668" s="153"/>
      <c r="F668" s="155"/>
      <c r="G668" s="155"/>
      <c r="H668" s="155"/>
      <c r="I668" s="153"/>
      <c r="J668" s="153"/>
      <c r="K668" s="153"/>
      <c r="L668" s="155"/>
      <c r="M668" s="155"/>
      <c r="N668" s="155"/>
      <c r="O668" s="158"/>
    </row>
    <row r="669">
      <c r="A669" s="153"/>
      <c r="B669" s="153"/>
      <c r="C669" s="154"/>
      <c r="D669" s="155"/>
      <c r="E669" s="153"/>
      <c r="F669" s="155"/>
      <c r="G669" s="155"/>
      <c r="H669" s="155"/>
      <c r="I669" s="153"/>
      <c r="J669" s="153"/>
      <c r="K669" s="153"/>
      <c r="L669" s="155"/>
      <c r="M669" s="155"/>
      <c r="N669" s="155"/>
      <c r="O669" s="158"/>
    </row>
    <row r="670">
      <c r="A670" s="153"/>
      <c r="B670" s="153"/>
      <c r="C670" s="154"/>
      <c r="D670" s="155"/>
      <c r="E670" s="153"/>
      <c r="F670" s="155"/>
      <c r="G670" s="155"/>
      <c r="H670" s="155"/>
      <c r="I670" s="153"/>
      <c r="J670" s="153"/>
      <c r="K670" s="153"/>
      <c r="L670" s="155"/>
      <c r="M670" s="155"/>
      <c r="N670" s="155"/>
      <c r="O670" s="158"/>
    </row>
    <row r="671">
      <c r="A671" s="153"/>
      <c r="B671" s="153"/>
      <c r="C671" s="154"/>
      <c r="D671" s="155"/>
      <c r="E671" s="153"/>
      <c r="F671" s="155"/>
      <c r="G671" s="155"/>
      <c r="H671" s="155"/>
      <c r="I671" s="153"/>
      <c r="J671" s="153"/>
      <c r="K671" s="153"/>
      <c r="L671" s="155"/>
      <c r="M671" s="155"/>
      <c r="N671" s="155"/>
      <c r="O671" s="158"/>
    </row>
    <row r="672">
      <c r="A672" s="153"/>
      <c r="B672" s="153"/>
      <c r="C672" s="154"/>
      <c r="D672" s="155"/>
      <c r="E672" s="153"/>
      <c r="F672" s="155"/>
      <c r="G672" s="155"/>
      <c r="H672" s="155"/>
      <c r="I672" s="153"/>
      <c r="J672" s="153"/>
      <c r="K672" s="153"/>
      <c r="L672" s="155"/>
      <c r="M672" s="155"/>
      <c r="N672" s="155"/>
      <c r="O672" s="158"/>
    </row>
    <row r="673">
      <c r="A673" s="153"/>
      <c r="B673" s="153"/>
      <c r="C673" s="154"/>
      <c r="D673" s="155"/>
      <c r="E673" s="153"/>
      <c r="F673" s="155"/>
      <c r="G673" s="155"/>
      <c r="H673" s="155"/>
      <c r="I673" s="153"/>
      <c r="J673" s="153"/>
      <c r="K673" s="153"/>
      <c r="L673" s="155"/>
      <c r="M673" s="155"/>
      <c r="N673" s="155"/>
      <c r="O673" s="158"/>
    </row>
    <row r="674">
      <c r="A674" s="153"/>
      <c r="B674" s="153"/>
      <c r="C674" s="154"/>
      <c r="D674" s="155"/>
      <c r="E674" s="153"/>
      <c r="F674" s="155"/>
      <c r="G674" s="155"/>
      <c r="H674" s="155"/>
      <c r="I674" s="153"/>
      <c r="J674" s="153"/>
      <c r="K674" s="153"/>
      <c r="L674" s="155"/>
      <c r="M674" s="155"/>
      <c r="N674" s="155"/>
      <c r="O674" s="158"/>
    </row>
    <row r="675">
      <c r="A675" s="153"/>
      <c r="B675" s="153"/>
      <c r="C675" s="154"/>
      <c r="D675" s="155"/>
      <c r="E675" s="153"/>
      <c r="F675" s="155"/>
      <c r="G675" s="155"/>
      <c r="H675" s="155"/>
      <c r="I675" s="153"/>
      <c r="J675" s="153"/>
      <c r="K675" s="153"/>
      <c r="L675" s="155"/>
      <c r="M675" s="155"/>
      <c r="N675" s="155"/>
      <c r="O675" s="158"/>
    </row>
    <row r="676">
      <c r="A676" s="153"/>
      <c r="B676" s="153"/>
      <c r="C676" s="154"/>
      <c r="D676" s="155"/>
      <c r="E676" s="153"/>
      <c r="F676" s="155"/>
      <c r="G676" s="155"/>
      <c r="H676" s="155"/>
      <c r="I676" s="153"/>
      <c r="J676" s="153"/>
      <c r="K676" s="153"/>
      <c r="L676" s="155"/>
      <c r="M676" s="155"/>
      <c r="N676" s="155"/>
      <c r="O676" s="158"/>
    </row>
    <row r="677">
      <c r="A677" s="153"/>
      <c r="B677" s="153"/>
      <c r="C677" s="154"/>
      <c r="D677" s="155"/>
      <c r="E677" s="153"/>
      <c r="F677" s="155"/>
      <c r="G677" s="155"/>
      <c r="H677" s="155"/>
      <c r="I677" s="153"/>
      <c r="J677" s="153"/>
      <c r="K677" s="153"/>
      <c r="L677" s="155"/>
      <c r="M677" s="155"/>
      <c r="N677" s="155"/>
      <c r="O677" s="158"/>
    </row>
    <row r="678">
      <c r="A678" s="153"/>
      <c r="B678" s="153"/>
      <c r="C678" s="154"/>
      <c r="D678" s="155"/>
      <c r="E678" s="153"/>
      <c r="F678" s="155"/>
      <c r="G678" s="155"/>
      <c r="H678" s="155"/>
      <c r="I678" s="153"/>
      <c r="J678" s="153"/>
      <c r="K678" s="153"/>
      <c r="L678" s="155"/>
      <c r="M678" s="155"/>
      <c r="N678" s="155"/>
      <c r="O678" s="158"/>
    </row>
    <row r="679">
      <c r="A679" s="153"/>
      <c r="B679" s="153"/>
      <c r="C679" s="154"/>
      <c r="D679" s="155"/>
      <c r="E679" s="153"/>
      <c r="F679" s="155"/>
      <c r="G679" s="155"/>
      <c r="H679" s="155"/>
      <c r="I679" s="153"/>
      <c r="J679" s="153"/>
      <c r="K679" s="153"/>
      <c r="L679" s="155"/>
      <c r="M679" s="155"/>
      <c r="N679" s="155"/>
      <c r="O679" s="158"/>
    </row>
    <row r="680">
      <c r="A680" s="153"/>
      <c r="B680" s="153"/>
      <c r="C680" s="154"/>
      <c r="D680" s="155"/>
      <c r="E680" s="153"/>
      <c r="F680" s="155"/>
      <c r="G680" s="155"/>
      <c r="H680" s="155"/>
      <c r="I680" s="153"/>
      <c r="J680" s="153"/>
      <c r="K680" s="153"/>
      <c r="L680" s="155"/>
      <c r="M680" s="155"/>
      <c r="N680" s="155"/>
      <c r="O680" s="158"/>
    </row>
    <row r="681">
      <c r="A681" s="153"/>
      <c r="B681" s="153"/>
      <c r="C681" s="154"/>
      <c r="D681" s="155"/>
      <c r="E681" s="153"/>
      <c r="F681" s="155"/>
      <c r="G681" s="155"/>
      <c r="H681" s="155"/>
      <c r="I681" s="153"/>
      <c r="J681" s="153"/>
      <c r="K681" s="153"/>
      <c r="L681" s="155"/>
      <c r="M681" s="155"/>
      <c r="N681" s="155"/>
      <c r="O681" s="158"/>
    </row>
    <row r="682">
      <c r="A682" s="153"/>
      <c r="B682" s="153"/>
      <c r="C682" s="154"/>
      <c r="D682" s="155"/>
      <c r="E682" s="153"/>
      <c r="F682" s="155"/>
      <c r="G682" s="155"/>
      <c r="H682" s="155"/>
      <c r="I682" s="153"/>
      <c r="J682" s="153"/>
      <c r="K682" s="153"/>
      <c r="L682" s="155"/>
      <c r="M682" s="155"/>
      <c r="N682" s="155"/>
      <c r="O682" s="158"/>
    </row>
    <row r="683">
      <c r="A683" s="153"/>
      <c r="B683" s="153"/>
      <c r="C683" s="154"/>
      <c r="D683" s="155"/>
      <c r="E683" s="153"/>
      <c r="F683" s="155"/>
      <c r="G683" s="155"/>
      <c r="H683" s="155"/>
      <c r="I683" s="153"/>
      <c r="J683" s="153"/>
      <c r="K683" s="153"/>
      <c r="L683" s="155"/>
      <c r="M683" s="155"/>
      <c r="N683" s="155"/>
      <c r="O683" s="158"/>
    </row>
    <row r="684">
      <c r="A684" s="153"/>
      <c r="B684" s="153"/>
      <c r="C684" s="154"/>
      <c r="D684" s="155"/>
      <c r="E684" s="153"/>
      <c r="F684" s="155"/>
      <c r="G684" s="155"/>
      <c r="H684" s="155"/>
      <c r="I684" s="153"/>
      <c r="J684" s="153"/>
      <c r="K684" s="153"/>
      <c r="L684" s="155"/>
      <c r="M684" s="155"/>
      <c r="N684" s="155"/>
      <c r="O684" s="158"/>
    </row>
    <row r="685">
      <c r="A685" s="153"/>
      <c r="B685" s="153"/>
      <c r="C685" s="154"/>
      <c r="D685" s="155"/>
      <c r="E685" s="153"/>
      <c r="F685" s="155"/>
      <c r="G685" s="155"/>
      <c r="H685" s="155"/>
      <c r="I685" s="153"/>
      <c r="J685" s="153"/>
      <c r="K685" s="153"/>
      <c r="L685" s="155"/>
      <c r="M685" s="155"/>
      <c r="N685" s="155"/>
      <c r="O685" s="158"/>
    </row>
    <row r="686">
      <c r="A686" s="153"/>
      <c r="B686" s="153"/>
      <c r="C686" s="154"/>
      <c r="D686" s="155"/>
      <c r="E686" s="153"/>
      <c r="F686" s="155"/>
      <c r="G686" s="155"/>
      <c r="H686" s="155"/>
      <c r="I686" s="153"/>
      <c r="J686" s="153"/>
      <c r="K686" s="153"/>
      <c r="L686" s="155"/>
      <c r="M686" s="155"/>
      <c r="N686" s="155"/>
      <c r="O686" s="158"/>
    </row>
    <row r="687">
      <c r="A687" s="153"/>
      <c r="B687" s="153"/>
      <c r="C687" s="154"/>
      <c r="D687" s="155"/>
      <c r="E687" s="153"/>
      <c r="F687" s="155"/>
      <c r="G687" s="155"/>
      <c r="H687" s="155"/>
      <c r="I687" s="153"/>
      <c r="J687" s="153"/>
      <c r="K687" s="153"/>
      <c r="L687" s="155"/>
      <c r="M687" s="155"/>
      <c r="N687" s="155"/>
      <c r="O687" s="158"/>
    </row>
    <row r="688">
      <c r="A688" s="153"/>
      <c r="B688" s="153"/>
      <c r="C688" s="154"/>
      <c r="D688" s="155"/>
      <c r="E688" s="153"/>
      <c r="F688" s="155"/>
      <c r="G688" s="155"/>
      <c r="H688" s="155"/>
      <c r="I688" s="153"/>
      <c r="J688" s="153"/>
      <c r="K688" s="153"/>
      <c r="L688" s="155"/>
      <c r="M688" s="155"/>
      <c r="N688" s="155"/>
      <c r="O688" s="158"/>
    </row>
    <row r="689">
      <c r="A689" s="153"/>
      <c r="B689" s="153"/>
      <c r="C689" s="154"/>
      <c r="D689" s="155"/>
      <c r="E689" s="153"/>
      <c r="F689" s="155"/>
      <c r="G689" s="155"/>
      <c r="H689" s="155"/>
      <c r="I689" s="153"/>
      <c r="J689" s="153"/>
      <c r="K689" s="153"/>
      <c r="L689" s="155"/>
      <c r="M689" s="155"/>
      <c r="N689" s="155"/>
      <c r="O689" s="158"/>
    </row>
    <row r="690">
      <c r="A690" s="153"/>
      <c r="B690" s="153"/>
      <c r="C690" s="154"/>
      <c r="D690" s="155"/>
      <c r="E690" s="153"/>
      <c r="F690" s="155"/>
      <c r="G690" s="155"/>
      <c r="H690" s="155"/>
      <c r="I690" s="153"/>
      <c r="J690" s="153"/>
      <c r="K690" s="153"/>
      <c r="L690" s="155"/>
      <c r="M690" s="155"/>
      <c r="N690" s="155"/>
      <c r="O690" s="158"/>
    </row>
    <row r="691">
      <c r="A691" s="153"/>
      <c r="B691" s="153"/>
      <c r="C691" s="154"/>
      <c r="D691" s="155"/>
      <c r="E691" s="153"/>
      <c r="F691" s="155"/>
      <c r="G691" s="155"/>
      <c r="H691" s="155"/>
      <c r="I691" s="153"/>
      <c r="J691" s="153"/>
      <c r="K691" s="153"/>
      <c r="L691" s="155"/>
      <c r="M691" s="155"/>
      <c r="N691" s="155"/>
      <c r="O691" s="158"/>
    </row>
    <row r="692">
      <c r="A692" s="153"/>
      <c r="B692" s="153"/>
      <c r="C692" s="154"/>
      <c r="D692" s="155"/>
      <c r="E692" s="153"/>
      <c r="F692" s="155"/>
      <c r="G692" s="155"/>
      <c r="H692" s="155"/>
      <c r="I692" s="153"/>
      <c r="J692" s="153"/>
      <c r="K692" s="153"/>
      <c r="L692" s="155"/>
      <c r="M692" s="155"/>
      <c r="N692" s="155"/>
      <c r="O692" s="158"/>
    </row>
    <row r="693">
      <c r="A693" s="153"/>
      <c r="B693" s="153"/>
      <c r="C693" s="154"/>
      <c r="D693" s="155"/>
      <c r="E693" s="153"/>
      <c r="F693" s="155"/>
      <c r="G693" s="155"/>
      <c r="H693" s="155"/>
      <c r="I693" s="153"/>
      <c r="J693" s="153"/>
      <c r="K693" s="153"/>
      <c r="L693" s="155"/>
      <c r="M693" s="155"/>
      <c r="N693" s="155"/>
      <c r="O693" s="158"/>
    </row>
    <row r="694">
      <c r="A694" s="153"/>
      <c r="B694" s="153"/>
      <c r="C694" s="154"/>
      <c r="D694" s="155"/>
      <c r="E694" s="153"/>
      <c r="F694" s="155"/>
      <c r="G694" s="155"/>
      <c r="H694" s="155"/>
      <c r="I694" s="153"/>
      <c r="J694" s="153"/>
      <c r="K694" s="153"/>
      <c r="L694" s="155"/>
      <c r="M694" s="155"/>
      <c r="N694" s="155"/>
      <c r="O694" s="158"/>
    </row>
    <row r="695">
      <c r="A695" s="153"/>
      <c r="B695" s="153"/>
      <c r="C695" s="154"/>
      <c r="D695" s="155"/>
      <c r="E695" s="153"/>
      <c r="F695" s="155"/>
      <c r="G695" s="155"/>
      <c r="H695" s="155"/>
      <c r="I695" s="153"/>
      <c r="J695" s="153"/>
      <c r="K695" s="153"/>
      <c r="L695" s="155"/>
      <c r="M695" s="155"/>
      <c r="N695" s="155"/>
      <c r="O695" s="158"/>
    </row>
    <row r="696">
      <c r="A696" s="153"/>
      <c r="B696" s="153"/>
      <c r="C696" s="154"/>
      <c r="D696" s="155"/>
      <c r="E696" s="153"/>
      <c r="F696" s="155"/>
      <c r="G696" s="155"/>
      <c r="H696" s="155"/>
      <c r="I696" s="153"/>
      <c r="J696" s="153"/>
      <c r="K696" s="153"/>
      <c r="L696" s="155"/>
      <c r="M696" s="155"/>
      <c r="N696" s="155"/>
      <c r="O696" s="158"/>
    </row>
    <row r="697">
      <c r="A697" s="153"/>
      <c r="B697" s="153"/>
      <c r="C697" s="154"/>
      <c r="D697" s="155"/>
      <c r="E697" s="153"/>
      <c r="F697" s="155"/>
      <c r="G697" s="155"/>
      <c r="H697" s="155"/>
      <c r="I697" s="153"/>
      <c r="J697" s="153"/>
      <c r="K697" s="153"/>
      <c r="L697" s="155"/>
      <c r="M697" s="155"/>
      <c r="N697" s="155"/>
      <c r="O697" s="158"/>
    </row>
    <row r="698">
      <c r="A698" s="153"/>
      <c r="B698" s="153"/>
      <c r="C698" s="154"/>
      <c r="D698" s="155"/>
      <c r="E698" s="153"/>
      <c r="F698" s="155"/>
      <c r="G698" s="155"/>
      <c r="H698" s="155"/>
      <c r="I698" s="153"/>
      <c r="J698" s="153"/>
      <c r="K698" s="153"/>
      <c r="L698" s="155"/>
      <c r="M698" s="155"/>
      <c r="N698" s="155"/>
      <c r="O698" s="158"/>
    </row>
    <row r="699">
      <c r="A699" s="153"/>
      <c r="B699" s="153"/>
      <c r="C699" s="154"/>
      <c r="D699" s="155"/>
      <c r="E699" s="153"/>
      <c r="F699" s="155"/>
      <c r="G699" s="155"/>
      <c r="H699" s="155"/>
      <c r="I699" s="153"/>
      <c r="J699" s="153"/>
      <c r="K699" s="153"/>
      <c r="L699" s="155"/>
      <c r="M699" s="155"/>
      <c r="N699" s="155"/>
      <c r="O699" s="158"/>
    </row>
    <row r="700">
      <c r="A700" s="153"/>
      <c r="B700" s="153"/>
      <c r="C700" s="154"/>
      <c r="D700" s="155"/>
      <c r="E700" s="153"/>
      <c r="F700" s="155"/>
      <c r="G700" s="155"/>
      <c r="H700" s="155"/>
      <c r="I700" s="153"/>
      <c r="J700" s="153"/>
      <c r="K700" s="153"/>
      <c r="L700" s="155"/>
      <c r="M700" s="155"/>
      <c r="N700" s="155"/>
      <c r="O700" s="158"/>
    </row>
    <row r="701">
      <c r="A701" s="153"/>
      <c r="B701" s="153"/>
      <c r="C701" s="154"/>
      <c r="D701" s="155"/>
      <c r="E701" s="153"/>
      <c r="F701" s="155"/>
      <c r="G701" s="155"/>
      <c r="H701" s="155"/>
      <c r="I701" s="153"/>
      <c r="J701" s="153"/>
      <c r="K701" s="153"/>
      <c r="L701" s="155"/>
      <c r="M701" s="155"/>
      <c r="N701" s="155"/>
      <c r="O701" s="158"/>
    </row>
    <row r="702">
      <c r="A702" s="153"/>
      <c r="B702" s="153"/>
      <c r="C702" s="154"/>
      <c r="D702" s="155"/>
      <c r="E702" s="153"/>
      <c r="F702" s="155"/>
      <c r="G702" s="155"/>
      <c r="H702" s="155"/>
      <c r="I702" s="153"/>
      <c r="J702" s="153"/>
      <c r="K702" s="153"/>
      <c r="L702" s="155"/>
      <c r="M702" s="155"/>
      <c r="N702" s="155"/>
      <c r="O702" s="158"/>
    </row>
    <row r="703">
      <c r="A703" s="153"/>
      <c r="B703" s="153"/>
      <c r="C703" s="154"/>
      <c r="D703" s="155"/>
      <c r="E703" s="153"/>
      <c r="F703" s="155"/>
      <c r="G703" s="155"/>
      <c r="H703" s="155"/>
      <c r="I703" s="153"/>
      <c r="J703" s="153"/>
      <c r="K703" s="153"/>
      <c r="L703" s="155"/>
      <c r="M703" s="155"/>
      <c r="N703" s="155"/>
      <c r="O703" s="158"/>
    </row>
    <row r="704">
      <c r="A704" s="153"/>
      <c r="B704" s="153"/>
      <c r="C704" s="154"/>
      <c r="D704" s="155"/>
      <c r="E704" s="153"/>
      <c r="F704" s="155"/>
      <c r="G704" s="155"/>
      <c r="H704" s="155"/>
      <c r="I704" s="153"/>
      <c r="J704" s="153"/>
      <c r="K704" s="153"/>
      <c r="L704" s="155"/>
      <c r="M704" s="155"/>
      <c r="N704" s="155"/>
      <c r="O704" s="158"/>
    </row>
    <row r="705">
      <c r="A705" s="153"/>
      <c r="B705" s="153"/>
      <c r="C705" s="154"/>
      <c r="D705" s="155"/>
      <c r="E705" s="153"/>
      <c r="F705" s="155"/>
      <c r="G705" s="155"/>
      <c r="H705" s="155"/>
      <c r="I705" s="153"/>
      <c r="J705" s="153"/>
      <c r="K705" s="153"/>
      <c r="L705" s="155"/>
      <c r="M705" s="155"/>
      <c r="N705" s="155"/>
      <c r="O705" s="158"/>
    </row>
    <row r="706">
      <c r="A706" s="153"/>
      <c r="B706" s="153"/>
      <c r="C706" s="154"/>
      <c r="D706" s="155"/>
      <c r="E706" s="153"/>
      <c r="F706" s="155"/>
      <c r="G706" s="155"/>
      <c r="H706" s="155"/>
      <c r="I706" s="153"/>
      <c r="J706" s="153"/>
      <c r="K706" s="153"/>
      <c r="L706" s="155"/>
      <c r="M706" s="155"/>
      <c r="N706" s="155"/>
      <c r="O706" s="158"/>
    </row>
    <row r="707">
      <c r="A707" s="153"/>
      <c r="B707" s="153"/>
      <c r="C707" s="154"/>
      <c r="D707" s="155"/>
      <c r="E707" s="153"/>
      <c r="F707" s="155"/>
      <c r="G707" s="155"/>
      <c r="H707" s="155"/>
      <c r="I707" s="153"/>
      <c r="J707" s="153"/>
      <c r="K707" s="153"/>
      <c r="L707" s="155"/>
      <c r="M707" s="155"/>
      <c r="N707" s="155"/>
      <c r="O707" s="158"/>
    </row>
    <row r="708">
      <c r="A708" s="153"/>
      <c r="B708" s="153"/>
      <c r="C708" s="154"/>
      <c r="D708" s="155"/>
      <c r="E708" s="153"/>
      <c r="F708" s="155"/>
      <c r="G708" s="155"/>
      <c r="H708" s="155"/>
      <c r="I708" s="153"/>
      <c r="J708" s="153"/>
      <c r="K708" s="153"/>
      <c r="L708" s="155"/>
      <c r="M708" s="155"/>
      <c r="N708" s="155"/>
      <c r="O708" s="158"/>
    </row>
    <row r="709">
      <c r="A709" s="153"/>
      <c r="B709" s="153"/>
      <c r="C709" s="154"/>
      <c r="D709" s="155"/>
      <c r="E709" s="153"/>
      <c r="F709" s="155"/>
      <c r="G709" s="155"/>
      <c r="H709" s="155"/>
      <c r="I709" s="153"/>
      <c r="J709" s="153"/>
      <c r="K709" s="153"/>
      <c r="L709" s="155"/>
      <c r="M709" s="155"/>
      <c r="N709" s="155"/>
      <c r="O709" s="158"/>
    </row>
    <row r="710">
      <c r="A710" s="153"/>
      <c r="B710" s="153"/>
      <c r="C710" s="154"/>
      <c r="D710" s="155"/>
      <c r="E710" s="153"/>
      <c r="F710" s="155"/>
      <c r="G710" s="155"/>
      <c r="H710" s="155"/>
      <c r="I710" s="153"/>
      <c r="J710" s="153"/>
      <c r="K710" s="153"/>
      <c r="L710" s="155"/>
      <c r="M710" s="155"/>
      <c r="N710" s="155"/>
      <c r="O710" s="158"/>
    </row>
    <row r="711">
      <c r="A711" s="153"/>
      <c r="B711" s="153"/>
      <c r="C711" s="154"/>
      <c r="D711" s="155"/>
      <c r="E711" s="153"/>
      <c r="F711" s="155"/>
      <c r="G711" s="155"/>
      <c r="H711" s="155"/>
      <c r="I711" s="153"/>
      <c r="J711" s="153"/>
      <c r="K711" s="153"/>
      <c r="L711" s="155"/>
      <c r="M711" s="155"/>
      <c r="N711" s="155"/>
      <c r="O711" s="158"/>
    </row>
    <row r="712">
      <c r="A712" s="153"/>
      <c r="B712" s="153"/>
      <c r="C712" s="154"/>
      <c r="D712" s="155"/>
      <c r="E712" s="153"/>
      <c r="F712" s="155"/>
      <c r="G712" s="155"/>
      <c r="H712" s="155"/>
      <c r="I712" s="153"/>
      <c r="J712" s="153"/>
      <c r="K712" s="153"/>
      <c r="L712" s="155"/>
      <c r="M712" s="155"/>
      <c r="N712" s="155"/>
      <c r="O712" s="158"/>
    </row>
    <row r="713">
      <c r="A713" s="153"/>
      <c r="B713" s="153"/>
      <c r="C713" s="154"/>
      <c r="D713" s="155"/>
      <c r="E713" s="153"/>
      <c r="F713" s="155"/>
      <c r="G713" s="155"/>
      <c r="H713" s="155"/>
      <c r="I713" s="153"/>
      <c r="J713" s="153"/>
      <c r="K713" s="153"/>
      <c r="L713" s="155"/>
      <c r="M713" s="155"/>
      <c r="N713" s="155"/>
      <c r="O713" s="158"/>
    </row>
    <row r="714">
      <c r="A714" s="153"/>
      <c r="B714" s="153"/>
      <c r="C714" s="154"/>
      <c r="D714" s="155"/>
      <c r="E714" s="153"/>
      <c r="F714" s="155"/>
      <c r="G714" s="155"/>
      <c r="H714" s="155"/>
      <c r="I714" s="153"/>
      <c r="J714" s="153"/>
      <c r="K714" s="153"/>
      <c r="L714" s="155"/>
      <c r="M714" s="155"/>
      <c r="N714" s="155"/>
      <c r="O714" s="158"/>
    </row>
    <row r="715">
      <c r="A715" s="153"/>
      <c r="B715" s="153"/>
      <c r="C715" s="154"/>
      <c r="D715" s="155"/>
      <c r="E715" s="153"/>
      <c r="F715" s="155"/>
      <c r="G715" s="155"/>
      <c r="H715" s="155"/>
      <c r="I715" s="153"/>
      <c r="J715" s="153"/>
      <c r="K715" s="153"/>
      <c r="L715" s="155"/>
      <c r="M715" s="155"/>
      <c r="N715" s="155"/>
      <c r="O715" s="158"/>
    </row>
    <row r="716">
      <c r="A716" s="153"/>
      <c r="B716" s="153"/>
      <c r="C716" s="154"/>
      <c r="D716" s="155"/>
      <c r="E716" s="153"/>
      <c r="F716" s="155"/>
      <c r="G716" s="155"/>
      <c r="H716" s="155"/>
      <c r="I716" s="153"/>
      <c r="J716" s="153"/>
      <c r="K716" s="153"/>
      <c r="L716" s="155"/>
      <c r="M716" s="155"/>
      <c r="N716" s="155"/>
      <c r="O716" s="158"/>
    </row>
    <row r="717">
      <c r="A717" s="153"/>
      <c r="B717" s="153"/>
      <c r="C717" s="154"/>
      <c r="D717" s="155"/>
      <c r="E717" s="153"/>
      <c r="F717" s="155"/>
      <c r="G717" s="155"/>
      <c r="H717" s="155"/>
      <c r="I717" s="153"/>
      <c r="J717" s="153"/>
      <c r="K717" s="153"/>
      <c r="L717" s="155"/>
      <c r="M717" s="155"/>
      <c r="N717" s="155"/>
      <c r="O717" s="158"/>
    </row>
    <row r="718">
      <c r="A718" s="153"/>
      <c r="B718" s="153"/>
      <c r="C718" s="154"/>
      <c r="D718" s="155"/>
      <c r="E718" s="153"/>
      <c r="F718" s="155"/>
      <c r="G718" s="155"/>
      <c r="H718" s="155"/>
      <c r="I718" s="153"/>
      <c r="J718" s="153"/>
      <c r="K718" s="153"/>
      <c r="L718" s="155"/>
      <c r="M718" s="155"/>
      <c r="N718" s="155"/>
      <c r="O718" s="158"/>
    </row>
    <row r="719">
      <c r="A719" s="153"/>
      <c r="B719" s="153"/>
      <c r="C719" s="154"/>
      <c r="D719" s="155"/>
      <c r="E719" s="153"/>
      <c r="F719" s="155"/>
      <c r="G719" s="155"/>
      <c r="H719" s="155"/>
      <c r="I719" s="153"/>
      <c r="J719" s="153"/>
      <c r="K719" s="153"/>
      <c r="L719" s="155"/>
      <c r="M719" s="155"/>
      <c r="N719" s="155"/>
      <c r="O719" s="158"/>
    </row>
    <row r="720">
      <c r="A720" s="153"/>
      <c r="B720" s="153"/>
      <c r="C720" s="154"/>
      <c r="D720" s="155"/>
      <c r="E720" s="153"/>
      <c r="F720" s="155"/>
      <c r="G720" s="155"/>
      <c r="H720" s="155"/>
      <c r="I720" s="153"/>
      <c r="J720" s="153"/>
      <c r="K720" s="153"/>
      <c r="L720" s="155"/>
      <c r="M720" s="155"/>
      <c r="N720" s="155"/>
      <c r="O720" s="158"/>
    </row>
    <row r="721">
      <c r="A721" s="153"/>
      <c r="B721" s="153"/>
      <c r="C721" s="154"/>
      <c r="D721" s="155"/>
      <c r="E721" s="153"/>
      <c r="F721" s="155"/>
      <c r="G721" s="155"/>
      <c r="H721" s="155"/>
      <c r="I721" s="153"/>
      <c r="J721" s="153"/>
      <c r="K721" s="153"/>
      <c r="L721" s="155"/>
      <c r="M721" s="155"/>
      <c r="N721" s="155"/>
      <c r="O721" s="158"/>
    </row>
    <row r="722">
      <c r="A722" s="153"/>
      <c r="B722" s="153"/>
      <c r="C722" s="154"/>
      <c r="D722" s="155"/>
      <c r="E722" s="153"/>
      <c r="F722" s="155"/>
      <c r="G722" s="155"/>
      <c r="H722" s="155"/>
      <c r="I722" s="153"/>
      <c r="J722" s="153"/>
      <c r="K722" s="153"/>
      <c r="L722" s="155"/>
      <c r="M722" s="155"/>
      <c r="N722" s="155"/>
      <c r="O722" s="158"/>
    </row>
    <row r="723">
      <c r="A723" s="153"/>
      <c r="B723" s="153"/>
      <c r="C723" s="154"/>
      <c r="D723" s="155"/>
      <c r="E723" s="153"/>
      <c r="F723" s="155"/>
      <c r="G723" s="155"/>
      <c r="H723" s="155"/>
      <c r="I723" s="153"/>
      <c r="J723" s="153"/>
      <c r="K723" s="153"/>
      <c r="L723" s="155"/>
      <c r="M723" s="155"/>
      <c r="N723" s="155"/>
      <c r="O723" s="158"/>
    </row>
    <row r="724">
      <c r="A724" s="153"/>
      <c r="B724" s="153"/>
      <c r="C724" s="154"/>
      <c r="D724" s="155"/>
      <c r="E724" s="153"/>
      <c r="F724" s="155"/>
      <c r="G724" s="155"/>
      <c r="H724" s="155"/>
      <c r="I724" s="153"/>
      <c r="J724" s="153"/>
      <c r="K724" s="153"/>
      <c r="L724" s="155"/>
      <c r="M724" s="155"/>
      <c r="N724" s="155"/>
      <c r="O724" s="158"/>
    </row>
    <row r="725">
      <c r="A725" s="153"/>
      <c r="B725" s="153"/>
      <c r="C725" s="154"/>
      <c r="D725" s="155"/>
      <c r="E725" s="153"/>
      <c r="F725" s="155"/>
      <c r="G725" s="155"/>
      <c r="H725" s="155"/>
      <c r="I725" s="153"/>
      <c r="J725" s="153"/>
      <c r="K725" s="153"/>
      <c r="L725" s="155"/>
      <c r="M725" s="155"/>
      <c r="N725" s="155"/>
      <c r="O725" s="158"/>
    </row>
    <row r="726">
      <c r="A726" s="153"/>
      <c r="B726" s="153"/>
      <c r="C726" s="154"/>
      <c r="D726" s="155"/>
      <c r="E726" s="153"/>
      <c r="F726" s="155"/>
      <c r="G726" s="155"/>
      <c r="H726" s="155"/>
      <c r="I726" s="153"/>
      <c r="J726" s="153"/>
      <c r="K726" s="153"/>
      <c r="L726" s="155"/>
      <c r="M726" s="155"/>
      <c r="N726" s="155"/>
      <c r="O726" s="158"/>
    </row>
    <row r="727">
      <c r="A727" s="153"/>
      <c r="B727" s="153"/>
      <c r="C727" s="154"/>
      <c r="D727" s="155"/>
      <c r="E727" s="153"/>
      <c r="F727" s="155"/>
      <c r="G727" s="155"/>
      <c r="H727" s="155"/>
      <c r="I727" s="153"/>
      <c r="J727" s="153"/>
      <c r="K727" s="153"/>
      <c r="L727" s="155"/>
      <c r="M727" s="155"/>
      <c r="N727" s="155"/>
      <c r="O727" s="158"/>
    </row>
    <row r="728">
      <c r="A728" s="153"/>
      <c r="B728" s="153"/>
      <c r="C728" s="154"/>
      <c r="D728" s="155"/>
      <c r="E728" s="153"/>
      <c r="F728" s="155"/>
      <c r="G728" s="155"/>
      <c r="H728" s="155"/>
      <c r="I728" s="153"/>
      <c r="J728" s="153"/>
      <c r="K728" s="153"/>
      <c r="L728" s="155"/>
      <c r="M728" s="155"/>
      <c r="N728" s="155"/>
      <c r="O728" s="158"/>
    </row>
    <row r="729">
      <c r="A729" s="153"/>
      <c r="B729" s="153"/>
      <c r="C729" s="154"/>
      <c r="D729" s="155"/>
      <c r="E729" s="153"/>
      <c r="F729" s="155"/>
      <c r="G729" s="155"/>
      <c r="H729" s="155"/>
      <c r="I729" s="153"/>
      <c r="J729" s="153"/>
      <c r="K729" s="153"/>
      <c r="L729" s="155"/>
      <c r="M729" s="155"/>
      <c r="N729" s="155"/>
      <c r="O729" s="158"/>
    </row>
    <row r="730">
      <c r="A730" s="153"/>
      <c r="B730" s="153"/>
      <c r="C730" s="154"/>
      <c r="D730" s="155"/>
      <c r="E730" s="153"/>
      <c r="F730" s="155"/>
      <c r="G730" s="155"/>
      <c r="H730" s="155"/>
      <c r="I730" s="153"/>
      <c r="J730" s="153"/>
      <c r="K730" s="153"/>
      <c r="L730" s="155"/>
      <c r="M730" s="155"/>
      <c r="N730" s="155"/>
      <c r="O730" s="158"/>
    </row>
    <row r="731">
      <c r="A731" s="153"/>
      <c r="B731" s="153"/>
      <c r="C731" s="154"/>
      <c r="D731" s="155"/>
      <c r="E731" s="153"/>
      <c r="F731" s="155"/>
      <c r="G731" s="155"/>
      <c r="H731" s="155"/>
      <c r="I731" s="153"/>
      <c r="J731" s="153"/>
      <c r="K731" s="153"/>
      <c r="L731" s="155"/>
      <c r="M731" s="155"/>
      <c r="N731" s="155"/>
      <c r="O731" s="158"/>
    </row>
    <row r="732">
      <c r="A732" s="153"/>
      <c r="B732" s="153"/>
      <c r="C732" s="154"/>
      <c r="D732" s="155"/>
      <c r="E732" s="153"/>
      <c r="F732" s="155"/>
      <c r="G732" s="155"/>
      <c r="H732" s="155"/>
      <c r="I732" s="153"/>
      <c r="J732" s="153"/>
      <c r="K732" s="153"/>
      <c r="L732" s="155"/>
      <c r="M732" s="155"/>
      <c r="N732" s="155"/>
      <c r="O732" s="158"/>
    </row>
    <row r="733">
      <c r="A733" s="153"/>
      <c r="B733" s="153"/>
      <c r="C733" s="154"/>
      <c r="D733" s="155"/>
      <c r="E733" s="153"/>
      <c r="F733" s="155"/>
      <c r="G733" s="155"/>
      <c r="H733" s="155"/>
      <c r="I733" s="153"/>
      <c r="J733" s="153"/>
      <c r="K733" s="153"/>
      <c r="L733" s="155"/>
      <c r="M733" s="155"/>
      <c r="N733" s="155"/>
      <c r="O733" s="158"/>
    </row>
    <row r="734">
      <c r="A734" s="153"/>
      <c r="B734" s="153"/>
      <c r="C734" s="154"/>
      <c r="D734" s="155"/>
      <c r="E734" s="153"/>
      <c r="F734" s="155"/>
      <c r="G734" s="155"/>
      <c r="H734" s="155"/>
      <c r="I734" s="153"/>
      <c r="J734" s="153"/>
      <c r="K734" s="153"/>
      <c r="L734" s="155"/>
      <c r="M734" s="155"/>
      <c r="N734" s="155"/>
      <c r="O734" s="158"/>
    </row>
    <row r="735">
      <c r="A735" s="153"/>
      <c r="B735" s="153"/>
      <c r="C735" s="154"/>
      <c r="D735" s="155"/>
      <c r="E735" s="153"/>
      <c r="F735" s="155"/>
      <c r="G735" s="155"/>
      <c r="H735" s="155"/>
      <c r="I735" s="153"/>
      <c r="J735" s="153"/>
      <c r="K735" s="153"/>
      <c r="L735" s="155"/>
      <c r="M735" s="155"/>
      <c r="N735" s="155"/>
      <c r="O735" s="158"/>
    </row>
    <row r="736">
      <c r="A736" s="153"/>
      <c r="B736" s="153"/>
      <c r="C736" s="154"/>
      <c r="D736" s="155"/>
      <c r="E736" s="153"/>
      <c r="F736" s="155"/>
      <c r="G736" s="155"/>
      <c r="H736" s="155"/>
      <c r="I736" s="153"/>
      <c r="J736" s="153"/>
      <c r="K736" s="153"/>
      <c r="L736" s="155"/>
      <c r="M736" s="155"/>
      <c r="N736" s="155"/>
      <c r="O736" s="158"/>
    </row>
    <row r="737">
      <c r="A737" s="153"/>
      <c r="B737" s="153"/>
      <c r="C737" s="154"/>
      <c r="D737" s="155"/>
      <c r="E737" s="153"/>
      <c r="F737" s="155"/>
      <c r="G737" s="155"/>
      <c r="H737" s="155"/>
      <c r="I737" s="153"/>
      <c r="J737" s="153"/>
      <c r="K737" s="153"/>
      <c r="L737" s="155"/>
      <c r="M737" s="155"/>
      <c r="N737" s="155"/>
      <c r="O737" s="158"/>
    </row>
    <row r="738">
      <c r="A738" s="153"/>
      <c r="B738" s="153"/>
      <c r="C738" s="154"/>
      <c r="D738" s="155"/>
      <c r="E738" s="153"/>
      <c r="F738" s="155"/>
      <c r="G738" s="155"/>
      <c r="H738" s="155"/>
      <c r="I738" s="153"/>
      <c r="J738" s="153"/>
      <c r="K738" s="153"/>
      <c r="L738" s="155"/>
      <c r="M738" s="155"/>
      <c r="N738" s="155"/>
      <c r="O738" s="158"/>
    </row>
    <row r="739">
      <c r="A739" s="153"/>
      <c r="B739" s="153"/>
      <c r="C739" s="154"/>
      <c r="D739" s="155"/>
      <c r="E739" s="153"/>
      <c r="F739" s="155"/>
      <c r="G739" s="155"/>
      <c r="H739" s="155"/>
      <c r="I739" s="153"/>
      <c r="J739" s="153"/>
      <c r="K739" s="153"/>
      <c r="L739" s="155"/>
      <c r="M739" s="155"/>
      <c r="N739" s="155"/>
      <c r="O739" s="158"/>
    </row>
    <row r="740">
      <c r="A740" s="153"/>
      <c r="B740" s="153"/>
      <c r="C740" s="154"/>
      <c r="D740" s="155"/>
      <c r="E740" s="153"/>
      <c r="F740" s="155"/>
      <c r="G740" s="155"/>
      <c r="H740" s="155"/>
      <c r="I740" s="153"/>
      <c r="J740" s="153"/>
      <c r="K740" s="153"/>
      <c r="L740" s="155"/>
      <c r="M740" s="155"/>
      <c r="N740" s="155"/>
      <c r="O740" s="158"/>
    </row>
    <row r="741">
      <c r="A741" s="153"/>
      <c r="B741" s="153"/>
      <c r="C741" s="154"/>
      <c r="D741" s="155"/>
      <c r="E741" s="153"/>
      <c r="F741" s="155"/>
      <c r="G741" s="155"/>
      <c r="H741" s="155"/>
      <c r="I741" s="153"/>
      <c r="J741" s="153"/>
      <c r="K741" s="153"/>
      <c r="L741" s="155"/>
      <c r="M741" s="155"/>
      <c r="N741" s="155"/>
      <c r="O741" s="158"/>
    </row>
    <row r="742">
      <c r="A742" s="153"/>
      <c r="B742" s="153"/>
      <c r="C742" s="154"/>
      <c r="D742" s="155"/>
      <c r="E742" s="153"/>
      <c r="F742" s="155"/>
      <c r="G742" s="155"/>
      <c r="H742" s="155"/>
      <c r="I742" s="153"/>
      <c r="J742" s="153"/>
      <c r="K742" s="153"/>
      <c r="L742" s="155"/>
      <c r="M742" s="155"/>
      <c r="N742" s="155"/>
      <c r="O742" s="158"/>
    </row>
    <row r="743">
      <c r="A743" s="153"/>
      <c r="B743" s="153"/>
      <c r="C743" s="154"/>
      <c r="D743" s="155"/>
      <c r="E743" s="153"/>
      <c r="F743" s="155"/>
      <c r="G743" s="155"/>
      <c r="H743" s="155"/>
      <c r="I743" s="153"/>
      <c r="J743" s="153"/>
      <c r="K743" s="153"/>
      <c r="L743" s="155"/>
      <c r="M743" s="155"/>
      <c r="N743" s="155"/>
      <c r="O743" s="158"/>
    </row>
    <row r="744">
      <c r="A744" s="153"/>
      <c r="B744" s="153"/>
      <c r="C744" s="154"/>
      <c r="D744" s="155"/>
      <c r="E744" s="153"/>
      <c r="F744" s="155"/>
      <c r="G744" s="155"/>
      <c r="H744" s="155"/>
      <c r="I744" s="153"/>
      <c r="J744" s="153"/>
      <c r="K744" s="153"/>
      <c r="L744" s="155"/>
      <c r="M744" s="155"/>
      <c r="N744" s="155"/>
      <c r="O744" s="158"/>
    </row>
    <row r="745">
      <c r="A745" s="153"/>
      <c r="B745" s="153"/>
      <c r="C745" s="154"/>
      <c r="D745" s="155"/>
      <c r="E745" s="153"/>
      <c r="F745" s="155"/>
      <c r="G745" s="155"/>
      <c r="H745" s="155"/>
      <c r="I745" s="153"/>
      <c r="J745" s="153"/>
      <c r="K745" s="153"/>
      <c r="L745" s="155"/>
      <c r="M745" s="155"/>
      <c r="N745" s="155"/>
      <c r="O745" s="158"/>
    </row>
    <row r="746">
      <c r="A746" s="153"/>
      <c r="B746" s="153"/>
      <c r="C746" s="154"/>
      <c r="D746" s="155"/>
      <c r="E746" s="153"/>
      <c r="F746" s="155"/>
      <c r="G746" s="155"/>
      <c r="H746" s="155"/>
      <c r="I746" s="153"/>
      <c r="J746" s="153"/>
      <c r="K746" s="153"/>
      <c r="L746" s="155"/>
      <c r="M746" s="155"/>
      <c r="N746" s="155"/>
      <c r="O746" s="158"/>
    </row>
    <row r="747">
      <c r="A747" s="153"/>
      <c r="B747" s="153"/>
      <c r="C747" s="154"/>
      <c r="D747" s="155"/>
      <c r="E747" s="153"/>
      <c r="F747" s="155"/>
      <c r="G747" s="155"/>
      <c r="H747" s="155"/>
      <c r="I747" s="153"/>
      <c r="J747" s="153"/>
      <c r="K747" s="153"/>
      <c r="L747" s="155"/>
      <c r="M747" s="155"/>
      <c r="N747" s="155"/>
      <c r="O747" s="158"/>
    </row>
    <row r="748">
      <c r="A748" s="153"/>
      <c r="B748" s="153"/>
      <c r="C748" s="154"/>
      <c r="D748" s="155"/>
      <c r="E748" s="153"/>
      <c r="F748" s="155"/>
      <c r="G748" s="155"/>
      <c r="H748" s="155"/>
      <c r="I748" s="153"/>
      <c r="J748" s="153"/>
      <c r="K748" s="153"/>
      <c r="L748" s="155"/>
      <c r="M748" s="155"/>
      <c r="N748" s="155"/>
      <c r="O748" s="158"/>
    </row>
    <row r="749">
      <c r="A749" s="153"/>
      <c r="B749" s="153"/>
      <c r="C749" s="154"/>
      <c r="D749" s="155"/>
      <c r="E749" s="153"/>
      <c r="F749" s="155"/>
      <c r="G749" s="155"/>
      <c r="H749" s="155"/>
      <c r="I749" s="153"/>
      <c r="J749" s="153"/>
      <c r="K749" s="153"/>
      <c r="L749" s="155"/>
      <c r="M749" s="155"/>
      <c r="N749" s="155"/>
      <c r="O749" s="158"/>
    </row>
    <row r="750">
      <c r="A750" s="153"/>
      <c r="B750" s="153"/>
      <c r="C750" s="154"/>
      <c r="D750" s="155"/>
      <c r="E750" s="153"/>
      <c r="F750" s="155"/>
      <c r="G750" s="155"/>
      <c r="H750" s="155"/>
      <c r="I750" s="153"/>
      <c r="J750" s="153"/>
      <c r="K750" s="153"/>
      <c r="L750" s="155"/>
      <c r="M750" s="155"/>
      <c r="N750" s="155"/>
      <c r="O750" s="158"/>
    </row>
    <row r="751">
      <c r="A751" s="153"/>
      <c r="B751" s="153"/>
      <c r="C751" s="154"/>
      <c r="D751" s="155"/>
      <c r="E751" s="153"/>
      <c r="F751" s="155"/>
      <c r="G751" s="155"/>
      <c r="H751" s="155"/>
      <c r="I751" s="153"/>
      <c r="J751" s="153"/>
      <c r="K751" s="153"/>
      <c r="L751" s="155"/>
      <c r="M751" s="155"/>
      <c r="N751" s="155"/>
      <c r="O751" s="158"/>
    </row>
    <row r="752">
      <c r="A752" s="153"/>
      <c r="B752" s="153"/>
      <c r="C752" s="154"/>
      <c r="D752" s="155"/>
      <c r="E752" s="153"/>
      <c r="F752" s="155"/>
      <c r="G752" s="155"/>
      <c r="H752" s="155"/>
      <c r="I752" s="153"/>
      <c r="J752" s="153"/>
      <c r="K752" s="153"/>
      <c r="L752" s="155"/>
      <c r="M752" s="155"/>
      <c r="N752" s="155"/>
      <c r="O752" s="158"/>
    </row>
    <row r="753">
      <c r="A753" s="153"/>
      <c r="B753" s="153"/>
      <c r="C753" s="154"/>
      <c r="D753" s="155"/>
      <c r="E753" s="153"/>
      <c r="F753" s="155"/>
      <c r="G753" s="155"/>
      <c r="H753" s="155"/>
      <c r="I753" s="153"/>
      <c r="J753" s="153"/>
      <c r="K753" s="153"/>
      <c r="L753" s="155"/>
      <c r="M753" s="155"/>
      <c r="N753" s="155"/>
      <c r="O753" s="158"/>
    </row>
    <row r="754">
      <c r="A754" s="153"/>
      <c r="B754" s="153"/>
      <c r="C754" s="154"/>
      <c r="D754" s="155"/>
      <c r="E754" s="153"/>
      <c r="F754" s="155"/>
      <c r="G754" s="155"/>
      <c r="H754" s="155"/>
      <c r="I754" s="153"/>
      <c r="J754" s="153"/>
      <c r="K754" s="153"/>
      <c r="L754" s="155"/>
      <c r="M754" s="155"/>
      <c r="N754" s="155"/>
      <c r="O754" s="158"/>
    </row>
    <row r="755">
      <c r="A755" s="153"/>
      <c r="B755" s="153"/>
      <c r="C755" s="154"/>
      <c r="D755" s="155"/>
      <c r="E755" s="153"/>
      <c r="F755" s="155"/>
      <c r="G755" s="155"/>
      <c r="H755" s="155"/>
      <c r="I755" s="153"/>
      <c r="J755" s="153"/>
      <c r="K755" s="153"/>
      <c r="L755" s="155"/>
      <c r="M755" s="155"/>
      <c r="N755" s="155"/>
      <c r="O755" s="158"/>
    </row>
    <row r="756">
      <c r="A756" s="153"/>
      <c r="B756" s="153"/>
      <c r="C756" s="154"/>
      <c r="D756" s="155"/>
      <c r="E756" s="153"/>
      <c r="F756" s="155"/>
      <c r="G756" s="155"/>
      <c r="H756" s="155"/>
      <c r="I756" s="153"/>
      <c r="J756" s="153"/>
      <c r="K756" s="153"/>
      <c r="L756" s="155"/>
      <c r="M756" s="155"/>
      <c r="N756" s="155"/>
      <c r="O756" s="158"/>
    </row>
    <row r="757">
      <c r="A757" s="153"/>
      <c r="B757" s="153"/>
      <c r="C757" s="154"/>
      <c r="D757" s="155"/>
      <c r="E757" s="153"/>
      <c r="F757" s="155"/>
      <c r="G757" s="155"/>
      <c r="H757" s="155"/>
      <c r="I757" s="153"/>
      <c r="J757" s="153"/>
      <c r="K757" s="153"/>
      <c r="L757" s="155"/>
      <c r="M757" s="155"/>
      <c r="N757" s="155"/>
      <c r="O757" s="158"/>
    </row>
    <row r="758">
      <c r="A758" s="153"/>
      <c r="B758" s="153"/>
      <c r="C758" s="154"/>
      <c r="D758" s="155"/>
      <c r="E758" s="153"/>
      <c r="F758" s="155"/>
      <c r="G758" s="155"/>
      <c r="H758" s="155"/>
      <c r="I758" s="153"/>
      <c r="J758" s="153"/>
      <c r="K758" s="153"/>
      <c r="L758" s="155"/>
      <c r="M758" s="155"/>
      <c r="N758" s="155"/>
      <c r="O758" s="158"/>
    </row>
    <row r="759">
      <c r="A759" s="153"/>
      <c r="B759" s="153"/>
      <c r="C759" s="154"/>
      <c r="D759" s="155"/>
      <c r="E759" s="153"/>
      <c r="F759" s="155"/>
      <c r="G759" s="155"/>
      <c r="H759" s="155"/>
      <c r="I759" s="153"/>
      <c r="J759" s="153"/>
      <c r="K759" s="153"/>
      <c r="L759" s="155"/>
      <c r="M759" s="155"/>
      <c r="N759" s="155"/>
      <c r="O759" s="158"/>
    </row>
    <row r="760">
      <c r="A760" s="153"/>
      <c r="B760" s="153"/>
      <c r="C760" s="154"/>
      <c r="D760" s="155"/>
      <c r="E760" s="153"/>
      <c r="F760" s="155"/>
      <c r="G760" s="155"/>
      <c r="H760" s="155"/>
      <c r="I760" s="153"/>
      <c r="J760" s="153"/>
      <c r="K760" s="153"/>
      <c r="L760" s="155"/>
      <c r="M760" s="155"/>
      <c r="N760" s="155"/>
      <c r="O760" s="158"/>
    </row>
    <row r="761">
      <c r="A761" s="153"/>
      <c r="B761" s="153"/>
      <c r="C761" s="154"/>
      <c r="D761" s="155"/>
      <c r="E761" s="153"/>
      <c r="F761" s="155"/>
      <c r="G761" s="155"/>
      <c r="H761" s="155"/>
      <c r="I761" s="153"/>
      <c r="J761" s="153"/>
      <c r="K761" s="153"/>
      <c r="L761" s="155"/>
      <c r="M761" s="155"/>
      <c r="N761" s="155"/>
      <c r="O761" s="158"/>
    </row>
    <row r="762">
      <c r="A762" s="153"/>
      <c r="B762" s="153"/>
      <c r="C762" s="154"/>
      <c r="D762" s="155"/>
      <c r="E762" s="153"/>
      <c r="F762" s="155"/>
      <c r="G762" s="155"/>
      <c r="H762" s="155"/>
      <c r="I762" s="153"/>
      <c r="J762" s="153"/>
      <c r="K762" s="153"/>
      <c r="L762" s="155"/>
      <c r="M762" s="155"/>
      <c r="N762" s="155"/>
      <c r="O762" s="158"/>
    </row>
    <row r="763">
      <c r="A763" s="153"/>
      <c r="B763" s="153"/>
      <c r="C763" s="154"/>
      <c r="D763" s="155"/>
      <c r="E763" s="153"/>
      <c r="F763" s="155"/>
      <c r="G763" s="155"/>
      <c r="H763" s="155"/>
      <c r="I763" s="153"/>
      <c r="J763" s="153"/>
      <c r="K763" s="153"/>
      <c r="L763" s="155"/>
      <c r="M763" s="155"/>
      <c r="N763" s="155"/>
      <c r="O763" s="158"/>
    </row>
    <row r="764">
      <c r="A764" s="153"/>
      <c r="B764" s="153"/>
      <c r="C764" s="154"/>
      <c r="D764" s="155"/>
      <c r="E764" s="153"/>
      <c r="F764" s="155"/>
      <c r="G764" s="155"/>
      <c r="H764" s="155"/>
      <c r="I764" s="153"/>
      <c r="J764" s="153"/>
      <c r="K764" s="153"/>
      <c r="L764" s="155"/>
      <c r="M764" s="155"/>
      <c r="N764" s="155"/>
      <c r="O764" s="158"/>
    </row>
    <row r="765">
      <c r="A765" s="153"/>
      <c r="B765" s="153"/>
      <c r="C765" s="154"/>
      <c r="D765" s="155"/>
      <c r="E765" s="153"/>
      <c r="F765" s="155"/>
      <c r="G765" s="155"/>
      <c r="H765" s="155"/>
      <c r="I765" s="153"/>
      <c r="J765" s="153"/>
      <c r="K765" s="153"/>
      <c r="L765" s="155"/>
      <c r="M765" s="155"/>
      <c r="N765" s="155"/>
      <c r="O765" s="158"/>
    </row>
    <row r="766">
      <c r="A766" s="153"/>
      <c r="B766" s="153"/>
      <c r="C766" s="154"/>
      <c r="D766" s="155"/>
      <c r="E766" s="153"/>
      <c r="F766" s="155"/>
      <c r="G766" s="155"/>
      <c r="H766" s="155"/>
      <c r="I766" s="153"/>
      <c r="J766" s="153"/>
      <c r="K766" s="153"/>
      <c r="L766" s="155"/>
      <c r="M766" s="155"/>
      <c r="N766" s="155"/>
      <c r="O766" s="158"/>
    </row>
    <row r="767">
      <c r="A767" s="153"/>
      <c r="B767" s="153"/>
      <c r="C767" s="154"/>
      <c r="D767" s="155"/>
      <c r="E767" s="153"/>
      <c r="F767" s="155"/>
      <c r="G767" s="155"/>
      <c r="H767" s="155"/>
      <c r="I767" s="153"/>
      <c r="J767" s="153"/>
      <c r="K767" s="153"/>
      <c r="L767" s="155"/>
      <c r="M767" s="155"/>
      <c r="N767" s="155"/>
      <c r="O767" s="158"/>
    </row>
    <row r="768">
      <c r="A768" s="153"/>
      <c r="B768" s="153"/>
      <c r="C768" s="154"/>
      <c r="D768" s="155"/>
      <c r="E768" s="153"/>
      <c r="F768" s="155"/>
      <c r="G768" s="155"/>
      <c r="H768" s="155"/>
      <c r="I768" s="153"/>
      <c r="J768" s="153"/>
      <c r="K768" s="153"/>
      <c r="L768" s="155"/>
      <c r="M768" s="155"/>
      <c r="N768" s="155"/>
      <c r="O768" s="158"/>
    </row>
    <row r="769">
      <c r="A769" s="153"/>
      <c r="B769" s="153"/>
      <c r="C769" s="154"/>
      <c r="D769" s="155"/>
      <c r="E769" s="153"/>
      <c r="F769" s="155"/>
      <c r="G769" s="155"/>
      <c r="H769" s="155"/>
      <c r="I769" s="153"/>
      <c r="J769" s="153"/>
      <c r="K769" s="153"/>
      <c r="L769" s="155"/>
      <c r="M769" s="155"/>
      <c r="N769" s="155"/>
      <c r="O769" s="158"/>
    </row>
    <row r="770">
      <c r="A770" s="153"/>
      <c r="B770" s="153"/>
      <c r="C770" s="154"/>
      <c r="D770" s="155"/>
      <c r="E770" s="153"/>
      <c r="F770" s="155"/>
      <c r="G770" s="155"/>
      <c r="H770" s="155"/>
      <c r="I770" s="153"/>
      <c r="J770" s="153"/>
      <c r="K770" s="153"/>
      <c r="L770" s="155"/>
      <c r="M770" s="155"/>
      <c r="N770" s="155"/>
      <c r="O770" s="158"/>
    </row>
    <row r="771">
      <c r="A771" s="153"/>
      <c r="B771" s="153"/>
      <c r="C771" s="154"/>
      <c r="D771" s="155"/>
      <c r="E771" s="153"/>
      <c r="F771" s="155"/>
      <c r="G771" s="155"/>
      <c r="H771" s="155"/>
      <c r="I771" s="153"/>
      <c r="J771" s="153"/>
      <c r="K771" s="153"/>
      <c r="L771" s="155"/>
      <c r="M771" s="155"/>
      <c r="N771" s="155"/>
      <c r="O771" s="158"/>
    </row>
    <row r="772">
      <c r="A772" s="153"/>
      <c r="B772" s="153"/>
      <c r="C772" s="154"/>
      <c r="D772" s="155"/>
      <c r="E772" s="153"/>
      <c r="F772" s="155"/>
      <c r="G772" s="155"/>
      <c r="H772" s="155"/>
      <c r="I772" s="153"/>
      <c r="J772" s="153"/>
      <c r="K772" s="153"/>
      <c r="L772" s="155"/>
      <c r="M772" s="155"/>
      <c r="N772" s="155"/>
      <c r="O772" s="158"/>
    </row>
    <row r="773">
      <c r="A773" s="153"/>
      <c r="B773" s="153"/>
      <c r="C773" s="154"/>
      <c r="D773" s="155"/>
      <c r="E773" s="153"/>
      <c r="F773" s="155"/>
      <c r="G773" s="155"/>
      <c r="H773" s="155"/>
      <c r="I773" s="153"/>
      <c r="J773" s="153"/>
      <c r="K773" s="153"/>
      <c r="L773" s="155"/>
      <c r="M773" s="155"/>
      <c r="N773" s="155"/>
      <c r="O773" s="158"/>
    </row>
    <row r="774">
      <c r="A774" s="153"/>
      <c r="B774" s="153"/>
      <c r="C774" s="154"/>
      <c r="D774" s="155"/>
      <c r="E774" s="153"/>
      <c r="F774" s="155"/>
      <c r="G774" s="155"/>
      <c r="H774" s="155"/>
      <c r="I774" s="153"/>
      <c r="J774" s="153"/>
      <c r="K774" s="153"/>
      <c r="L774" s="155"/>
      <c r="M774" s="155"/>
      <c r="N774" s="155"/>
      <c r="O774" s="158"/>
    </row>
    <row r="775">
      <c r="A775" s="153"/>
      <c r="B775" s="153"/>
      <c r="C775" s="154"/>
      <c r="D775" s="155"/>
      <c r="E775" s="153"/>
      <c r="F775" s="155"/>
      <c r="G775" s="155"/>
      <c r="H775" s="155"/>
      <c r="I775" s="153"/>
      <c r="J775" s="153"/>
      <c r="K775" s="153"/>
      <c r="L775" s="155"/>
      <c r="M775" s="155"/>
      <c r="N775" s="155"/>
      <c r="O775" s="158"/>
    </row>
    <row r="776">
      <c r="A776" s="153"/>
      <c r="B776" s="153"/>
      <c r="C776" s="154"/>
      <c r="D776" s="155"/>
      <c r="E776" s="153"/>
      <c r="F776" s="155"/>
      <c r="G776" s="155"/>
      <c r="H776" s="155"/>
      <c r="I776" s="153"/>
      <c r="J776" s="153"/>
      <c r="K776" s="153"/>
      <c r="L776" s="155"/>
      <c r="M776" s="155"/>
      <c r="N776" s="155"/>
      <c r="O776" s="158"/>
    </row>
    <row r="777">
      <c r="A777" s="153"/>
      <c r="B777" s="153"/>
      <c r="C777" s="154"/>
      <c r="D777" s="155"/>
      <c r="E777" s="153"/>
      <c r="F777" s="155"/>
      <c r="G777" s="155"/>
      <c r="H777" s="155"/>
      <c r="I777" s="153"/>
      <c r="J777" s="153"/>
      <c r="K777" s="153"/>
      <c r="L777" s="155"/>
      <c r="M777" s="155"/>
      <c r="N777" s="155"/>
      <c r="O777" s="158"/>
    </row>
    <row r="778">
      <c r="A778" s="153"/>
      <c r="B778" s="153"/>
      <c r="C778" s="154"/>
      <c r="D778" s="155"/>
      <c r="E778" s="153"/>
      <c r="F778" s="155"/>
      <c r="G778" s="155"/>
      <c r="H778" s="155"/>
      <c r="I778" s="153"/>
      <c r="J778" s="153"/>
      <c r="K778" s="153"/>
      <c r="L778" s="155"/>
      <c r="M778" s="155"/>
      <c r="N778" s="155"/>
      <c r="O778" s="158"/>
    </row>
    <row r="779">
      <c r="A779" s="153"/>
      <c r="B779" s="153"/>
      <c r="C779" s="154"/>
      <c r="D779" s="155"/>
      <c r="E779" s="153"/>
      <c r="F779" s="155"/>
      <c r="G779" s="155"/>
      <c r="H779" s="155"/>
      <c r="I779" s="153"/>
      <c r="J779" s="153"/>
      <c r="K779" s="153"/>
      <c r="L779" s="155"/>
      <c r="M779" s="155"/>
      <c r="N779" s="155"/>
      <c r="O779" s="158"/>
    </row>
    <row r="780">
      <c r="A780" s="153"/>
      <c r="B780" s="153"/>
      <c r="C780" s="154"/>
      <c r="D780" s="155"/>
      <c r="E780" s="153"/>
      <c r="F780" s="155"/>
      <c r="G780" s="155"/>
      <c r="H780" s="155"/>
      <c r="I780" s="153"/>
      <c r="J780" s="153"/>
      <c r="K780" s="153"/>
      <c r="L780" s="155"/>
      <c r="M780" s="155"/>
      <c r="N780" s="155"/>
      <c r="O780" s="158"/>
    </row>
    <row r="781">
      <c r="A781" s="153"/>
      <c r="B781" s="153"/>
      <c r="C781" s="154"/>
      <c r="D781" s="155"/>
      <c r="E781" s="153"/>
      <c r="F781" s="155"/>
      <c r="G781" s="155"/>
      <c r="H781" s="155"/>
      <c r="I781" s="153"/>
      <c r="J781" s="153"/>
      <c r="K781" s="153"/>
      <c r="L781" s="155"/>
      <c r="M781" s="155"/>
      <c r="N781" s="155"/>
      <c r="O781" s="158"/>
    </row>
    <row r="782">
      <c r="A782" s="153"/>
      <c r="B782" s="153"/>
      <c r="C782" s="154"/>
      <c r="D782" s="155"/>
      <c r="E782" s="153"/>
      <c r="F782" s="155"/>
      <c r="G782" s="155"/>
      <c r="H782" s="155"/>
      <c r="I782" s="153"/>
      <c r="J782" s="153"/>
      <c r="K782" s="153"/>
      <c r="L782" s="155"/>
      <c r="M782" s="155"/>
      <c r="N782" s="155"/>
      <c r="O782" s="158"/>
    </row>
    <row r="783">
      <c r="A783" s="153"/>
      <c r="B783" s="153"/>
      <c r="C783" s="154"/>
      <c r="D783" s="155"/>
      <c r="E783" s="153"/>
      <c r="F783" s="155"/>
      <c r="G783" s="155"/>
      <c r="H783" s="155"/>
      <c r="I783" s="153"/>
      <c r="J783" s="153"/>
      <c r="K783" s="153"/>
      <c r="L783" s="155"/>
      <c r="M783" s="155"/>
      <c r="N783" s="155"/>
      <c r="O783" s="158"/>
    </row>
    <row r="784">
      <c r="A784" s="153"/>
      <c r="B784" s="153"/>
      <c r="C784" s="154"/>
      <c r="D784" s="155"/>
      <c r="E784" s="153"/>
      <c r="F784" s="155"/>
      <c r="G784" s="155"/>
      <c r="H784" s="155"/>
      <c r="I784" s="153"/>
      <c r="J784" s="153"/>
      <c r="K784" s="153"/>
      <c r="L784" s="155"/>
      <c r="M784" s="155"/>
      <c r="N784" s="155"/>
      <c r="O784" s="158"/>
    </row>
    <row r="785">
      <c r="A785" s="153"/>
      <c r="B785" s="153"/>
      <c r="C785" s="154"/>
      <c r="D785" s="155"/>
      <c r="E785" s="153"/>
      <c r="F785" s="155"/>
      <c r="G785" s="155"/>
      <c r="H785" s="155"/>
      <c r="I785" s="153"/>
      <c r="J785" s="153"/>
      <c r="K785" s="153"/>
      <c r="L785" s="155"/>
      <c r="M785" s="155"/>
      <c r="N785" s="155"/>
      <c r="O785" s="158"/>
    </row>
    <row r="786">
      <c r="A786" s="153"/>
      <c r="B786" s="153"/>
      <c r="C786" s="154"/>
      <c r="D786" s="155"/>
      <c r="E786" s="153"/>
      <c r="F786" s="155"/>
      <c r="G786" s="155"/>
      <c r="H786" s="155"/>
      <c r="I786" s="153"/>
      <c r="J786" s="153"/>
      <c r="K786" s="153"/>
      <c r="L786" s="155"/>
      <c r="M786" s="155"/>
      <c r="N786" s="155"/>
      <c r="O786" s="158"/>
    </row>
    <row r="787">
      <c r="A787" s="153"/>
      <c r="B787" s="153"/>
      <c r="C787" s="154"/>
      <c r="D787" s="155"/>
      <c r="E787" s="153"/>
      <c r="F787" s="155"/>
      <c r="G787" s="155"/>
      <c r="H787" s="155"/>
      <c r="I787" s="153"/>
      <c r="J787" s="153"/>
      <c r="K787" s="153"/>
      <c r="L787" s="155"/>
      <c r="M787" s="155"/>
      <c r="N787" s="155"/>
      <c r="O787" s="158"/>
    </row>
    <row r="788">
      <c r="A788" s="153"/>
      <c r="B788" s="153"/>
      <c r="C788" s="154"/>
      <c r="D788" s="155"/>
      <c r="E788" s="153"/>
      <c r="F788" s="155"/>
      <c r="G788" s="155"/>
      <c r="H788" s="155"/>
      <c r="I788" s="153"/>
      <c r="J788" s="153"/>
      <c r="K788" s="153"/>
      <c r="L788" s="155"/>
      <c r="M788" s="155"/>
      <c r="N788" s="155"/>
      <c r="O788" s="158"/>
    </row>
    <row r="789">
      <c r="A789" s="153"/>
      <c r="B789" s="153"/>
      <c r="C789" s="154"/>
      <c r="D789" s="155"/>
      <c r="E789" s="153"/>
      <c r="F789" s="155"/>
      <c r="G789" s="155"/>
      <c r="H789" s="155"/>
      <c r="I789" s="153"/>
      <c r="J789" s="153"/>
      <c r="K789" s="153"/>
      <c r="L789" s="155"/>
      <c r="M789" s="155"/>
      <c r="N789" s="155"/>
      <c r="O789" s="158"/>
    </row>
    <row r="790">
      <c r="A790" s="153"/>
      <c r="B790" s="153"/>
      <c r="C790" s="154"/>
      <c r="D790" s="155"/>
      <c r="E790" s="153"/>
      <c r="F790" s="155"/>
      <c r="G790" s="155"/>
      <c r="H790" s="155"/>
      <c r="I790" s="153"/>
      <c r="J790" s="153"/>
      <c r="K790" s="153"/>
      <c r="L790" s="155"/>
      <c r="M790" s="155"/>
      <c r="N790" s="155"/>
      <c r="O790" s="158"/>
    </row>
    <row r="791">
      <c r="A791" s="153"/>
      <c r="B791" s="153"/>
      <c r="C791" s="154"/>
      <c r="D791" s="155"/>
      <c r="E791" s="153"/>
      <c r="F791" s="155"/>
      <c r="G791" s="155"/>
      <c r="H791" s="155"/>
      <c r="I791" s="153"/>
      <c r="J791" s="153"/>
      <c r="K791" s="153"/>
      <c r="L791" s="155"/>
      <c r="M791" s="155"/>
      <c r="N791" s="155"/>
      <c r="O791" s="158"/>
    </row>
    <row r="792">
      <c r="A792" s="153"/>
      <c r="B792" s="153"/>
      <c r="C792" s="154"/>
      <c r="D792" s="155"/>
      <c r="E792" s="153"/>
      <c r="F792" s="155"/>
      <c r="G792" s="155"/>
      <c r="H792" s="155"/>
      <c r="I792" s="153"/>
      <c r="J792" s="153"/>
      <c r="K792" s="153"/>
      <c r="L792" s="155"/>
      <c r="M792" s="155"/>
      <c r="N792" s="155"/>
      <c r="O792" s="158"/>
    </row>
    <row r="793">
      <c r="A793" s="153"/>
      <c r="B793" s="153"/>
      <c r="C793" s="154"/>
      <c r="D793" s="155"/>
      <c r="E793" s="153"/>
      <c r="F793" s="155"/>
      <c r="G793" s="155"/>
      <c r="H793" s="155"/>
      <c r="I793" s="153"/>
      <c r="J793" s="153"/>
      <c r="K793" s="153"/>
      <c r="L793" s="155"/>
      <c r="M793" s="155"/>
      <c r="N793" s="155"/>
      <c r="O793" s="158"/>
    </row>
    <row r="794">
      <c r="A794" s="153"/>
      <c r="B794" s="153"/>
      <c r="C794" s="154"/>
      <c r="D794" s="155"/>
      <c r="E794" s="153"/>
      <c r="F794" s="155"/>
      <c r="G794" s="155"/>
      <c r="H794" s="155"/>
      <c r="I794" s="153"/>
      <c r="J794" s="153"/>
      <c r="K794" s="153"/>
      <c r="L794" s="155"/>
      <c r="M794" s="155"/>
      <c r="N794" s="155"/>
      <c r="O794" s="158"/>
    </row>
    <row r="795">
      <c r="A795" s="153"/>
      <c r="B795" s="153"/>
      <c r="C795" s="154"/>
      <c r="D795" s="155"/>
      <c r="E795" s="153"/>
      <c r="F795" s="155"/>
      <c r="G795" s="155"/>
      <c r="H795" s="155"/>
      <c r="I795" s="153"/>
      <c r="J795" s="153"/>
      <c r="K795" s="153"/>
      <c r="L795" s="155"/>
      <c r="M795" s="155"/>
      <c r="N795" s="155"/>
      <c r="O795" s="158"/>
    </row>
    <row r="796">
      <c r="A796" s="153"/>
      <c r="B796" s="153"/>
      <c r="C796" s="154"/>
      <c r="D796" s="155"/>
      <c r="E796" s="153"/>
      <c r="F796" s="155"/>
      <c r="G796" s="155"/>
      <c r="H796" s="155"/>
      <c r="I796" s="153"/>
      <c r="J796" s="153"/>
      <c r="K796" s="153"/>
      <c r="L796" s="155"/>
      <c r="M796" s="155"/>
      <c r="N796" s="155"/>
      <c r="O796" s="158"/>
    </row>
    <row r="797">
      <c r="A797" s="153"/>
      <c r="B797" s="153"/>
      <c r="C797" s="154"/>
      <c r="D797" s="155"/>
      <c r="E797" s="153"/>
      <c r="F797" s="155"/>
      <c r="G797" s="155"/>
      <c r="H797" s="155"/>
      <c r="I797" s="153"/>
      <c r="J797" s="153"/>
      <c r="K797" s="153"/>
      <c r="L797" s="155"/>
      <c r="M797" s="155"/>
      <c r="N797" s="155"/>
      <c r="O797" s="158"/>
    </row>
    <row r="798">
      <c r="A798" s="153"/>
      <c r="B798" s="153"/>
      <c r="C798" s="154"/>
      <c r="D798" s="155"/>
      <c r="E798" s="153"/>
      <c r="F798" s="155"/>
      <c r="G798" s="155"/>
      <c r="H798" s="155"/>
      <c r="I798" s="153"/>
      <c r="J798" s="153"/>
      <c r="K798" s="153"/>
      <c r="L798" s="155"/>
      <c r="M798" s="155"/>
      <c r="N798" s="155"/>
      <c r="O798" s="158"/>
    </row>
    <row r="799">
      <c r="A799" s="153"/>
      <c r="B799" s="153"/>
      <c r="C799" s="154"/>
      <c r="D799" s="155"/>
      <c r="E799" s="153"/>
      <c r="F799" s="155"/>
      <c r="G799" s="155"/>
      <c r="H799" s="155"/>
      <c r="I799" s="153"/>
      <c r="J799" s="153"/>
      <c r="K799" s="153"/>
      <c r="L799" s="155"/>
      <c r="M799" s="155"/>
      <c r="N799" s="155"/>
      <c r="O799" s="158"/>
    </row>
    <row r="800">
      <c r="A800" s="153"/>
      <c r="B800" s="153"/>
      <c r="C800" s="154"/>
      <c r="D800" s="155"/>
      <c r="E800" s="153"/>
      <c r="F800" s="155"/>
      <c r="G800" s="155"/>
      <c r="H800" s="155"/>
      <c r="I800" s="153"/>
      <c r="J800" s="153"/>
      <c r="K800" s="153"/>
      <c r="L800" s="155"/>
      <c r="M800" s="155"/>
      <c r="N800" s="155"/>
      <c r="O800" s="158"/>
    </row>
    <row r="801">
      <c r="A801" s="153"/>
      <c r="B801" s="153"/>
      <c r="C801" s="154"/>
      <c r="D801" s="155"/>
      <c r="E801" s="153"/>
      <c r="F801" s="155"/>
      <c r="G801" s="155"/>
      <c r="H801" s="155"/>
      <c r="I801" s="153"/>
      <c r="J801" s="153"/>
      <c r="K801" s="153"/>
      <c r="L801" s="155"/>
      <c r="M801" s="155"/>
      <c r="N801" s="155"/>
      <c r="O801" s="158"/>
    </row>
    <row r="802">
      <c r="A802" s="153"/>
      <c r="B802" s="153"/>
      <c r="C802" s="154"/>
      <c r="D802" s="155"/>
      <c r="E802" s="153"/>
      <c r="F802" s="155"/>
      <c r="G802" s="155"/>
      <c r="H802" s="155"/>
      <c r="I802" s="153"/>
      <c r="J802" s="153"/>
      <c r="K802" s="153"/>
      <c r="L802" s="155"/>
      <c r="M802" s="155"/>
      <c r="N802" s="155"/>
      <c r="O802" s="158"/>
    </row>
    <row r="803">
      <c r="A803" s="153"/>
      <c r="B803" s="153"/>
      <c r="C803" s="154"/>
      <c r="D803" s="155"/>
      <c r="E803" s="153"/>
      <c r="F803" s="155"/>
      <c r="G803" s="155"/>
      <c r="H803" s="155"/>
      <c r="I803" s="153"/>
      <c r="J803" s="153"/>
      <c r="K803" s="153"/>
      <c r="L803" s="155"/>
      <c r="M803" s="155"/>
      <c r="N803" s="155"/>
      <c r="O803" s="158"/>
    </row>
    <row r="804">
      <c r="A804" s="153"/>
      <c r="B804" s="153"/>
      <c r="C804" s="154"/>
      <c r="D804" s="155"/>
      <c r="E804" s="153"/>
      <c r="F804" s="155"/>
      <c r="G804" s="155"/>
      <c r="H804" s="155"/>
      <c r="I804" s="153"/>
      <c r="J804" s="153"/>
      <c r="K804" s="153"/>
      <c r="L804" s="155"/>
      <c r="M804" s="155"/>
      <c r="N804" s="155"/>
      <c r="O804" s="158"/>
    </row>
    <row r="805">
      <c r="A805" s="153"/>
      <c r="B805" s="153"/>
      <c r="C805" s="154"/>
      <c r="D805" s="155"/>
      <c r="E805" s="153"/>
      <c r="F805" s="155"/>
      <c r="G805" s="155"/>
      <c r="H805" s="155"/>
      <c r="I805" s="153"/>
      <c r="J805" s="153"/>
      <c r="K805" s="153"/>
      <c r="L805" s="155"/>
      <c r="M805" s="155"/>
      <c r="N805" s="155"/>
      <c r="O805" s="158"/>
    </row>
    <row r="806">
      <c r="A806" s="153"/>
      <c r="B806" s="153"/>
      <c r="C806" s="154"/>
      <c r="D806" s="155"/>
      <c r="E806" s="153"/>
      <c r="F806" s="155"/>
      <c r="G806" s="155"/>
      <c r="H806" s="155"/>
      <c r="I806" s="153"/>
      <c r="J806" s="153"/>
      <c r="K806" s="153"/>
      <c r="L806" s="155"/>
      <c r="M806" s="155"/>
      <c r="N806" s="155"/>
      <c r="O806" s="158"/>
    </row>
    <row r="807">
      <c r="A807" s="153"/>
      <c r="B807" s="153"/>
      <c r="C807" s="154"/>
      <c r="D807" s="155"/>
      <c r="E807" s="153"/>
      <c r="F807" s="155"/>
      <c r="G807" s="155"/>
      <c r="H807" s="155"/>
      <c r="I807" s="153"/>
      <c r="J807" s="153"/>
      <c r="K807" s="153"/>
      <c r="L807" s="155"/>
      <c r="M807" s="155"/>
      <c r="N807" s="155"/>
      <c r="O807" s="158"/>
    </row>
    <row r="808">
      <c r="A808" s="153"/>
      <c r="B808" s="153"/>
      <c r="C808" s="154"/>
      <c r="D808" s="155"/>
      <c r="E808" s="153"/>
      <c r="F808" s="155"/>
      <c r="G808" s="155"/>
      <c r="H808" s="155"/>
      <c r="I808" s="153"/>
      <c r="J808" s="153"/>
      <c r="K808" s="153"/>
      <c r="L808" s="155"/>
      <c r="M808" s="155"/>
      <c r="N808" s="155"/>
      <c r="O808" s="158"/>
    </row>
    <row r="809">
      <c r="A809" s="153"/>
      <c r="B809" s="153"/>
      <c r="C809" s="154"/>
      <c r="D809" s="155"/>
      <c r="E809" s="153"/>
      <c r="F809" s="155"/>
      <c r="G809" s="155"/>
      <c r="H809" s="155"/>
      <c r="I809" s="153"/>
      <c r="J809" s="153"/>
      <c r="K809" s="153"/>
      <c r="L809" s="155"/>
      <c r="M809" s="155"/>
      <c r="N809" s="155"/>
      <c r="O809" s="158"/>
    </row>
    <row r="810">
      <c r="A810" s="153"/>
      <c r="B810" s="153"/>
      <c r="C810" s="154"/>
      <c r="D810" s="155"/>
      <c r="E810" s="153"/>
      <c r="F810" s="155"/>
      <c r="G810" s="155"/>
      <c r="H810" s="155"/>
      <c r="I810" s="153"/>
      <c r="J810" s="153"/>
      <c r="K810" s="153"/>
      <c r="L810" s="155"/>
      <c r="M810" s="155"/>
      <c r="N810" s="155"/>
      <c r="O810" s="158"/>
    </row>
    <row r="811">
      <c r="A811" s="153"/>
      <c r="B811" s="153"/>
      <c r="C811" s="154"/>
      <c r="D811" s="155"/>
      <c r="E811" s="153"/>
      <c r="F811" s="155"/>
      <c r="G811" s="155"/>
      <c r="H811" s="155"/>
      <c r="I811" s="153"/>
      <c r="J811" s="153"/>
      <c r="K811" s="153"/>
      <c r="L811" s="155"/>
      <c r="M811" s="155"/>
      <c r="N811" s="155"/>
      <c r="O811" s="158"/>
    </row>
    <row r="812">
      <c r="A812" s="153"/>
      <c r="B812" s="153"/>
      <c r="C812" s="154"/>
      <c r="D812" s="155"/>
      <c r="E812" s="153"/>
      <c r="F812" s="155"/>
      <c r="G812" s="155"/>
      <c r="H812" s="155"/>
      <c r="I812" s="153"/>
      <c r="J812" s="153"/>
      <c r="K812" s="153"/>
      <c r="L812" s="155"/>
      <c r="M812" s="155"/>
      <c r="N812" s="155"/>
      <c r="O812" s="158"/>
    </row>
    <row r="813">
      <c r="A813" s="153"/>
      <c r="B813" s="153"/>
      <c r="C813" s="154"/>
      <c r="D813" s="155"/>
      <c r="E813" s="153"/>
      <c r="F813" s="155"/>
      <c r="G813" s="155"/>
      <c r="H813" s="155"/>
      <c r="I813" s="153"/>
      <c r="J813" s="153"/>
      <c r="K813" s="153"/>
      <c r="L813" s="155"/>
      <c r="M813" s="155"/>
      <c r="N813" s="155"/>
      <c r="O813" s="158"/>
    </row>
    <row r="814">
      <c r="A814" s="153"/>
      <c r="B814" s="153"/>
      <c r="C814" s="154"/>
      <c r="D814" s="155"/>
      <c r="E814" s="153"/>
      <c r="F814" s="155"/>
      <c r="G814" s="155"/>
      <c r="H814" s="155"/>
      <c r="I814" s="153"/>
      <c r="J814" s="153"/>
      <c r="K814" s="153"/>
      <c r="L814" s="155"/>
      <c r="M814" s="155"/>
      <c r="N814" s="155"/>
      <c r="O814" s="158"/>
    </row>
    <row r="815">
      <c r="A815" s="153"/>
      <c r="B815" s="153"/>
      <c r="C815" s="154"/>
      <c r="D815" s="155"/>
      <c r="E815" s="153"/>
      <c r="F815" s="155"/>
      <c r="G815" s="155"/>
      <c r="H815" s="155"/>
      <c r="I815" s="153"/>
      <c r="J815" s="153"/>
      <c r="K815" s="153"/>
      <c r="L815" s="155"/>
      <c r="M815" s="155"/>
      <c r="N815" s="155"/>
      <c r="O815" s="158"/>
    </row>
    <row r="816">
      <c r="A816" s="153"/>
      <c r="B816" s="153"/>
      <c r="C816" s="154"/>
      <c r="D816" s="155"/>
      <c r="E816" s="153"/>
      <c r="F816" s="155"/>
      <c r="G816" s="155"/>
      <c r="H816" s="155"/>
      <c r="I816" s="153"/>
      <c r="J816" s="153"/>
      <c r="K816" s="153"/>
      <c r="L816" s="155"/>
      <c r="M816" s="155"/>
      <c r="N816" s="155"/>
      <c r="O816" s="158"/>
    </row>
    <row r="817">
      <c r="A817" s="153"/>
      <c r="B817" s="153"/>
      <c r="C817" s="154"/>
      <c r="D817" s="155"/>
      <c r="E817" s="153"/>
      <c r="F817" s="155"/>
      <c r="G817" s="155"/>
      <c r="H817" s="155"/>
      <c r="I817" s="153"/>
      <c r="J817" s="153"/>
      <c r="K817" s="153"/>
      <c r="L817" s="155"/>
      <c r="M817" s="155"/>
      <c r="N817" s="155"/>
      <c r="O817" s="158"/>
    </row>
    <row r="818">
      <c r="A818" s="153"/>
      <c r="B818" s="153"/>
      <c r="C818" s="154"/>
      <c r="D818" s="155"/>
      <c r="E818" s="153"/>
      <c r="F818" s="155"/>
      <c r="G818" s="155"/>
      <c r="H818" s="155"/>
      <c r="I818" s="153"/>
      <c r="J818" s="153"/>
      <c r="K818" s="153"/>
      <c r="L818" s="155"/>
      <c r="M818" s="155"/>
      <c r="N818" s="155"/>
      <c r="O818" s="158"/>
    </row>
    <row r="819">
      <c r="A819" s="153"/>
      <c r="B819" s="153"/>
      <c r="C819" s="154"/>
      <c r="D819" s="155"/>
      <c r="E819" s="153"/>
      <c r="F819" s="155"/>
      <c r="G819" s="155"/>
      <c r="H819" s="155"/>
      <c r="I819" s="153"/>
      <c r="J819" s="153"/>
      <c r="K819" s="153"/>
      <c r="L819" s="155"/>
      <c r="M819" s="155"/>
      <c r="N819" s="155"/>
      <c r="O819" s="158"/>
    </row>
    <row r="820">
      <c r="A820" s="153"/>
      <c r="B820" s="153"/>
      <c r="C820" s="154"/>
      <c r="D820" s="155"/>
      <c r="E820" s="153"/>
      <c r="F820" s="155"/>
      <c r="G820" s="155"/>
      <c r="H820" s="155"/>
      <c r="I820" s="153"/>
      <c r="J820" s="153"/>
      <c r="K820" s="153"/>
      <c r="L820" s="155"/>
      <c r="M820" s="155"/>
      <c r="N820" s="155"/>
      <c r="O820" s="158"/>
    </row>
    <row r="821">
      <c r="A821" s="153"/>
      <c r="B821" s="153"/>
      <c r="C821" s="154"/>
      <c r="D821" s="155"/>
      <c r="E821" s="153"/>
      <c r="F821" s="155"/>
      <c r="G821" s="155"/>
      <c r="H821" s="155"/>
      <c r="I821" s="153"/>
      <c r="J821" s="153"/>
      <c r="K821" s="153"/>
      <c r="L821" s="155"/>
      <c r="M821" s="155"/>
      <c r="N821" s="155"/>
      <c r="O821" s="158"/>
    </row>
    <row r="822">
      <c r="A822" s="153"/>
      <c r="B822" s="153"/>
      <c r="C822" s="154"/>
      <c r="D822" s="155"/>
      <c r="E822" s="153"/>
      <c r="F822" s="155"/>
      <c r="G822" s="155"/>
      <c r="H822" s="155"/>
      <c r="I822" s="153"/>
      <c r="J822" s="153"/>
      <c r="K822" s="153"/>
      <c r="L822" s="155"/>
      <c r="M822" s="155"/>
      <c r="N822" s="155"/>
      <c r="O822" s="158"/>
    </row>
    <row r="823">
      <c r="A823" s="153"/>
      <c r="B823" s="153"/>
      <c r="C823" s="154"/>
      <c r="D823" s="155"/>
      <c r="E823" s="153"/>
      <c r="F823" s="155"/>
      <c r="G823" s="155"/>
      <c r="H823" s="155"/>
      <c r="I823" s="153"/>
      <c r="J823" s="153"/>
      <c r="K823" s="153"/>
      <c r="L823" s="155"/>
      <c r="M823" s="155"/>
      <c r="N823" s="155"/>
      <c r="O823" s="158"/>
    </row>
    <row r="824">
      <c r="A824" s="153"/>
      <c r="B824" s="153"/>
      <c r="C824" s="154"/>
      <c r="D824" s="155"/>
      <c r="E824" s="153"/>
      <c r="F824" s="155"/>
      <c r="G824" s="155"/>
      <c r="H824" s="155"/>
      <c r="I824" s="153"/>
      <c r="J824" s="153"/>
      <c r="K824" s="153"/>
      <c r="L824" s="155"/>
      <c r="M824" s="155"/>
      <c r="N824" s="155"/>
      <c r="O824" s="158"/>
    </row>
    <row r="825">
      <c r="A825" s="153"/>
      <c r="B825" s="153"/>
      <c r="C825" s="154"/>
      <c r="D825" s="155"/>
      <c r="E825" s="153"/>
      <c r="F825" s="155"/>
      <c r="G825" s="155"/>
      <c r="H825" s="155"/>
      <c r="I825" s="153"/>
      <c r="J825" s="153"/>
      <c r="K825" s="153"/>
      <c r="L825" s="155"/>
      <c r="M825" s="155"/>
      <c r="N825" s="155"/>
      <c r="O825" s="158"/>
    </row>
    <row r="826">
      <c r="A826" s="153"/>
      <c r="B826" s="153"/>
      <c r="C826" s="154"/>
      <c r="D826" s="155"/>
      <c r="E826" s="153"/>
      <c r="F826" s="155"/>
      <c r="G826" s="155"/>
      <c r="H826" s="155"/>
      <c r="I826" s="153"/>
      <c r="J826" s="153"/>
      <c r="K826" s="153"/>
      <c r="L826" s="155"/>
      <c r="M826" s="155"/>
      <c r="N826" s="155"/>
      <c r="O826" s="158"/>
    </row>
    <row r="827">
      <c r="A827" s="153"/>
      <c r="B827" s="153"/>
      <c r="C827" s="154"/>
      <c r="D827" s="155"/>
      <c r="E827" s="153"/>
      <c r="F827" s="155"/>
      <c r="G827" s="155"/>
      <c r="H827" s="155"/>
      <c r="I827" s="153"/>
      <c r="J827" s="153"/>
      <c r="K827" s="153"/>
      <c r="L827" s="155"/>
      <c r="M827" s="155"/>
      <c r="N827" s="155"/>
      <c r="O827" s="158"/>
    </row>
    <row r="828">
      <c r="A828" s="153"/>
      <c r="B828" s="153"/>
      <c r="C828" s="154"/>
      <c r="D828" s="155"/>
      <c r="E828" s="153"/>
      <c r="F828" s="155"/>
      <c r="G828" s="155"/>
      <c r="H828" s="155"/>
      <c r="I828" s="153"/>
      <c r="J828" s="153"/>
      <c r="K828" s="153"/>
      <c r="L828" s="155"/>
      <c r="M828" s="155"/>
      <c r="N828" s="155"/>
      <c r="O828" s="158"/>
    </row>
    <row r="829">
      <c r="A829" s="153"/>
      <c r="B829" s="153"/>
      <c r="C829" s="154"/>
      <c r="D829" s="155"/>
      <c r="E829" s="153"/>
      <c r="F829" s="155"/>
      <c r="G829" s="155"/>
      <c r="H829" s="155"/>
      <c r="I829" s="153"/>
      <c r="J829" s="153"/>
      <c r="K829" s="153"/>
      <c r="L829" s="155"/>
      <c r="M829" s="155"/>
      <c r="N829" s="155"/>
      <c r="O829" s="158"/>
    </row>
    <row r="830">
      <c r="A830" s="153"/>
      <c r="B830" s="153"/>
      <c r="C830" s="154"/>
      <c r="D830" s="155"/>
      <c r="E830" s="153"/>
      <c r="F830" s="155"/>
      <c r="G830" s="155"/>
      <c r="H830" s="155"/>
      <c r="I830" s="153"/>
      <c r="J830" s="153"/>
      <c r="K830" s="153"/>
      <c r="L830" s="155"/>
      <c r="M830" s="155"/>
      <c r="N830" s="155"/>
      <c r="O830" s="158"/>
    </row>
    <row r="831">
      <c r="A831" s="153"/>
      <c r="B831" s="153"/>
      <c r="C831" s="154"/>
      <c r="D831" s="155"/>
      <c r="E831" s="153"/>
      <c r="F831" s="155"/>
      <c r="G831" s="155"/>
      <c r="H831" s="155"/>
      <c r="I831" s="153"/>
      <c r="J831" s="153"/>
      <c r="K831" s="153"/>
      <c r="L831" s="155"/>
      <c r="M831" s="155"/>
      <c r="N831" s="155"/>
      <c r="O831" s="158"/>
    </row>
    <row r="832">
      <c r="A832" s="153"/>
      <c r="B832" s="153"/>
      <c r="C832" s="154"/>
      <c r="D832" s="155"/>
      <c r="E832" s="153"/>
      <c r="F832" s="155"/>
      <c r="G832" s="155"/>
      <c r="H832" s="155"/>
      <c r="I832" s="153"/>
      <c r="J832" s="153"/>
      <c r="K832" s="153"/>
      <c r="L832" s="155"/>
      <c r="M832" s="155"/>
      <c r="N832" s="155"/>
      <c r="O832" s="158"/>
    </row>
    <row r="833">
      <c r="A833" s="153"/>
      <c r="B833" s="153"/>
      <c r="C833" s="154"/>
      <c r="D833" s="155"/>
      <c r="E833" s="153"/>
      <c r="F833" s="155"/>
      <c r="G833" s="155"/>
      <c r="H833" s="155"/>
      <c r="I833" s="153"/>
      <c r="J833" s="153"/>
      <c r="K833" s="153"/>
      <c r="L833" s="155"/>
      <c r="M833" s="155"/>
      <c r="N833" s="155"/>
      <c r="O833" s="158"/>
    </row>
    <row r="834">
      <c r="A834" s="153"/>
      <c r="B834" s="153"/>
      <c r="C834" s="154"/>
      <c r="D834" s="155"/>
      <c r="E834" s="153"/>
      <c r="F834" s="155"/>
      <c r="G834" s="155"/>
      <c r="H834" s="155"/>
      <c r="I834" s="153"/>
      <c r="J834" s="153"/>
      <c r="K834" s="153"/>
      <c r="L834" s="155"/>
      <c r="M834" s="155"/>
      <c r="N834" s="155"/>
      <c r="O834" s="158"/>
    </row>
    <row r="835">
      <c r="A835" s="153"/>
      <c r="B835" s="153"/>
      <c r="C835" s="154"/>
      <c r="D835" s="155"/>
      <c r="E835" s="153"/>
      <c r="F835" s="155"/>
      <c r="G835" s="155"/>
      <c r="H835" s="155"/>
      <c r="I835" s="153"/>
      <c r="J835" s="153"/>
      <c r="K835" s="153"/>
      <c r="L835" s="155"/>
      <c r="M835" s="155"/>
      <c r="N835" s="155"/>
      <c r="O835" s="158"/>
    </row>
    <row r="836">
      <c r="A836" s="153"/>
      <c r="B836" s="153"/>
      <c r="C836" s="154"/>
      <c r="D836" s="155"/>
      <c r="E836" s="153"/>
      <c r="F836" s="155"/>
      <c r="G836" s="155"/>
      <c r="H836" s="155"/>
      <c r="I836" s="153"/>
      <c r="J836" s="153"/>
      <c r="K836" s="153"/>
      <c r="L836" s="155"/>
      <c r="M836" s="155"/>
      <c r="N836" s="155"/>
      <c r="O836" s="158"/>
    </row>
    <row r="837">
      <c r="A837" s="153"/>
      <c r="B837" s="153"/>
      <c r="C837" s="154"/>
      <c r="D837" s="155"/>
      <c r="E837" s="153"/>
      <c r="F837" s="155"/>
      <c r="G837" s="155"/>
      <c r="H837" s="155"/>
      <c r="I837" s="153"/>
      <c r="J837" s="153"/>
      <c r="K837" s="153"/>
      <c r="L837" s="155"/>
      <c r="M837" s="155"/>
      <c r="N837" s="155"/>
      <c r="O837" s="158"/>
    </row>
    <row r="838">
      <c r="A838" s="153"/>
      <c r="B838" s="153"/>
      <c r="C838" s="154"/>
      <c r="D838" s="155"/>
      <c r="E838" s="153"/>
      <c r="F838" s="155"/>
      <c r="G838" s="155"/>
      <c r="H838" s="155"/>
      <c r="I838" s="153"/>
      <c r="J838" s="153"/>
      <c r="K838" s="153"/>
      <c r="L838" s="155"/>
      <c r="M838" s="155"/>
      <c r="N838" s="155"/>
      <c r="O838" s="158"/>
    </row>
    <row r="839">
      <c r="A839" s="153"/>
      <c r="B839" s="153"/>
      <c r="C839" s="154"/>
      <c r="D839" s="155"/>
      <c r="E839" s="153"/>
      <c r="F839" s="155"/>
      <c r="G839" s="155"/>
      <c r="H839" s="155"/>
      <c r="I839" s="153"/>
      <c r="J839" s="153"/>
      <c r="K839" s="153"/>
      <c r="L839" s="155"/>
      <c r="M839" s="155"/>
      <c r="N839" s="155"/>
      <c r="O839" s="158"/>
    </row>
    <row r="840">
      <c r="A840" s="153"/>
      <c r="B840" s="153"/>
      <c r="C840" s="154"/>
      <c r="D840" s="155"/>
      <c r="E840" s="153"/>
      <c r="F840" s="155"/>
      <c r="G840" s="155"/>
      <c r="H840" s="155"/>
      <c r="I840" s="153"/>
      <c r="J840" s="153"/>
      <c r="K840" s="153"/>
      <c r="L840" s="155"/>
      <c r="M840" s="155"/>
      <c r="N840" s="155"/>
      <c r="O840" s="158"/>
    </row>
    <row r="841">
      <c r="A841" s="153"/>
      <c r="B841" s="153"/>
      <c r="C841" s="154"/>
      <c r="D841" s="155"/>
      <c r="E841" s="153"/>
      <c r="F841" s="155"/>
      <c r="G841" s="155"/>
      <c r="H841" s="155"/>
      <c r="I841" s="153"/>
      <c r="J841" s="153"/>
      <c r="K841" s="153"/>
      <c r="L841" s="155"/>
      <c r="M841" s="155"/>
      <c r="N841" s="155"/>
      <c r="O841" s="158"/>
    </row>
    <row r="842">
      <c r="A842" s="153"/>
      <c r="B842" s="153"/>
      <c r="C842" s="154"/>
      <c r="D842" s="155"/>
      <c r="E842" s="153"/>
      <c r="F842" s="155"/>
      <c r="G842" s="155"/>
      <c r="H842" s="155"/>
      <c r="I842" s="153"/>
      <c r="J842" s="153"/>
      <c r="K842" s="153"/>
      <c r="L842" s="155"/>
      <c r="M842" s="155"/>
      <c r="N842" s="155"/>
      <c r="O842" s="158"/>
    </row>
    <row r="843">
      <c r="A843" s="153"/>
      <c r="B843" s="153"/>
      <c r="C843" s="154"/>
      <c r="D843" s="155"/>
      <c r="E843" s="153"/>
      <c r="F843" s="155"/>
      <c r="G843" s="155"/>
      <c r="H843" s="155"/>
      <c r="I843" s="153"/>
      <c r="J843" s="153"/>
      <c r="K843" s="153"/>
      <c r="L843" s="155"/>
      <c r="M843" s="155"/>
      <c r="N843" s="155"/>
      <c r="O843" s="158"/>
    </row>
    <row r="844">
      <c r="A844" s="153"/>
      <c r="B844" s="153"/>
      <c r="C844" s="154"/>
      <c r="D844" s="155"/>
      <c r="E844" s="153"/>
      <c r="F844" s="155"/>
      <c r="G844" s="155"/>
      <c r="H844" s="155"/>
      <c r="I844" s="153"/>
      <c r="J844" s="153"/>
      <c r="K844" s="153"/>
      <c r="L844" s="155"/>
      <c r="M844" s="155"/>
      <c r="N844" s="155"/>
      <c r="O844" s="158"/>
    </row>
    <row r="845">
      <c r="A845" s="153"/>
      <c r="B845" s="153"/>
      <c r="C845" s="154"/>
      <c r="D845" s="155"/>
      <c r="E845" s="153"/>
      <c r="F845" s="155"/>
      <c r="G845" s="155"/>
      <c r="H845" s="155"/>
      <c r="I845" s="153"/>
      <c r="J845" s="153"/>
      <c r="K845" s="153"/>
      <c r="L845" s="155"/>
      <c r="M845" s="155"/>
      <c r="N845" s="155"/>
      <c r="O845" s="158"/>
    </row>
    <row r="846">
      <c r="A846" s="153"/>
      <c r="B846" s="153"/>
      <c r="C846" s="154"/>
      <c r="D846" s="155"/>
      <c r="E846" s="153"/>
      <c r="F846" s="155"/>
      <c r="G846" s="155"/>
      <c r="H846" s="155"/>
      <c r="I846" s="153"/>
      <c r="J846" s="153"/>
      <c r="K846" s="153"/>
      <c r="L846" s="155"/>
      <c r="M846" s="155"/>
      <c r="N846" s="155"/>
      <c r="O846" s="158"/>
    </row>
    <row r="847">
      <c r="A847" s="153"/>
      <c r="B847" s="153"/>
      <c r="C847" s="154"/>
      <c r="D847" s="155"/>
      <c r="E847" s="153"/>
      <c r="F847" s="155"/>
      <c r="G847" s="155"/>
      <c r="H847" s="155"/>
      <c r="I847" s="153"/>
      <c r="J847" s="153"/>
      <c r="K847" s="153"/>
      <c r="L847" s="155"/>
      <c r="M847" s="155"/>
      <c r="N847" s="155"/>
      <c r="O847" s="158"/>
    </row>
    <row r="848">
      <c r="A848" s="153"/>
      <c r="B848" s="153"/>
      <c r="C848" s="154"/>
      <c r="D848" s="155"/>
      <c r="E848" s="153"/>
      <c r="F848" s="155"/>
      <c r="G848" s="155"/>
      <c r="H848" s="155"/>
      <c r="I848" s="153"/>
      <c r="J848" s="153"/>
      <c r="K848" s="153"/>
      <c r="L848" s="155"/>
      <c r="M848" s="155"/>
      <c r="N848" s="155"/>
      <c r="O848" s="158"/>
    </row>
    <row r="849">
      <c r="A849" s="153"/>
      <c r="B849" s="153"/>
      <c r="C849" s="154"/>
      <c r="D849" s="155"/>
      <c r="E849" s="153"/>
      <c r="F849" s="155"/>
      <c r="G849" s="155"/>
      <c r="H849" s="155"/>
      <c r="I849" s="153"/>
      <c r="J849" s="153"/>
      <c r="K849" s="153"/>
      <c r="L849" s="155"/>
      <c r="M849" s="155"/>
      <c r="N849" s="155"/>
      <c r="O849" s="158"/>
    </row>
    <row r="850">
      <c r="A850" s="153"/>
      <c r="B850" s="153"/>
      <c r="C850" s="154"/>
      <c r="D850" s="155"/>
      <c r="E850" s="153"/>
      <c r="F850" s="155"/>
      <c r="G850" s="155"/>
      <c r="H850" s="155"/>
      <c r="I850" s="153"/>
      <c r="J850" s="153"/>
      <c r="K850" s="153"/>
      <c r="L850" s="155"/>
      <c r="M850" s="155"/>
      <c r="N850" s="155"/>
      <c r="O850" s="158"/>
    </row>
    <row r="851">
      <c r="A851" s="153"/>
      <c r="B851" s="153"/>
      <c r="C851" s="154"/>
      <c r="D851" s="155"/>
      <c r="E851" s="153"/>
      <c r="F851" s="155"/>
      <c r="G851" s="155"/>
      <c r="H851" s="155"/>
      <c r="I851" s="153"/>
      <c r="J851" s="153"/>
      <c r="K851" s="153"/>
      <c r="L851" s="155"/>
      <c r="M851" s="155"/>
      <c r="N851" s="155"/>
      <c r="O851" s="158"/>
    </row>
    <row r="852">
      <c r="A852" s="153"/>
      <c r="B852" s="153"/>
      <c r="C852" s="154"/>
      <c r="D852" s="155"/>
      <c r="E852" s="153"/>
      <c r="F852" s="155"/>
      <c r="G852" s="155"/>
      <c r="H852" s="155"/>
      <c r="I852" s="153"/>
      <c r="J852" s="153"/>
      <c r="K852" s="153"/>
      <c r="L852" s="155"/>
      <c r="M852" s="155"/>
      <c r="N852" s="155"/>
      <c r="O852" s="158"/>
    </row>
    <row r="853">
      <c r="A853" s="153"/>
      <c r="B853" s="153"/>
      <c r="C853" s="154"/>
      <c r="D853" s="155"/>
      <c r="E853" s="153"/>
      <c r="F853" s="155"/>
      <c r="G853" s="155"/>
      <c r="H853" s="155"/>
      <c r="I853" s="153"/>
      <c r="J853" s="153"/>
      <c r="K853" s="153"/>
      <c r="L853" s="155"/>
      <c r="M853" s="155"/>
      <c r="N853" s="155"/>
      <c r="O853" s="158"/>
    </row>
    <row r="854">
      <c r="A854" s="153"/>
      <c r="B854" s="153"/>
      <c r="C854" s="154"/>
      <c r="D854" s="155"/>
      <c r="E854" s="153"/>
      <c r="F854" s="155"/>
      <c r="G854" s="155"/>
      <c r="H854" s="155"/>
      <c r="I854" s="153"/>
      <c r="J854" s="153"/>
      <c r="K854" s="153"/>
      <c r="L854" s="155"/>
      <c r="M854" s="155"/>
      <c r="N854" s="155"/>
      <c r="O854" s="158"/>
    </row>
    <row r="855">
      <c r="A855" s="153"/>
      <c r="B855" s="153"/>
      <c r="C855" s="154"/>
      <c r="D855" s="155"/>
      <c r="E855" s="153"/>
      <c r="F855" s="155"/>
      <c r="G855" s="155"/>
      <c r="H855" s="155"/>
      <c r="I855" s="153"/>
      <c r="J855" s="153"/>
      <c r="K855" s="153"/>
      <c r="L855" s="155"/>
      <c r="M855" s="155"/>
      <c r="N855" s="155"/>
      <c r="O855" s="158"/>
    </row>
    <row r="856">
      <c r="A856" s="153"/>
      <c r="B856" s="153"/>
      <c r="C856" s="154"/>
      <c r="D856" s="155"/>
      <c r="E856" s="153"/>
      <c r="F856" s="155"/>
      <c r="G856" s="155"/>
      <c r="H856" s="155"/>
      <c r="I856" s="153"/>
      <c r="J856" s="153"/>
      <c r="K856" s="153"/>
      <c r="L856" s="155"/>
      <c r="M856" s="155"/>
      <c r="N856" s="155"/>
      <c r="O856" s="158"/>
    </row>
    <row r="857">
      <c r="A857" s="153"/>
      <c r="B857" s="153"/>
      <c r="C857" s="154"/>
      <c r="D857" s="155"/>
      <c r="E857" s="153"/>
      <c r="F857" s="155"/>
      <c r="G857" s="155"/>
      <c r="H857" s="155"/>
      <c r="I857" s="153"/>
      <c r="J857" s="153"/>
      <c r="K857" s="153"/>
      <c r="L857" s="155"/>
      <c r="M857" s="155"/>
      <c r="N857" s="155"/>
      <c r="O857" s="158"/>
    </row>
    <row r="858">
      <c r="A858" s="153"/>
      <c r="B858" s="153"/>
      <c r="C858" s="154"/>
      <c r="D858" s="155"/>
      <c r="E858" s="153"/>
      <c r="F858" s="155"/>
      <c r="G858" s="155"/>
      <c r="H858" s="155"/>
      <c r="I858" s="153"/>
      <c r="J858" s="153"/>
      <c r="K858" s="153"/>
      <c r="L858" s="155"/>
      <c r="M858" s="155"/>
      <c r="N858" s="155"/>
      <c r="O858" s="158"/>
    </row>
    <row r="859">
      <c r="A859" s="153"/>
      <c r="B859" s="153"/>
      <c r="C859" s="154"/>
      <c r="D859" s="155"/>
      <c r="E859" s="153"/>
      <c r="F859" s="155"/>
      <c r="G859" s="155"/>
      <c r="H859" s="155"/>
      <c r="I859" s="153"/>
      <c r="J859" s="153"/>
      <c r="K859" s="153"/>
      <c r="L859" s="155"/>
      <c r="M859" s="155"/>
      <c r="N859" s="155"/>
      <c r="O859" s="158"/>
    </row>
    <row r="860">
      <c r="A860" s="153"/>
      <c r="B860" s="153"/>
      <c r="C860" s="154"/>
      <c r="D860" s="155"/>
      <c r="E860" s="153"/>
      <c r="F860" s="155"/>
      <c r="G860" s="155"/>
      <c r="H860" s="155"/>
      <c r="I860" s="153"/>
      <c r="J860" s="153"/>
      <c r="K860" s="153"/>
      <c r="L860" s="155"/>
      <c r="M860" s="155"/>
      <c r="N860" s="155"/>
      <c r="O860" s="158"/>
    </row>
    <row r="861">
      <c r="A861" s="153"/>
      <c r="B861" s="153"/>
      <c r="C861" s="154"/>
      <c r="D861" s="155"/>
      <c r="E861" s="153"/>
      <c r="F861" s="155"/>
      <c r="G861" s="155"/>
      <c r="H861" s="155"/>
      <c r="I861" s="153"/>
      <c r="J861" s="153"/>
      <c r="K861" s="153"/>
      <c r="L861" s="155"/>
      <c r="M861" s="155"/>
      <c r="N861" s="155"/>
      <c r="O861" s="158"/>
    </row>
    <row r="862">
      <c r="A862" s="153"/>
      <c r="B862" s="153"/>
      <c r="C862" s="154"/>
      <c r="D862" s="155"/>
      <c r="E862" s="153"/>
      <c r="F862" s="155"/>
      <c r="G862" s="155"/>
      <c r="H862" s="155"/>
      <c r="I862" s="153"/>
      <c r="J862" s="153"/>
      <c r="K862" s="153"/>
      <c r="L862" s="155"/>
      <c r="M862" s="155"/>
      <c r="N862" s="155"/>
      <c r="O862" s="158"/>
    </row>
    <row r="863">
      <c r="A863" s="153"/>
      <c r="B863" s="153"/>
      <c r="C863" s="154"/>
      <c r="D863" s="155"/>
      <c r="E863" s="153"/>
      <c r="F863" s="155"/>
      <c r="G863" s="155"/>
      <c r="H863" s="155"/>
      <c r="I863" s="153"/>
      <c r="J863" s="153"/>
      <c r="K863" s="153"/>
      <c r="L863" s="155"/>
      <c r="M863" s="155"/>
      <c r="N863" s="155"/>
      <c r="O863" s="158"/>
    </row>
    <row r="864">
      <c r="A864" s="153"/>
      <c r="B864" s="153"/>
      <c r="C864" s="154"/>
      <c r="D864" s="155"/>
      <c r="E864" s="153"/>
      <c r="F864" s="155"/>
      <c r="G864" s="155"/>
      <c r="H864" s="155"/>
      <c r="I864" s="153"/>
      <c r="J864" s="153"/>
      <c r="K864" s="153"/>
      <c r="L864" s="155"/>
      <c r="M864" s="155"/>
      <c r="N864" s="155"/>
      <c r="O864" s="158"/>
    </row>
    <row r="865">
      <c r="A865" s="153"/>
      <c r="B865" s="153"/>
      <c r="C865" s="154"/>
      <c r="D865" s="155"/>
      <c r="E865" s="153"/>
      <c r="F865" s="155"/>
      <c r="G865" s="155"/>
      <c r="H865" s="155"/>
      <c r="I865" s="153"/>
      <c r="J865" s="153"/>
      <c r="K865" s="153"/>
      <c r="L865" s="155"/>
      <c r="M865" s="155"/>
      <c r="N865" s="155"/>
      <c r="O865" s="158"/>
    </row>
    <row r="866">
      <c r="A866" s="153"/>
      <c r="B866" s="153"/>
      <c r="C866" s="154"/>
      <c r="D866" s="155"/>
      <c r="E866" s="153"/>
      <c r="F866" s="155"/>
      <c r="G866" s="155"/>
      <c r="H866" s="155"/>
      <c r="I866" s="153"/>
      <c r="J866" s="153"/>
      <c r="K866" s="153"/>
      <c r="L866" s="155"/>
      <c r="M866" s="155"/>
      <c r="N866" s="155"/>
      <c r="O866" s="158"/>
    </row>
    <row r="867">
      <c r="A867" s="153"/>
      <c r="B867" s="153"/>
      <c r="C867" s="154"/>
      <c r="D867" s="155"/>
      <c r="E867" s="153"/>
      <c r="F867" s="155"/>
      <c r="G867" s="155"/>
      <c r="H867" s="155"/>
      <c r="I867" s="153"/>
      <c r="J867" s="153"/>
      <c r="K867" s="153"/>
      <c r="L867" s="155"/>
      <c r="M867" s="155"/>
      <c r="N867" s="155"/>
      <c r="O867" s="158"/>
    </row>
    <row r="868">
      <c r="A868" s="153"/>
      <c r="B868" s="153"/>
      <c r="C868" s="154"/>
      <c r="D868" s="155"/>
      <c r="E868" s="153"/>
      <c r="F868" s="155"/>
      <c r="G868" s="155"/>
      <c r="H868" s="155"/>
      <c r="I868" s="153"/>
      <c r="J868" s="153"/>
      <c r="K868" s="153"/>
      <c r="L868" s="155"/>
      <c r="M868" s="155"/>
      <c r="N868" s="155"/>
      <c r="O868" s="158"/>
    </row>
    <row r="869">
      <c r="A869" s="153"/>
      <c r="B869" s="153"/>
      <c r="C869" s="154"/>
      <c r="D869" s="155"/>
      <c r="E869" s="153"/>
      <c r="F869" s="155"/>
      <c r="G869" s="155"/>
      <c r="H869" s="155"/>
      <c r="I869" s="153"/>
      <c r="J869" s="153"/>
      <c r="K869" s="153"/>
      <c r="L869" s="155"/>
      <c r="M869" s="155"/>
      <c r="N869" s="155"/>
      <c r="O869" s="158"/>
    </row>
    <row r="870">
      <c r="A870" s="153"/>
      <c r="B870" s="153"/>
      <c r="C870" s="154"/>
      <c r="D870" s="155"/>
      <c r="E870" s="153"/>
      <c r="F870" s="155"/>
      <c r="G870" s="155"/>
      <c r="H870" s="155"/>
      <c r="I870" s="153"/>
      <c r="J870" s="153"/>
      <c r="K870" s="153"/>
      <c r="L870" s="155"/>
      <c r="M870" s="155"/>
      <c r="N870" s="155"/>
      <c r="O870" s="158"/>
    </row>
    <row r="871">
      <c r="A871" s="153"/>
      <c r="B871" s="153"/>
      <c r="C871" s="154"/>
      <c r="D871" s="155"/>
      <c r="E871" s="153"/>
      <c r="F871" s="155"/>
      <c r="G871" s="155"/>
      <c r="H871" s="155"/>
      <c r="I871" s="153"/>
      <c r="J871" s="153"/>
      <c r="K871" s="153"/>
      <c r="L871" s="155"/>
      <c r="M871" s="155"/>
      <c r="N871" s="155"/>
      <c r="O871" s="158"/>
    </row>
    <row r="872">
      <c r="A872" s="153"/>
      <c r="B872" s="153"/>
      <c r="C872" s="154"/>
      <c r="D872" s="155"/>
      <c r="E872" s="153"/>
      <c r="F872" s="155"/>
      <c r="G872" s="155"/>
      <c r="H872" s="155"/>
      <c r="I872" s="153"/>
      <c r="J872" s="153"/>
      <c r="K872" s="153"/>
      <c r="L872" s="155"/>
      <c r="M872" s="155"/>
      <c r="N872" s="155"/>
      <c r="O872" s="158"/>
    </row>
    <row r="873">
      <c r="A873" s="153"/>
      <c r="B873" s="153"/>
      <c r="C873" s="154"/>
      <c r="D873" s="155"/>
      <c r="E873" s="153"/>
      <c r="F873" s="155"/>
      <c r="G873" s="155"/>
      <c r="H873" s="155"/>
      <c r="I873" s="153"/>
      <c r="J873" s="153"/>
      <c r="K873" s="153"/>
      <c r="L873" s="155"/>
      <c r="M873" s="155"/>
      <c r="N873" s="155"/>
      <c r="O873" s="158"/>
    </row>
    <row r="874">
      <c r="A874" s="153"/>
      <c r="B874" s="153"/>
      <c r="C874" s="154"/>
      <c r="D874" s="155"/>
      <c r="E874" s="153"/>
      <c r="F874" s="155"/>
      <c r="G874" s="155"/>
      <c r="H874" s="155"/>
      <c r="I874" s="153"/>
      <c r="J874" s="153"/>
      <c r="K874" s="153"/>
      <c r="L874" s="155"/>
      <c r="M874" s="155"/>
      <c r="N874" s="155"/>
      <c r="O874" s="158"/>
    </row>
    <row r="875">
      <c r="A875" s="153"/>
      <c r="B875" s="153"/>
      <c r="C875" s="154"/>
      <c r="D875" s="155"/>
      <c r="E875" s="153"/>
      <c r="F875" s="155"/>
      <c r="G875" s="155"/>
      <c r="H875" s="155"/>
      <c r="I875" s="153"/>
      <c r="J875" s="153"/>
      <c r="K875" s="153"/>
      <c r="L875" s="155"/>
      <c r="M875" s="155"/>
      <c r="N875" s="155"/>
      <c r="O875" s="158"/>
    </row>
    <row r="876">
      <c r="A876" s="153"/>
      <c r="B876" s="153"/>
      <c r="C876" s="154"/>
      <c r="D876" s="155"/>
      <c r="E876" s="153"/>
      <c r="F876" s="155"/>
      <c r="G876" s="155"/>
      <c r="H876" s="155"/>
      <c r="I876" s="153"/>
      <c r="J876" s="153"/>
      <c r="K876" s="153"/>
      <c r="L876" s="155"/>
      <c r="M876" s="155"/>
      <c r="N876" s="155"/>
      <c r="O876" s="158"/>
    </row>
    <row r="877">
      <c r="A877" s="153"/>
      <c r="B877" s="153"/>
      <c r="C877" s="154"/>
      <c r="D877" s="155"/>
      <c r="E877" s="153"/>
      <c r="F877" s="155"/>
      <c r="G877" s="155"/>
      <c r="H877" s="155"/>
      <c r="I877" s="153"/>
      <c r="J877" s="153"/>
      <c r="K877" s="153"/>
      <c r="L877" s="155"/>
      <c r="M877" s="155"/>
      <c r="N877" s="155"/>
      <c r="O877" s="158"/>
    </row>
    <row r="878">
      <c r="A878" s="153"/>
      <c r="B878" s="153"/>
      <c r="C878" s="154"/>
      <c r="D878" s="155"/>
      <c r="E878" s="153"/>
      <c r="F878" s="155"/>
      <c r="G878" s="155"/>
      <c r="H878" s="155"/>
      <c r="I878" s="153"/>
      <c r="J878" s="153"/>
      <c r="K878" s="153"/>
      <c r="L878" s="155"/>
      <c r="M878" s="155"/>
      <c r="N878" s="155"/>
      <c r="O878" s="158"/>
    </row>
    <row r="879">
      <c r="A879" s="153"/>
      <c r="B879" s="153"/>
      <c r="C879" s="154"/>
      <c r="D879" s="155"/>
      <c r="E879" s="153"/>
      <c r="F879" s="155"/>
      <c r="G879" s="155"/>
      <c r="H879" s="155"/>
      <c r="I879" s="153"/>
      <c r="J879" s="153"/>
      <c r="K879" s="153"/>
      <c r="L879" s="155"/>
      <c r="M879" s="155"/>
      <c r="N879" s="155"/>
      <c r="O879" s="158"/>
    </row>
    <row r="880">
      <c r="A880" s="153"/>
      <c r="B880" s="153"/>
      <c r="C880" s="154"/>
      <c r="D880" s="155"/>
      <c r="E880" s="153"/>
      <c r="F880" s="155"/>
      <c r="G880" s="155"/>
      <c r="H880" s="155"/>
      <c r="I880" s="153"/>
      <c r="J880" s="153"/>
      <c r="K880" s="153"/>
      <c r="L880" s="155"/>
      <c r="M880" s="155"/>
      <c r="N880" s="155"/>
      <c r="O880" s="158"/>
    </row>
    <row r="881">
      <c r="A881" s="153"/>
      <c r="B881" s="153"/>
      <c r="C881" s="154"/>
      <c r="D881" s="155"/>
      <c r="E881" s="153"/>
      <c r="F881" s="155"/>
      <c r="G881" s="155"/>
      <c r="H881" s="155"/>
      <c r="I881" s="153"/>
      <c r="J881" s="153"/>
      <c r="K881" s="153"/>
      <c r="L881" s="155"/>
      <c r="M881" s="155"/>
      <c r="N881" s="155"/>
      <c r="O881" s="158"/>
    </row>
    <row r="882">
      <c r="A882" s="153"/>
      <c r="B882" s="153"/>
      <c r="C882" s="154"/>
      <c r="D882" s="155"/>
      <c r="E882" s="153"/>
      <c r="F882" s="155"/>
      <c r="G882" s="155"/>
      <c r="H882" s="155"/>
      <c r="I882" s="153"/>
      <c r="J882" s="153"/>
      <c r="K882" s="153"/>
      <c r="L882" s="155"/>
      <c r="M882" s="155"/>
      <c r="N882" s="155"/>
      <c r="O882" s="158"/>
    </row>
    <row r="883">
      <c r="A883" s="153"/>
      <c r="B883" s="153"/>
      <c r="C883" s="154"/>
      <c r="D883" s="155"/>
      <c r="E883" s="153"/>
      <c r="F883" s="155"/>
      <c r="G883" s="155"/>
      <c r="H883" s="155"/>
      <c r="I883" s="153"/>
      <c r="J883" s="153"/>
      <c r="K883" s="153"/>
      <c r="L883" s="155"/>
      <c r="M883" s="155"/>
      <c r="N883" s="155"/>
      <c r="O883" s="158"/>
    </row>
    <row r="884">
      <c r="A884" s="153"/>
      <c r="B884" s="153"/>
      <c r="C884" s="154"/>
      <c r="D884" s="155"/>
      <c r="E884" s="153"/>
      <c r="F884" s="155"/>
      <c r="G884" s="155"/>
      <c r="H884" s="155"/>
      <c r="I884" s="153"/>
      <c r="J884" s="153"/>
      <c r="K884" s="153"/>
      <c r="L884" s="155"/>
      <c r="M884" s="155"/>
      <c r="N884" s="155"/>
      <c r="O884" s="158"/>
    </row>
    <row r="885">
      <c r="A885" s="153"/>
      <c r="B885" s="153"/>
      <c r="C885" s="154"/>
      <c r="D885" s="155"/>
      <c r="E885" s="153"/>
      <c r="F885" s="155"/>
      <c r="G885" s="155"/>
      <c r="H885" s="155"/>
      <c r="I885" s="153"/>
      <c r="J885" s="153"/>
      <c r="K885" s="153"/>
      <c r="L885" s="155"/>
      <c r="M885" s="155"/>
      <c r="N885" s="155"/>
      <c r="O885" s="158"/>
    </row>
    <row r="886">
      <c r="A886" s="153"/>
      <c r="B886" s="153"/>
      <c r="C886" s="154"/>
      <c r="D886" s="155"/>
      <c r="E886" s="153"/>
      <c r="F886" s="155"/>
      <c r="G886" s="155"/>
      <c r="H886" s="155"/>
      <c r="I886" s="153"/>
      <c r="J886" s="153"/>
      <c r="K886" s="153"/>
      <c r="L886" s="155"/>
      <c r="M886" s="155"/>
      <c r="N886" s="155"/>
      <c r="O886" s="158"/>
    </row>
    <row r="887">
      <c r="A887" s="153"/>
      <c r="B887" s="153"/>
      <c r="C887" s="154"/>
      <c r="D887" s="155"/>
      <c r="E887" s="153"/>
      <c r="F887" s="155"/>
      <c r="G887" s="155"/>
      <c r="H887" s="155"/>
      <c r="I887" s="153"/>
      <c r="J887" s="153"/>
      <c r="K887" s="153"/>
      <c r="L887" s="155"/>
      <c r="M887" s="155"/>
      <c r="N887" s="155"/>
      <c r="O887" s="158"/>
    </row>
    <row r="888">
      <c r="A888" s="153"/>
      <c r="B888" s="153"/>
      <c r="C888" s="154"/>
      <c r="D888" s="155"/>
      <c r="E888" s="153"/>
      <c r="F888" s="155"/>
      <c r="G888" s="155"/>
      <c r="H888" s="155"/>
      <c r="I888" s="153"/>
      <c r="J888" s="153"/>
      <c r="K888" s="153"/>
      <c r="L888" s="155"/>
      <c r="M888" s="155"/>
      <c r="N888" s="155"/>
      <c r="O888" s="158"/>
    </row>
    <row r="889">
      <c r="A889" s="153"/>
      <c r="B889" s="153"/>
      <c r="C889" s="154"/>
      <c r="D889" s="155"/>
      <c r="E889" s="153"/>
      <c r="F889" s="155"/>
      <c r="G889" s="155"/>
      <c r="H889" s="155"/>
      <c r="I889" s="153"/>
      <c r="J889" s="153"/>
      <c r="K889" s="153"/>
      <c r="L889" s="155"/>
      <c r="M889" s="155"/>
      <c r="N889" s="155"/>
      <c r="O889" s="158"/>
    </row>
    <row r="890">
      <c r="A890" s="153"/>
      <c r="B890" s="153"/>
      <c r="C890" s="154"/>
      <c r="D890" s="155"/>
      <c r="E890" s="153"/>
      <c r="F890" s="155"/>
      <c r="G890" s="155"/>
      <c r="H890" s="155"/>
      <c r="I890" s="153"/>
      <c r="J890" s="153"/>
      <c r="K890" s="153"/>
      <c r="L890" s="155"/>
      <c r="M890" s="155"/>
      <c r="N890" s="155"/>
      <c r="O890" s="158"/>
    </row>
    <row r="891">
      <c r="A891" s="153"/>
      <c r="B891" s="153"/>
      <c r="C891" s="154"/>
      <c r="D891" s="155"/>
      <c r="E891" s="153"/>
      <c r="F891" s="155"/>
      <c r="G891" s="155"/>
      <c r="H891" s="155"/>
      <c r="I891" s="153"/>
      <c r="J891" s="153"/>
      <c r="K891" s="153"/>
      <c r="L891" s="155"/>
      <c r="M891" s="155"/>
      <c r="N891" s="155"/>
      <c r="O891" s="158"/>
    </row>
    <row r="892">
      <c r="A892" s="153"/>
      <c r="B892" s="153"/>
      <c r="C892" s="154"/>
      <c r="D892" s="155"/>
      <c r="E892" s="153"/>
      <c r="F892" s="155"/>
      <c r="G892" s="155"/>
      <c r="H892" s="155"/>
      <c r="I892" s="153"/>
      <c r="J892" s="153"/>
      <c r="K892" s="153"/>
      <c r="L892" s="155"/>
      <c r="M892" s="155"/>
      <c r="N892" s="155"/>
      <c r="O892" s="158"/>
    </row>
    <row r="893">
      <c r="A893" s="153"/>
      <c r="B893" s="153"/>
      <c r="C893" s="154"/>
      <c r="D893" s="155"/>
      <c r="E893" s="153"/>
      <c r="F893" s="155"/>
      <c r="G893" s="155"/>
      <c r="H893" s="155"/>
      <c r="I893" s="153"/>
      <c r="J893" s="153"/>
      <c r="K893" s="153"/>
      <c r="L893" s="155"/>
      <c r="M893" s="155"/>
      <c r="N893" s="155"/>
      <c r="O893" s="158"/>
    </row>
    <row r="894">
      <c r="A894" s="153"/>
      <c r="B894" s="153"/>
      <c r="C894" s="154"/>
      <c r="D894" s="155"/>
      <c r="E894" s="153"/>
      <c r="F894" s="155"/>
      <c r="G894" s="155"/>
      <c r="H894" s="155"/>
      <c r="I894" s="153"/>
      <c r="J894" s="153"/>
      <c r="K894" s="153"/>
      <c r="L894" s="155"/>
      <c r="M894" s="155"/>
      <c r="N894" s="155"/>
      <c r="O894" s="158"/>
    </row>
    <row r="895">
      <c r="A895" s="153"/>
      <c r="B895" s="153"/>
      <c r="C895" s="154"/>
      <c r="D895" s="155"/>
      <c r="E895" s="153"/>
      <c r="F895" s="155"/>
      <c r="G895" s="155"/>
      <c r="H895" s="155"/>
      <c r="I895" s="153"/>
      <c r="J895" s="153"/>
      <c r="K895" s="153"/>
      <c r="L895" s="155"/>
      <c r="M895" s="155"/>
      <c r="N895" s="155"/>
      <c r="O895" s="158"/>
    </row>
    <row r="896">
      <c r="A896" s="153"/>
      <c r="B896" s="153"/>
      <c r="C896" s="154"/>
      <c r="D896" s="155"/>
      <c r="E896" s="153"/>
      <c r="F896" s="155"/>
      <c r="G896" s="155"/>
      <c r="H896" s="155"/>
      <c r="I896" s="153"/>
      <c r="J896" s="153"/>
      <c r="K896" s="153"/>
      <c r="L896" s="155"/>
      <c r="M896" s="155"/>
      <c r="N896" s="155"/>
      <c r="O896" s="158"/>
    </row>
    <row r="897">
      <c r="A897" s="153"/>
      <c r="B897" s="153"/>
      <c r="C897" s="154"/>
      <c r="D897" s="155"/>
      <c r="E897" s="153"/>
      <c r="F897" s="155"/>
      <c r="G897" s="155"/>
      <c r="H897" s="155"/>
      <c r="I897" s="153"/>
      <c r="J897" s="153"/>
      <c r="K897" s="153"/>
      <c r="L897" s="155"/>
      <c r="M897" s="155"/>
      <c r="N897" s="155"/>
      <c r="O897" s="158"/>
    </row>
    <row r="898">
      <c r="A898" s="153"/>
      <c r="B898" s="153"/>
      <c r="C898" s="154"/>
      <c r="D898" s="155"/>
      <c r="E898" s="153"/>
      <c r="F898" s="155"/>
      <c r="G898" s="155"/>
      <c r="H898" s="155"/>
      <c r="I898" s="153"/>
      <c r="J898" s="153"/>
      <c r="K898" s="153"/>
      <c r="L898" s="155"/>
      <c r="M898" s="155"/>
      <c r="N898" s="155"/>
      <c r="O898" s="158"/>
    </row>
    <row r="899">
      <c r="A899" s="153"/>
      <c r="B899" s="153"/>
      <c r="C899" s="154"/>
      <c r="D899" s="155"/>
      <c r="E899" s="153"/>
      <c r="F899" s="155"/>
      <c r="G899" s="155"/>
      <c r="H899" s="155"/>
      <c r="I899" s="153"/>
      <c r="J899" s="153"/>
      <c r="K899" s="153"/>
      <c r="L899" s="155"/>
      <c r="M899" s="155"/>
      <c r="N899" s="155"/>
      <c r="O899" s="158"/>
    </row>
    <row r="900">
      <c r="A900" s="153"/>
      <c r="B900" s="153"/>
      <c r="C900" s="154"/>
      <c r="D900" s="155"/>
      <c r="E900" s="153"/>
      <c r="F900" s="155"/>
      <c r="G900" s="155"/>
      <c r="H900" s="155"/>
      <c r="I900" s="153"/>
      <c r="J900" s="153"/>
      <c r="K900" s="153"/>
      <c r="L900" s="155"/>
      <c r="M900" s="155"/>
      <c r="N900" s="155"/>
      <c r="O900" s="158"/>
    </row>
    <row r="901">
      <c r="A901" s="153"/>
      <c r="B901" s="153"/>
      <c r="C901" s="154"/>
      <c r="D901" s="155"/>
      <c r="E901" s="153"/>
      <c r="F901" s="155"/>
      <c r="G901" s="155"/>
      <c r="H901" s="155"/>
      <c r="I901" s="153"/>
      <c r="J901" s="153"/>
      <c r="K901" s="153"/>
      <c r="L901" s="155"/>
      <c r="M901" s="155"/>
      <c r="N901" s="155"/>
      <c r="O901" s="158"/>
    </row>
    <row r="902">
      <c r="A902" s="153"/>
      <c r="B902" s="153"/>
      <c r="C902" s="154"/>
      <c r="D902" s="155"/>
      <c r="E902" s="153"/>
      <c r="F902" s="155"/>
      <c r="G902" s="155"/>
      <c r="H902" s="155"/>
      <c r="I902" s="153"/>
      <c r="J902" s="153"/>
      <c r="K902" s="153"/>
      <c r="L902" s="155"/>
      <c r="M902" s="155"/>
      <c r="N902" s="155"/>
      <c r="O902" s="158"/>
    </row>
    <row r="903">
      <c r="A903" s="153"/>
      <c r="B903" s="153"/>
      <c r="C903" s="154"/>
      <c r="D903" s="155"/>
      <c r="E903" s="153"/>
      <c r="F903" s="155"/>
      <c r="G903" s="155"/>
      <c r="H903" s="155"/>
      <c r="I903" s="153"/>
      <c r="J903" s="153"/>
      <c r="K903" s="153"/>
      <c r="L903" s="155"/>
      <c r="M903" s="155"/>
      <c r="N903" s="155"/>
      <c r="O903" s="158"/>
    </row>
    <row r="904">
      <c r="A904" s="153"/>
      <c r="B904" s="153"/>
      <c r="C904" s="154"/>
      <c r="D904" s="155"/>
      <c r="E904" s="153"/>
      <c r="F904" s="155"/>
      <c r="G904" s="155"/>
      <c r="H904" s="155"/>
      <c r="I904" s="153"/>
      <c r="J904" s="153"/>
      <c r="K904" s="153"/>
      <c r="L904" s="155"/>
      <c r="M904" s="155"/>
      <c r="N904" s="155"/>
      <c r="O904" s="158"/>
    </row>
    <row r="905">
      <c r="A905" s="153"/>
      <c r="B905" s="153"/>
      <c r="C905" s="154"/>
      <c r="D905" s="155"/>
      <c r="E905" s="153"/>
      <c r="F905" s="155"/>
      <c r="G905" s="155"/>
      <c r="H905" s="155"/>
      <c r="I905" s="153"/>
      <c r="J905" s="153"/>
      <c r="K905" s="153"/>
      <c r="L905" s="155"/>
      <c r="M905" s="155"/>
      <c r="N905" s="155"/>
      <c r="O905" s="158"/>
    </row>
    <row r="906">
      <c r="A906" s="153"/>
      <c r="B906" s="153"/>
      <c r="C906" s="154"/>
      <c r="D906" s="155"/>
      <c r="E906" s="153"/>
      <c r="F906" s="155"/>
      <c r="G906" s="155"/>
      <c r="H906" s="155"/>
      <c r="I906" s="153"/>
      <c r="J906" s="153"/>
      <c r="K906" s="153"/>
      <c r="L906" s="155"/>
      <c r="M906" s="155"/>
      <c r="N906" s="155"/>
      <c r="O906" s="158"/>
    </row>
    <row r="907">
      <c r="A907" s="153"/>
      <c r="B907" s="153"/>
      <c r="C907" s="154"/>
      <c r="D907" s="155"/>
      <c r="E907" s="153"/>
      <c r="F907" s="155"/>
      <c r="G907" s="155"/>
      <c r="H907" s="155"/>
      <c r="I907" s="153"/>
      <c r="J907" s="153"/>
      <c r="K907" s="153"/>
      <c r="L907" s="155"/>
      <c r="M907" s="155"/>
      <c r="N907" s="155"/>
      <c r="O907" s="158"/>
    </row>
    <row r="908">
      <c r="A908" s="153"/>
      <c r="B908" s="153"/>
      <c r="C908" s="154"/>
      <c r="D908" s="155"/>
      <c r="E908" s="153"/>
      <c r="F908" s="155"/>
      <c r="G908" s="155"/>
      <c r="H908" s="155"/>
      <c r="I908" s="153"/>
      <c r="J908" s="153"/>
      <c r="K908" s="153"/>
      <c r="L908" s="155"/>
      <c r="M908" s="155"/>
      <c r="N908" s="155"/>
      <c r="O908" s="158"/>
    </row>
    <row r="909">
      <c r="A909" s="153"/>
      <c r="B909" s="153"/>
      <c r="C909" s="154"/>
      <c r="D909" s="155"/>
      <c r="E909" s="153"/>
      <c r="F909" s="155"/>
      <c r="G909" s="155"/>
      <c r="H909" s="155"/>
      <c r="I909" s="153"/>
      <c r="J909" s="153"/>
      <c r="K909" s="153"/>
      <c r="L909" s="155"/>
      <c r="M909" s="155"/>
      <c r="N909" s="155"/>
      <c r="O909" s="158"/>
    </row>
    <row r="910">
      <c r="A910" s="153"/>
      <c r="B910" s="153"/>
      <c r="C910" s="154"/>
      <c r="D910" s="155"/>
      <c r="E910" s="153"/>
      <c r="F910" s="155"/>
      <c r="G910" s="155"/>
      <c r="H910" s="155"/>
      <c r="I910" s="153"/>
      <c r="J910" s="153"/>
      <c r="K910" s="153"/>
      <c r="L910" s="155"/>
      <c r="M910" s="155"/>
      <c r="N910" s="155"/>
      <c r="O910" s="158"/>
    </row>
    <row r="911">
      <c r="A911" s="153"/>
      <c r="B911" s="153"/>
      <c r="C911" s="154"/>
      <c r="D911" s="155"/>
      <c r="E911" s="153"/>
      <c r="F911" s="155"/>
      <c r="G911" s="155"/>
      <c r="H911" s="155"/>
      <c r="I911" s="153"/>
      <c r="J911" s="153"/>
      <c r="K911" s="153"/>
      <c r="L911" s="155"/>
      <c r="M911" s="155"/>
      <c r="N911" s="155"/>
      <c r="O911" s="158"/>
    </row>
    <row r="912">
      <c r="A912" s="153"/>
      <c r="B912" s="153"/>
      <c r="C912" s="154"/>
      <c r="D912" s="155"/>
      <c r="E912" s="153"/>
      <c r="F912" s="155"/>
      <c r="G912" s="155"/>
      <c r="H912" s="155"/>
      <c r="I912" s="153"/>
      <c r="J912" s="153"/>
      <c r="K912" s="153"/>
      <c r="L912" s="155"/>
      <c r="M912" s="155"/>
      <c r="N912" s="155"/>
      <c r="O912" s="158"/>
    </row>
    <row r="913">
      <c r="A913" s="153"/>
      <c r="B913" s="153"/>
      <c r="C913" s="154"/>
      <c r="D913" s="155"/>
      <c r="E913" s="153"/>
      <c r="F913" s="155"/>
      <c r="G913" s="155"/>
      <c r="H913" s="155"/>
      <c r="I913" s="153"/>
      <c r="J913" s="153"/>
      <c r="K913" s="153"/>
      <c r="L913" s="155"/>
      <c r="M913" s="155"/>
      <c r="N913" s="155"/>
      <c r="O913" s="158"/>
    </row>
    <row r="914">
      <c r="A914" s="153"/>
      <c r="B914" s="153"/>
      <c r="C914" s="154"/>
      <c r="D914" s="155"/>
      <c r="E914" s="153"/>
      <c r="F914" s="155"/>
      <c r="G914" s="155"/>
      <c r="H914" s="155"/>
      <c r="I914" s="153"/>
      <c r="J914" s="153"/>
      <c r="K914" s="153"/>
      <c r="L914" s="155"/>
      <c r="M914" s="155"/>
      <c r="N914" s="155"/>
      <c r="O914" s="158"/>
    </row>
    <row r="915">
      <c r="A915" s="153"/>
      <c r="B915" s="153"/>
      <c r="C915" s="154"/>
      <c r="D915" s="155"/>
      <c r="E915" s="153"/>
      <c r="F915" s="155"/>
      <c r="G915" s="155"/>
      <c r="H915" s="155"/>
      <c r="I915" s="153"/>
      <c r="J915" s="153"/>
      <c r="K915" s="153"/>
      <c r="L915" s="155"/>
      <c r="M915" s="155"/>
      <c r="N915" s="155"/>
      <c r="O915" s="158"/>
    </row>
    <row r="916">
      <c r="A916" s="153"/>
      <c r="B916" s="153"/>
      <c r="C916" s="154"/>
      <c r="D916" s="155"/>
      <c r="E916" s="153"/>
      <c r="F916" s="155"/>
      <c r="G916" s="155"/>
      <c r="H916" s="155"/>
      <c r="I916" s="153"/>
      <c r="J916" s="153"/>
      <c r="K916" s="153"/>
      <c r="L916" s="155"/>
      <c r="M916" s="155"/>
      <c r="N916" s="155"/>
      <c r="O916" s="158"/>
    </row>
    <row r="917">
      <c r="A917" s="153"/>
      <c r="B917" s="153"/>
      <c r="C917" s="154"/>
      <c r="D917" s="155"/>
      <c r="E917" s="153"/>
      <c r="F917" s="155"/>
      <c r="G917" s="155"/>
      <c r="H917" s="155"/>
      <c r="I917" s="153"/>
      <c r="J917" s="153"/>
      <c r="K917" s="153"/>
      <c r="L917" s="155"/>
      <c r="M917" s="155"/>
      <c r="N917" s="155"/>
      <c r="O917" s="158"/>
    </row>
    <row r="918">
      <c r="A918" s="153"/>
      <c r="B918" s="153"/>
      <c r="C918" s="154"/>
      <c r="D918" s="155"/>
      <c r="E918" s="153"/>
      <c r="F918" s="155"/>
      <c r="G918" s="155"/>
      <c r="H918" s="155"/>
      <c r="I918" s="153"/>
      <c r="J918" s="153"/>
      <c r="K918" s="153"/>
      <c r="L918" s="155"/>
      <c r="M918" s="155"/>
      <c r="N918" s="155"/>
      <c r="O918" s="158"/>
    </row>
    <row r="919">
      <c r="A919" s="153"/>
      <c r="B919" s="153"/>
      <c r="C919" s="154"/>
      <c r="D919" s="155"/>
      <c r="E919" s="153"/>
      <c r="F919" s="155"/>
      <c r="G919" s="155"/>
      <c r="H919" s="155"/>
      <c r="I919" s="153"/>
      <c r="J919" s="153"/>
      <c r="K919" s="153"/>
      <c r="L919" s="155"/>
      <c r="M919" s="155"/>
      <c r="N919" s="155"/>
      <c r="O919" s="158"/>
    </row>
    <row r="920">
      <c r="A920" s="153"/>
      <c r="B920" s="153"/>
      <c r="C920" s="154"/>
      <c r="D920" s="155"/>
      <c r="E920" s="153"/>
      <c r="F920" s="155"/>
      <c r="G920" s="155"/>
      <c r="H920" s="155"/>
      <c r="I920" s="153"/>
      <c r="J920" s="153"/>
      <c r="K920" s="153"/>
      <c r="L920" s="155"/>
      <c r="M920" s="155"/>
      <c r="N920" s="155"/>
      <c r="O920" s="158"/>
    </row>
    <row r="921">
      <c r="A921" s="153"/>
      <c r="B921" s="153"/>
      <c r="C921" s="154"/>
      <c r="D921" s="155"/>
      <c r="E921" s="153"/>
      <c r="F921" s="155"/>
      <c r="G921" s="155"/>
      <c r="H921" s="155"/>
      <c r="I921" s="153"/>
      <c r="J921" s="153"/>
      <c r="K921" s="153"/>
      <c r="L921" s="155"/>
      <c r="M921" s="155"/>
      <c r="N921" s="155"/>
      <c r="O921" s="158"/>
    </row>
    <row r="922">
      <c r="A922" s="153"/>
      <c r="B922" s="153"/>
      <c r="C922" s="154"/>
      <c r="D922" s="155"/>
      <c r="E922" s="153"/>
      <c r="F922" s="155"/>
      <c r="G922" s="155"/>
      <c r="H922" s="155"/>
      <c r="I922" s="153"/>
      <c r="J922" s="153"/>
      <c r="K922" s="153"/>
      <c r="L922" s="155"/>
      <c r="M922" s="155"/>
      <c r="N922" s="155"/>
      <c r="O922" s="158"/>
    </row>
    <row r="923">
      <c r="A923" s="153"/>
      <c r="B923" s="153"/>
      <c r="C923" s="154"/>
      <c r="D923" s="155"/>
      <c r="E923" s="153"/>
      <c r="F923" s="155"/>
      <c r="G923" s="155"/>
      <c r="H923" s="155"/>
      <c r="I923" s="153"/>
      <c r="J923" s="153"/>
      <c r="K923" s="153"/>
      <c r="L923" s="155"/>
      <c r="M923" s="155"/>
      <c r="N923" s="155"/>
      <c r="O923" s="158"/>
    </row>
    <row r="924">
      <c r="A924" s="153"/>
      <c r="B924" s="153"/>
      <c r="C924" s="154"/>
      <c r="D924" s="155"/>
      <c r="E924" s="153"/>
      <c r="F924" s="155"/>
      <c r="G924" s="155"/>
      <c r="H924" s="155"/>
      <c r="I924" s="153"/>
      <c r="J924" s="153"/>
      <c r="K924" s="153"/>
      <c r="L924" s="155"/>
      <c r="M924" s="155"/>
      <c r="N924" s="155"/>
      <c r="O924" s="158"/>
    </row>
    <row r="925">
      <c r="A925" s="153"/>
      <c r="B925" s="153"/>
      <c r="C925" s="154"/>
      <c r="D925" s="155"/>
      <c r="E925" s="153"/>
      <c r="F925" s="155"/>
      <c r="G925" s="155"/>
      <c r="H925" s="155"/>
      <c r="I925" s="153"/>
      <c r="J925" s="153"/>
      <c r="K925" s="153"/>
      <c r="L925" s="155"/>
      <c r="M925" s="155"/>
      <c r="N925" s="155"/>
      <c r="O925" s="158"/>
    </row>
    <row r="926">
      <c r="A926" s="153"/>
      <c r="B926" s="153"/>
      <c r="C926" s="154"/>
      <c r="D926" s="155"/>
      <c r="E926" s="153"/>
      <c r="F926" s="155"/>
      <c r="G926" s="155"/>
      <c r="H926" s="155"/>
      <c r="I926" s="153"/>
      <c r="J926" s="153"/>
      <c r="K926" s="153"/>
      <c r="L926" s="155"/>
      <c r="M926" s="155"/>
      <c r="N926" s="155"/>
      <c r="O926" s="158"/>
    </row>
    <row r="927">
      <c r="A927" s="153"/>
      <c r="B927" s="153"/>
      <c r="C927" s="154"/>
      <c r="D927" s="155"/>
      <c r="E927" s="153"/>
      <c r="F927" s="155"/>
      <c r="G927" s="155"/>
      <c r="H927" s="155"/>
      <c r="I927" s="153"/>
      <c r="J927" s="153"/>
      <c r="K927" s="153"/>
      <c r="L927" s="155"/>
      <c r="M927" s="155"/>
      <c r="N927" s="155"/>
      <c r="O927" s="158"/>
    </row>
    <row r="928">
      <c r="A928" s="153"/>
      <c r="B928" s="153"/>
      <c r="C928" s="154"/>
      <c r="D928" s="155"/>
      <c r="E928" s="153"/>
      <c r="F928" s="155"/>
      <c r="G928" s="155"/>
      <c r="H928" s="155"/>
      <c r="I928" s="153"/>
      <c r="J928" s="153"/>
      <c r="K928" s="153"/>
      <c r="L928" s="155"/>
      <c r="M928" s="155"/>
      <c r="N928" s="155"/>
      <c r="O928" s="158"/>
    </row>
    <row r="929">
      <c r="A929" s="153"/>
      <c r="B929" s="153"/>
      <c r="C929" s="154"/>
      <c r="D929" s="155"/>
      <c r="E929" s="153"/>
      <c r="F929" s="155"/>
      <c r="G929" s="155"/>
      <c r="H929" s="155"/>
      <c r="I929" s="153"/>
      <c r="J929" s="153"/>
      <c r="K929" s="153"/>
      <c r="L929" s="155"/>
      <c r="M929" s="155"/>
      <c r="N929" s="155"/>
      <c r="O929" s="158"/>
    </row>
    <row r="930">
      <c r="A930" s="153"/>
      <c r="B930" s="153"/>
      <c r="C930" s="154"/>
      <c r="D930" s="155"/>
      <c r="E930" s="153"/>
      <c r="F930" s="155"/>
      <c r="G930" s="155"/>
      <c r="H930" s="155"/>
      <c r="I930" s="153"/>
      <c r="J930" s="153"/>
      <c r="K930" s="153"/>
      <c r="L930" s="155"/>
      <c r="M930" s="155"/>
      <c r="N930" s="155"/>
      <c r="O930" s="158"/>
    </row>
    <row r="931">
      <c r="A931" s="153"/>
      <c r="B931" s="153"/>
      <c r="C931" s="154"/>
      <c r="D931" s="155"/>
      <c r="E931" s="153"/>
      <c r="F931" s="155"/>
      <c r="G931" s="155"/>
      <c r="H931" s="155"/>
      <c r="I931" s="153"/>
      <c r="J931" s="153"/>
      <c r="K931" s="153"/>
      <c r="L931" s="155"/>
      <c r="M931" s="155"/>
      <c r="N931" s="155"/>
      <c r="O931" s="158"/>
    </row>
    <row r="932">
      <c r="A932" s="153"/>
      <c r="B932" s="153"/>
      <c r="C932" s="154"/>
      <c r="D932" s="155"/>
      <c r="E932" s="153"/>
      <c r="F932" s="155"/>
      <c r="G932" s="155"/>
      <c r="H932" s="155"/>
      <c r="I932" s="153"/>
      <c r="J932" s="153"/>
      <c r="K932" s="153"/>
      <c r="L932" s="155"/>
      <c r="M932" s="155"/>
      <c r="N932" s="155"/>
      <c r="O932" s="158"/>
    </row>
    <row r="933">
      <c r="A933" s="153"/>
      <c r="B933" s="153"/>
      <c r="C933" s="154"/>
      <c r="D933" s="155"/>
      <c r="E933" s="153"/>
      <c r="F933" s="155"/>
      <c r="G933" s="155"/>
      <c r="H933" s="155"/>
      <c r="I933" s="153"/>
      <c r="J933" s="153"/>
      <c r="K933" s="153"/>
      <c r="L933" s="155"/>
      <c r="M933" s="155"/>
      <c r="N933" s="155"/>
      <c r="O933" s="158"/>
    </row>
    <row r="934">
      <c r="A934" s="153"/>
      <c r="B934" s="153"/>
      <c r="C934" s="154"/>
      <c r="D934" s="155"/>
      <c r="E934" s="153"/>
      <c r="F934" s="155"/>
      <c r="G934" s="155"/>
      <c r="H934" s="155"/>
      <c r="I934" s="153"/>
      <c r="J934" s="153"/>
      <c r="K934" s="153"/>
      <c r="L934" s="155"/>
      <c r="M934" s="155"/>
      <c r="N934" s="155"/>
      <c r="O934" s="158"/>
    </row>
    <row r="935">
      <c r="A935" s="153"/>
      <c r="B935" s="153"/>
      <c r="C935" s="154"/>
      <c r="D935" s="155"/>
      <c r="E935" s="153"/>
      <c r="F935" s="155"/>
      <c r="G935" s="155"/>
      <c r="H935" s="155"/>
      <c r="I935" s="153"/>
      <c r="J935" s="153"/>
      <c r="K935" s="153"/>
      <c r="L935" s="155"/>
      <c r="M935" s="155"/>
      <c r="N935" s="155"/>
      <c r="O935" s="158"/>
    </row>
    <row r="936">
      <c r="A936" s="153"/>
      <c r="B936" s="153"/>
      <c r="C936" s="154"/>
      <c r="D936" s="155"/>
      <c r="E936" s="153"/>
      <c r="F936" s="155"/>
      <c r="G936" s="155"/>
      <c r="H936" s="155"/>
      <c r="I936" s="153"/>
      <c r="J936" s="153"/>
      <c r="K936" s="153"/>
      <c r="L936" s="155"/>
      <c r="M936" s="155"/>
      <c r="N936" s="155"/>
      <c r="O936" s="158"/>
    </row>
    <row r="937">
      <c r="A937" s="153"/>
      <c r="B937" s="153"/>
      <c r="C937" s="154"/>
      <c r="D937" s="155"/>
      <c r="E937" s="153"/>
      <c r="F937" s="155"/>
      <c r="G937" s="155"/>
      <c r="H937" s="155"/>
      <c r="I937" s="153"/>
      <c r="J937" s="153"/>
      <c r="K937" s="153"/>
      <c r="L937" s="155"/>
      <c r="M937" s="155"/>
      <c r="N937" s="155"/>
      <c r="O937" s="158"/>
    </row>
    <row r="938">
      <c r="A938" s="153"/>
      <c r="B938" s="153"/>
      <c r="C938" s="154"/>
      <c r="D938" s="155"/>
      <c r="E938" s="153"/>
      <c r="F938" s="155"/>
      <c r="G938" s="155"/>
      <c r="H938" s="155"/>
      <c r="I938" s="153"/>
      <c r="J938" s="153"/>
      <c r="K938" s="153"/>
      <c r="L938" s="155"/>
      <c r="M938" s="155"/>
      <c r="N938" s="155"/>
      <c r="O938" s="158"/>
    </row>
    <row r="939">
      <c r="A939" s="153"/>
      <c r="B939" s="153"/>
      <c r="C939" s="154"/>
      <c r="D939" s="155"/>
      <c r="E939" s="153"/>
      <c r="F939" s="155"/>
      <c r="G939" s="155"/>
      <c r="H939" s="155"/>
      <c r="I939" s="153"/>
      <c r="J939" s="153"/>
      <c r="K939" s="153"/>
      <c r="L939" s="155"/>
      <c r="M939" s="155"/>
      <c r="N939" s="155"/>
      <c r="O939" s="158"/>
    </row>
    <row r="940">
      <c r="A940" s="153"/>
      <c r="B940" s="153"/>
      <c r="C940" s="154"/>
      <c r="D940" s="155"/>
      <c r="E940" s="153"/>
      <c r="F940" s="155"/>
      <c r="G940" s="155"/>
      <c r="H940" s="155"/>
      <c r="I940" s="153"/>
      <c r="J940" s="153"/>
      <c r="K940" s="153"/>
      <c r="L940" s="155"/>
      <c r="M940" s="155"/>
      <c r="N940" s="155"/>
      <c r="O940" s="158"/>
    </row>
    <row r="941">
      <c r="A941" s="153"/>
      <c r="B941" s="153"/>
      <c r="C941" s="154"/>
      <c r="D941" s="155"/>
      <c r="E941" s="153"/>
      <c r="F941" s="155"/>
      <c r="G941" s="155"/>
      <c r="H941" s="155"/>
      <c r="I941" s="153"/>
      <c r="J941" s="153"/>
      <c r="K941" s="153"/>
      <c r="L941" s="155"/>
      <c r="M941" s="155"/>
      <c r="N941" s="155"/>
      <c r="O941" s="158"/>
    </row>
    <row r="942">
      <c r="A942" s="153"/>
      <c r="B942" s="153"/>
      <c r="C942" s="154"/>
      <c r="D942" s="155"/>
      <c r="E942" s="153"/>
      <c r="F942" s="155"/>
      <c r="G942" s="155"/>
      <c r="H942" s="155"/>
      <c r="I942" s="153"/>
      <c r="J942" s="153"/>
      <c r="K942" s="153"/>
      <c r="L942" s="155"/>
      <c r="M942" s="155"/>
      <c r="N942" s="155"/>
      <c r="O942" s="158"/>
    </row>
    <row r="943">
      <c r="A943" s="153"/>
      <c r="B943" s="153"/>
      <c r="C943" s="154"/>
      <c r="D943" s="155"/>
      <c r="E943" s="153"/>
      <c r="F943" s="155"/>
      <c r="G943" s="155"/>
      <c r="H943" s="155"/>
      <c r="I943" s="153"/>
      <c r="J943" s="153"/>
      <c r="K943" s="153"/>
      <c r="L943" s="155"/>
      <c r="M943" s="155"/>
      <c r="N943" s="155"/>
      <c r="O943" s="158"/>
    </row>
    <row r="944">
      <c r="A944" s="153"/>
      <c r="B944" s="153"/>
      <c r="C944" s="154"/>
      <c r="D944" s="155"/>
      <c r="E944" s="153"/>
      <c r="F944" s="155"/>
      <c r="G944" s="155"/>
      <c r="H944" s="155"/>
      <c r="I944" s="153"/>
      <c r="J944" s="153"/>
      <c r="K944" s="153"/>
      <c r="L944" s="155"/>
      <c r="M944" s="155"/>
      <c r="N944" s="155"/>
      <c r="O944" s="158"/>
    </row>
    <row r="945">
      <c r="A945" s="153"/>
      <c r="B945" s="153"/>
      <c r="C945" s="154"/>
      <c r="D945" s="155"/>
      <c r="E945" s="153"/>
      <c r="F945" s="155"/>
      <c r="G945" s="155"/>
      <c r="H945" s="155"/>
      <c r="I945" s="153"/>
      <c r="J945" s="153"/>
      <c r="K945" s="153"/>
      <c r="L945" s="155"/>
      <c r="M945" s="155"/>
      <c r="N945" s="155"/>
      <c r="O945" s="158"/>
    </row>
    <row r="946">
      <c r="A946" s="153"/>
      <c r="B946" s="153"/>
      <c r="C946" s="154"/>
      <c r="D946" s="155"/>
      <c r="E946" s="153"/>
      <c r="F946" s="155"/>
      <c r="G946" s="155"/>
      <c r="H946" s="155"/>
      <c r="I946" s="153"/>
      <c r="J946" s="153"/>
      <c r="K946" s="153"/>
      <c r="L946" s="155"/>
      <c r="M946" s="155"/>
      <c r="N946" s="155"/>
      <c r="O946" s="158"/>
    </row>
    <row r="947">
      <c r="A947" s="153"/>
      <c r="B947" s="153"/>
      <c r="C947" s="154"/>
      <c r="D947" s="155"/>
      <c r="E947" s="153"/>
      <c r="F947" s="155"/>
      <c r="G947" s="155"/>
      <c r="H947" s="155"/>
      <c r="I947" s="153"/>
      <c r="J947" s="153"/>
      <c r="K947" s="153"/>
      <c r="L947" s="155"/>
      <c r="M947" s="155"/>
      <c r="N947" s="155"/>
      <c r="O947" s="158"/>
    </row>
    <row r="948">
      <c r="A948" s="153"/>
      <c r="B948" s="153"/>
      <c r="C948" s="154"/>
      <c r="D948" s="155"/>
      <c r="E948" s="153"/>
      <c r="F948" s="155"/>
      <c r="G948" s="155"/>
      <c r="H948" s="155"/>
      <c r="I948" s="153"/>
      <c r="J948" s="153"/>
      <c r="K948" s="153"/>
      <c r="L948" s="155"/>
      <c r="M948" s="155"/>
      <c r="N948" s="155"/>
      <c r="O948" s="158"/>
    </row>
    <row r="949">
      <c r="A949" s="153"/>
      <c r="B949" s="153"/>
      <c r="C949" s="154"/>
      <c r="D949" s="155"/>
      <c r="E949" s="153"/>
      <c r="F949" s="155"/>
      <c r="G949" s="155"/>
      <c r="H949" s="155"/>
      <c r="I949" s="153"/>
      <c r="J949" s="153"/>
      <c r="K949" s="153"/>
      <c r="L949" s="155"/>
      <c r="M949" s="155"/>
      <c r="N949" s="155"/>
      <c r="O949" s="158"/>
    </row>
    <row r="950">
      <c r="A950" s="153"/>
      <c r="B950" s="153"/>
      <c r="C950" s="154"/>
      <c r="D950" s="155"/>
      <c r="E950" s="153"/>
      <c r="F950" s="155"/>
      <c r="G950" s="155"/>
      <c r="H950" s="155"/>
      <c r="I950" s="153"/>
      <c r="J950" s="153"/>
      <c r="K950" s="153"/>
      <c r="L950" s="155"/>
      <c r="M950" s="155"/>
      <c r="N950" s="155"/>
      <c r="O950" s="158"/>
    </row>
    <row r="951">
      <c r="A951" s="153"/>
      <c r="B951" s="153"/>
      <c r="C951" s="154"/>
      <c r="D951" s="155"/>
      <c r="E951" s="153"/>
      <c r="F951" s="155"/>
      <c r="G951" s="155"/>
      <c r="H951" s="155"/>
      <c r="I951" s="153"/>
      <c r="J951" s="153"/>
      <c r="K951" s="153"/>
      <c r="L951" s="155"/>
      <c r="M951" s="155"/>
      <c r="N951" s="155"/>
      <c r="O951" s="158"/>
    </row>
    <row r="952">
      <c r="A952" s="153"/>
      <c r="B952" s="153"/>
      <c r="C952" s="154"/>
      <c r="D952" s="155"/>
      <c r="E952" s="153"/>
      <c r="F952" s="155"/>
      <c r="G952" s="155"/>
      <c r="H952" s="155"/>
      <c r="I952" s="153"/>
      <c r="J952" s="153"/>
      <c r="K952" s="153"/>
      <c r="L952" s="155"/>
      <c r="M952" s="155"/>
      <c r="N952" s="155"/>
      <c r="O952" s="158"/>
    </row>
    <row r="953">
      <c r="A953" s="153"/>
      <c r="B953" s="153"/>
      <c r="C953" s="154"/>
      <c r="D953" s="155"/>
      <c r="E953" s="153"/>
      <c r="F953" s="155"/>
      <c r="G953" s="155"/>
      <c r="H953" s="155"/>
      <c r="I953" s="153"/>
      <c r="J953" s="153"/>
      <c r="K953" s="153"/>
      <c r="L953" s="155"/>
      <c r="M953" s="155"/>
      <c r="N953" s="155"/>
      <c r="O953" s="158"/>
    </row>
    <row r="954">
      <c r="A954" s="153"/>
      <c r="B954" s="153"/>
      <c r="C954" s="154"/>
      <c r="D954" s="155"/>
      <c r="E954" s="153"/>
      <c r="F954" s="155"/>
      <c r="G954" s="155"/>
      <c r="H954" s="155"/>
      <c r="I954" s="153"/>
      <c r="J954" s="153"/>
      <c r="K954" s="153"/>
      <c r="L954" s="155"/>
      <c r="M954" s="155"/>
      <c r="N954" s="155"/>
      <c r="O954" s="158"/>
    </row>
    <row r="955">
      <c r="A955" s="153"/>
      <c r="B955" s="153"/>
      <c r="C955" s="154"/>
      <c r="D955" s="155"/>
      <c r="E955" s="153"/>
      <c r="F955" s="155"/>
      <c r="G955" s="155"/>
      <c r="H955" s="155"/>
      <c r="I955" s="153"/>
      <c r="J955" s="153"/>
      <c r="K955" s="153"/>
      <c r="L955" s="155"/>
      <c r="M955" s="155"/>
      <c r="N955" s="155"/>
      <c r="O955" s="158"/>
    </row>
    <row r="956">
      <c r="A956" s="153"/>
      <c r="B956" s="153"/>
      <c r="C956" s="154"/>
      <c r="D956" s="155"/>
      <c r="E956" s="153"/>
      <c r="F956" s="155"/>
      <c r="G956" s="155"/>
      <c r="H956" s="155"/>
      <c r="I956" s="153"/>
      <c r="J956" s="153"/>
      <c r="K956" s="153"/>
      <c r="L956" s="155"/>
      <c r="M956" s="155"/>
      <c r="N956" s="155"/>
      <c r="O956" s="158"/>
    </row>
    <row r="957">
      <c r="A957" s="153"/>
      <c r="B957" s="153"/>
      <c r="C957" s="154"/>
      <c r="D957" s="155"/>
      <c r="E957" s="153"/>
      <c r="F957" s="155"/>
      <c r="G957" s="155"/>
      <c r="H957" s="155"/>
      <c r="I957" s="153"/>
      <c r="J957" s="153"/>
      <c r="K957" s="153"/>
      <c r="L957" s="155"/>
      <c r="M957" s="155"/>
      <c r="N957" s="155"/>
      <c r="O957" s="158"/>
    </row>
    <row r="958">
      <c r="A958" s="153"/>
      <c r="B958" s="153"/>
      <c r="C958" s="154"/>
      <c r="D958" s="155"/>
      <c r="E958" s="153"/>
      <c r="F958" s="155"/>
      <c r="G958" s="155"/>
      <c r="H958" s="155"/>
      <c r="I958" s="153"/>
      <c r="J958" s="153"/>
      <c r="K958" s="153"/>
      <c r="L958" s="155"/>
      <c r="M958" s="155"/>
      <c r="N958" s="155"/>
      <c r="O958" s="158"/>
    </row>
    <row r="959">
      <c r="A959" s="153"/>
      <c r="B959" s="153"/>
      <c r="C959" s="154"/>
      <c r="D959" s="155"/>
      <c r="E959" s="153"/>
      <c r="F959" s="155"/>
      <c r="G959" s="155"/>
      <c r="H959" s="155"/>
      <c r="I959" s="153"/>
      <c r="J959" s="153"/>
      <c r="K959" s="153"/>
      <c r="L959" s="155"/>
      <c r="M959" s="155"/>
      <c r="N959" s="155"/>
      <c r="O959" s="158"/>
    </row>
    <row r="960">
      <c r="A960" s="153"/>
      <c r="B960" s="153"/>
      <c r="C960" s="154"/>
      <c r="D960" s="155"/>
      <c r="E960" s="153"/>
      <c r="F960" s="155"/>
      <c r="G960" s="155"/>
      <c r="H960" s="155"/>
      <c r="I960" s="153"/>
      <c r="J960" s="153"/>
      <c r="K960" s="153"/>
      <c r="L960" s="155"/>
      <c r="M960" s="155"/>
      <c r="N960" s="155"/>
      <c r="O960" s="158"/>
    </row>
    <row r="961">
      <c r="A961" s="153"/>
      <c r="B961" s="153"/>
      <c r="C961" s="154"/>
      <c r="D961" s="155"/>
      <c r="E961" s="153"/>
      <c r="F961" s="155"/>
      <c r="G961" s="155"/>
      <c r="H961" s="155"/>
      <c r="I961" s="153"/>
      <c r="J961" s="153"/>
      <c r="K961" s="153"/>
      <c r="L961" s="155"/>
      <c r="M961" s="155"/>
      <c r="N961" s="155"/>
      <c r="O961" s="158"/>
    </row>
    <row r="962">
      <c r="A962" s="153"/>
      <c r="B962" s="153"/>
      <c r="C962" s="154"/>
      <c r="D962" s="155"/>
      <c r="E962" s="153"/>
      <c r="F962" s="155"/>
      <c r="G962" s="155"/>
      <c r="H962" s="155"/>
      <c r="I962" s="153"/>
      <c r="J962" s="153"/>
      <c r="K962" s="153"/>
      <c r="L962" s="155"/>
      <c r="M962" s="155"/>
      <c r="N962" s="155"/>
      <c r="O962" s="158"/>
    </row>
    <row r="963">
      <c r="A963" s="153"/>
      <c r="B963" s="153"/>
      <c r="C963" s="154"/>
      <c r="D963" s="155"/>
      <c r="E963" s="153"/>
      <c r="F963" s="155"/>
      <c r="G963" s="155"/>
      <c r="H963" s="155"/>
      <c r="I963" s="153"/>
      <c r="J963" s="153"/>
      <c r="K963" s="153"/>
      <c r="L963" s="155"/>
      <c r="M963" s="155"/>
      <c r="N963" s="155"/>
      <c r="O963" s="158"/>
    </row>
    <row r="964">
      <c r="A964" s="153"/>
      <c r="B964" s="153"/>
      <c r="C964" s="154"/>
      <c r="D964" s="155"/>
      <c r="E964" s="153"/>
      <c r="F964" s="155"/>
      <c r="G964" s="155"/>
      <c r="H964" s="155"/>
      <c r="I964" s="153"/>
      <c r="J964" s="153"/>
      <c r="K964" s="153"/>
      <c r="L964" s="155"/>
      <c r="M964" s="155"/>
      <c r="N964" s="155"/>
      <c r="O964" s="158"/>
    </row>
    <row r="965">
      <c r="A965" s="153"/>
      <c r="B965" s="153"/>
      <c r="C965" s="154"/>
      <c r="D965" s="155"/>
      <c r="E965" s="153"/>
      <c r="F965" s="155"/>
      <c r="G965" s="155"/>
      <c r="H965" s="155"/>
      <c r="I965" s="153"/>
      <c r="J965" s="153"/>
      <c r="K965" s="153"/>
      <c r="L965" s="155"/>
      <c r="M965" s="155"/>
      <c r="N965" s="155"/>
      <c r="O965" s="158"/>
    </row>
    <row r="966">
      <c r="A966" s="153"/>
      <c r="B966" s="153"/>
      <c r="C966" s="154"/>
      <c r="D966" s="155"/>
      <c r="E966" s="153"/>
      <c r="F966" s="155"/>
      <c r="G966" s="155"/>
      <c r="H966" s="155"/>
      <c r="I966" s="153"/>
      <c r="J966" s="153"/>
      <c r="K966" s="153"/>
      <c r="L966" s="155"/>
      <c r="M966" s="155"/>
      <c r="N966" s="155"/>
      <c r="O966" s="158"/>
    </row>
    <row r="967">
      <c r="A967" s="153"/>
      <c r="B967" s="153"/>
      <c r="C967" s="154"/>
      <c r="D967" s="155"/>
      <c r="E967" s="153"/>
      <c r="F967" s="155"/>
      <c r="G967" s="155"/>
      <c r="H967" s="155"/>
      <c r="I967" s="153"/>
      <c r="J967" s="153"/>
      <c r="K967" s="153"/>
      <c r="L967" s="155"/>
      <c r="M967" s="155"/>
      <c r="N967" s="155"/>
      <c r="O967" s="158"/>
    </row>
    <row r="968">
      <c r="A968" s="153"/>
      <c r="B968" s="153"/>
      <c r="C968" s="154"/>
      <c r="D968" s="155"/>
      <c r="E968" s="153"/>
      <c r="F968" s="155"/>
      <c r="G968" s="155"/>
      <c r="H968" s="155"/>
      <c r="I968" s="153"/>
      <c r="J968" s="153"/>
      <c r="K968" s="153"/>
      <c r="L968" s="155"/>
      <c r="M968" s="155"/>
      <c r="N968" s="155"/>
      <c r="O968" s="158"/>
    </row>
    <row r="969">
      <c r="A969" s="153"/>
      <c r="B969" s="153"/>
      <c r="C969" s="154"/>
      <c r="D969" s="155"/>
      <c r="E969" s="153"/>
      <c r="F969" s="155"/>
      <c r="G969" s="155"/>
      <c r="H969" s="155"/>
      <c r="I969" s="153"/>
      <c r="J969" s="153"/>
      <c r="K969" s="153"/>
      <c r="L969" s="155"/>
      <c r="M969" s="155"/>
      <c r="N969" s="155"/>
      <c r="O969" s="158"/>
    </row>
    <row r="970">
      <c r="A970" s="153"/>
      <c r="B970" s="153"/>
      <c r="C970" s="154"/>
      <c r="D970" s="155"/>
      <c r="E970" s="153"/>
      <c r="F970" s="155"/>
      <c r="G970" s="155"/>
      <c r="H970" s="155"/>
      <c r="I970" s="153"/>
      <c r="J970" s="153"/>
      <c r="K970" s="153"/>
      <c r="L970" s="155"/>
      <c r="M970" s="155"/>
      <c r="N970" s="155"/>
      <c r="O970" s="158"/>
    </row>
    <row r="971">
      <c r="A971" s="153"/>
      <c r="B971" s="153"/>
      <c r="C971" s="154"/>
      <c r="D971" s="155"/>
      <c r="E971" s="153"/>
      <c r="F971" s="155"/>
      <c r="G971" s="155"/>
      <c r="H971" s="155"/>
      <c r="I971" s="153"/>
      <c r="J971" s="153"/>
      <c r="K971" s="153"/>
      <c r="L971" s="155"/>
      <c r="M971" s="155"/>
      <c r="N971" s="155"/>
      <c r="O971" s="158"/>
    </row>
    <row r="972">
      <c r="A972" s="153"/>
      <c r="B972" s="153"/>
      <c r="C972" s="154"/>
      <c r="D972" s="155"/>
      <c r="E972" s="153"/>
      <c r="F972" s="155"/>
      <c r="G972" s="155"/>
      <c r="H972" s="155"/>
      <c r="I972" s="153"/>
      <c r="J972" s="153"/>
      <c r="K972" s="153"/>
      <c r="L972" s="155"/>
      <c r="M972" s="155"/>
      <c r="N972" s="155"/>
      <c r="O972" s="158"/>
    </row>
    <row r="973">
      <c r="A973" s="153"/>
      <c r="B973" s="153"/>
      <c r="C973" s="154"/>
      <c r="D973" s="155"/>
      <c r="E973" s="153"/>
      <c r="F973" s="155"/>
      <c r="G973" s="155"/>
      <c r="H973" s="155"/>
      <c r="I973" s="153"/>
      <c r="J973" s="153"/>
      <c r="K973" s="153"/>
      <c r="L973" s="155"/>
      <c r="M973" s="155"/>
      <c r="N973" s="155"/>
      <c r="O973" s="158"/>
    </row>
    <row r="974">
      <c r="A974" s="153"/>
      <c r="B974" s="153"/>
      <c r="C974" s="154"/>
      <c r="D974" s="155"/>
      <c r="E974" s="153"/>
      <c r="F974" s="155"/>
      <c r="G974" s="155"/>
      <c r="H974" s="155"/>
      <c r="I974" s="153"/>
      <c r="J974" s="153"/>
      <c r="K974" s="153"/>
      <c r="L974" s="155"/>
      <c r="M974" s="155"/>
      <c r="N974" s="155"/>
      <c r="O974" s="158"/>
    </row>
    <row r="975">
      <c r="A975" s="153"/>
      <c r="B975" s="153"/>
      <c r="C975" s="154"/>
      <c r="D975" s="155"/>
      <c r="E975" s="153"/>
      <c r="F975" s="155"/>
      <c r="G975" s="155"/>
      <c r="H975" s="155"/>
      <c r="I975" s="153"/>
      <c r="J975" s="153"/>
      <c r="K975" s="153"/>
      <c r="L975" s="155"/>
      <c r="M975" s="155"/>
      <c r="N975" s="155"/>
      <c r="O975" s="158"/>
    </row>
    <row r="976">
      <c r="A976" s="153"/>
      <c r="B976" s="153"/>
      <c r="C976" s="154"/>
      <c r="D976" s="155"/>
      <c r="E976" s="153"/>
      <c r="F976" s="155"/>
      <c r="G976" s="155"/>
      <c r="H976" s="155"/>
      <c r="I976" s="153"/>
      <c r="J976" s="153"/>
      <c r="K976" s="153"/>
      <c r="L976" s="155"/>
      <c r="M976" s="155"/>
      <c r="N976" s="155"/>
      <c r="O976" s="158"/>
    </row>
    <row r="977">
      <c r="A977" s="153"/>
      <c r="B977" s="153"/>
      <c r="C977" s="154"/>
      <c r="D977" s="155"/>
      <c r="E977" s="153"/>
      <c r="F977" s="155"/>
      <c r="G977" s="155"/>
      <c r="H977" s="155"/>
      <c r="I977" s="153"/>
      <c r="J977" s="153"/>
      <c r="K977" s="153"/>
      <c r="L977" s="155"/>
      <c r="M977" s="155"/>
      <c r="N977" s="155"/>
      <c r="O977" s="158"/>
    </row>
    <row r="978">
      <c r="A978" s="153"/>
      <c r="B978" s="153"/>
      <c r="C978" s="154"/>
      <c r="D978" s="155"/>
      <c r="E978" s="153"/>
      <c r="F978" s="155"/>
      <c r="G978" s="155"/>
      <c r="H978" s="155"/>
      <c r="I978" s="153"/>
      <c r="J978" s="153"/>
      <c r="K978" s="153"/>
      <c r="L978" s="155"/>
      <c r="M978" s="155"/>
      <c r="N978" s="155"/>
      <c r="O978" s="158"/>
    </row>
    <row r="979">
      <c r="A979" s="153"/>
      <c r="B979" s="153"/>
      <c r="C979" s="154"/>
      <c r="D979" s="155"/>
      <c r="E979" s="153"/>
      <c r="F979" s="155"/>
      <c r="G979" s="155"/>
      <c r="H979" s="155"/>
      <c r="I979" s="153"/>
      <c r="J979" s="153"/>
      <c r="K979" s="153"/>
      <c r="L979" s="155"/>
      <c r="M979" s="155"/>
      <c r="N979" s="155"/>
      <c r="O979" s="158"/>
    </row>
    <row r="980">
      <c r="A980" s="153"/>
      <c r="B980" s="153"/>
      <c r="C980" s="154"/>
      <c r="D980" s="155"/>
      <c r="E980" s="153"/>
      <c r="F980" s="155"/>
      <c r="G980" s="155"/>
      <c r="H980" s="155"/>
      <c r="I980" s="153"/>
      <c r="J980" s="153"/>
      <c r="K980" s="153"/>
      <c r="L980" s="155"/>
      <c r="M980" s="155"/>
      <c r="N980" s="155"/>
      <c r="O980" s="158"/>
    </row>
    <row r="981">
      <c r="A981" s="153"/>
      <c r="B981" s="153"/>
      <c r="C981" s="154"/>
      <c r="D981" s="155"/>
      <c r="E981" s="153"/>
      <c r="F981" s="155"/>
      <c r="G981" s="155"/>
      <c r="H981" s="155"/>
      <c r="I981" s="153"/>
      <c r="J981" s="153"/>
      <c r="K981" s="153"/>
      <c r="L981" s="155"/>
      <c r="M981" s="155"/>
      <c r="N981" s="155"/>
      <c r="O981" s="158"/>
    </row>
    <row r="982">
      <c r="A982" s="153"/>
      <c r="B982" s="153"/>
      <c r="C982" s="154"/>
      <c r="D982" s="155"/>
      <c r="E982" s="153"/>
      <c r="F982" s="155"/>
      <c r="G982" s="155"/>
      <c r="H982" s="155"/>
      <c r="I982" s="153"/>
      <c r="J982" s="153"/>
      <c r="K982" s="153"/>
      <c r="L982" s="155"/>
      <c r="M982" s="155"/>
      <c r="N982" s="155"/>
      <c r="O982" s="158"/>
    </row>
    <row r="983">
      <c r="A983" s="153"/>
      <c r="B983" s="153"/>
      <c r="C983" s="154"/>
      <c r="D983" s="155"/>
      <c r="E983" s="153"/>
      <c r="F983" s="155"/>
      <c r="G983" s="155"/>
      <c r="H983" s="155"/>
      <c r="I983" s="153"/>
      <c r="J983" s="153"/>
      <c r="K983" s="153"/>
      <c r="L983" s="155"/>
      <c r="M983" s="155"/>
      <c r="N983" s="155"/>
      <c r="O983" s="158"/>
    </row>
    <row r="984">
      <c r="A984" s="153"/>
      <c r="B984" s="153"/>
      <c r="C984" s="154"/>
      <c r="D984" s="155"/>
      <c r="E984" s="153"/>
      <c r="F984" s="155"/>
      <c r="G984" s="155"/>
      <c r="H984" s="155"/>
      <c r="I984" s="153"/>
      <c r="J984" s="153"/>
      <c r="K984" s="153"/>
      <c r="L984" s="155"/>
      <c r="M984" s="155"/>
      <c r="N984" s="155"/>
      <c r="O984" s="158"/>
    </row>
    <row r="985">
      <c r="A985" s="153"/>
      <c r="B985" s="153"/>
      <c r="C985" s="154"/>
      <c r="D985" s="155"/>
      <c r="E985" s="153"/>
      <c r="F985" s="155"/>
      <c r="G985" s="155"/>
      <c r="H985" s="155"/>
      <c r="I985" s="153"/>
      <c r="J985" s="153"/>
      <c r="K985" s="153"/>
      <c r="L985" s="155"/>
      <c r="M985" s="155"/>
      <c r="N985" s="155"/>
      <c r="O985" s="158"/>
    </row>
    <row r="986">
      <c r="A986" s="153"/>
      <c r="B986" s="153"/>
      <c r="C986" s="154"/>
      <c r="D986" s="155"/>
      <c r="E986" s="153"/>
      <c r="F986" s="155"/>
      <c r="G986" s="155"/>
      <c r="H986" s="155"/>
      <c r="I986" s="153"/>
      <c r="J986" s="153"/>
      <c r="K986" s="153"/>
      <c r="L986" s="155"/>
      <c r="M986" s="155"/>
      <c r="N986" s="155"/>
      <c r="O986" s="158"/>
    </row>
    <row r="987">
      <c r="A987" s="153"/>
      <c r="B987" s="153"/>
      <c r="C987" s="154"/>
      <c r="D987" s="155"/>
      <c r="E987" s="153"/>
      <c r="F987" s="155"/>
      <c r="G987" s="155"/>
      <c r="H987" s="155"/>
      <c r="I987" s="153"/>
      <c r="J987" s="153"/>
      <c r="K987" s="153"/>
      <c r="L987" s="155"/>
      <c r="M987" s="155"/>
      <c r="N987" s="155"/>
      <c r="O987" s="158"/>
    </row>
    <row r="988">
      <c r="A988" s="153"/>
      <c r="B988" s="153"/>
      <c r="C988" s="154"/>
      <c r="D988" s="155"/>
      <c r="E988" s="153"/>
      <c r="F988" s="155"/>
      <c r="G988" s="155"/>
      <c r="H988" s="155"/>
      <c r="I988" s="153"/>
      <c r="J988" s="153"/>
      <c r="K988" s="153"/>
      <c r="L988" s="155"/>
      <c r="M988" s="155"/>
      <c r="N988" s="155"/>
      <c r="O988" s="158"/>
    </row>
    <row r="989">
      <c r="A989" s="153"/>
      <c r="B989" s="153"/>
      <c r="C989" s="154"/>
      <c r="D989" s="155"/>
      <c r="E989" s="153"/>
      <c r="F989" s="155"/>
      <c r="G989" s="155"/>
      <c r="H989" s="155"/>
      <c r="I989" s="153"/>
      <c r="J989" s="153"/>
      <c r="K989" s="153"/>
      <c r="L989" s="155"/>
      <c r="M989" s="155"/>
      <c r="N989" s="155"/>
      <c r="O989" s="158"/>
    </row>
    <row r="990">
      <c r="A990" s="153"/>
      <c r="B990" s="153"/>
      <c r="C990" s="154"/>
      <c r="D990" s="155"/>
      <c r="E990" s="153"/>
      <c r="F990" s="155"/>
      <c r="G990" s="155"/>
      <c r="H990" s="155"/>
      <c r="I990" s="153"/>
      <c r="J990" s="153"/>
      <c r="K990" s="153"/>
      <c r="L990" s="155"/>
      <c r="M990" s="155"/>
      <c r="N990" s="155"/>
      <c r="O990" s="158"/>
    </row>
    <row r="991">
      <c r="A991" s="153"/>
      <c r="B991" s="153"/>
      <c r="C991" s="154"/>
      <c r="D991" s="155"/>
      <c r="E991" s="153"/>
      <c r="F991" s="155"/>
      <c r="G991" s="155"/>
      <c r="H991" s="155"/>
      <c r="I991" s="153"/>
      <c r="J991" s="153"/>
      <c r="K991" s="153"/>
      <c r="L991" s="155"/>
      <c r="M991" s="155"/>
      <c r="N991" s="155"/>
      <c r="O991" s="158"/>
    </row>
    <row r="992">
      <c r="A992" s="153"/>
      <c r="B992" s="153"/>
      <c r="C992" s="154"/>
      <c r="D992" s="155"/>
      <c r="E992" s="153"/>
      <c r="F992" s="155"/>
      <c r="G992" s="155"/>
      <c r="H992" s="155"/>
      <c r="I992" s="153"/>
      <c r="J992" s="153"/>
      <c r="K992" s="153"/>
      <c r="L992" s="155"/>
      <c r="M992" s="155"/>
      <c r="N992" s="155"/>
      <c r="O992" s="158"/>
    </row>
    <row r="993">
      <c r="A993" s="153"/>
      <c r="B993" s="153"/>
      <c r="C993" s="154"/>
      <c r="D993" s="155"/>
      <c r="E993" s="153"/>
      <c r="F993" s="155"/>
      <c r="G993" s="155"/>
      <c r="H993" s="155"/>
      <c r="I993" s="153"/>
      <c r="J993" s="153"/>
      <c r="K993" s="153"/>
      <c r="L993" s="155"/>
      <c r="M993" s="155"/>
      <c r="N993" s="155"/>
      <c r="O993" s="158"/>
    </row>
    <row r="994">
      <c r="A994" s="153"/>
      <c r="B994" s="153"/>
      <c r="C994" s="154"/>
      <c r="D994" s="155"/>
      <c r="E994" s="153"/>
      <c r="F994" s="155"/>
      <c r="G994" s="155"/>
      <c r="H994" s="155"/>
      <c r="I994" s="153"/>
      <c r="J994" s="153"/>
      <c r="K994" s="153"/>
      <c r="L994" s="155"/>
      <c r="M994" s="155"/>
      <c r="N994" s="155"/>
      <c r="O994" s="158"/>
    </row>
    <row r="995">
      <c r="A995" s="153"/>
      <c r="B995" s="153"/>
      <c r="C995" s="154"/>
      <c r="D995" s="155"/>
      <c r="E995" s="153"/>
      <c r="F995" s="155"/>
      <c r="G995" s="155"/>
      <c r="H995" s="155"/>
      <c r="I995" s="153"/>
      <c r="J995" s="153"/>
      <c r="K995" s="153"/>
      <c r="L995" s="155"/>
      <c r="M995" s="155"/>
      <c r="N995" s="155"/>
      <c r="O995" s="158"/>
    </row>
    <row r="996">
      <c r="A996" s="153"/>
      <c r="B996" s="153"/>
      <c r="C996" s="154"/>
      <c r="D996" s="155"/>
      <c r="E996" s="153"/>
      <c r="F996" s="155"/>
      <c r="G996" s="155"/>
      <c r="H996" s="155"/>
      <c r="I996" s="153"/>
      <c r="J996" s="153"/>
      <c r="K996" s="153"/>
      <c r="L996" s="155"/>
      <c r="M996" s="155"/>
      <c r="N996" s="155"/>
      <c r="O996" s="158"/>
    </row>
    <row r="997">
      <c r="A997" s="153"/>
      <c r="B997" s="153"/>
      <c r="C997" s="154"/>
      <c r="D997" s="155"/>
      <c r="E997" s="153"/>
      <c r="F997" s="155"/>
      <c r="G997" s="155"/>
      <c r="H997" s="155"/>
      <c r="I997" s="153"/>
      <c r="J997" s="153"/>
      <c r="K997" s="153"/>
      <c r="L997" s="155"/>
      <c r="M997" s="155"/>
      <c r="N997" s="155"/>
      <c r="O997" s="158"/>
    </row>
    <row r="998">
      <c r="A998" s="153"/>
      <c r="B998" s="153"/>
      <c r="C998" s="154"/>
      <c r="D998" s="155"/>
      <c r="E998" s="153"/>
      <c r="F998" s="155"/>
      <c r="G998" s="155"/>
      <c r="H998" s="155"/>
      <c r="I998" s="153"/>
      <c r="J998" s="153"/>
      <c r="K998" s="153"/>
      <c r="L998" s="155"/>
      <c r="M998" s="155"/>
      <c r="N998" s="155"/>
      <c r="O998" s="158"/>
    </row>
    <row r="999">
      <c r="A999" s="153"/>
      <c r="B999" s="153"/>
      <c r="C999" s="154"/>
      <c r="D999" s="155"/>
      <c r="E999" s="153"/>
      <c r="F999" s="155"/>
      <c r="G999" s="155"/>
      <c r="H999" s="155"/>
      <c r="I999" s="153"/>
      <c r="J999" s="153"/>
      <c r="K999" s="153"/>
      <c r="L999" s="155"/>
      <c r="M999" s="155"/>
      <c r="N999" s="155"/>
      <c r="O999" s="158"/>
    </row>
    <row r="1000">
      <c r="A1000" s="153"/>
      <c r="B1000" s="153"/>
      <c r="C1000" s="154"/>
      <c r="D1000" s="155"/>
      <c r="E1000" s="153"/>
      <c r="F1000" s="155"/>
      <c r="G1000" s="155"/>
      <c r="H1000" s="155"/>
      <c r="I1000" s="153"/>
      <c r="J1000" s="153"/>
      <c r="K1000" s="153"/>
      <c r="L1000" s="155"/>
      <c r="M1000" s="155"/>
      <c r="N1000" s="155"/>
      <c r="O1000" s="158"/>
    </row>
    <row r="1001">
      <c r="A1001" s="153"/>
      <c r="B1001" s="153"/>
      <c r="C1001" s="154"/>
      <c r="D1001" s="155"/>
      <c r="E1001" s="153"/>
      <c r="F1001" s="155"/>
      <c r="G1001" s="155"/>
      <c r="H1001" s="155"/>
      <c r="I1001" s="153"/>
      <c r="J1001" s="153"/>
      <c r="K1001" s="153"/>
      <c r="L1001" s="155"/>
      <c r="M1001" s="155"/>
      <c r="N1001" s="155"/>
      <c r="O1001" s="158"/>
    </row>
    <row r="1002">
      <c r="A1002" s="153"/>
      <c r="B1002" s="153"/>
      <c r="C1002" s="154"/>
      <c r="D1002" s="155"/>
      <c r="E1002" s="153"/>
      <c r="F1002" s="155"/>
      <c r="G1002" s="155"/>
      <c r="H1002" s="155"/>
      <c r="I1002" s="153"/>
      <c r="J1002" s="153"/>
      <c r="K1002" s="153"/>
      <c r="L1002" s="155"/>
      <c r="M1002" s="155"/>
      <c r="N1002" s="155"/>
      <c r="O1002" s="158"/>
    </row>
    <row r="1003">
      <c r="A1003" s="153"/>
      <c r="B1003" s="153"/>
      <c r="C1003" s="154"/>
      <c r="D1003" s="155"/>
      <c r="E1003" s="153"/>
      <c r="F1003" s="155"/>
      <c r="G1003" s="155"/>
      <c r="H1003" s="155"/>
      <c r="I1003" s="153"/>
      <c r="J1003" s="153"/>
      <c r="K1003" s="153"/>
      <c r="L1003" s="155"/>
      <c r="M1003" s="155"/>
      <c r="N1003" s="155"/>
      <c r="O1003" s="158"/>
    </row>
    <row r="1004">
      <c r="A1004" s="153"/>
      <c r="B1004" s="153"/>
      <c r="C1004" s="154"/>
      <c r="D1004" s="155"/>
      <c r="E1004" s="153"/>
      <c r="F1004" s="155"/>
      <c r="G1004" s="155"/>
      <c r="H1004" s="155"/>
      <c r="I1004" s="153"/>
      <c r="J1004" s="153"/>
      <c r="K1004" s="153"/>
      <c r="L1004" s="155"/>
      <c r="M1004" s="155"/>
      <c r="N1004" s="155"/>
      <c r="O1004" s="158"/>
    </row>
    <row r="1005">
      <c r="A1005" s="153"/>
      <c r="B1005" s="153"/>
      <c r="C1005" s="154"/>
      <c r="D1005" s="155"/>
      <c r="E1005" s="153"/>
      <c r="F1005" s="155"/>
      <c r="G1005" s="155"/>
      <c r="H1005" s="155"/>
      <c r="I1005" s="153"/>
      <c r="J1005" s="153"/>
      <c r="K1005" s="153"/>
      <c r="L1005" s="155"/>
      <c r="M1005" s="155"/>
      <c r="N1005" s="155"/>
      <c r="O1005" s="158"/>
    </row>
    <row r="1006">
      <c r="A1006" s="153"/>
      <c r="B1006" s="153"/>
      <c r="C1006" s="154"/>
      <c r="D1006" s="155"/>
      <c r="E1006" s="153"/>
      <c r="F1006" s="155"/>
      <c r="G1006" s="155"/>
      <c r="H1006" s="155"/>
      <c r="I1006" s="153"/>
      <c r="J1006" s="153"/>
      <c r="K1006" s="153"/>
      <c r="L1006" s="155"/>
      <c r="M1006" s="155"/>
      <c r="N1006" s="155"/>
      <c r="O1006" s="158"/>
    </row>
  </sheetData>
  <autoFilter ref="$A$1:$O$1006"/>
  <conditionalFormatting sqref="F2:H2">
    <cfRule type="expression" dxfId="8" priority="1">
      <formula>F$4="Minimum Required"</formula>
    </cfRule>
  </conditionalFormatting>
  <conditionalFormatting sqref="I3:I141">
    <cfRule type="expression" dxfId="9" priority="2">
      <formula>$I3="Automatic"</formula>
    </cfRule>
  </conditionalFormatting>
  <conditionalFormatting sqref="A3:E141 I3:I141">
    <cfRule type="expression" dxfId="8" priority="3">
      <formula>$I3="Minimum Required"</formula>
    </cfRule>
  </conditionalFormatting>
  <conditionalFormatting sqref="I3:I141">
    <cfRule type="expression" dxfId="10" priority="4">
      <formula>$I3="Recommended"</formula>
    </cfRule>
  </conditionalFormatting>
  <conditionalFormatting sqref="I3:I141">
    <cfRule type="expression" dxfId="11" priority="5">
      <formula>$I3="Optional"</formula>
    </cfRule>
  </conditionalFormatting>
  <dataValidations>
    <dataValidation type="list" allowBlank="1" showErrorMessage="1" sqref="J8 O8">
      <formula1>countries</formula1>
    </dataValidation>
    <dataValidation type="list" allowBlank="1" showErrorMessage="1" sqref="O68">
      <formula1>#REF!</formula1>
    </dataValidation>
    <dataValidation type="list" allowBlank="1" showErrorMessage="1" sqref="J14 O14 J17 J58 O58 J99 O99 J102:J141 O102:O141">
      <formula1>Dropdowns!$A$4:$A$6</formula1>
    </dataValidation>
    <dataValidation type="list" allowBlank="1" showErrorMessage="1" sqref="J40 O40">
      <formula1>Dropdowns!$J$4:$J$9</formula1>
    </dataValidation>
    <dataValidation type="list" allowBlank="1" showInputMessage="1" prompt="Fai clic e immetti un valore dall'intervallo" sqref="J98">
      <formula1>Dropdowns!$Z$4:$Z$9</formula1>
    </dataValidation>
    <dataValidation type="list" allowBlank="1" showErrorMessage="1" sqref="J4 O4">
      <formula1>UNITS</formula1>
    </dataValidation>
    <dataValidation type="list" allowBlank="1" showErrorMessage="1" sqref="J7 O7">
      <formula1>projectype</formula1>
    </dataValidation>
    <dataValidation type="list" allowBlank="1" showErrorMessage="1" sqref="J100 O100">
      <formula1>BIOGENIC</formula1>
    </dataValidation>
    <dataValidation type="list" allowBlank="1" showErrorMessage="1" sqref="J57 O53:O57">
      <formula1>Dropdowns!$Q$4:$Q$22</formula1>
    </dataValidation>
    <dataValidation type="list" allowBlank="1" showErrorMessage="1" sqref="J53:J55">
      <formula1>Dropdowns!$O$4:$O$22</formula1>
    </dataValidation>
    <dataValidation type="list" allowBlank="1" showErrorMessage="1" sqref="J44">
      <formula1>Dropdowns!$N$4:$N$17</formula1>
    </dataValidation>
    <dataValidation type="list" allowBlank="1" showErrorMessage="1" sqref="J56">
      <formula1>Dropdowns!$P$4:$P$7</formula1>
    </dataValidation>
    <dataValidation type="list" allowBlank="1" showErrorMessage="1" sqref="O60">
      <formula1>Dropdowns!$U$4:$U$11</formula1>
    </dataValidation>
    <dataValidation type="list" allowBlank="1" showErrorMessage="1" sqref="J68">
      <formula1>Dropdowns!$X$4:$X$34</formula1>
    </dataValidation>
    <dataValidation type="list" allowBlank="1" showErrorMessage="1" sqref="J101 O101">
      <formula1>SOURCE</formula1>
    </dataValidation>
    <dataValidation type="list" allowBlank="1" showErrorMessage="1" sqref="J25 O25">
      <formula1>Dropdowns!$H$4:$H$12</formula1>
    </dataValidation>
    <dataValidation type="list" allowBlank="1" showInputMessage="1" prompt="Fai clic e immetti un valore dall'intervallo" sqref="J97 O97">
      <formula1>Dropdowns!$AC$4:$AC$8</formula1>
    </dataValidation>
    <dataValidation type="list" allowBlank="1" showErrorMessage="1" sqref="F3:F141">
      <formula1>Dropdowns!$AJ$4:$AJ$8</formula1>
    </dataValidation>
    <dataValidation type="list" allowBlank="1" showErrorMessage="1" sqref="J41 O41">
      <formula1>Dropdowns!$L$16:$L$26</formula1>
    </dataValidation>
    <dataValidation type="list" allowBlank="1" showErrorMessage="1" sqref="J60">
      <formula1>Dropdowns!$U$4:$U$21</formula1>
    </dataValidation>
    <dataValidation type="list" allowBlank="1" showErrorMessage="1" sqref="J67 O67">
      <formula1>ORT</formula1>
    </dataValidation>
    <dataValidation type="list" allowBlank="1" showInputMessage="1" prompt="Fai clic e immetti un valore dall'intervallo" sqref="J95">
      <formula1>Dropdowns!$Y$4:$Y$7</formula1>
    </dataValidation>
    <dataValidation type="list" allowBlank="1" showErrorMessage="1" sqref="J65 O65">
      <formula1>Dropdowns!$V$4:$V$14</formula1>
    </dataValidation>
    <dataValidation type="list" allowBlank="1" showErrorMessage="1" sqref="J96 O96">
      <formula1>lcamodel</formula1>
    </dataValidation>
    <dataValidation type="list" allowBlank="1" showErrorMessage="1" sqref="J38 O38">
      <formula1>CLIMATE</formula1>
    </dataValidation>
    <dataValidation type="custom" allowBlank="1" showDropDown="1" sqref="J13 J16 J19 J21 J26 J45:J46">
      <formula1>OR(NOT(ISERROR(DATEVALUE(J13))), AND(ISNUMBER(J13), LEFT(CELL("format", J13))="D"))</formula1>
    </dataValidation>
  </dataValidations>
  <printOptions gridLines="1"/>
  <pageMargins bottom="0.75" footer="0.0" header="0.0" left="0.7" right="0.7" top="0.75"/>
  <pageSetup paperSize="8" scale="65"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4" width="27.63"/>
    <col customWidth="1" min="5" max="16" width="15.13"/>
  </cols>
  <sheetData>
    <row r="1" ht="60.0" customHeight="1">
      <c r="A1" s="159" t="s">
        <v>587</v>
      </c>
      <c r="B1" s="160" t="s">
        <v>588</v>
      </c>
      <c r="C1" s="161" t="s">
        <v>589</v>
      </c>
      <c r="D1" s="161" t="s">
        <v>590</v>
      </c>
      <c r="E1" s="161" t="s">
        <v>591</v>
      </c>
      <c r="F1" s="161" t="s">
        <v>592</v>
      </c>
      <c r="G1" s="162" t="s">
        <v>593</v>
      </c>
      <c r="H1" s="162" t="s">
        <v>594</v>
      </c>
      <c r="I1" s="162" t="s">
        <v>595</v>
      </c>
      <c r="J1" s="162" t="s">
        <v>596</v>
      </c>
      <c r="K1" s="163" t="s">
        <v>597</v>
      </c>
      <c r="L1" s="164" t="s">
        <v>598</v>
      </c>
      <c r="M1" s="164" t="s">
        <v>599</v>
      </c>
      <c r="N1" s="162" t="s">
        <v>600</v>
      </c>
      <c r="O1" s="165" t="s">
        <v>601</v>
      </c>
      <c r="P1" s="162" t="s">
        <v>602</v>
      </c>
    </row>
    <row r="2" ht="90.0" customHeight="1">
      <c r="A2" s="159" t="s">
        <v>85</v>
      </c>
      <c r="B2" s="166" t="s">
        <v>603</v>
      </c>
      <c r="C2" s="85" t="s">
        <v>604</v>
      </c>
      <c r="D2" s="85" t="s">
        <v>605</v>
      </c>
      <c r="E2" s="85" t="s">
        <v>606</v>
      </c>
      <c r="F2" s="85" t="s">
        <v>607</v>
      </c>
      <c r="G2" s="167" t="s">
        <v>608</v>
      </c>
      <c r="H2" s="167" t="s">
        <v>609</v>
      </c>
      <c r="I2" s="167" t="s">
        <v>610</v>
      </c>
      <c r="J2" s="168" t="s">
        <v>611</v>
      </c>
      <c r="K2" s="168" t="s">
        <v>612</v>
      </c>
      <c r="L2" s="169" t="s">
        <v>613</v>
      </c>
      <c r="M2" s="169" t="s">
        <v>614</v>
      </c>
      <c r="N2" s="167" t="s">
        <v>615</v>
      </c>
      <c r="O2" s="170" t="s">
        <v>616</v>
      </c>
      <c r="P2" s="167" t="s">
        <v>617</v>
      </c>
    </row>
    <row r="3" ht="30.0" customHeight="1">
      <c r="A3" s="171" t="s">
        <v>618</v>
      </c>
      <c r="B3" s="172" t="s">
        <v>107</v>
      </c>
      <c r="C3" s="173" t="s">
        <v>107</v>
      </c>
      <c r="D3" s="173" t="s">
        <v>619</v>
      </c>
      <c r="E3" s="173" t="s">
        <v>107</v>
      </c>
      <c r="F3" s="173" t="s">
        <v>107</v>
      </c>
      <c r="G3" s="174" t="s">
        <v>190</v>
      </c>
      <c r="H3" s="174" t="s">
        <v>107</v>
      </c>
      <c r="I3" s="174" t="s">
        <v>190</v>
      </c>
      <c r="J3" s="175" t="s">
        <v>190</v>
      </c>
      <c r="K3" s="175" t="s">
        <v>190</v>
      </c>
      <c r="L3" s="174" t="s">
        <v>190</v>
      </c>
      <c r="M3" s="174" t="s">
        <v>190</v>
      </c>
      <c r="N3" s="174" t="s">
        <v>107</v>
      </c>
      <c r="O3" s="174" t="s">
        <v>107</v>
      </c>
      <c r="P3" s="174" t="s">
        <v>107</v>
      </c>
    </row>
    <row r="4" ht="18.75" customHeight="1">
      <c r="A4" s="171" t="s">
        <v>87</v>
      </c>
      <c r="B4" s="176" t="s">
        <v>114</v>
      </c>
      <c r="C4" s="177" t="s">
        <v>108</v>
      </c>
      <c r="D4" s="177" t="s">
        <v>114</v>
      </c>
      <c r="E4" s="177" t="s">
        <v>108</v>
      </c>
      <c r="F4" s="177" t="s">
        <v>108</v>
      </c>
      <c r="G4" s="178" t="s">
        <v>191</v>
      </c>
      <c r="H4" s="178" t="s">
        <v>114</v>
      </c>
      <c r="I4" s="178" t="s">
        <v>191</v>
      </c>
      <c r="J4" s="179" t="s">
        <v>191</v>
      </c>
      <c r="K4" s="179" t="s">
        <v>191</v>
      </c>
      <c r="L4" s="178" t="s">
        <v>191</v>
      </c>
      <c r="M4" s="178" t="s">
        <v>191</v>
      </c>
      <c r="N4" s="178" t="s">
        <v>114</v>
      </c>
      <c r="O4" s="178" t="s">
        <v>114</v>
      </c>
      <c r="P4" s="178" t="s">
        <v>114</v>
      </c>
    </row>
    <row r="5" ht="18.75" customHeight="1">
      <c r="A5" s="171" t="s">
        <v>620</v>
      </c>
      <c r="B5" s="176" t="s">
        <v>109</v>
      </c>
      <c r="C5" s="178" t="s">
        <v>109</v>
      </c>
      <c r="D5" s="178" t="s">
        <v>109</v>
      </c>
      <c r="E5" s="178" t="s">
        <v>109</v>
      </c>
      <c r="F5" s="178" t="s">
        <v>109</v>
      </c>
      <c r="G5" s="180" t="s">
        <v>155</v>
      </c>
      <c r="H5" s="178" t="s">
        <v>109</v>
      </c>
      <c r="I5" s="180" t="s">
        <v>155</v>
      </c>
      <c r="J5" s="181" t="s">
        <v>621</v>
      </c>
      <c r="K5" s="181" t="s">
        <v>622</v>
      </c>
      <c r="L5" s="180" t="s">
        <v>623</v>
      </c>
      <c r="M5" s="180" t="s">
        <v>624</v>
      </c>
      <c r="N5" s="178" t="s">
        <v>109</v>
      </c>
      <c r="O5" s="178" t="s">
        <v>109</v>
      </c>
      <c r="P5" s="178" t="s">
        <v>109</v>
      </c>
    </row>
    <row r="6" ht="18.75" customHeight="1">
      <c r="A6" s="182" t="s">
        <v>89</v>
      </c>
      <c r="B6" s="183" t="s">
        <v>37</v>
      </c>
      <c r="C6" s="184" t="s">
        <v>37</v>
      </c>
      <c r="D6" s="184" t="s">
        <v>39</v>
      </c>
      <c r="E6" s="184" t="s">
        <v>39</v>
      </c>
      <c r="F6" s="184" t="s">
        <v>41</v>
      </c>
      <c r="G6" s="183" t="s">
        <v>37</v>
      </c>
      <c r="H6" s="183" t="s">
        <v>37</v>
      </c>
      <c r="I6" s="183" t="s">
        <v>37</v>
      </c>
      <c r="J6" s="183" t="s">
        <v>37</v>
      </c>
      <c r="K6" s="183" t="s">
        <v>37</v>
      </c>
      <c r="L6" s="183" t="s">
        <v>37</v>
      </c>
      <c r="M6" s="183" t="s">
        <v>37</v>
      </c>
      <c r="N6" s="183" t="s">
        <v>37</v>
      </c>
      <c r="O6" s="183" t="s">
        <v>37</v>
      </c>
      <c r="P6" s="183" t="s">
        <v>37</v>
      </c>
    </row>
    <row r="7" ht="90.0" customHeight="1">
      <c r="A7" s="182" t="s">
        <v>71</v>
      </c>
      <c r="B7" s="83" t="s">
        <v>625</v>
      </c>
      <c r="C7" s="83" t="s">
        <v>626</v>
      </c>
      <c r="D7" s="83" t="s">
        <v>627</v>
      </c>
      <c r="E7" s="83" t="s">
        <v>628</v>
      </c>
      <c r="F7" s="83" t="s">
        <v>629</v>
      </c>
      <c r="G7" s="83" t="s">
        <v>630</v>
      </c>
      <c r="H7" s="83" t="s">
        <v>631</v>
      </c>
      <c r="I7" s="83" t="s">
        <v>632</v>
      </c>
      <c r="J7" s="83" t="s">
        <v>633</v>
      </c>
      <c r="K7" s="83" t="s">
        <v>634</v>
      </c>
      <c r="L7" s="83" t="s">
        <v>635</v>
      </c>
      <c r="M7" s="83" t="s">
        <v>636</v>
      </c>
      <c r="N7" s="83"/>
      <c r="O7" s="83"/>
      <c r="P7" s="83"/>
    </row>
    <row r="8" ht="18.75" customHeight="1">
      <c r="A8" s="182" t="s">
        <v>84</v>
      </c>
      <c r="B8" s="185"/>
      <c r="C8" s="186" t="s">
        <v>637</v>
      </c>
      <c r="D8" s="186" t="s">
        <v>638</v>
      </c>
      <c r="E8" s="186" t="s">
        <v>639</v>
      </c>
      <c r="F8" s="186" t="s">
        <v>640</v>
      </c>
      <c r="G8" s="185"/>
      <c r="H8" s="185"/>
      <c r="I8" s="185"/>
      <c r="J8" s="187" t="s">
        <v>641</v>
      </c>
      <c r="K8" s="185"/>
      <c r="L8" s="185"/>
      <c r="M8" s="185"/>
      <c r="N8" s="185"/>
      <c r="O8" s="185"/>
      <c r="P8" s="185"/>
    </row>
    <row r="9" ht="18.75" customHeight="1">
      <c r="A9" s="188"/>
      <c r="B9" s="189" t="s">
        <v>642</v>
      </c>
      <c r="C9" s="190"/>
      <c r="D9" s="191" t="s">
        <v>643</v>
      </c>
      <c r="E9" s="192"/>
      <c r="F9" s="193"/>
      <c r="G9" s="194">
        <v>1.0</v>
      </c>
      <c r="H9" s="195" t="s">
        <v>192</v>
      </c>
      <c r="I9" s="194">
        <v>50.0</v>
      </c>
      <c r="J9" s="196"/>
      <c r="K9" s="194">
        <v>3.8</v>
      </c>
      <c r="L9" s="194">
        <v>100.0</v>
      </c>
      <c r="M9" s="194">
        <v>0.1</v>
      </c>
      <c r="N9" s="194" t="s">
        <v>644</v>
      </c>
      <c r="O9" s="194" t="s">
        <v>645</v>
      </c>
      <c r="P9" s="194" t="s">
        <v>646</v>
      </c>
    </row>
    <row r="10" ht="18.75" customHeight="1">
      <c r="A10" s="188"/>
      <c r="B10" s="189"/>
      <c r="C10" s="197"/>
      <c r="D10" s="198"/>
      <c r="E10" s="192"/>
      <c r="F10" s="192"/>
      <c r="G10" s="199"/>
      <c r="H10" s="199"/>
      <c r="I10" s="199"/>
      <c r="J10" s="199"/>
      <c r="K10" s="199"/>
      <c r="L10" s="199"/>
      <c r="M10" s="199"/>
      <c r="N10" s="200"/>
      <c r="O10" s="200"/>
      <c r="P10" s="200"/>
    </row>
    <row r="11" ht="18.75" customHeight="1">
      <c r="A11" s="188"/>
      <c r="B11" s="189"/>
      <c r="C11" s="197"/>
      <c r="D11" s="198"/>
      <c r="E11" s="192"/>
      <c r="F11" s="192"/>
      <c r="G11" s="199"/>
      <c r="H11" s="199"/>
      <c r="I11" s="199"/>
      <c r="J11" s="199"/>
      <c r="K11" s="199"/>
      <c r="L11" s="199"/>
      <c r="M11" s="199"/>
      <c r="N11" s="200"/>
      <c r="O11" s="200"/>
      <c r="P11" s="200"/>
    </row>
    <row r="12" ht="18.75" customHeight="1">
      <c r="A12" s="188"/>
      <c r="B12" s="189"/>
      <c r="C12" s="197"/>
      <c r="D12" s="198"/>
      <c r="E12" s="192"/>
      <c r="F12" s="192"/>
      <c r="G12" s="199"/>
      <c r="H12" s="199"/>
      <c r="I12" s="199"/>
      <c r="J12" s="199"/>
      <c r="K12" s="199"/>
      <c r="L12" s="199"/>
      <c r="M12" s="199"/>
      <c r="N12" s="200"/>
      <c r="O12" s="200"/>
      <c r="P12" s="200"/>
    </row>
    <row r="13" ht="18.75" customHeight="1">
      <c r="A13" s="188"/>
      <c r="B13" s="189"/>
      <c r="C13" s="197"/>
      <c r="D13" s="198"/>
      <c r="E13" s="192"/>
      <c r="F13" s="192"/>
      <c r="G13" s="199"/>
      <c r="H13" s="199"/>
      <c r="I13" s="199"/>
      <c r="J13" s="199"/>
      <c r="K13" s="199"/>
      <c r="L13" s="199"/>
      <c r="M13" s="199"/>
      <c r="N13" s="200"/>
      <c r="O13" s="200"/>
      <c r="P13" s="200"/>
    </row>
    <row r="14" ht="18.75" customHeight="1">
      <c r="A14" s="188"/>
      <c r="B14" s="189"/>
      <c r="C14" s="201"/>
      <c r="D14" s="198"/>
      <c r="E14" s="192"/>
      <c r="F14" s="192"/>
      <c r="G14" s="199"/>
      <c r="H14" s="199"/>
      <c r="I14" s="199"/>
      <c r="J14" s="199"/>
      <c r="K14" s="199"/>
      <c r="L14" s="199"/>
      <c r="M14" s="199"/>
      <c r="N14" s="200"/>
      <c r="O14" s="200"/>
      <c r="P14" s="200"/>
    </row>
    <row r="15" ht="18.75" customHeight="1">
      <c r="A15" s="188"/>
      <c r="B15" s="189"/>
      <c r="C15" s="201"/>
      <c r="D15" s="198"/>
      <c r="E15" s="192"/>
      <c r="F15" s="192"/>
      <c r="G15" s="199"/>
      <c r="H15" s="199"/>
      <c r="I15" s="199"/>
      <c r="J15" s="199"/>
      <c r="K15" s="199"/>
      <c r="L15" s="199"/>
      <c r="M15" s="199"/>
      <c r="N15" s="200"/>
      <c r="O15" s="200"/>
      <c r="P15" s="200"/>
    </row>
    <row r="16" ht="18.75" customHeight="1">
      <c r="A16" s="188"/>
      <c r="B16" s="189"/>
      <c r="C16" s="197"/>
      <c r="D16" s="202"/>
      <c r="E16" s="192"/>
      <c r="F16" s="192"/>
      <c r="G16" s="199"/>
      <c r="H16" s="199"/>
      <c r="I16" s="199"/>
      <c r="J16" s="199"/>
      <c r="K16" s="199"/>
      <c r="L16" s="199"/>
      <c r="M16" s="199"/>
      <c r="N16" s="200"/>
      <c r="O16" s="200"/>
      <c r="P16" s="200"/>
    </row>
    <row r="17" ht="18.75" customHeight="1">
      <c r="A17" s="188"/>
      <c r="B17" s="189"/>
      <c r="C17" s="197"/>
      <c r="D17" s="202"/>
      <c r="E17" s="192"/>
      <c r="F17" s="192"/>
      <c r="G17" s="199"/>
      <c r="H17" s="199"/>
      <c r="I17" s="199"/>
      <c r="J17" s="199"/>
      <c r="K17" s="199"/>
      <c r="L17" s="199"/>
      <c r="M17" s="199"/>
      <c r="N17" s="200"/>
      <c r="O17" s="200"/>
      <c r="P17" s="200"/>
    </row>
    <row r="18" ht="18.75" customHeight="1">
      <c r="A18" s="188"/>
      <c r="B18" s="189"/>
      <c r="C18" s="197"/>
      <c r="D18" s="202"/>
      <c r="E18" s="192"/>
      <c r="F18" s="192"/>
      <c r="G18" s="199"/>
      <c r="H18" s="199"/>
      <c r="I18" s="199"/>
      <c r="J18" s="199"/>
      <c r="K18" s="199"/>
      <c r="L18" s="199"/>
      <c r="M18" s="199"/>
      <c r="N18" s="200"/>
      <c r="O18" s="200"/>
      <c r="P18" s="200"/>
    </row>
    <row r="19" ht="18.75" customHeight="1">
      <c r="A19" s="188"/>
      <c r="B19" s="189"/>
      <c r="C19" s="197"/>
      <c r="D19" s="202"/>
      <c r="E19" s="192"/>
      <c r="F19" s="192"/>
      <c r="G19" s="199"/>
      <c r="H19" s="199"/>
      <c r="I19" s="199"/>
      <c r="J19" s="199"/>
      <c r="K19" s="199"/>
      <c r="L19" s="199"/>
      <c r="M19" s="199"/>
      <c r="N19" s="200"/>
      <c r="O19" s="200"/>
      <c r="P19" s="200"/>
    </row>
    <row r="20" ht="18.75" customHeight="1">
      <c r="A20" s="188"/>
      <c r="B20" s="189"/>
      <c r="C20" s="197"/>
      <c r="D20" s="202"/>
      <c r="E20" s="192"/>
      <c r="F20" s="192"/>
      <c r="G20" s="199"/>
      <c r="H20" s="199"/>
      <c r="I20" s="199"/>
      <c r="J20" s="199"/>
      <c r="K20" s="199"/>
      <c r="L20" s="199"/>
      <c r="M20" s="199"/>
      <c r="N20" s="200"/>
      <c r="O20" s="200"/>
      <c r="P20" s="200"/>
    </row>
    <row r="21" ht="18.75" customHeight="1">
      <c r="A21" s="188"/>
      <c r="B21" s="189"/>
      <c r="C21" s="197"/>
      <c r="D21" s="202"/>
      <c r="E21" s="192"/>
      <c r="F21" s="192"/>
      <c r="G21" s="199"/>
      <c r="H21" s="199"/>
      <c r="I21" s="199"/>
      <c r="J21" s="199"/>
      <c r="K21" s="199"/>
      <c r="L21" s="199"/>
      <c r="M21" s="199"/>
      <c r="N21" s="200"/>
      <c r="O21" s="200"/>
      <c r="P21" s="200"/>
    </row>
    <row r="22" ht="18.75" customHeight="1">
      <c r="A22" s="188"/>
      <c r="B22" s="189"/>
      <c r="C22" s="197"/>
      <c r="D22" s="202"/>
      <c r="E22" s="192"/>
      <c r="F22" s="192"/>
      <c r="G22" s="199"/>
      <c r="H22" s="199"/>
      <c r="I22" s="199"/>
      <c r="J22" s="199"/>
      <c r="K22" s="199"/>
      <c r="L22" s="199"/>
      <c r="M22" s="199"/>
      <c r="N22" s="200"/>
      <c r="O22" s="200"/>
      <c r="P22" s="200"/>
    </row>
    <row r="23" ht="18.75" customHeight="1">
      <c r="A23" s="188"/>
      <c r="B23" s="189"/>
      <c r="C23" s="197"/>
      <c r="D23" s="202"/>
      <c r="E23" s="192"/>
      <c r="F23" s="192"/>
      <c r="G23" s="199"/>
      <c r="H23" s="199"/>
      <c r="I23" s="199"/>
      <c r="J23" s="199"/>
      <c r="K23" s="199"/>
      <c r="L23" s="199"/>
      <c r="M23" s="199"/>
      <c r="N23" s="200"/>
      <c r="O23" s="200"/>
      <c r="P23" s="200"/>
    </row>
    <row r="24" ht="18.75" customHeight="1">
      <c r="A24" s="188"/>
      <c r="B24" s="189"/>
      <c r="C24" s="197"/>
      <c r="D24" s="202"/>
      <c r="E24" s="192"/>
      <c r="F24" s="192"/>
      <c r="G24" s="199"/>
      <c r="H24" s="199"/>
      <c r="I24" s="199"/>
      <c r="J24" s="199"/>
      <c r="K24" s="199"/>
      <c r="L24" s="199"/>
      <c r="M24" s="199"/>
      <c r="N24" s="200"/>
      <c r="O24" s="200"/>
      <c r="P24" s="200"/>
    </row>
    <row r="25" ht="18.75" customHeight="1">
      <c r="A25" s="10"/>
      <c r="B25" s="189"/>
      <c r="C25" s="197"/>
      <c r="D25" s="202"/>
      <c r="E25" s="192"/>
      <c r="F25" s="192"/>
      <c r="G25" s="199"/>
      <c r="H25" s="199"/>
      <c r="I25" s="199"/>
      <c r="J25" s="199"/>
      <c r="K25" s="199"/>
      <c r="L25" s="199"/>
      <c r="M25" s="199"/>
      <c r="N25" s="200"/>
      <c r="O25" s="200"/>
      <c r="P25" s="200"/>
    </row>
    <row r="26" ht="18.75" customHeight="1">
      <c r="A26" s="10"/>
      <c r="B26" s="189"/>
      <c r="C26" s="197"/>
      <c r="D26" s="199"/>
      <c r="E26" s="192"/>
      <c r="F26" s="192"/>
      <c r="G26" s="199"/>
      <c r="H26" s="199"/>
      <c r="I26" s="199"/>
      <c r="J26" s="199"/>
      <c r="K26" s="199"/>
      <c r="L26" s="199"/>
      <c r="M26" s="199"/>
      <c r="N26" s="200"/>
      <c r="O26" s="200"/>
      <c r="P26" s="200"/>
    </row>
    <row r="27" ht="18.75" customHeight="1">
      <c r="A27" s="10"/>
      <c r="B27" s="189"/>
      <c r="C27" s="197"/>
      <c r="D27" s="199"/>
      <c r="E27" s="192"/>
      <c r="F27" s="192"/>
      <c r="G27" s="199"/>
      <c r="H27" s="199"/>
      <c r="I27" s="199"/>
      <c r="J27" s="199"/>
      <c r="K27" s="199"/>
      <c r="L27" s="199"/>
      <c r="M27" s="199"/>
      <c r="N27" s="200"/>
      <c r="O27" s="200"/>
      <c r="P27" s="200"/>
    </row>
    <row r="28" ht="18.75" customHeight="1">
      <c r="A28" s="10"/>
      <c r="B28" s="189"/>
      <c r="C28" s="197"/>
      <c r="D28" s="199"/>
      <c r="E28" s="192"/>
      <c r="F28" s="192"/>
      <c r="G28" s="199"/>
      <c r="H28" s="199"/>
      <c r="I28" s="199"/>
      <c r="J28" s="199"/>
      <c r="K28" s="199"/>
      <c r="L28" s="199"/>
      <c r="M28" s="199"/>
      <c r="N28" s="200"/>
      <c r="O28" s="200"/>
      <c r="P28" s="200"/>
    </row>
    <row r="29" ht="18.75" customHeight="1">
      <c r="A29" s="10"/>
      <c r="B29" s="189"/>
      <c r="C29" s="197"/>
      <c r="D29" s="199"/>
      <c r="E29" s="192"/>
      <c r="F29" s="192"/>
      <c r="G29" s="199"/>
      <c r="H29" s="199"/>
      <c r="I29" s="199"/>
      <c r="J29" s="199"/>
      <c r="K29" s="199"/>
      <c r="L29" s="199"/>
      <c r="M29" s="199"/>
      <c r="N29" s="200"/>
      <c r="O29" s="200"/>
      <c r="P29" s="200"/>
    </row>
    <row r="30" ht="18.75" customHeight="1">
      <c r="A30" s="10"/>
      <c r="B30" s="189"/>
      <c r="C30" s="197"/>
      <c r="D30" s="199"/>
      <c r="E30" s="192"/>
      <c r="F30" s="192"/>
      <c r="G30" s="199"/>
      <c r="H30" s="199"/>
      <c r="I30" s="199"/>
      <c r="J30" s="199"/>
      <c r="K30" s="199"/>
      <c r="L30" s="199"/>
      <c r="M30" s="199"/>
      <c r="N30" s="200"/>
      <c r="O30" s="200"/>
      <c r="P30" s="200"/>
    </row>
    <row r="31" ht="18.75" customHeight="1">
      <c r="A31" s="10"/>
      <c r="B31" s="189"/>
      <c r="C31" s="197"/>
      <c r="D31" s="199"/>
      <c r="E31" s="192"/>
      <c r="F31" s="192"/>
      <c r="G31" s="199"/>
      <c r="H31" s="199"/>
      <c r="I31" s="199"/>
      <c r="J31" s="199"/>
      <c r="K31" s="199"/>
      <c r="L31" s="199"/>
      <c r="M31" s="199"/>
      <c r="N31" s="200"/>
      <c r="O31" s="200"/>
      <c r="P31" s="200"/>
    </row>
    <row r="32" ht="18.75" customHeight="1">
      <c r="A32" s="10"/>
      <c r="B32" s="189"/>
      <c r="C32" s="197"/>
      <c r="D32" s="199"/>
      <c r="E32" s="192"/>
      <c r="F32" s="192"/>
      <c r="G32" s="199"/>
      <c r="H32" s="199"/>
      <c r="I32" s="199"/>
      <c r="J32" s="199"/>
      <c r="K32" s="199"/>
      <c r="L32" s="199"/>
      <c r="M32" s="199"/>
      <c r="N32" s="200"/>
      <c r="O32" s="200"/>
      <c r="P32" s="200"/>
    </row>
    <row r="33" ht="18.75" customHeight="1">
      <c r="A33" s="10"/>
      <c r="B33" s="189"/>
      <c r="C33" s="197"/>
      <c r="D33" s="199"/>
      <c r="E33" s="192"/>
      <c r="F33" s="192"/>
      <c r="G33" s="199"/>
      <c r="H33" s="199"/>
      <c r="I33" s="199"/>
      <c r="J33" s="199"/>
      <c r="K33" s="199"/>
      <c r="L33" s="199"/>
      <c r="M33" s="199"/>
      <c r="N33" s="200"/>
      <c r="O33" s="200"/>
      <c r="P33" s="200"/>
    </row>
    <row r="34" ht="18.75" customHeight="1">
      <c r="A34" s="10"/>
      <c r="B34" s="189"/>
      <c r="C34" s="197"/>
      <c r="D34" s="199"/>
      <c r="E34" s="192"/>
      <c r="F34" s="192"/>
      <c r="G34" s="199"/>
      <c r="H34" s="199"/>
      <c r="I34" s="199"/>
      <c r="J34" s="199"/>
      <c r="K34" s="199"/>
      <c r="L34" s="199"/>
      <c r="M34" s="199"/>
      <c r="N34" s="200"/>
      <c r="O34" s="200"/>
      <c r="P34" s="200"/>
    </row>
    <row r="35" ht="18.75" customHeight="1">
      <c r="A35" s="10"/>
      <c r="B35" s="189"/>
      <c r="C35" s="197"/>
      <c r="D35" s="199"/>
      <c r="E35" s="192"/>
      <c r="F35" s="192"/>
      <c r="G35" s="199"/>
      <c r="H35" s="199"/>
      <c r="I35" s="199"/>
      <c r="J35" s="199"/>
      <c r="K35" s="199"/>
      <c r="L35" s="199"/>
      <c r="M35" s="199"/>
      <c r="N35" s="200"/>
      <c r="O35" s="200"/>
      <c r="P35" s="200"/>
    </row>
    <row r="36" ht="18.75" customHeight="1">
      <c r="A36" s="10"/>
      <c r="B36" s="189"/>
      <c r="C36" s="197"/>
      <c r="D36" s="199"/>
      <c r="E36" s="192"/>
      <c r="F36" s="192"/>
      <c r="G36" s="199"/>
      <c r="H36" s="199"/>
      <c r="I36" s="199"/>
      <c r="J36" s="199"/>
      <c r="K36" s="199"/>
      <c r="L36" s="199"/>
      <c r="M36" s="199"/>
      <c r="N36" s="200"/>
      <c r="O36" s="200"/>
      <c r="P36" s="200"/>
    </row>
    <row r="37" ht="18.75" customHeight="1">
      <c r="A37" s="10"/>
      <c r="B37" s="189"/>
      <c r="C37" s="197"/>
      <c r="D37" s="199"/>
      <c r="E37" s="192"/>
      <c r="F37" s="192"/>
      <c r="G37" s="199"/>
      <c r="H37" s="199"/>
      <c r="I37" s="199"/>
      <c r="J37" s="199"/>
      <c r="K37" s="199"/>
      <c r="L37" s="199"/>
      <c r="M37" s="199"/>
      <c r="N37" s="200"/>
      <c r="O37" s="200"/>
      <c r="P37" s="200"/>
    </row>
    <row r="38" ht="18.75" customHeight="1">
      <c r="A38" s="10"/>
      <c r="B38" s="189"/>
      <c r="C38" s="197"/>
      <c r="D38" s="199"/>
      <c r="E38" s="192"/>
      <c r="F38" s="192"/>
      <c r="G38" s="199"/>
      <c r="H38" s="199"/>
      <c r="I38" s="199"/>
      <c r="J38" s="199"/>
      <c r="K38" s="199"/>
      <c r="L38" s="199"/>
      <c r="M38" s="199"/>
      <c r="N38" s="200"/>
      <c r="O38" s="200"/>
      <c r="P38" s="200"/>
    </row>
    <row r="39" ht="18.75" customHeight="1">
      <c r="A39" s="10"/>
      <c r="B39" s="189"/>
      <c r="C39" s="197"/>
      <c r="D39" s="199"/>
      <c r="E39" s="192"/>
      <c r="F39" s="192"/>
      <c r="G39" s="199"/>
      <c r="H39" s="199"/>
      <c r="I39" s="199"/>
      <c r="J39" s="199"/>
      <c r="K39" s="199"/>
      <c r="L39" s="199"/>
      <c r="M39" s="199"/>
      <c r="N39" s="200"/>
      <c r="O39" s="200"/>
      <c r="P39" s="200"/>
    </row>
    <row r="40" ht="18.75" customHeight="1">
      <c r="A40" s="10"/>
      <c r="B40" s="189"/>
      <c r="C40" s="197"/>
      <c r="D40" s="199"/>
      <c r="E40" s="192"/>
      <c r="F40" s="192"/>
      <c r="G40" s="199"/>
      <c r="H40" s="199"/>
      <c r="I40" s="199"/>
      <c r="J40" s="199"/>
      <c r="K40" s="199"/>
      <c r="L40" s="199"/>
      <c r="M40" s="199"/>
      <c r="N40" s="200"/>
      <c r="O40" s="200"/>
      <c r="P40" s="200"/>
    </row>
    <row r="41" ht="18.75" customHeight="1">
      <c r="A41" s="10"/>
      <c r="B41" s="189"/>
      <c r="C41" s="197"/>
      <c r="D41" s="199"/>
      <c r="E41" s="192"/>
      <c r="F41" s="192"/>
      <c r="G41" s="199"/>
      <c r="H41" s="199"/>
      <c r="I41" s="199"/>
      <c r="J41" s="199"/>
      <c r="K41" s="199"/>
      <c r="L41" s="199"/>
      <c r="M41" s="199"/>
      <c r="N41" s="200"/>
      <c r="O41" s="200"/>
      <c r="P41" s="200"/>
    </row>
    <row r="42" ht="18.75" customHeight="1">
      <c r="A42" s="10"/>
      <c r="B42" s="189"/>
      <c r="C42" s="197"/>
      <c r="D42" s="199"/>
      <c r="E42" s="192"/>
      <c r="F42" s="192"/>
      <c r="G42" s="199"/>
      <c r="H42" s="199"/>
      <c r="I42" s="199"/>
      <c r="J42" s="199"/>
      <c r="K42" s="199"/>
      <c r="L42" s="199"/>
      <c r="M42" s="199"/>
      <c r="N42" s="200"/>
      <c r="O42" s="200"/>
      <c r="P42" s="200"/>
    </row>
    <row r="43" ht="18.75" customHeight="1">
      <c r="A43" s="10"/>
      <c r="B43" s="189"/>
      <c r="C43" s="197"/>
      <c r="D43" s="199"/>
      <c r="E43" s="192"/>
      <c r="F43" s="192"/>
      <c r="G43" s="199"/>
      <c r="H43" s="199"/>
      <c r="I43" s="199"/>
      <c r="J43" s="199"/>
      <c r="K43" s="199"/>
      <c r="L43" s="199"/>
      <c r="M43" s="199"/>
      <c r="N43" s="200"/>
      <c r="O43" s="200"/>
      <c r="P43" s="200"/>
    </row>
    <row r="44" ht="18.75" customHeight="1">
      <c r="A44" s="10"/>
      <c r="B44" s="189"/>
      <c r="C44" s="197"/>
      <c r="D44" s="199"/>
      <c r="E44" s="192"/>
      <c r="F44" s="192"/>
      <c r="G44" s="199"/>
      <c r="H44" s="199"/>
      <c r="I44" s="199"/>
      <c r="J44" s="199"/>
      <c r="K44" s="199"/>
      <c r="L44" s="199"/>
      <c r="M44" s="199"/>
      <c r="N44" s="200"/>
      <c r="O44" s="200"/>
      <c r="P44" s="200"/>
    </row>
    <row r="45" ht="18.75" customHeight="1">
      <c r="A45" s="10"/>
      <c r="B45" s="189"/>
      <c r="C45" s="197"/>
      <c r="D45" s="199"/>
      <c r="E45" s="192"/>
      <c r="F45" s="192"/>
      <c r="G45" s="199"/>
      <c r="H45" s="199"/>
      <c r="I45" s="199"/>
      <c r="J45" s="199"/>
      <c r="K45" s="199"/>
      <c r="L45" s="199"/>
      <c r="M45" s="199"/>
      <c r="N45" s="200"/>
      <c r="O45" s="200"/>
      <c r="P45" s="200"/>
    </row>
    <row r="46" ht="18.75" customHeight="1">
      <c r="A46" s="10"/>
      <c r="B46" s="189"/>
      <c r="C46" s="197"/>
      <c r="D46" s="199"/>
      <c r="E46" s="192"/>
      <c r="F46" s="192"/>
      <c r="G46" s="199"/>
      <c r="H46" s="199"/>
      <c r="I46" s="199"/>
      <c r="J46" s="199"/>
      <c r="K46" s="199"/>
      <c r="L46" s="199"/>
      <c r="M46" s="199"/>
      <c r="N46" s="200"/>
      <c r="O46" s="200"/>
      <c r="P46" s="200"/>
    </row>
    <row r="47" ht="18.75" customHeight="1">
      <c r="A47" s="10"/>
      <c r="B47" s="189"/>
      <c r="C47" s="197"/>
      <c r="D47" s="199"/>
      <c r="E47" s="192"/>
      <c r="F47" s="192"/>
      <c r="G47" s="199"/>
      <c r="H47" s="199"/>
      <c r="I47" s="199"/>
      <c r="J47" s="199"/>
      <c r="K47" s="199"/>
      <c r="L47" s="199"/>
      <c r="M47" s="199"/>
      <c r="N47" s="200"/>
      <c r="O47" s="200"/>
      <c r="P47" s="200"/>
    </row>
    <row r="48" ht="18.75" customHeight="1">
      <c r="A48" s="10"/>
      <c r="B48" s="189"/>
      <c r="C48" s="197"/>
      <c r="D48" s="199"/>
      <c r="E48" s="192"/>
      <c r="F48" s="192"/>
      <c r="G48" s="199"/>
      <c r="H48" s="199"/>
      <c r="I48" s="199"/>
      <c r="J48" s="199"/>
      <c r="K48" s="199"/>
      <c r="L48" s="199"/>
      <c r="M48" s="199"/>
      <c r="N48" s="200"/>
      <c r="O48" s="200"/>
      <c r="P48" s="200"/>
    </row>
    <row r="49" ht="18.75" customHeight="1">
      <c r="A49" s="10"/>
      <c r="B49" s="189"/>
      <c r="C49" s="197"/>
      <c r="D49" s="199"/>
      <c r="E49" s="192"/>
      <c r="F49" s="192"/>
      <c r="G49" s="199"/>
      <c r="H49" s="199"/>
      <c r="I49" s="199"/>
      <c r="J49" s="199"/>
      <c r="K49" s="199"/>
      <c r="L49" s="199"/>
      <c r="M49" s="199"/>
      <c r="N49" s="200"/>
      <c r="O49" s="200"/>
      <c r="P49" s="200"/>
    </row>
    <row r="50" ht="18.75" customHeight="1">
      <c r="A50" s="10"/>
      <c r="B50" s="189"/>
      <c r="C50" s="197"/>
      <c r="D50" s="199"/>
      <c r="E50" s="192"/>
      <c r="F50" s="192"/>
      <c r="G50" s="199"/>
      <c r="H50" s="199"/>
      <c r="I50" s="199"/>
      <c r="J50" s="199"/>
      <c r="K50" s="199"/>
      <c r="L50" s="199"/>
      <c r="M50" s="199"/>
      <c r="N50" s="200"/>
      <c r="O50" s="200"/>
      <c r="P50" s="200"/>
    </row>
    <row r="51" ht="18.75" customHeight="1">
      <c r="A51" s="10"/>
      <c r="B51" s="189"/>
      <c r="C51" s="197"/>
      <c r="D51" s="199"/>
      <c r="E51" s="192"/>
      <c r="F51" s="192"/>
      <c r="G51" s="199"/>
      <c r="H51" s="199"/>
      <c r="I51" s="199"/>
      <c r="J51" s="199"/>
      <c r="K51" s="199"/>
      <c r="L51" s="199"/>
      <c r="M51" s="199"/>
      <c r="N51" s="200"/>
      <c r="O51" s="200"/>
      <c r="P51" s="200"/>
    </row>
    <row r="52" ht="18.75" customHeight="1">
      <c r="A52" s="10"/>
      <c r="B52" s="189"/>
      <c r="C52" s="197"/>
      <c r="D52" s="199"/>
      <c r="E52" s="192"/>
      <c r="F52" s="192"/>
      <c r="G52" s="199"/>
      <c r="H52" s="199"/>
      <c r="I52" s="199"/>
      <c r="J52" s="199"/>
      <c r="K52" s="199"/>
      <c r="L52" s="199"/>
      <c r="M52" s="199"/>
      <c r="N52" s="200"/>
      <c r="O52" s="200"/>
      <c r="P52" s="200"/>
    </row>
    <row r="53" ht="18.75" customHeight="1">
      <c r="A53" s="10"/>
      <c r="B53" s="189"/>
      <c r="C53" s="197"/>
      <c r="D53" s="199"/>
      <c r="E53" s="192"/>
      <c r="F53" s="192"/>
      <c r="G53" s="199"/>
      <c r="H53" s="199"/>
      <c r="I53" s="199"/>
      <c r="J53" s="199"/>
      <c r="K53" s="199"/>
      <c r="L53" s="199"/>
      <c r="M53" s="199"/>
      <c r="N53" s="200"/>
      <c r="O53" s="200"/>
      <c r="P53" s="200"/>
    </row>
    <row r="54" ht="18.75" customHeight="1">
      <c r="A54" s="10"/>
      <c r="B54" s="189"/>
      <c r="C54" s="197"/>
      <c r="D54" s="199"/>
      <c r="E54" s="192"/>
      <c r="F54" s="192"/>
      <c r="G54" s="199"/>
      <c r="H54" s="199"/>
      <c r="I54" s="199"/>
      <c r="J54" s="199"/>
      <c r="K54" s="199"/>
      <c r="L54" s="199"/>
      <c r="M54" s="199"/>
      <c r="N54" s="200"/>
      <c r="O54" s="200"/>
      <c r="P54" s="200"/>
    </row>
    <row r="55" ht="18.75" customHeight="1">
      <c r="A55" s="10"/>
      <c r="B55" s="189"/>
      <c r="C55" s="197"/>
      <c r="D55" s="199"/>
      <c r="E55" s="192"/>
      <c r="F55" s="192"/>
      <c r="G55" s="199"/>
      <c r="H55" s="199"/>
      <c r="I55" s="199"/>
      <c r="J55" s="199"/>
      <c r="K55" s="199"/>
      <c r="L55" s="199"/>
      <c r="M55" s="199"/>
      <c r="N55" s="200"/>
      <c r="O55" s="200"/>
      <c r="P55" s="200"/>
    </row>
    <row r="56" ht="18.75" customHeight="1">
      <c r="A56" s="10"/>
      <c r="B56" s="189"/>
      <c r="C56" s="197"/>
      <c r="D56" s="199"/>
      <c r="E56" s="192"/>
      <c r="F56" s="192"/>
      <c r="G56" s="199"/>
      <c r="H56" s="199"/>
      <c r="I56" s="199"/>
      <c r="J56" s="199"/>
      <c r="K56" s="199"/>
      <c r="L56" s="199"/>
      <c r="M56" s="199"/>
      <c r="N56" s="200"/>
      <c r="O56" s="200"/>
      <c r="P56" s="200"/>
    </row>
    <row r="57" ht="18.75" customHeight="1">
      <c r="A57" s="10"/>
      <c r="B57" s="189"/>
      <c r="C57" s="197"/>
      <c r="D57" s="199"/>
      <c r="E57" s="192"/>
      <c r="F57" s="192"/>
      <c r="G57" s="199"/>
      <c r="H57" s="199"/>
      <c r="I57" s="199"/>
      <c r="J57" s="199"/>
      <c r="K57" s="199"/>
      <c r="L57" s="199"/>
      <c r="M57" s="199"/>
      <c r="N57" s="200"/>
      <c r="O57" s="200"/>
      <c r="P57" s="200"/>
    </row>
    <row r="58" ht="18.75" customHeight="1">
      <c r="A58" s="10"/>
      <c r="B58" s="189"/>
      <c r="C58" s="197"/>
      <c r="D58" s="199"/>
      <c r="E58" s="192"/>
      <c r="F58" s="192"/>
      <c r="G58" s="199"/>
      <c r="H58" s="199"/>
      <c r="I58" s="199"/>
      <c r="J58" s="199"/>
      <c r="K58" s="199"/>
      <c r="L58" s="199"/>
      <c r="M58" s="199"/>
      <c r="N58" s="200"/>
      <c r="O58" s="200"/>
      <c r="P58" s="200"/>
    </row>
    <row r="59" ht="18.75" customHeight="1">
      <c r="A59" s="10"/>
      <c r="B59" s="189"/>
      <c r="C59" s="197"/>
      <c r="D59" s="199"/>
      <c r="E59" s="192"/>
      <c r="F59" s="192"/>
      <c r="G59" s="199"/>
      <c r="H59" s="199"/>
      <c r="I59" s="199"/>
      <c r="J59" s="199"/>
      <c r="K59" s="199"/>
      <c r="L59" s="199"/>
      <c r="M59" s="199"/>
      <c r="N59" s="200"/>
      <c r="O59" s="200"/>
      <c r="P59" s="200"/>
    </row>
    <row r="60" ht="18.75" customHeight="1">
      <c r="A60" s="10"/>
      <c r="B60" s="189"/>
      <c r="C60" s="197"/>
      <c r="D60" s="199"/>
      <c r="E60" s="192"/>
      <c r="F60" s="192"/>
      <c r="G60" s="199"/>
      <c r="H60" s="199"/>
      <c r="I60" s="199"/>
      <c r="J60" s="199"/>
      <c r="K60" s="199"/>
      <c r="L60" s="199"/>
      <c r="M60" s="199"/>
      <c r="N60" s="200"/>
      <c r="O60" s="200"/>
      <c r="P60" s="200"/>
    </row>
    <row r="61" ht="18.75" customHeight="1">
      <c r="A61" s="10"/>
      <c r="B61" s="189"/>
      <c r="C61" s="197"/>
      <c r="D61" s="199"/>
      <c r="E61" s="192"/>
      <c r="F61" s="192"/>
      <c r="G61" s="199"/>
      <c r="H61" s="199"/>
      <c r="I61" s="199"/>
      <c r="J61" s="199"/>
      <c r="K61" s="199"/>
      <c r="L61" s="199"/>
      <c r="M61" s="199"/>
      <c r="N61" s="200"/>
      <c r="O61" s="200"/>
      <c r="P61" s="200"/>
    </row>
    <row r="62" ht="18.75" customHeight="1">
      <c r="A62" s="10"/>
      <c r="B62" s="189"/>
      <c r="C62" s="197"/>
      <c r="D62" s="199"/>
      <c r="E62" s="192"/>
      <c r="F62" s="192"/>
      <c r="G62" s="199"/>
      <c r="H62" s="199"/>
      <c r="I62" s="199"/>
      <c r="J62" s="199"/>
      <c r="K62" s="199"/>
      <c r="L62" s="199"/>
      <c r="M62" s="199"/>
      <c r="N62" s="200"/>
      <c r="O62" s="200"/>
      <c r="P62" s="200"/>
    </row>
    <row r="63" ht="18.75" customHeight="1">
      <c r="A63" s="10"/>
      <c r="B63" s="189"/>
      <c r="C63" s="197"/>
      <c r="D63" s="199"/>
      <c r="E63" s="192"/>
      <c r="F63" s="192"/>
      <c r="G63" s="199"/>
      <c r="H63" s="199"/>
      <c r="I63" s="199"/>
      <c r="J63" s="199"/>
      <c r="K63" s="199"/>
      <c r="L63" s="199"/>
      <c r="M63" s="199"/>
      <c r="N63" s="200"/>
      <c r="O63" s="200"/>
      <c r="P63" s="200"/>
    </row>
    <row r="64" ht="18.75" customHeight="1">
      <c r="A64" s="10"/>
      <c r="B64" s="189"/>
      <c r="C64" s="197"/>
      <c r="D64" s="199"/>
      <c r="E64" s="192"/>
      <c r="F64" s="192"/>
      <c r="G64" s="199"/>
      <c r="H64" s="199"/>
      <c r="I64" s="199"/>
      <c r="J64" s="199"/>
      <c r="K64" s="199"/>
      <c r="L64" s="199"/>
      <c r="M64" s="199"/>
      <c r="N64" s="200"/>
      <c r="O64" s="200"/>
      <c r="P64" s="200"/>
    </row>
    <row r="65" ht="18.75" customHeight="1">
      <c r="A65" s="10"/>
      <c r="B65" s="189"/>
      <c r="C65" s="197"/>
      <c r="D65" s="199"/>
      <c r="E65" s="192"/>
      <c r="F65" s="192"/>
      <c r="G65" s="199"/>
      <c r="H65" s="199"/>
      <c r="I65" s="199"/>
      <c r="J65" s="199"/>
      <c r="K65" s="199"/>
      <c r="L65" s="199"/>
      <c r="M65" s="199"/>
      <c r="N65" s="200"/>
      <c r="O65" s="200"/>
      <c r="P65" s="200"/>
    </row>
    <row r="66" ht="18.75" customHeight="1">
      <c r="A66" s="10"/>
      <c r="B66" s="189"/>
      <c r="C66" s="197"/>
      <c r="D66" s="199"/>
      <c r="E66" s="192"/>
      <c r="F66" s="192"/>
      <c r="G66" s="199"/>
      <c r="H66" s="199"/>
      <c r="I66" s="199"/>
      <c r="J66" s="199"/>
      <c r="K66" s="199"/>
      <c r="L66" s="199"/>
      <c r="M66" s="199"/>
      <c r="N66" s="200"/>
      <c r="O66" s="200"/>
      <c r="P66" s="200"/>
    </row>
    <row r="67" ht="18.75" customHeight="1">
      <c r="A67" s="10"/>
      <c r="B67" s="189"/>
      <c r="C67" s="201"/>
      <c r="D67" s="199"/>
      <c r="E67" s="192"/>
      <c r="F67" s="192"/>
      <c r="G67" s="199"/>
      <c r="H67" s="199"/>
      <c r="I67" s="199"/>
      <c r="J67" s="199"/>
      <c r="K67" s="199"/>
      <c r="L67" s="199"/>
      <c r="M67" s="199"/>
      <c r="N67" s="200"/>
      <c r="O67" s="200"/>
      <c r="P67" s="200"/>
    </row>
    <row r="68" ht="18.75" customHeight="1">
      <c r="A68" s="10"/>
      <c r="B68" s="189"/>
      <c r="C68" s="201"/>
      <c r="D68" s="199"/>
      <c r="E68" s="192"/>
      <c r="F68" s="192"/>
      <c r="G68" s="199"/>
      <c r="H68" s="199"/>
      <c r="I68" s="199"/>
      <c r="J68" s="199"/>
      <c r="K68" s="199"/>
      <c r="L68" s="199"/>
      <c r="M68" s="199"/>
      <c r="N68" s="200"/>
      <c r="O68" s="200"/>
      <c r="P68" s="200"/>
    </row>
    <row r="69" ht="18.75" customHeight="1">
      <c r="A69" s="10"/>
      <c r="B69" s="189"/>
      <c r="C69" s="201"/>
      <c r="D69" s="199"/>
      <c r="E69" s="192"/>
      <c r="F69" s="192"/>
      <c r="G69" s="199"/>
      <c r="H69" s="199"/>
      <c r="I69" s="199"/>
      <c r="J69" s="199"/>
      <c r="K69" s="199"/>
      <c r="L69" s="199"/>
      <c r="M69" s="199"/>
      <c r="N69" s="200"/>
      <c r="O69" s="200"/>
      <c r="P69" s="200"/>
    </row>
    <row r="70" ht="18.75" customHeight="1">
      <c r="A70" s="10"/>
      <c r="B70" s="189"/>
      <c r="C70" s="201"/>
      <c r="D70" s="199"/>
      <c r="E70" s="192"/>
      <c r="F70" s="192"/>
      <c r="G70" s="199"/>
      <c r="H70" s="199"/>
      <c r="I70" s="199"/>
      <c r="J70" s="199"/>
      <c r="K70" s="199"/>
      <c r="L70" s="199"/>
      <c r="M70" s="199"/>
      <c r="N70" s="200"/>
      <c r="O70" s="200"/>
      <c r="P70" s="200"/>
    </row>
    <row r="71" ht="18.75" customHeight="1">
      <c r="A71" s="10"/>
      <c r="B71" s="189"/>
      <c r="C71" s="201"/>
      <c r="D71" s="199"/>
      <c r="E71" s="192"/>
      <c r="F71" s="192"/>
      <c r="G71" s="199"/>
      <c r="H71" s="199"/>
      <c r="I71" s="199"/>
      <c r="J71" s="199"/>
      <c r="K71" s="199"/>
      <c r="L71" s="199"/>
      <c r="M71" s="199"/>
      <c r="N71" s="200"/>
      <c r="O71" s="200"/>
      <c r="P71" s="200"/>
    </row>
    <row r="72" ht="18.75" customHeight="1">
      <c r="A72" s="10"/>
      <c r="B72" s="189"/>
      <c r="C72" s="201"/>
      <c r="D72" s="199"/>
      <c r="E72" s="192"/>
      <c r="F72" s="192"/>
      <c r="G72" s="199"/>
      <c r="H72" s="199"/>
      <c r="I72" s="199"/>
      <c r="J72" s="199"/>
      <c r="K72" s="199"/>
      <c r="L72" s="199"/>
      <c r="M72" s="199"/>
      <c r="N72" s="200"/>
      <c r="O72" s="200"/>
      <c r="P72" s="200"/>
    </row>
    <row r="73" ht="18.75" customHeight="1">
      <c r="A73" s="10"/>
      <c r="B73" s="189"/>
      <c r="C73" s="201"/>
      <c r="D73" s="199"/>
      <c r="E73" s="192"/>
      <c r="F73" s="192"/>
      <c r="G73" s="199"/>
      <c r="H73" s="199"/>
      <c r="I73" s="199"/>
      <c r="J73" s="199"/>
      <c r="K73" s="199"/>
      <c r="L73" s="199"/>
      <c r="M73" s="199"/>
      <c r="N73" s="200"/>
      <c r="O73" s="200"/>
      <c r="P73" s="200"/>
    </row>
    <row r="74" ht="18.75" customHeight="1">
      <c r="A74" s="10"/>
      <c r="B74" s="189"/>
      <c r="C74" s="201"/>
      <c r="D74" s="199"/>
      <c r="E74" s="192"/>
      <c r="F74" s="192"/>
      <c r="G74" s="199"/>
      <c r="H74" s="199"/>
      <c r="I74" s="199"/>
      <c r="J74" s="199"/>
      <c r="K74" s="199"/>
      <c r="L74" s="199"/>
      <c r="M74" s="199"/>
      <c r="N74" s="200"/>
      <c r="O74" s="200"/>
      <c r="P74" s="200"/>
    </row>
    <row r="75" ht="18.75" customHeight="1">
      <c r="A75" s="10"/>
      <c r="B75" s="189"/>
      <c r="C75" s="201"/>
      <c r="D75" s="199"/>
      <c r="E75" s="192"/>
      <c r="F75" s="192"/>
      <c r="G75" s="199"/>
      <c r="H75" s="199"/>
      <c r="I75" s="199"/>
      <c r="J75" s="199"/>
      <c r="K75" s="199"/>
      <c r="L75" s="199"/>
      <c r="M75" s="199"/>
      <c r="N75" s="200"/>
      <c r="O75" s="200"/>
      <c r="P75" s="200"/>
    </row>
    <row r="76" ht="18.75" customHeight="1">
      <c r="A76" s="10"/>
      <c r="B76" s="189"/>
      <c r="C76" s="201"/>
      <c r="D76" s="199"/>
      <c r="E76" s="192"/>
      <c r="F76" s="192"/>
      <c r="G76" s="199"/>
      <c r="H76" s="199"/>
      <c r="I76" s="199"/>
      <c r="J76" s="199"/>
      <c r="K76" s="199"/>
      <c r="L76" s="199"/>
      <c r="M76" s="199"/>
      <c r="N76" s="200"/>
      <c r="O76" s="200"/>
      <c r="P76" s="200"/>
    </row>
    <row r="77" ht="18.75" customHeight="1">
      <c r="A77" s="10"/>
      <c r="B77" s="189"/>
      <c r="C77" s="201"/>
      <c r="D77" s="199"/>
      <c r="E77" s="192"/>
      <c r="F77" s="192"/>
      <c r="G77" s="199"/>
      <c r="H77" s="199"/>
      <c r="I77" s="199"/>
      <c r="J77" s="199"/>
      <c r="K77" s="199"/>
      <c r="L77" s="199"/>
      <c r="M77" s="199"/>
      <c r="N77" s="200"/>
      <c r="O77" s="200"/>
      <c r="P77" s="200"/>
    </row>
    <row r="78" ht="18.75" customHeight="1">
      <c r="A78" s="10"/>
      <c r="B78" s="189"/>
      <c r="C78" s="201"/>
      <c r="D78" s="199"/>
      <c r="E78" s="192"/>
      <c r="F78" s="192"/>
      <c r="G78" s="199"/>
      <c r="H78" s="199"/>
      <c r="I78" s="199"/>
      <c r="J78" s="199"/>
      <c r="K78" s="199"/>
      <c r="L78" s="199"/>
      <c r="M78" s="199"/>
      <c r="N78" s="200"/>
      <c r="O78" s="200"/>
      <c r="P78" s="200"/>
    </row>
    <row r="79" ht="18.75" customHeight="1">
      <c r="A79" s="10"/>
      <c r="B79" s="189"/>
      <c r="C79" s="201"/>
      <c r="D79" s="199"/>
      <c r="E79" s="192"/>
      <c r="F79" s="192"/>
      <c r="G79" s="199"/>
      <c r="H79" s="199"/>
      <c r="I79" s="199"/>
      <c r="J79" s="199"/>
      <c r="K79" s="199"/>
      <c r="L79" s="199"/>
      <c r="M79" s="199"/>
      <c r="N79" s="200"/>
      <c r="O79" s="200"/>
      <c r="P79" s="200"/>
    </row>
    <row r="80" ht="18.75" customHeight="1">
      <c r="A80" s="10"/>
      <c r="B80" s="189"/>
      <c r="C80" s="201"/>
      <c r="D80" s="199"/>
      <c r="E80" s="192"/>
      <c r="F80" s="192"/>
      <c r="G80" s="199"/>
      <c r="H80" s="199"/>
      <c r="I80" s="199"/>
      <c r="J80" s="199"/>
      <c r="K80" s="199"/>
      <c r="L80" s="199"/>
      <c r="M80" s="199"/>
      <c r="N80" s="200"/>
      <c r="O80" s="200"/>
      <c r="P80" s="200"/>
    </row>
    <row r="81" ht="18.75" customHeight="1">
      <c r="A81" s="10"/>
      <c r="B81" s="189"/>
      <c r="C81" s="201"/>
      <c r="D81" s="199"/>
      <c r="E81" s="192"/>
      <c r="F81" s="192"/>
      <c r="G81" s="199"/>
      <c r="H81" s="199"/>
      <c r="I81" s="199"/>
      <c r="J81" s="199"/>
      <c r="K81" s="199"/>
      <c r="L81" s="199"/>
      <c r="M81" s="199"/>
      <c r="N81" s="200"/>
      <c r="O81" s="200"/>
      <c r="P81" s="200"/>
    </row>
    <row r="82" ht="18.75" customHeight="1">
      <c r="A82" s="10"/>
      <c r="B82" s="189"/>
      <c r="C82" s="201"/>
      <c r="D82" s="199"/>
      <c r="E82" s="192"/>
      <c r="F82" s="192"/>
      <c r="G82" s="199"/>
      <c r="H82" s="199"/>
      <c r="I82" s="199"/>
      <c r="J82" s="199"/>
      <c r="K82" s="199"/>
      <c r="L82" s="199"/>
      <c r="M82" s="199"/>
      <c r="N82" s="200"/>
      <c r="O82" s="200"/>
      <c r="P82" s="200"/>
    </row>
    <row r="83" ht="18.75" customHeight="1">
      <c r="A83" s="10"/>
      <c r="B83" s="189"/>
      <c r="C83" s="201"/>
      <c r="D83" s="199"/>
      <c r="E83" s="192"/>
      <c r="F83" s="192"/>
      <c r="G83" s="199"/>
      <c r="H83" s="199"/>
      <c r="I83" s="199"/>
      <c r="J83" s="199"/>
      <c r="K83" s="199"/>
      <c r="L83" s="199"/>
      <c r="M83" s="199"/>
      <c r="N83" s="200"/>
      <c r="O83" s="200"/>
      <c r="P83" s="200"/>
    </row>
    <row r="84" ht="18.75" customHeight="1">
      <c r="A84" s="10"/>
      <c r="B84" s="189"/>
      <c r="C84" s="201"/>
      <c r="D84" s="199"/>
      <c r="E84" s="192"/>
      <c r="F84" s="192"/>
      <c r="G84" s="199"/>
      <c r="H84" s="199"/>
      <c r="I84" s="199"/>
      <c r="J84" s="199"/>
      <c r="K84" s="199"/>
      <c r="L84" s="199"/>
      <c r="M84" s="199"/>
      <c r="N84" s="200"/>
      <c r="O84" s="200"/>
      <c r="P84" s="200"/>
    </row>
    <row r="85" ht="18.75" customHeight="1">
      <c r="A85" s="10"/>
      <c r="B85" s="189"/>
      <c r="C85" s="201"/>
      <c r="D85" s="203"/>
      <c r="E85" s="192"/>
      <c r="F85" s="204"/>
      <c r="G85" s="203"/>
      <c r="H85" s="203"/>
      <c r="I85" s="203"/>
      <c r="J85" s="203"/>
      <c r="K85" s="203"/>
      <c r="L85" s="203"/>
      <c r="M85" s="203"/>
      <c r="N85" s="205"/>
      <c r="O85" s="205"/>
      <c r="P85" s="205"/>
    </row>
    <row r="86" ht="18.75" customHeight="1">
      <c r="A86" s="10"/>
      <c r="B86" s="189"/>
      <c r="C86" s="201"/>
      <c r="D86" s="198"/>
      <c r="E86" s="192"/>
      <c r="F86" s="192"/>
      <c r="G86" s="199"/>
      <c r="H86" s="199"/>
      <c r="I86" s="199"/>
      <c r="J86" s="199"/>
      <c r="K86" s="199"/>
      <c r="L86" s="199"/>
      <c r="M86" s="199"/>
      <c r="N86" s="200"/>
      <c r="O86" s="200"/>
      <c r="P86" s="200"/>
    </row>
    <row r="87" ht="18.75" customHeight="1">
      <c r="A87" s="10"/>
      <c r="B87" s="189"/>
      <c r="C87" s="201"/>
      <c r="D87" s="198"/>
      <c r="E87" s="192"/>
      <c r="F87" s="192"/>
      <c r="G87" s="199"/>
      <c r="H87" s="199"/>
      <c r="I87" s="199"/>
      <c r="J87" s="199"/>
      <c r="K87" s="199"/>
      <c r="L87" s="199"/>
      <c r="M87" s="199"/>
      <c r="N87" s="200"/>
      <c r="O87" s="200"/>
      <c r="P87" s="200"/>
    </row>
    <row r="88" ht="18.75" customHeight="1">
      <c r="A88" s="10"/>
      <c r="B88" s="189"/>
      <c r="C88" s="201"/>
      <c r="D88" s="198"/>
      <c r="E88" s="192"/>
      <c r="F88" s="192"/>
      <c r="G88" s="199"/>
      <c r="H88" s="199"/>
      <c r="I88" s="199"/>
      <c r="J88" s="199"/>
      <c r="K88" s="199"/>
      <c r="L88" s="199"/>
      <c r="M88" s="199"/>
      <c r="N88" s="200"/>
      <c r="O88" s="200"/>
      <c r="P88" s="200"/>
    </row>
    <row r="89" ht="18.75" customHeight="1">
      <c r="A89" s="10"/>
      <c r="B89" s="189"/>
      <c r="C89" s="201"/>
      <c r="D89" s="198"/>
      <c r="E89" s="192"/>
      <c r="F89" s="192"/>
      <c r="G89" s="199"/>
      <c r="H89" s="199"/>
      <c r="I89" s="199"/>
      <c r="J89" s="199"/>
      <c r="K89" s="199"/>
      <c r="L89" s="199"/>
      <c r="M89" s="199"/>
      <c r="N89" s="200"/>
      <c r="O89" s="200"/>
      <c r="P89" s="200"/>
    </row>
    <row r="90" ht="18.75" customHeight="1">
      <c r="A90" s="10"/>
      <c r="B90" s="189"/>
      <c r="C90" s="201"/>
      <c r="D90" s="198"/>
      <c r="E90" s="192"/>
      <c r="F90" s="192"/>
      <c r="G90" s="199"/>
      <c r="H90" s="199"/>
      <c r="I90" s="199"/>
      <c r="J90" s="199"/>
      <c r="K90" s="199"/>
      <c r="L90" s="199"/>
      <c r="M90" s="199"/>
      <c r="N90" s="200"/>
      <c r="O90" s="200"/>
      <c r="P90" s="200"/>
    </row>
    <row r="91" ht="18.75" customHeight="1">
      <c r="A91" s="10"/>
      <c r="B91" s="189"/>
      <c r="C91" s="201"/>
      <c r="D91" s="198"/>
      <c r="E91" s="192"/>
      <c r="F91" s="192"/>
      <c r="G91" s="199"/>
      <c r="H91" s="199"/>
      <c r="I91" s="199"/>
      <c r="J91" s="199"/>
      <c r="K91" s="199"/>
      <c r="L91" s="199"/>
      <c r="M91" s="199"/>
      <c r="N91" s="200"/>
      <c r="O91" s="200"/>
      <c r="P91" s="200"/>
    </row>
    <row r="92" ht="18.75" customHeight="1">
      <c r="A92" s="10"/>
      <c r="B92" s="189"/>
      <c r="C92" s="201"/>
      <c r="D92" s="202"/>
      <c r="E92" s="192"/>
      <c r="F92" s="192"/>
      <c r="G92" s="199"/>
      <c r="H92" s="199"/>
      <c r="I92" s="199"/>
      <c r="J92" s="199"/>
      <c r="K92" s="199"/>
      <c r="L92" s="199"/>
      <c r="M92" s="199"/>
      <c r="N92" s="200"/>
      <c r="O92" s="200"/>
      <c r="P92" s="200"/>
    </row>
    <row r="93" ht="18.75" customHeight="1">
      <c r="A93" s="10"/>
      <c r="B93" s="189"/>
      <c r="C93" s="201"/>
      <c r="D93" s="202"/>
      <c r="E93" s="192"/>
      <c r="F93" s="192"/>
      <c r="G93" s="199"/>
      <c r="H93" s="199"/>
      <c r="I93" s="199"/>
      <c r="J93" s="199"/>
      <c r="K93" s="199"/>
      <c r="L93" s="199"/>
      <c r="M93" s="199"/>
      <c r="N93" s="200"/>
      <c r="O93" s="200"/>
      <c r="P93" s="200"/>
    </row>
    <row r="94" ht="18.75" customHeight="1">
      <c r="A94" s="10"/>
      <c r="B94" s="189"/>
      <c r="C94" s="201"/>
      <c r="D94" s="202"/>
      <c r="E94" s="192"/>
      <c r="F94" s="192"/>
      <c r="G94" s="199"/>
      <c r="H94" s="199"/>
      <c r="I94" s="199"/>
      <c r="J94" s="199"/>
      <c r="K94" s="199"/>
      <c r="L94" s="199"/>
      <c r="M94" s="199"/>
      <c r="N94" s="200"/>
      <c r="O94" s="200"/>
      <c r="P94" s="200"/>
    </row>
    <row r="95" ht="18.75" customHeight="1">
      <c r="A95" s="10"/>
      <c r="B95" s="189"/>
      <c r="C95" s="201"/>
      <c r="D95" s="202"/>
      <c r="E95" s="192"/>
      <c r="F95" s="192"/>
      <c r="G95" s="199"/>
      <c r="H95" s="199"/>
      <c r="I95" s="199"/>
      <c r="J95" s="199"/>
      <c r="K95" s="199"/>
      <c r="L95" s="199"/>
      <c r="M95" s="199"/>
      <c r="N95" s="200"/>
      <c r="O95" s="200"/>
      <c r="P95" s="200"/>
    </row>
    <row r="96" ht="18.75" customHeight="1">
      <c r="A96" s="10"/>
      <c r="B96" s="189"/>
      <c r="C96" s="201"/>
      <c r="D96" s="202"/>
      <c r="E96" s="192"/>
      <c r="F96" s="192"/>
      <c r="G96" s="199"/>
      <c r="H96" s="199"/>
      <c r="I96" s="199"/>
      <c r="J96" s="199"/>
      <c r="K96" s="199"/>
      <c r="L96" s="199"/>
      <c r="M96" s="199"/>
      <c r="N96" s="200"/>
      <c r="O96" s="200"/>
      <c r="P96" s="200"/>
    </row>
    <row r="97" ht="18.75" customHeight="1">
      <c r="A97" s="10"/>
      <c r="B97" s="189"/>
      <c r="C97" s="201"/>
      <c r="D97" s="202"/>
      <c r="E97" s="192"/>
      <c r="F97" s="192"/>
      <c r="G97" s="199"/>
      <c r="H97" s="199"/>
      <c r="I97" s="199"/>
      <c r="J97" s="199"/>
      <c r="K97" s="199"/>
      <c r="L97" s="199"/>
      <c r="M97" s="199"/>
      <c r="N97" s="200"/>
      <c r="O97" s="200"/>
      <c r="P97" s="200"/>
    </row>
    <row r="98" ht="18.75" customHeight="1">
      <c r="A98" s="10"/>
      <c r="B98" s="189"/>
      <c r="C98" s="201"/>
      <c r="D98" s="202"/>
      <c r="E98" s="192"/>
      <c r="F98" s="192"/>
      <c r="G98" s="199"/>
      <c r="H98" s="199"/>
      <c r="I98" s="199"/>
      <c r="J98" s="199"/>
      <c r="K98" s="199"/>
      <c r="L98" s="199"/>
      <c r="M98" s="199"/>
      <c r="N98" s="200"/>
      <c r="O98" s="200"/>
      <c r="P98" s="200"/>
    </row>
    <row r="99" ht="18.75" customHeight="1">
      <c r="A99" s="10"/>
      <c r="B99" s="189"/>
      <c r="C99" s="201"/>
      <c r="D99" s="202"/>
      <c r="E99" s="192"/>
      <c r="F99" s="192"/>
      <c r="G99" s="199"/>
      <c r="H99" s="199"/>
      <c r="I99" s="199"/>
      <c r="J99" s="199"/>
      <c r="K99" s="199"/>
      <c r="L99" s="199"/>
      <c r="M99" s="199"/>
      <c r="N99" s="200"/>
      <c r="O99" s="200"/>
      <c r="P99" s="200"/>
    </row>
    <row r="100" ht="18.75" customHeight="1">
      <c r="A100" s="10"/>
      <c r="B100" s="189"/>
      <c r="C100" s="201"/>
      <c r="D100" s="202"/>
      <c r="E100" s="192"/>
      <c r="F100" s="192"/>
      <c r="G100" s="199"/>
      <c r="H100" s="199"/>
      <c r="I100" s="199"/>
      <c r="J100" s="199"/>
      <c r="K100" s="199"/>
      <c r="L100" s="199"/>
      <c r="M100" s="199"/>
      <c r="N100" s="200"/>
      <c r="O100" s="200"/>
      <c r="P100" s="200"/>
    </row>
    <row r="101" ht="18.75" customHeight="1">
      <c r="A101" s="10"/>
      <c r="B101" s="189"/>
      <c r="C101" s="201"/>
      <c r="D101" s="202"/>
      <c r="E101" s="192"/>
      <c r="F101" s="192"/>
      <c r="G101" s="199"/>
      <c r="H101" s="199"/>
      <c r="I101" s="199"/>
      <c r="J101" s="199"/>
      <c r="K101" s="199"/>
      <c r="L101" s="199"/>
      <c r="M101" s="199"/>
      <c r="N101" s="200"/>
      <c r="O101" s="200"/>
      <c r="P101" s="200"/>
    </row>
    <row r="102" ht="18.75" customHeight="1">
      <c r="A102" s="10"/>
      <c r="B102" s="189"/>
      <c r="C102" s="201"/>
      <c r="D102" s="199"/>
      <c r="E102" s="192"/>
      <c r="F102" s="192"/>
      <c r="G102" s="199"/>
      <c r="H102" s="199"/>
      <c r="I102" s="199"/>
      <c r="J102" s="199"/>
      <c r="K102" s="199"/>
      <c r="L102" s="199"/>
      <c r="M102" s="199"/>
      <c r="N102" s="200"/>
      <c r="O102" s="200"/>
      <c r="P102" s="200"/>
    </row>
    <row r="103" ht="18.75" customHeight="1">
      <c r="A103" s="10"/>
      <c r="B103" s="189"/>
      <c r="C103" s="201"/>
      <c r="D103" s="199"/>
      <c r="E103" s="192"/>
      <c r="F103" s="192"/>
      <c r="G103" s="199"/>
      <c r="H103" s="199"/>
      <c r="I103" s="199"/>
      <c r="J103" s="199"/>
      <c r="K103" s="199"/>
      <c r="L103" s="199"/>
      <c r="M103" s="199"/>
      <c r="N103" s="200"/>
      <c r="O103" s="200"/>
      <c r="P103" s="200"/>
    </row>
    <row r="104" ht="18.75" customHeight="1">
      <c r="A104" s="10"/>
      <c r="B104" s="189"/>
      <c r="C104" s="201"/>
      <c r="D104" s="199"/>
      <c r="E104" s="192"/>
      <c r="F104" s="192"/>
      <c r="G104" s="199"/>
      <c r="H104" s="199"/>
      <c r="I104" s="199"/>
      <c r="J104" s="199"/>
      <c r="K104" s="199"/>
      <c r="L104" s="199"/>
      <c r="M104" s="199"/>
      <c r="N104" s="200"/>
      <c r="O104" s="200"/>
      <c r="P104" s="200"/>
    </row>
    <row r="105" ht="18.75" customHeight="1">
      <c r="A105" s="10"/>
      <c r="B105" s="189"/>
      <c r="C105" s="201"/>
      <c r="D105" s="199"/>
      <c r="E105" s="192"/>
      <c r="F105" s="192"/>
      <c r="G105" s="199"/>
      <c r="H105" s="199"/>
      <c r="I105" s="199"/>
      <c r="J105" s="199"/>
      <c r="K105" s="199"/>
      <c r="L105" s="199"/>
      <c r="M105" s="199"/>
      <c r="N105" s="200"/>
      <c r="O105" s="200"/>
      <c r="P105" s="200"/>
    </row>
    <row r="106" ht="18.75" customHeight="1">
      <c r="A106" s="10"/>
      <c r="B106" s="189"/>
      <c r="C106" s="201"/>
      <c r="D106" s="199"/>
      <c r="E106" s="192"/>
      <c r="F106" s="192"/>
      <c r="G106" s="199"/>
      <c r="H106" s="199"/>
      <c r="I106" s="199"/>
      <c r="J106" s="199"/>
      <c r="K106" s="199"/>
      <c r="L106" s="199"/>
      <c r="M106" s="199"/>
      <c r="N106" s="200"/>
      <c r="O106" s="200"/>
      <c r="P106" s="200"/>
    </row>
    <row r="107" ht="18.75" customHeight="1">
      <c r="A107" s="10"/>
      <c r="B107" s="189"/>
      <c r="C107" s="201"/>
      <c r="D107" s="199"/>
      <c r="E107" s="192"/>
      <c r="F107" s="192"/>
      <c r="G107" s="199"/>
      <c r="H107" s="199"/>
      <c r="I107" s="199"/>
      <c r="J107" s="199"/>
      <c r="K107" s="199"/>
      <c r="L107" s="199"/>
      <c r="M107" s="199"/>
      <c r="N107" s="200"/>
      <c r="O107" s="200"/>
      <c r="P107" s="200"/>
    </row>
    <row r="108" ht="18.75" customHeight="1">
      <c r="A108" s="10"/>
      <c r="B108" s="189"/>
      <c r="C108" s="201"/>
      <c r="D108" s="199"/>
      <c r="E108" s="192"/>
      <c r="F108" s="192"/>
      <c r="G108" s="199"/>
      <c r="H108" s="199"/>
      <c r="I108" s="199"/>
      <c r="J108" s="199"/>
      <c r="K108" s="199"/>
      <c r="L108" s="199"/>
      <c r="M108" s="199"/>
      <c r="N108" s="200"/>
      <c r="O108" s="200"/>
      <c r="P108" s="200"/>
    </row>
    <row r="109" ht="18.75" customHeight="1">
      <c r="A109" s="10"/>
      <c r="B109" s="189"/>
      <c r="C109" s="201"/>
      <c r="D109" s="199"/>
      <c r="E109" s="192"/>
      <c r="F109" s="192"/>
      <c r="G109" s="199"/>
      <c r="H109" s="199"/>
      <c r="I109" s="199"/>
      <c r="J109" s="199"/>
      <c r="K109" s="199"/>
      <c r="L109" s="199"/>
      <c r="M109" s="199"/>
      <c r="N109" s="200"/>
      <c r="O109" s="200"/>
      <c r="P109" s="200"/>
    </row>
    <row r="110" ht="18.75" customHeight="1">
      <c r="A110" s="10"/>
      <c r="B110" s="189"/>
      <c r="C110" s="201"/>
      <c r="D110" s="199"/>
      <c r="E110" s="192"/>
      <c r="F110" s="192"/>
      <c r="G110" s="199"/>
      <c r="H110" s="199"/>
      <c r="I110" s="199"/>
      <c r="J110" s="199"/>
      <c r="K110" s="199"/>
      <c r="L110" s="199"/>
      <c r="M110" s="199"/>
      <c r="N110" s="200"/>
      <c r="O110" s="200"/>
      <c r="P110" s="200"/>
    </row>
    <row r="111" ht="18.75" customHeight="1">
      <c r="A111" s="10"/>
      <c r="B111" s="189"/>
      <c r="C111" s="201"/>
      <c r="D111" s="199"/>
      <c r="E111" s="192"/>
      <c r="F111" s="192"/>
      <c r="G111" s="199"/>
      <c r="H111" s="199"/>
      <c r="I111" s="199"/>
      <c r="J111" s="199"/>
      <c r="K111" s="199"/>
      <c r="L111" s="199"/>
      <c r="M111" s="199"/>
      <c r="N111" s="200"/>
      <c r="O111" s="200"/>
      <c r="P111" s="200"/>
    </row>
    <row r="112" ht="18.75" customHeight="1">
      <c r="A112" s="10"/>
      <c r="B112" s="189"/>
      <c r="C112" s="201"/>
      <c r="D112" s="199"/>
      <c r="E112" s="192"/>
      <c r="F112" s="192"/>
      <c r="G112" s="199"/>
      <c r="H112" s="199"/>
      <c r="I112" s="199"/>
      <c r="J112" s="199"/>
      <c r="K112" s="199"/>
      <c r="L112" s="199"/>
      <c r="M112" s="199"/>
      <c r="N112" s="200"/>
      <c r="O112" s="200"/>
      <c r="P112" s="200"/>
    </row>
    <row r="113" ht="18.75" customHeight="1">
      <c r="A113" s="10"/>
      <c r="B113" s="189"/>
      <c r="C113" s="201"/>
      <c r="D113" s="199"/>
      <c r="E113" s="192"/>
      <c r="F113" s="192"/>
      <c r="G113" s="199"/>
      <c r="H113" s="199"/>
      <c r="I113" s="199"/>
      <c r="J113" s="199"/>
      <c r="K113" s="199"/>
      <c r="L113" s="199"/>
      <c r="M113" s="199"/>
      <c r="N113" s="200"/>
      <c r="O113" s="200"/>
      <c r="P113" s="200"/>
    </row>
    <row r="114" ht="18.75" customHeight="1">
      <c r="A114" s="10"/>
      <c r="B114" s="189"/>
      <c r="C114" s="201"/>
      <c r="D114" s="199"/>
      <c r="E114" s="192"/>
      <c r="F114" s="192"/>
      <c r="G114" s="199"/>
      <c r="H114" s="199"/>
      <c r="I114" s="199"/>
      <c r="J114" s="199"/>
      <c r="K114" s="199"/>
      <c r="L114" s="199"/>
      <c r="M114" s="199"/>
      <c r="N114" s="200"/>
      <c r="O114" s="200"/>
      <c r="P114" s="200"/>
    </row>
    <row r="115" ht="18.75" customHeight="1">
      <c r="A115" s="10"/>
      <c r="B115" s="189"/>
      <c r="C115" s="201"/>
      <c r="D115" s="199"/>
      <c r="E115" s="192"/>
      <c r="F115" s="192"/>
      <c r="G115" s="199"/>
      <c r="H115" s="199"/>
      <c r="I115" s="199"/>
      <c r="J115" s="199"/>
      <c r="K115" s="199"/>
      <c r="L115" s="199"/>
      <c r="M115" s="199"/>
      <c r="N115" s="200"/>
      <c r="O115" s="200"/>
      <c r="P115" s="200"/>
    </row>
    <row r="116" ht="18.75" customHeight="1">
      <c r="A116" s="10"/>
      <c r="B116" s="189"/>
      <c r="C116" s="201"/>
      <c r="D116" s="199"/>
      <c r="E116" s="192"/>
      <c r="F116" s="192"/>
      <c r="G116" s="199"/>
      <c r="H116" s="199"/>
      <c r="I116" s="199"/>
      <c r="J116" s="199"/>
      <c r="K116" s="199"/>
      <c r="L116" s="199"/>
      <c r="M116" s="199"/>
      <c r="N116" s="200"/>
      <c r="O116" s="200"/>
      <c r="P116" s="200"/>
    </row>
    <row r="117" ht="18.75" customHeight="1">
      <c r="A117" s="10"/>
      <c r="B117" s="189"/>
      <c r="C117" s="201"/>
      <c r="D117" s="199"/>
      <c r="E117" s="192"/>
      <c r="F117" s="192"/>
      <c r="G117" s="199"/>
      <c r="H117" s="199"/>
      <c r="I117" s="199"/>
      <c r="J117" s="199"/>
      <c r="K117" s="199"/>
      <c r="L117" s="199"/>
      <c r="M117" s="199"/>
      <c r="N117" s="200"/>
      <c r="O117" s="200"/>
      <c r="P117" s="200"/>
    </row>
    <row r="118" ht="18.75" customHeight="1">
      <c r="A118" s="10"/>
      <c r="B118" s="189"/>
      <c r="C118" s="201"/>
      <c r="D118" s="199"/>
      <c r="E118" s="192"/>
      <c r="F118" s="192"/>
      <c r="G118" s="199"/>
      <c r="H118" s="199"/>
      <c r="I118" s="199"/>
      <c r="J118" s="199"/>
      <c r="K118" s="199"/>
      <c r="L118" s="199"/>
      <c r="M118" s="199"/>
      <c r="N118" s="200"/>
      <c r="O118" s="200"/>
      <c r="P118" s="200"/>
    </row>
    <row r="119" ht="18.75" customHeight="1">
      <c r="A119" s="10"/>
      <c r="B119" s="189"/>
      <c r="C119" s="201"/>
      <c r="D119" s="199"/>
      <c r="E119" s="192"/>
      <c r="F119" s="192"/>
      <c r="G119" s="199"/>
      <c r="H119" s="199"/>
      <c r="I119" s="199"/>
      <c r="J119" s="199"/>
      <c r="K119" s="199"/>
      <c r="L119" s="199"/>
      <c r="M119" s="199"/>
      <c r="N119" s="200"/>
      <c r="O119" s="200"/>
      <c r="P119" s="200"/>
    </row>
    <row r="120" ht="18.75" customHeight="1">
      <c r="A120" s="10"/>
      <c r="B120" s="189"/>
      <c r="C120" s="201"/>
      <c r="D120" s="199"/>
      <c r="E120" s="192"/>
      <c r="F120" s="192"/>
      <c r="G120" s="199"/>
      <c r="H120" s="199"/>
      <c r="I120" s="199"/>
      <c r="J120" s="199"/>
      <c r="K120" s="199"/>
      <c r="L120" s="199"/>
      <c r="M120" s="199"/>
      <c r="N120" s="200"/>
      <c r="O120" s="200"/>
      <c r="P120" s="200"/>
    </row>
    <row r="121" ht="18.75" customHeight="1">
      <c r="A121" s="10"/>
      <c r="B121" s="189"/>
      <c r="C121" s="201"/>
      <c r="D121" s="199"/>
      <c r="E121" s="192"/>
      <c r="F121" s="192"/>
      <c r="G121" s="199"/>
      <c r="H121" s="199"/>
      <c r="I121" s="199"/>
      <c r="J121" s="199"/>
      <c r="K121" s="199"/>
      <c r="L121" s="199"/>
      <c r="M121" s="199"/>
      <c r="N121" s="200"/>
      <c r="O121" s="200"/>
      <c r="P121" s="200"/>
    </row>
    <row r="122" ht="18.75" customHeight="1">
      <c r="A122" s="10"/>
      <c r="B122" s="189"/>
      <c r="C122" s="201"/>
      <c r="D122" s="199"/>
      <c r="E122" s="192"/>
      <c r="F122" s="192"/>
      <c r="G122" s="199"/>
      <c r="H122" s="199"/>
      <c r="I122" s="199"/>
      <c r="J122" s="199"/>
      <c r="K122" s="199"/>
      <c r="L122" s="199"/>
      <c r="M122" s="199"/>
      <c r="N122" s="200"/>
      <c r="O122" s="200"/>
      <c r="P122" s="200"/>
    </row>
    <row r="123" ht="18.75" customHeight="1">
      <c r="A123" s="10"/>
      <c r="B123" s="189"/>
      <c r="C123" s="201"/>
      <c r="D123" s="199"/>
      <c r="E123" s="192"/>
      <c r="F123" s="192"/>
      <c r="G123" s="199"/>
      <c r="H123" s="199"/>
      <c r="I123" s="199"/>
      <c r="J123" s="199"/>
      <c r="K123" s="199"/>
      <c r="L123" s="199"/>
      <c r="M123" s="199"/>
      <c r="N123" s="200"/>
      <c r="O123" s="200"/>
      <c r="P123" s="200"/>
    </row>
    <row r="124" ht="18.75" customHeight="1">
      <c r="A124" s="10"/>
      <c r="B124" s="189"/>
      <c r="C124" s="201"/>
      <c r="D124" s="199"/>
      <c r="E124" s="192"/>
      <c r="F124" s="192"/>
      <c r="G124" s="199"/>
      <c r="H124" s="199"/>
      <c r="I124" s="199"/>
      <c r="J124" s="199"/>
      <c r="K124" s="199"/>
      <c r="L124" s="199"/>
      <c r="M124" s="199"/>
      <c r="N124" s="200"/>
      <c r="O124" s="200"/>
      <c r="P124" s="200"/>
    </row>
    <row r="125" ht="18.75" customHeight="1">
      <c r="A125" s="10"/>
      <c r="B125" s="189"/>
      <c r="C125" s="201"/>
      <c r="D125" s="199"/>
      <c r="E125" s="192"/>
      <c r="F125" s="192"/>
      <c r="G125" s="199"/>
      <c r="H125" s="199"/>
      <c r="I125" s="199"/>
      <c r="J125" s="199"/>
      <c r="K125" s="199"/>
      <c r="L125" s="199"/>
      <c r="M125" s="199"/>
      <c r="N125" s="200"/>
      <c r="O125" s="200"/>
      <c r="P125" s="200"/>
    </row>
    <row r="126" ht="18.75" customHeight="1">
      <c r="A126" s="10"/>
      <c r="B126" s="189"/>
      <c r="C126" s="201"/>
      <c r="D126" s="199"/>
      <c r="E126" s="192"/>
      <c r="F126" s="192"/>
      <c r="G126" s="199"/>
      <c r="H126" s="199"/>
      <c r="I126" s="199"/>
      <c r="J126" s="199"/>
      <c r="K126" s="199"/>
      <c r="L126" s="199"/>
      <c r="M126" s="199"/>
      <c r="N126" s="200"/>
      <c r="O126" s="200"/>
      <c r="P126" s="200"/>
    </row>
    <row r="127" ht="18.75" customHeight="1">
      <c r="A127" s="10"/>
      <c r="B127" s="189"/>
      <c r="C127" s="201"/>
      <c r="D127" s="199"/>
      <c r="E127" s="192"/>
      <c r="F127" s="192"/>
      <c r="G127" s="199"/>
      <c r="H127" s="199"/>
      <c r="I127" s="199"/>
      <c r="J127" s="199"/>
      <c r="K127" s="199"/>
      <c r="L127" s="199"/>
      <c r="M127" s="199"/>
      <c r="N127" s="200"/>
      <c r="O127" s="200"/>
      <c r="P127" s="200"/>
    </row>
    <row r="128" ht="18.75" customHeight="1">
      <c r="A128" s="10"/>
      <c r="B128" s="189"/>
      <c r="C128" s="201"/>
      <c r="D128" s="199"/>
      <c r="E128" s="192"/>
      <c r="F128" s="192"/>
      <c r="G128" s="199"/>
      <c r="H128" s="199"/>
      <c r="I128" s="199"/>
      <c r="J128" s="199"/>
      <c r="K128" s="199"/>
      <c r="L128" s="199"/>
      <c r="M128" s="199"/>
      <c r="N128" s="200"/>
      <c r="O128" s="200"/>
      <c r="P128" s="200"/>
    </row>
    <row r="129" ht="18.75" customHeight="1">
      <c r="A129" s="10"/>
      <c r="B129" s="189"/>
      <c r="C129" s="201"/>
      <c r="D129" s="199"/>
      <c r="E129" s="192"/>
      <c r="F129" s="192"/>
      <c r="G129" s="199"/>
      <c r="H129" s="199"/>
      <c r="I129" s="199"/>
      <c r="J129" s="199"/>
      <c r="K129" s="199"/>
      <c r="L129" s="199"/>
      <c r="M129" s="199"/>
      <c r="N129" s="200"/>
      <c r="O129" s="200"/>
      <c r="P129" s="200"/>
    </row>
    <row r="130" ht="18.75" customHeight="1">
      <c r="A130" s="10"/>
      <c r="B130" s="189"/>
      <c r="C130" s="201"/>
      <c r="D130" s="199"/>
      <c r="E130" s="192"/>
      <c r="F130" s="192"/>
      <c r="G130" s="199"/>
      <c r="H130" s="199"/>
      <c r="I130" s="199"/>
      <c r="J130" s="199"/>
      <c r="K130" s="199"/>
      <c r="L130" s="199"/>
      <c r="M130" s="199"/>
      <c r="N130" s="200"/>
      <c r="O130" s="200"/>
      <c r="P130" s="200"/>
    </row>
    <row r="131" ht="18.75" customHeight="1">
      <c r="A131" s="10"/>
      <c r="B131" s="189"/>
      <c r="C131" s="201"/>
      <c r="D131" s="199"/>
      <c r="E131" s="192"/>
      <c r="F131" s="192"/>
      <c r="G131" s="199"/>
      <c r="H131" s="199"/>
      <c r="I131" s="199"/>
      <c r="J131" s="199"/>
      <c r="K131" s="199"/>
      <c r="L131" s="199"/>
      <c r="M131" s="199"/>
      <c r="N131" s="200"/>
      <c r="O131" s="200"/>
      <c r="P131" s="200"/>
    </row>
    <row r="132" ht="18.75" customHeight="1">
      <c r="A132" s="10"/>
      <c r="B132" s="189"/>
      <c r="C132" s="201"/>
      <c r="D132" s="199"/>
      <c r="E132" s="192"/>
      <c r="F132" s="192"/>
      <c r="G132" s="199"/>
      <c r="H132" s="199"/>
      <c r="I132" s="199"/>
      <c r="J132" s="199"/>
      <c r="K132" s="199"/>
      <c r="L132" s="199"/>
      <c r="M132" s="199"/>
      <c r="N132" s="200"/>
      <c r="O132" s="200"/>
      <c r="P132" s="200"/>
    </row>
    <row r="133" ht="18.75" customHeight="1">
      <c r="A133" s="10"/>
      <c r="B133" s="189"/>
      <c r="C133" s="201"/>
      <c r="D133" s="199"/>
      <c r="E133" s="192"/>
      <c r="F133" s="192"/>
      <c r="G133" s="199"/>
      <c r="H133" s="199"/>
      <c r="I133" s="199"/>
      <c r="J133" s="199"/>
      <c r="K133" s="199"/>
      <c r="L133" s="199"/>
      <c r="M133" s="199"/>
      <c r="N133" s="200"/>
      <c r="O133" s="200"/>
      <c r="P133" s="200"/>
    </row>
    <row r="134" ht="18.75" customHeight="1">
      <c r="A134" s="10"/>
      <c r="B134" s="189"/>
      <c r="C134" s="201"/>
      <c r="D134" s="199"/>
      <c r="E134" s="192"/>
      <c r="F134" s="192"/>
      <c r="G134" s="199"/>
      <c r="H134" s="199"/>
      <c r="I134" s="199"/>
      <c r="J134" s="199"/>
      <c r="K134" s="199"/>
      <c r="L134" s="199"/>
      <c r="M134" s="199"/>
      <c r="N134" s="200"/>
      <c r="O134" s="200"/>
      <c r="P134" s="200"/>
    </row>
    <row r="135" ht="18.75" customHeight="1">
      <c r="A135" s="10"/>
      <c r="B135" s="189"/>
      <c r="C135" s="201"/>
      <c r="D135" s="199"/>
      <c r="E135" s="192"/>
      <c r="F135" s="192"/>
      <c r="G135" s="199"/>
      <c r="H135" s="199"/>
      <c r="I135" s="199"/>
      <c r="J135" s="199"/>
      <c r="K135" s="199"/>
      <c r="L135" s="199"/>
      <c r="M135" s="199"/>
      <c r="N135" s="200"/>
      <c r="O135" s="200"/>
      <c r="P135" s="200"/>
    </row>
    <row r="136" ht="18.75" customHeight="1">
      <c r="A136" s="10"/>
      <c r="B136" s="189"/>
      <c r="C136" s="201"/>
      <c r="D136" s="199"/>
      <c r="E136" s="192"/>
      <c r="F136" s="192"/>
      <c r="G136" s="199"/>
      <c r="H136" s="199"/>
      <c r="I136" s="199"/>
      <c r="J136" s="199"/>
      <c r="K136" s="199"/>
      <c r="L136" s="199"/>
      <c r="M136" s="199"/>
      <c r="N136" s="200"/>
      <c r="O136" s="200"/>
      <c r="P136" s="200"/>
    </row>
    <row r="137" ht="18.75" customHeight="1">
      <c r="A137" s="10"/>
      <c r="B137" s="189"/>
      <c r="C137" s="201"/>
      <c r="D137" s="199"/>
      <c r="E137" s="192"/>
      <c r="F137" s="192"/>
      <c r="G137" s="199"/>
      <c r="H137" s="199"/>
      <c r="I137" s="199"/>
      <c r="J137" s="199"/>
      <c r="K137" s="199"/>
      <c r="L137" s="199"/>
      <c r="M137" s="199"/>
      <c r="N137" s="200"/>
      <c r="O137" s="200"/>
      <c r="P137" s="200"/>
    </row>
    <row r="138" ht="18.75" customHeight="1">
      <c r="A138" s="10"/>
      <c r="B138" s="189"/>
      <c r="C138" s="201"/>
      <c r="D138" s="199"/>
      <c r="E138" s="192"/>
      <c r="F138" s="192"/>
      <c r="G138" s="199"/>
      <c r="H138" s="199"/>
      <c r="I138" s="199"/>
      <c r="J138" s="199"/>
      <c r="K138" s="199"/>
      <c r="L138" s="199"/>
      <c r="M138" s="199"/>
      <c r="N138" s="200"/>
      <c r="O138" s="200"/>
      <c r="P138" s="200"/>
    </row>
    <row r="139" ht="18.75" customHeight="1">
      <c r="A139" s="10"/>
      <c r="B139" s="189"/>
      <c r="C139" s="201"/>
      <c r="D139" s="199"/>
      <c r="E139" s="192"/>
      <c r="F139" s="192"/>
      <c r="G139" s="199"/>
      <c r="H139" s="199"/>
      <c r="I139" s="199"/>
      <c r="J139" s="199"/>
      <c r="K139" s="199"/>
      <c r="L139" s="199"/>
      <c r="M139" s="199"/>
      <c r="N139" s="200"/>
      <c r="O139" s="200"/>
      <c r="P139" s="200"/>
    </row>
    <row r="140" ht="18.75" customHeight="1">
      <c r="A140" s="10"/>
      <c r="B140" s="189"/>
      <c r="C140" s="201"/>
      <c r="D140" s="199"/>
      <c r="E140" s="192"/>
      <c r="F140" s="192"/>
      <c r="G140" s="199"/>
      <c r="H140" s="199"/>
      <c r="I140" s="199"/>
      <c r="J140" s="199"/>
      <c r="K140" s="199"/>
      <c r="L140" s="199"/>
      <c r="M140" s="199"/>
      <c r="N140" s="200"/>
      <c r="O140" s="200"/>
      <c r="P140" s="200"/>
    </row>
    <row r="141" ht="18.75" customHeight="1">
      <c r="A141" s="10"/>
      <c r="B141" s="189"/>
      <c r="C141" s="201"/>
      <c r="D141" s="199"/>
      <c r="E141" s="192"/>
      <c r="F141" s="192"/>
      <c r="G141" s="199"/>
      <c r="H141" s="199"/>
      <c r="I141" s="199"/>
      <c r="J141" s="199"/>
      <c r="K141" s="199"/>
      <c r="L141" s="199"/>
      <c r="M141" s="199"/>
      <c r="N141" s="200"/>
      <c r="O141" s="200"/>
      <c r="P141" s="200"/>
    </row>
    <row r="142" ht="18.75" customHeight="1">
      <c r="A142" s="10"/>
      <c r="B142" s="189"/>
      <c r="C142" s="201"/>
      <c r="D142" s="199"/>
      <c r="E142" s="192"/>
      <c r="F142" s="192"/>
      <c r="G142" s="199"/>
      <c r="H142" s="199"/>
      <c r="I142" s="199"/>
      <c r="J142" s="199"/>
      <c r="K142" s="199"/>
      <c r="L142" s="199"/>
      <c r="M142" s="199"/>
      <c r="N142" s="200"/>
      <c r="O142" s="200"/>
      <c r="P142" s="200"/>
    </row>
    <row r="143" ht="18.75" customHeight="1">
      <c r="A143" s="10"/>
      <c r="B143" s="189"/>
      <c r="C143" s="201"/>
      <c r="D143" s="199"/>
      <c r="E143" s="192"/>
      <c r="F143" s="192"/>
      <c r="G143" s="199"/>
      <c r="H143" s="199"/>
      <c r="I143" s="199"/>
      <c r="J143" s="199"/>
      <c r="K143" s="199"/>
      <c r="L143" s="199"/>
      <c r="M143" s="199"/>
      <c r="N143" s="200"/>
      <c r="O143" s="200"/>
      <c r="P143" s="200"/>
    </row>
    <row r="144" ht="18.75" customHeight="1">
      <c r="A144" s="10"/>
      <c r="B144" s="189"/>
      <c r="C144" s="201"/>
      <c r="D144" s="199"/>
      <c r="E144" s="192"/>
      <c r="F144" s="192"/>
      <c r="G144" s="199"/>
      <c r="H144" s="199"/>
      <c r="I144" s="199"/>
      <c r="J144" s="199"/>
      <c r="K144" s="199"/>
      <c r="L144" s="199"/>
      <c r="M144" s="199"/>
      <c r="N144" s="200"/>
      <c r="O144" s="200"/>
      <c r="P144" s="200"/>
    </row>
    <row r="145" ht="18.75" customHeight="1">
      <c r="A145" s="10"/>
      <c r="B145" s="189"/>
      <c r="C145" s="201"/>
      <c r="D145" s="199"/>
      <c r="E145" s="192"/>
      <c r="F145" s="192"/>
      <c r="G145" s="199"/>
      <c r="H145" s="199"/>
      <c r="I145" s="199"/>
      <c r="J145" s="199"/>
      <c r="K145" s="199"/>
      <c r="L145" s="199"/>
      <c r="M145" s="199"/>
      <c r="N145" s="200"/>
      <c r="O145" s="200"/>
      <c r="P145" s="200"/>
    </row>
    <row r="146" ht="18.75" customHeight="1">
      <c r="A146" s="10"/>
      <c r="B146" s="189"/>
      <c r="C146" s="201"/>
      <c r="D146" s="199"/>
      <c r="E146" s="192"/>
      <c r="F146" s="192"/>
      <c r="G146" s="199"/>
      <c r="H146" s="199"/>
      <c r="I146" s="199"/>
      <c r="J146" s="199"/>
      <c r="K146" s="199"/>
      <c r="L146" s="199"/>
      <c r="M146" s="199"/>
      <c r="N146" s="200"/>
      <c r="O146" s="200"/>
      <c r="P146" s="200"/>
    </row>
    <row r="147" ht="18.75" customHeight="1">
      <c r="A147" s="10"/>
      <c r="B147" s="189"/>
      <c r="C147" s="201"/>
      <c r="D147" s="199"/>
      <c r="E147" s="192"/>
      <c r="F147" s="192"/>
      <c r="G147" s="199"/>
      <c r="H147" s="199"/>
      <c r="I147" s="199"/>
      <c r="J147" s="199"/>
      <c r="K147" s="199"/>
      <c r="L147" s="199"/>
      <c r="M147" s="199"/>
      <c r="N147" s="200"/>
      <c r="O147" s="200"/>
      <c r="P147" s="200"/>
    </row>
    <row r="148" ht="18.75" customHeight="1">
      <c r="A148" s="10"/>
      <c r="B148" s="189"/>
      <c r="C148" s="201"/>
      <c r="D148" s="199"/>
      <c r="E148" s="192"/>
      <c r="F148" s="192"/>
      <c r="G148" s="199"/>
      <c r="H148" s="199"/>
      <c r="I148" s="199"/>
      <c r="J148" s="199"/>
      <c r="K148" s="199"/>
      <c r="L148" s="199"/>
      <c r="M148" s="199"/>
      <c r="N148" s="200"/>
      <c r="O148" s="200"/>
      <c r="P148" s="200"/>
    </row>
    <row r="149" ht="18.75" customHeight="1">
      <c r="A149" s="10"/>
      <c r="B149" s="189"/>
      <c r="C149" s="201"/>
      <c r="D149" s="199"/>
      <c r="E149" s="192"/>
      <c r="F149" s="192"/>
      <c r="G149" s="199"/>
      <c r="H149" s="199"/>
      <c r="I149" s="199"/>
      <c r="J149" s="199"/>
      <c r="K149" s="199"/>
      <c r="L149" s="199"/>
      <c r="M149" s="199"/>
      <c r="N149" s="200"/>
      <c r="O149" s="200"/>
      <c r="P149" s="200"/>
    </row>
    <row r="150" ht="18.75" customHeight="1">
      <c r="A150" s="10"/>
      <c r="B150" s="189"/>
      <c r="C150" s="201"/>
      <c r="D150" s="199"/>
      <c r="E150" s="192"/>
      <c r="F150" s="192"/>
      <c r="G150" s="199"/>
      <c r="H150" s="199"/>
      <c r="I150" s="199"/>
      <c r="J150" s="199"/>
      <c r="K150" s="199"/>
      <c r="L150" s="199"/>
      <c r="M150" s="199"/>
      <c r="N150" s="200"/>
      <c r="O150" s="200"/>
      <c r="P150" s="200"/>
    </row>
    <row r="151" ht="18.75" customHeight="1">
      <c r="A151" s="10"/>
      <c r="B151" s="189"/>
      <c r="C151" s="201"/>
      <c r="D151" s="199"/>
      <c r="E151" s="192"/>
      <c r="F151" s="192"/>
      <c r="G151" s="199"/>
      <c r="H151" s="199"/>
      <c r="I151" s="199"/>
      <c r="J151" s="199"/>
      <c r="K151" s="199"/>
      <c r="L151" s="199"/>
      <c r="M151" s="199"/>
      <c r="N151" s="200"/>
      <c r="O151" s="200"/>
      <c r="P151" s="200"/>
    </row>
    <row r="152" ht="18.75" customHeight="1">
      <c r="A152" s="10"/>
      <c r="B152" s="189"/>
      <c r="C152" s="201"/>
      <c r="D152" s="199"/>
      <c r="E152" s="192"/>
      <c r="F152" s="192"/>
      <c r="G152" s="199"/>
      <c r="H152" s="199"/>
      <c r="I152" s="199"/>
      <c r="J152" s="199"/>
      <c r="K152" s="199"/>
      <c r="L152" s="199"/>
      <c r="M152" s="199"/>
      <c r="N152" s="200"/>
      <c r="O152" s="200"/>
      <c r="P152" s="200"/>
    </row>
    <row r="153" ht="18.75" customHeight="1">
      <c r="A153" s="10"/>
      <c r="B153" s="189"/>
      <c r="C153" s="201"/>
      <c r="D153" s="199"/>
      <c r="E153" s="192"/>
      <c r="F153" s="192"/>
      <c r="G153" s="199"/>
      <c r="H153" s="199"/>
      <c r="I153" s="199"/>
      <c r="J153" s="199"/>
      <c r="K153" s="199"/>
      <c r="L153" s="199"/>
      <c r="M153" s="199"/>
      <c r="N153" s="200"/>
      <c r="O153" s="200"/>
      <c r="P153" s="200"/>
    </row>
    <row r="154" ht="18.75" customHeight="1">
      <c r="A154" s="10"/>
      <c r="B154" s="189"/>
      <c r="C154" s="201"/>
      <c r="D154" s="199"/>
      <c r="E154" s="192"/>
      <c r="F154" s="192"/>
      <c r="G154" s="199"/>
      <c r="H154" s="199"/>
      <c r="I154" s="199"/>
      <c r="J154" s="199"/>
      <c r="K154" s="199"/>
      <c r="L154" s="199"/>
      <c r="M154" s="199"/>
      <c r="N154" s="200"/>
      <c r="O154" s="200"/>
      <c r="P154" s="200"/>
    </row>
    <row r="155" ht="18.75" customHeight="1">
      <c r="A155" s="10"/>
      <c r="B155" s="189"/>
      <c r="C155" s="201"/>
      <c r="D155" s="199"/>
      <c r="E155" s="192"/>
      <c r="F155" s="192"/>
      <c r="G155" s="199"/>
      <c r="H155" s="199"/>
      <c r="I155" s="199"/>
      <c r="J155" s="199"/>
      <c r="K155" s="199"/>
      <c r="L155" s="199"/>
      <c r="M155" s="199"/>
      <c r="N155" s="200"/>
      <c r="O155" s="200"/>
      <c r="P155" s="200"/>
    </row>
    <row r="156" ht="18.75" customHeight="1">
      <c r="A156" s="10"/>
      <c r="B156" s="189"/>
      <c r="C156" s="201"/>
      <c r="D156" s="199"/>
      <c r="E156" s="192"/>
      <c r="F156" s="192"/>
      <c r="G156" s="199"/>
      <c r="H156" s="199"/>
      <c r="I156" s="199"/>
      <c r="J156" s="199"/>
      <c r="K156" s="199"/>
      <c r="L156" s="199"/>
      <c r="M156" s="199"/>
      <c r="N156" s="200"/>
      <c r="O156" s="200"/>
      <c r="P156" s="200"/>
    </row>
    <row r="157" ht="18.75" customHeight="1">
      <c r="A157" s="10"/>
      <c r="B157" s="189"/>
      <c r="C157" s="201"/>
      <c r="D157" s="199"/>
      <c r="E157" s="192"/>
      <c r="F157" s="192"/>
      <c r="G157" s="199"/>
      <c r="H157" s="199"/>
      <c r="I157" s="199"/>
      <c r="J157" s="199"/>
      <c r="K157" s="199"/>
      <c r="L157" s="199"/>
      <c r="M157" s="199"/>
      <c r="N157" s="200"/>
      <c r="O157" s="200"/>
      <c r="P157" s="200"/>
    </row>
    <row r="158" ht="18.75" customHeight="1">
      <c r="A158" s="10"/>
      <c r="B158" s="189"/>
      <c r="C158" s="201"/>
      <c r="D158" s="199"/>
      <c r="E158" s="192"/>
      <c r="F158" s="192"/>
      <c r="G158" s="199"/>
      <c r="H158" s="199"/>
      <c r="I158" s="199"/>
      <c r="J158" s="199"/>
      <c r="K158" s="199"/>
      <c r="L158" s="199"/>
      <c r="M158" s="199"/>
      <c r="N158" s="200"/>
      <c r="O158" s="200"/>
      <c r="P158" s="200"/>
    </row>
    <row r="159" ht="18.75" customHeight="1">
      <c r="A159" s="10"/>
      <c r="B159" s="189"/>
      <c r="C159" s="201"/>
      <c r="D159" s="199"/>
      <c r="E159" s="192"/>
      <c r="F159" s="192"/>
      <c r="G159" s="199"/>
      <c r="H159" s="199"/>
      <c r="I159" s="199"/>
      <c r="J159" s="199"/>
      <c r="K159" s="199"/>
      <c r="L159" s="199"/>
      <c r="M159" s="199"/>
      <c r="N159" s="200"/>
      <c r="O159" s="200"/>
      <c r="P159" s="200"/>
    </row>
    <row r="160" ht="18.75" customHeight="1">
      <c r="A160" s="10"/>
      <c r="B160" s="189"/>
      <c r="C160" s="201"/>
      <c r="D160" s="199"/>
      <c r="E160" s="192"/>
      <c r="F160" s="192"/>
      <c r="G160" s="199"/>
      <c r="H160" s="199"/>
      <c r="I160" s="199"/>
      <c r="J160" s="199"/>
      <c r="K160" s="199"/>
      <c r="L160" s="199"/>
      <c r="M160" s="199"/>
      <c r="N160" s="200"/>
      <c r="O160" s="200"/>
      <c r="P160" s="200"/>
    </row>
    <row r="161" ht="18.75" customHeight="1">
      <c r="A161" s="10"/>
      <c r="B161" s="189"/>
      <c r="C161" s="201"/>
      <c r="D161" s="203"/>
      <c r="E161" s="192"/>
      <c r="F161" s="204"/>
      <c r="G161" s="203"/>
      <c r="H161" s="203"/>
      <c r="I161" s="203"/>
      <c r="J161" s="203"/>
      <c r="K161" s="203"/>
      <c r="L161" s="203"/>
      <c r="M161" s="203"/>
      <c r="N161" s="205"/>
      <c r="O161" s="205"/>
      <c r="P161" s="205"/>
    </row>
    <row r="162" ht="18.75" customHeight="1">
      <c r="A162" s="10"/>
      <c r="B162" s="189"/>
      <c r="C162" s="201"/>
      <c r="D162" s="198"/>
      <c r="E162" s="192"/>
      <c r="F162" s="192"/>
      <c r="G162" s="199"/>
      <c r="H162" s="199"/>
      <c r="I162" s="199"/>
      <c r="J162" s="199"/>
      <c r="K162" s="199"/>
      <c r="L162" s="199"/>
      <c r="M162" s="199"/>
      <c r="N162" s="200"/>
      <c r="O162" s="200"/>
      <c r="P162" s="200"/>
    </row>
    <row r="163" ht="18.75" customHeight="1">
      <c r="A163" s="10"/>
      <c r="B163" s="189"/>
      <c r="C163" s="201"/>
      <c r="D163" s="198"/>
      <c r="E163" s="192"/>
      <c r="F163" s="192"/>
      <c r="G163" s="199"/>
      <c r="H163" s="199"/>
      <c r="I163" s="199"/>
      <c r="J163" s="199"/>
      <c r="K163" s="199"/>
      <c r="L163" s="199"/>
      <c r="M163" s="199"/>
      <c r="N163" s="200"/>
      <c r="O163" s="200"/>
      <c r="P163" s="200"/>
    </row>
    <row r="164" ht="18.75" customHeight="1">
      <c r="A164" s="10"/>
      <c r="B164" s="189"/>
      <c r="C164" s="201"/>
      <c r="D164" s="198"/>
      <c r="E164" s="192"/>
      <c r="F164" s="192"/>
      <c r="G164" s="199"/>
      <c r="H164" s="199"/>
      <c r="I164" s="199"/>
      <c r="J164" s="199"/>
      <c r="K164" s="199"/>
      <c r="L164" s="199"/>
      <c r="M164" s="199"/>
      <c r="N164" s="200"/>
      <c r="O164" s="200"/>
      <c r="P164" s="200"/>
    </row>
    <row r="165" ht="18.75" customHeight="1">
      <c r="A165" s="10"/>
      <c r="B165" s="189"/>
      <c r="C165" s="201"/>
      <c r="D165" s="198"/>
      <c r="E165" s="192"/>
      <c r="F165" s="192"/>
      <c r="G165" s="199"/>
      <c r="H165" s="199"/>
      <c r="I165" s="199"/>
      <c r="J165" s="199"/>
      <c r="K165" s="199"/>
      <c r="L165" s="199"/>
      <c r="M165" s="199"/>
      <c r="N165" s="200"/>
      <c r="O165" s="200"/>
      <c r="P165" s="200"/>
    </row>
    <row r="166" ht="18.75" customHeight="1">
      <c r="A166" s="10"/>
      <c r="B166" s="189"/>
      <c r="C166" s="201"/>
      <c r="D166" s="198"/>
      <c r="E166" s="192"/>
      <c r="F166" s="192"/>
      <c r="G166" s="199"/>
      <c r="H166" s="199"/>
      <c r="I166" s="199"/>
      <c r="J166" s="199"/>
      <c r="K166" s="199"/>
      <c r="L166" s="199"/>
      <c r="M166" s="199"/>
      <c r="N166" s="200"/>
      <c r="O166" s="200"/>
      <c r="P166" s="200"/>
    </row>
    <row r="167" ht="18.75" customHeight="1">
      <c r="A167" s="10"/>
      <c r="B167" s="189"/>
      <c r="C167" s="201"/>
      <c r="D167" s="198"/>
      <c r="E167" s="192"/>
      <c r="F167" s="192"/>
      <c r="G167" s="199"/>
      <c r="H167" s="199"/>
      <c r="I167" s="199"/>
      <c r="J167" s="199"/>
      <c r="K167" s="199"/>
      <c r="L167" s="199"/>
      <c r="M167" s="199"/>
      <c r="N167" s="200"/>
      <c r="O167" s="200"/>
      <c r="P167" s="200"/>
    </row>
    <row r="168" ht="18.75" customHeight="1">
      <c r="A168" s="10"/>
      <c r="B168" s="189"/>
      <c r="C168" s="201"/>
      <c r="D168" s="202"/>
      <c r="E168" s="192"/>
      <c r="F168" s="192"/>
      <c r="G168" s="199"/>
      <c r="H168" s="199"/>
      <c r="I168" s="199"/>
      <c r="J168" s="199"/>
      <c r="K168" s="199"/>
      <c r="L168" s="199"/>
      <c r="M168" s="199"/>
      <c r="N168" s="200"/>
      <c r="O168" s="200"/>
      <c r="P168" s="200"/>
    </row>
    <row r="169" ht="18.75" customHeight="1">
      <c r="A169" s="10"/>
      <c r="B169" s="189"/>
      <c r="C169" s="201"/>
      <c r="D169" s="202"/>
      <c r="E169" s="192"/>
      <c r="F169" s="192"/>
      <c r="G169" s="199"/>
      <c r="H169" s="199"/>
      <c r="I169" s="199"/>
      <c r="J169" s="199"/>
      <c r="K169" s="199"/>
      <c r="L169" s="199"/>
      <c r="M169" s="199"/>
      <c r="N169" s="200"/>
      <c r="O169" s="200"/>
      <c r="P169" s="200"/>
    </row>
    <row r="170" ht="18.75" customHeight="1">
      <c r="A170" s="10"/>
      <c r="B170" s="189"/>
      <c r="C170" s="201"/>
      <c r="D170" s="202"/>
      <c r="E170" s="192"/>
      <c r="F170" s="192"/>
      <c r="G170" s="199"/>
      <c r="H170" s="199"/>
      <c r="I170" s="199"/>
      <c r="J170" s="199"/>
      <c r="K170" s="199"/>
      <c r="L170" s="199"/>
      <c r="M170" s="199"/>
      <c r="N170" s="200"/>
      <c r="O170" s="200"/>
      <c r="P170" s="200"/>
    </row>
    <row r="171" ht="18.75" customHeight="1">
      <c r="A171" s="10"/>
      <c r="B171" s="189"/>
      <c r="C171" s="201"/>
      <c r="D171" s="202"/>
      <c r="E171" s="192"/>
      <c r="F171" s="192"/>
      <c r="G171" s="199"/>
      <c r="H171" s="199"/>
      <c r="I171" s="199"/>
      <c r="J171" s="199"/>
      <c r="K171" s="199"/>
      <c r="L171" s="199"/>
      <c r="M171" s="199"/>
      <c r="N171" s="200"/>
      <c r="O171" s="200"/>
      <c r="P171" s="200"/>
    </row>
    <row r="172" ht="18.75" customHeight="1">
      <c r="A172" s="10"/>
      <c r="B172" s="189"/>
      <c r="C172" s="201"/>
      <c r="D172" s="202"/>
      <c r="E172" s="192"/>
      <c r="F172" s="192"/>
      <c r="G172" s="199"/>
      <c r="H172" s="199"/>
      <c r="I172" s="199"/>
      <c r="J172" s="199"/>
      <c r="K172" s="199"/>
      <c r="L172" s="199"/>
      <c r="M172" s="199"/>
      <c r="N172" s="200"/>
      <c r="O172" s="200"/>
      <c r="P172" s="200"/>
    </row>
    <row r="173" ht="18.75" customHeight="1">
      <c r="A173" s="10"/>
      <c r="B173" s="189"/>
      <c r="C173" s="201"/>
      <c r="D173" s="202"/>
      <c r="E173" s="192"/>
      <c r="F173" s="192"/>
      <c r="G173" s="199"/>
      <c r="H173" s="199"/>
      <c r="I173" s="199"/>
      <c r="J173" s="199"/>
      <c r="K173" s="199"/>
      <c r="L173" s="199"/>
      <c r="M173" s="199"/>
      <c r="N173" s="200"/>
      <c r="O173" s="200"/>
      <c r="P173" s="200"/>
    </row>
    <row r="174" ht="18.75" customHeight="1">
      <c r="A174" s="10"/>
      <c r="B174" s="189"/>
      <c r="C174" s="201"/>
      <c r="D174" s="202"/>
      <c r="E174" s="192"/>
      <c r="F174" s="192"/>
      <c r="G174" s="199"/>
      <c r="H174" s="199"/>
      <c r="I174" s="199"/>
      <c r="J174" s="199"/>
      <c r="K174" s="199"/>
      <c r="L174" s="199"/>
      <c r="M174" s="199"/>
      <c r="N174" s="200"/>
      <c r="O174" s="200"/>
      <c r="P174" s="200"/>
    </row>
    <row r="175" ht="18.75" customHeight="1">
      <c r="A175" s="10"/>
      <c r="B175" s="189"/>
      <c r="C175" s="201"/>
      <c r="D175" s="202"/>
      <c r="E175" s="192"/>
      <c r="F175" s="192"/>
      <c r="G175" s="199"/>
      <c r="H175" s="199"/>
      <c r="I175" s="199"/>
      <c r="J175" s="199"/>
      <c r="K175" s="199"/>
      <c r="L175" s="199"/>
      <c r="M175" s="199"/>
      <c r="N175" s="200"/>
      <c r="O175" s="200"/>
      <c r="P175" s="200"/>
    </row>
    <row r="176" ht="18.75" customHeight="1">
      <c r="A176" s="10"/>
      <c r="B176" s="189"/>
      <c r="C176" s="201"/>
      <c r="D176" s="202"/>
      <c r="E176" s="192"/>
      <c r="F176" s="192"/>
      <c r="G176" s="199"/>
      <c r="H176" s="199"/>
      <c r="I176" s="199"/>
      <c r="J176" s="199"/>
      <c r="K176" s="199"/>
      <c r="L176" s="199"/>
      <c r="M176" s="199"/>
      <c r="N176" s="200"/>
      <c r="O176" s="200"/>
      <c r="P176" s="200"/>
    </row>
    <row r="177" ht="18.75" customHeight="1">
      <c r="A177" s="10"/>
      <c r="B177" s="189"/>
      <c r="C177" s="201"/>
      <c r="D177" s="202"/>
      <c r="E177" s="192"/>
      <c r="F177" s="192"/>
      <c r="G177" s="199"/>
      <c r="H177" s="199"/>
      <c r="I177" s="199"/>
      <c r="J177" s="199"/>
      <c r="K177" s="199"/>
      <c r="L177" s="199"/>
      <c r="M177" s="199"/>
      <c r="N177" s="200"/>
      <c r="O177" s="200"/>
      <c r="P177" s="200"/>
    </row>
    <row r="178" ht="18.75" customHeight="1">
      <c r="A178" s="10"/>
      <c r="B178" s="189"/>
      <c r="C178" s="201"/>
      <c r="D178" s="199"/>
      <c r="E178" s="192"/>
      <c r="F178" s="192"/>
      <c r="G178" s="199"/>
      <c r="H178" s="199"/>
      <c r="I178" s="199"/>
      <c r="J178" s="199"/>
      <c r="K178" s="199"/>
      <c r="L178" s="199"/>
      <c r="M178" s="199"/>
      <c r="N178" s="200"/>
      <c r="O178" s="200"/>
      <c r="P178" s="200"/>
    </row>
    <row r="179" ht="18.75" customHeight="1">
      <c r="A179" s="10"/>
      <c r="B179" s="189"/>
      <c r="C179" s="201"/>
      <c r="D179" s="199"/>
      <c r="E179" s="192"/>
      <c r="F179" s="192"/>
      <c r="G179" s="199"/>
      <c r="H179" s="199"/>
      <c r="I179" s="199"/>
      <c r="J179" s="199"/>
      <c r="K179" s="199"/>
      <c r="L179" s="199"/>
      <c r="M179" s="199"/>
      <c r="N179" s="200"/>
      <c r="O179" s="200"/>
      <c r="P179" s="200"/>
    </row>
    <row r="180" ht="18.75" customHeight="1">
      <c r="A180" s="10"/>
      <c r="B180" s="189"/>
      <c r="C180" s="206"/>
      <c r="D180" s="199"/>
      <c r="E180" s="192"/>
      <c r="F180" s="192"/>
      <c r="G180" s="199"/>
      <c r="H180" s="199"/>
      <c r="I180" s="199"/>
      <c r="J180" s="199"/>
      <c r="K180" s="199"/>
      <c r="L180" s="199"/>
      <c r="M180" s="199"/>
      <c r="N180" s="200"/>
      <c r="O180" s="200"/>
      <c r="P180" s="200"/>
    </row>
    <row r="181" ht="18.75" customHeight="1">
      <c r="A181" s="10"/>
      <c r="B181" s="189"/>
      <c r="C181" s="206"/>
      <c r="D181" s="199"/>
      <c r="E181" s="192"/>
      <c r="F181" s="192"/>
      <c r="G181" s="199"/>
      <c r="H181" s="199"/>
      <c r="I181" s="199"/>
      <c r="J181" s="199"/>
      <c r="K181" s="199"/>
      <c r="L181" s="199"/>
      <c r="M181" s="199"/>
      <c r="N181" s="200"/>
      <c r="O181" s="200"/>
      <c r="P181" s="200"/>
    </row>
    <row r="182" ht="18.75" customHeight="1">
      <c r="A182" s="10"/>
      <c r="B182" s="189"/>
      <c r="C182" s="206"/>
      <c r="D182" s="199"/>
      <c r="E182" s="192"/>
      <c r="F182" s="192"/>
      <c r="G182" s="199"/>
      <c r="H182" s="199"/>
      <c r="I182" s="199"/>
      <c r="J182" s="199"/>
      <c r="K182" s="199"/>
      <c r="L182" s="199"/>
      <c r="M182" s="199"/>
      <c r="N182" s="200"/>
      <c r="O182" s="200"/>
      <c r="P182" s="200"/>
    </row>
    <row r="183" ht="18.75" customHeight="1">
      <c r="A183" s="10"/>
      <c r="B183" s="189"/>
      <c r="C183" s="206"/>
      <c r="D183" s="199"/>
      <c r="E183" s="192"/>
      <c r="F183" s="192"/>
      <c r="G183" s="199"/>
      <c r="H183" s="199"/>
      <c r="I183" s="199"/>
      <c r="J183" s="199"/>
      <c r="K183" s="199"/>
      <c r="L183" s="199"/>
      <c r="M183" s="199"/>
      <c r="N183" s="200"/>
      <c r="O183" s="200"/>
      <c r="P183" s="200"/>
    </row>
    <row r="184" ht="18.75" customHeight="1">
      <c r="A184" s="10"/>
      <c r="B184" s="189"/>
      <c r="C184" s="206"/>
      <c r="D184" s="199"/>
      <c r="E184" s="192"/>
      <c r="F184" s="192"/>
      <c r="G184" s="199"/>
      <c r="H184" s="199"/>
      <c r="I184" s="199"/>
      <c r="J184" s="199"/>
      <c r="K184" s="199"/>
      <c r="L184" s="199"/>
      <c r="M184" s="199"/>
      <c r="N184" s="200"/>
      <c r="O184" s="200"/>
      <c r="P184" s="200"/>
    </row>
    <row r="185" ht="18.75" customHeight="1">
      <c r="A185" s="10"/>
      <c r="B185" s="189"/>
      <c r="C185" s="206"/>
      <c r="D185" s="199"/>
      <c r="E185" s="192"/>
      <c r="F185" s="192"/>
      <c r="G185" s="199"/>
      <c r="H185" s="199"/>
      <c r="I185" s="199"/>
      <c r="J185" s="199"/>
      <c r="K185" s="199"/>
      <c r="L185" s="199"/>
      <c r="M185" s="199"/>
      <c r="N185" s="200"/>
      <c r="O185" s="200"/>
      <c r="P185" s="200"/>
    </row>
    <row r="186" ht="18.75" customHeight="1">
      <c r="A186" s="10"/>
      <c r="B186" s="189"/>
      <c r="C186" s="206"/>
      <c r="D186" s="199"/>
      <c r="E186" s="192"/>
      <c r="F186" s="192"/>
      <c r="G186" s="199"/>
      <c r="H186" s="199"/>
      <c r="I186" s="199"/>
      <c r="J186" s="199"/>
      <c r="K186" s="199"/>
      <c r="L186" s="199"/>
      <c r="M186" s="199"/>
      <c r="N186" s="200"/>
      <c r="O186" s="200"/>
      <c r="P186" s="200"/>
    </row>
    <row r="187" ht="18.75" customHeight="1">
      <c r="A187" s="10"/>
      <c r="B187" s="189"/>
      <c r="C187" s="206"/>
      <c r="D187" s="199"/>
      <c r="E187" s="192"/>
      <c r="F187" s="192"/>
      <c r="G187" s="199"/>
      <c r="H187" s="199"/>
      <c r="I187" s="199"/>
      <c r="J187" s="199"/>
      <c r="K187" s="199"/>
      <c r="L187" s="199"/>
      <c r="M187" s="199"/>
      <c r="N187" s="200"/>
      <c r="O187" s="200"/>
      <c r="P187" s="200"/>
    </row>
    <row r="188" ht="18.75" customHeight="1">
      <c r="A188" s="10"/>
      <c r="B188" s="189"/>
      <c r="C188" s="206"/>
      <c r="D188" s="199"/>
      <c r="E188" s="192"/>
      <c r="F188" s="192"/>
      <c r="G188" s="199"/>
      <c r="H188" s="199"/>
      <c r="I188" s="199"/>
      <c r="J188" s="199"/>
      <c r="K188" s="199"/>
      <c r="L188" s="199"/>
      <c r="M188" s="199"/>
      <c r="N188" s="200"/>
      <c r="O188" s="200"/>
      <c r="P188" s="200"/>
    </row>
    <row r="189" ht="18.75" customHeight="1">
      <c r="A189" s="10"/>
      <c r="B189" s="189"/>
      <c r="C189" s="206"/>
      <c r="D189" s="199"/>
      <c r="E189" s="192"/>
      <c r="F189" s="192"/>
      <c r="G189" s="199"/>
      <c r="H189" s="199"/>
      <c r="I189" s="199"/>
      <c r="J189" s="199"/>
      <c r="K189" s="199"/>
      <c r="L189" s="199"/>
      <c r="M189" s="199"/>
      <c r="N189" s="200"/>
      <c r="O189" s="200"/>
      <c r="P189" s="200"/>
    </row>
    <row r="190" ht="18.75" customHeight="1">
      <c r="A190" s="10"/>
      <c r="B190" s="189"/>
      <c r="C190" s="206"/>
      <c r="D190" s="199"/>
      <c r="E190" s="192"/>
      <c r="F190" s="192"/>
      <c r="G190" s="199"/>
      <c r="H190" s="199"/>
      <c r="I190" s="199"/>
      <c r="J190" s="199"/>
      <c r="K190" s="199"/>
      <c r="L190" s="199"/>
      <c r="M190" s="199"/>
      <c r="N190" s="200"/>
      <c r="O190" s="200"/>
      <c r="P190" s="200"/>
    </row>
    <row r="191" ht="18.75" customHeight="1">
      <c r="A191" s="10"/>
      <c r="B191" s="189"/>
      <c r="C191" s="206"/>
      <c r="D191" s="199"/>
      <c r="E191" s="192"/>
      <c r="F191" s="192"/>
      <c r="G191" s="199"/>
      <c r="H191" s="199"/>
      <c r="I191" s="199"/>
      <c r="J191" s="199"/>
      <c r="K191" s="199"/>
      <c r="L191" s="199"/>
      <c r="M191" s="199"/>
      <c r="N191" s="200"/>
      <c r="O191" s="200"/>
      <c r="P191" s="200"/>
    </row>
    <row r="192" ht="18.75" customHeight="1">
      <c r="A192" s="10"/>
      <c r="B192" s="189"/>
      <c r="C192" s="206"/>
      <c r="D192" s="199"/>
      <c r="E192" s="192"/>
      <c r="F192" s="192"/>
      <c r="G192" s="199"/>
      <c r="H192" s="199"/>
      <c r="I192" s="199"/>
      <c r="J192" s="199"/>
      <c r="K192" s="199"/>
      <c r="L192" s="199"/>
      <c r="M192" s="199"/>
      <c r="N192" s="200"/>
      <c r="O192" s="200"/>
      <c r="P192" s="200"/>
    </row>
    <row r="193" ht="18.75" customHeight="1">
      <c r="A193" s="10"/>
      <c r="B193" s="189"/>
      <c r="C193" s="206"/>
      <c r="D193" s="199"/>
      <c r="E193" s="192"/>
      <c r="F193" s="192"/>
      <c r="G193" s="199"/>
      <c r="H193" s="199"/>
      <c r="I193" s="199"/>
      <c r="J193" s="199"/>
      <c r="K193" s="199"/>
      <c r="L193" s="199"/>
      <c r="M193" s="199"/>
      <c r="N193" s="200"/>
      <c r="O193" s="200"/>
      <c r="P193" s="200"/>
    </row>
    <row r="194" ht="18.75" customHeight="1">
      <c r="A194" s="10"/>
      <c r="B194" s="189"/>
      <c r="C194" s="206"/>
      <c r="D194" s="199"/>
      <c r="E194" s="192"/>
      <c r="F194" s="192"/>
      <c r="G194" s="199"/>
      <c r="H194" s="199"/>
      <c r="I194" s="199"/>
      <c r="J194" s="199"/>
      <c r="K194" s="199"/>
      <c r="L194" s="199"/>
      <c r="M194" s="199"/>
      <c r="N194" s="200"/>
      <c r="O194" s="200"/>
      <c r="P194" s="200"/>
    </row>
    <row r="195" ht="18.75" customHeight="1">
      <c r="A195" s="10"/>
      <c r="B195" s="189"/>
      <c r="C195" s="206"/>
      <c r="D195" s="199"/>
      <c r="E195" s="192"/>
      <c r="F195" s="192"/>
      <c r="G195" s="199"/>
      <c r="H195" s="199"/>
      <c r="I195" s="199"/>
      <c r="J195" s="199"/>
      <c r="K195" s="199"/>
      <c r="L195" s="199"/>
      <c r="M195" s="199"/>
      <c r="N195" s="200"/>
      <c r="O195" s="200"/>
      <c r="P195" s="200"/>
    </row>
    <row r="196" ht="18.75" customHeight="1">
      <c r="A196" s="10"/>
      <c r="B196" s="189"/>
      <c r="C196" s="206"/>
      <c r="D196" s="199"/>
      <c r="E196" s="192"/>
      <c r="F196" s="192"/>
      <c r="G196" s="199"/>
      <c r="H196" s="199"/>
      <c r="I196" s="199"/>
      <c r="J196" s="199"/>
      <c r="K196" s="199"/>
      <c r="L196" s="199"/>
      <c r="M196" s="199"/>
      <c r="N196" s="200"/>
      <c r="O196" s="200"/>
      <c r="P196" s="200"/>
    </row>
    <row r="197" ht="18.75" customHeight="1">
      <c r="A197" s="10"/>
      <c r="B197" s="189"/>
      <c r="C197" s="206"/>
      <c r="D197" s="199"/>
      <c r="E197" s="192"/>
      <c r="F197" s="192"/>
      <c r="G197" s="199"/>
      <c r="H197" s="199"/>
      <c r="I197" s="199"/>
      <c r="J197" s="199"/>
      <c r="K197" s="199"/>
      <c r="L197" s="199"/>
      <c r="M197" s="199"/>
      <c r="N197" s="200"/>
      <c r="O197" s="200"/>
      <c r="P197" s="200"/>
    </row>
    <row r="198" ht="18.75" customHeight="1">
      <c r="A198" s="10"/>
      <c r="B198" s="189"/>
      <c r="C198" s="206"/>
      <c r="D198" s="199"/>
      <c r="E198" s="192"/>
      <c r="F198" s="192"/>
      <c r="G198" s="199"/>
      <c r="H198" s="199"/>
      <c r="I198" s="199"/>
      <c r="J198" s="199"/>
      <c r="K198" s="199"/>
      <c r="L198" s="199"/>
      <c r="M198" s="199"/>
      <c r="N198" s="200"/>
      <c r="O198" s="200"/>
      <c r="P198" s="200"/>
    </row>
    <row r="199" ht="18.75" customHeight="1">
      <c r="A199" s="10"/>
      <c r="B199" s="189"/>
      <c r="C199" s="206"/>
      <c r="D199" s="199"/>
      <c r="E199" s="192"/>
      <c r="F199" s="192"/>
      <c r="G199" s="199"/>
      <c r="H199" s="199"/>
      <c r="I199" s="199"/>
      <c r="J199" s="199"/>
      <c r="K199" s="199"/>
      <c r="L199" s="199"/>
      <c r="M199" s="199"/>
      <c r="N199" s="200"/>
      <c r="O199" s="200"/>
      <c r="P199" s="200"/>
    </row>
    <row r="200" ht="18.75" customHeight="1">
      <c r="A200" s="10"/>
      <c r="B200" s="189"/>
      <c r="C200" s="206"/>
      <c r="D200" s="199"/>
      <c r="E200" s="192"/>
      <c r="F200" s="192"/>
      <c r="G200" s="199"/>
      <c r="H200" s="199"/>
      <c r="I200" s="199"/>
      <c r="J200" s="199"/>
      <c r="K200" s="199"/>
      <c r="L200" s="199"/>
      <c r="M200" s="199"/>
      <c r="N200" s="200"/>
      <c r="O200" s="200"/>
      <c r="P200" s="200"/>
    </row>
    <row r="201" ht="18.75" customHeight="1">
      <c r="A201" s="10"/>
      <c r="B201" s="189"/>
      <c r="C201" s="206"/>
      <c r="D201" s="199"/>
      <c r="E201" s="192"/>
      <c r="F201" s="192"/>
      <c r="G201" s="199"/>
      <c r="H201" s="199"/>
      <c r="I201" s="199"/>
      <c r="J201" s="199"/>
      <c r="K201" s="199"/>
      <c r="L201" s="199"/>
      <c r="M201" s="199"/>
      <c r="N201" s="200"/>
      <c r="O201" s="200"/>
      <c r="P201" s="200"/>
    </row>
    <row r="202" ht="18.75" customHeight="1">
      <c r="A202" s="10"/>
      <c r="B202" s="189"/>
      <c r="C202" s="206"/>
      <c r="D202" s="199"/>
      <c r="E202" s="192"/>
      <c r="F202" s="192"/>
      <c r="G202" s="199"/>
      <c r="H202" s="199"/>
      <c r="I202" s="199"/>
      <c r="J202" s="199"/>
      <c r="K202" s="199"/>
      <c r="L202" s="199"/>
      <c r="M202" s="199"/>
      <c r="N202" s="200"/>
      <c r="O202" s="200"/>
      <c r="P202" s="200"/>
    </row>
    <row r="203" ht="18.75" customHeight="1">
      <c r="A203" s="10"/>
      <c r="B203" s="189"/>
      <c r="C203" s="206"/>
      <c r="D203" s="199"/>
      <c r="E203" s="192"/>
      <c r="F203" s="192"/>
      <c r="G203" s="199"/>
      <c r="H203" s="199"/>
      <c r="I203" s="199"/>
      <c r="J203" s="199"/>
      <c r="K203" s="199"/>
      <c r="L203" s="199"/>
      <c r="M203" s="199"/>
      <c r="N203" s="200"/>
      <c r="O203" s="200"/>
      <c r="P203" s="200"/>
    </row>
    <row r="204" ht="18.75" customHeight="1">
      <c r="A204" s="10"/>
      <c r="B204" s="189"/>
      <c r="C204" s="206"/>
      <c r="D204" s="199"/>
      <c r="E204" s="192"/>
      <c r="F204" s="192"/>
      <c r="G204" s="199"/>
      <c r="H204" s="199"/>
      <c r="I204" s="199"/>
      <c r="J204" s="199"/>
      <c r="K204" s="199"/>
      <c r="L204" s="199"/>
      <c r="M204" s="199"/>
      <c r="N204" s="200"/>
      <c r="O204" s="200"/>
      <c r="P204" s="200"/>
    </row>
    <row r="205" ht="18.75" customHeight="1">
      <c r="A205" s="10"/>
      <c r="B205" s="189"/>
      <c r="C205" s="206"/>
      <c r="D205" s="199"/>
      <c r="E205" s="192"/>
      <c r="F205" s="192"/>
      <c r="G205" s="199"/>
      <c r="H205" s="199"/>
      <c r="I205" s="199"/>
      <c r="J205" s="199"/>
      <c r="K205" s="199"/>
      <c r="L205" s="199"/>
      <c r="M205" s="199"/>
      <c r="N205" s="200"/>
      <c r="O205" s="200"/>
      <c r="P205" s="200"/>
    </row>
    <row r="206" ht="18.75" customHeight="1">
      <c r="A206" s="10"/>
      <c r="B206" s="189"/>
      <c r="C206" s="206"/>
      <c r="D206" s="199"/>
      <c r="E206" s="192"/>
      <c r="F206" s="192"/>
      <c r="G206" s="199"/>
      <c r="H206" s="199"/>
      <c r="I206" s="199"/>
      <c r="J206" s="199"/>
      <c r="K206" s="199"/>
      <c r="L206" s="199"/>
      <c r="M206" s="199"/>
      <c r="N206" s="200"/>
      <c r="O206" s="200"/>
      <c r="P206" s="200"/>
    </row>
    <row r="207" ht="18.75" customHeight="1">
      <c r="A207" s="10"/>
      <c r="B207" s="189"/>
      <c r="C207" s="206"/>
      <c r="D207" s="199"/>
      <c r="E207" s="192"/>
      <c r="F207" s="192"/>
      <c r="G207" s="199"/>
      <c r="H207" s="199"/>
      <c r="I207" s="199"/>
      <c r="J207" s="199"/>
      <c r="K207" s="199"/>
      <c r="L207" s="199"/>
      <c r="M207" s="199"/>
      <c r="N207" s="200"/>
      <c r="O207" s="200"/>
      <c r="P207" s="200"/>
    </row>
    <row r="208" ht="18.75" customHeight="1">
      <c r="A208" s="10"/>
      <c r="B208" s="189"/>
      <c r="C208" s="206"/>
      <c r="D208" s="199"/>
      <c r="E208" s="192"/>
      <c r="F208" s="192"/>
      <c r="G208" s="199"/>
      <c r="H208" s="199"/>
      <c r="I208" s="199"/>
      <c r="J208" s="199"/>
      <c r="K208" s="199"/>
      <c r="L208" s="199"/>
      <c r="M208" s="199"/>
      <c r="N208" s="200"/>
      <c r="O208" s="200"/>
      <c r="P208" s="200"/>
    </row>
    <row r="209" ht="18.75" customHeight="1">
      <c r="A209" s="10"/>
      <c r="B209" s="189"/>
      <c r="C209" s="206"/>
      <c r="D209" s="199"/>
      <c r="E209" s="192"/>
      <c r="F209" s="192"/>
      <c r="G209" s="199"/>
      <c r="H209" s="199"/>
      <c r="I209" s="199"/>
      <c r="J209" s="199"/>
      <c r="K209" s="199"/>
      <c r="L209" s="199"/>
      <c r="M209" s="199"/>
      <c r="N209" s="200"/>
      <c r="O209" s="200"/>
      <c r="P209" s="200"/>
    </row>
    <row r="210" ht="18.75" customHeight="1">
      <c r="A210" s="10"/>
      <c r="B210" s="189"/>
      <c r="C210" s="206"/>
      <c r="D210" s="199"/>
      <c r="E210" s="192"/>
      <c r="F210" s="192"/>
      <c r="G210" s="199"/>
      <c r="H210" s="199"/>
      <c r="I210" s="199"/>
      <c r="J210" s="199"/>
      <c r="K210" s="199"/>
      <c r="L210" s="199"/>
      <c r="M210" s="199"/>
      <c r="N210" s="200"/>
      <c r="O210" s="200"/>
      <c r="P210" s="200"/>
    </row>
    <row r="211" ht="18.75" customHeight="1">
      <c r="A211" s="10"/>
      <c r="B211" s="189"/>
      <c r="C211" s="206"/>
      <c r="D211" s="199"/>
      <c r="E211" s="192"/>
      <c r="F211" s="192"/>
      <c r="G211" s="199"/>
      <c r="H211" s="199"/>
      <c r="I211" s="199"/>
      <c r="J211" s="199"/>
      <c r="K211" s="199"/>
      <c r="L211" s="199"/>
      <c r="M211" s="199"/>
      <c r="N211" s="200"/>
      <c r="O211" s="200"/>
      <c r="P211" s="200"/>
    </row>
    <row r="212" ht="18.75" customHeight="1">
      <c r="A212" s="10"/>
      <c r="B212" s="189"/>
      <c r="C212" s="206"/>
      <c r="D212" s="199"/>
      <c r="E212" s="192"/>
      <c r="F212" s="192"/>
      <c r="G212" s="199"/>
      <c r="H212" s="199"/>
      <c r="I212" s="199"/>
      <c r="J212" s="199"/>
      <c r="K212" s="199"/>
      <c r="L212" s="199"/>
      <c r="M212" s="199"/>
      <c r="N212" s="200"/>
      <c r="O212" s="200"/>
      <c r="P212" s="200"/>
    </row>
    <row r="213" ht="18.75" customHeight="1">
      <c r="A213" s="10"/>
      <c r="B213" s="189"/>
      <c r="C213" s="206"/>
      <c r="D213" s="199"/>
      <c r="E213" s="192"/>
      <c r="F213" s="192"/>
      <c r="G213" s="199"/>
      <c r="H213" s="199"/>
      <c r="I213" s="199"/>
      <c r="J213" s="199"/>
      <c r="K213" s="199"/>
      <c r="L213" s="199"/>
      <c r="M213" s="199"/>
      <c r="N213" s="200"/>
      <c r="O213" s="200"/>
      <c r="P213" s="200"/>
    </row>
    <row r="214" ht="18.75" customHeight="1">
      <c r="A214" s="10"/>
      <c r="B214" s="189"/>
      <c r="C214" s="206"/>
      <c r="D214" s="199"/>
      <c r="E214" s="192"/>
      <c r="F214" s="192"/>
      <c r="G214" s="199"/>
      <c r="H214" s="199"/>
      <c r="I214" s="199"/>
      <c r="J214" s="199"/>
      <c r="K214" s="199"/>
      <c r="L214" s="199"/>
      <c r="M214" s="199"/>
      <c r="N214" s="200"/>
      <c r="O214" s="200"/>
      <c r="P214" s="200"/>
    </row>
    <row r="215" ht="18.75" customHeight="1">
      <c r="A215" s="10"/>
      <c r="B215" s="189"/>
      <c r="C215" s="206"/>
      <c r="D215" s="199"/>
      <c r="E215" s="192"/>
      <c r="F215" s="192"/>
      <c r="G215" s="199"/>
      <c r="H215" s="199"/>
      <c r="I215" s="199"/>
      <c r="J215" s="199"/>
      <c r="K215" s="199"/>
      <c r="L215" s="199"/>
      <c r="M215" s="199"/>
      <c r="N215" s="200"/>
      <c r="O215" s="200"/>
      <c r="P215" s="200"/>
    </row>
    <row r="216" ht="18.75" customHeight="1">
      <c r="A216" s="10"/>
      <c r="B216" s="189"/>
      <c r="C216" s="206"/>
      <c r="D216" s="199"/>
      <c r="E216" s="192"/>
      <c r="F216" s="192"/>
      <c r="G216" s="199"/>
      <c r="H216" s="199"/>
      <c r="I216" s="199"/>
      <c r="J216" s="199"/>
      <c r="K216" s="199"/>
      <c r="L216" s="199"/>
      <c r="M216" s="199"/>
      <c r="N216" s="200"/>
      <c r="O216" s="200"/>
      <c r="P216" s="200"/>
    </row>
    <row r="217" ht="18.75" customHeight="1">
      <c r="A217" s="10"/>
      <c r="B217" s="189"/>
      <c r="C217" s="206"/>
      <c r="D217" s="199"/>
      <c r="E217" s="192"/>
      <c r="F217" s="192"/>
      <c r="G217" s="199"/>
      <c r="H217" s="199"/>
      <c r="I217" s="199"/>
      <c r="J217" s="199"/>
      <c r="K217" s="199"/>
      <c r="L217" s="199"/>
      <c r="M217" s="199"/>
      <c r="N217" s="200"/>
      <c r="O217" s="200"/>
      <c r="P217" s="200"/>
    </row>
    <row r="218" ht="18.75" customHeight="1">
      <c r="A218" s="10"/>
      <c r="B218" s="189"/>
      <c r="C218" s="206"/>
      <c r="D218" s="199"/>
      <c r="E218" s="192"/>
      <c r="F218" s="192"/>
      <c r="G218" s="199"/>
      <c r="H218" s="199"/>
      <c r="I218" s="199"/>
      <c r="J218" s="199"/>
      <c r="K218" s="199"/>
      <c r="L218" s="199"/>
      <c r="M218" s="199"/>
      <c r="N218" s="200"/>
      <c r="O218" s="200"/>
      <c r="P218" s="200"/>
    </row>
    <row r="219" ht="18.75" customHeight="1">
      <c r="A219" s="10"/>
      <c r="B219" s="189"/>
      <c r="C219" s="206"/>
      <c r="D219" s="199"/>
      <c r="E219" s="192"/>
      <c r="F219" s="192"/>
      <c r="G219" s="199"/>
      <c r="H219" s="199"/>
      <c r="I219" s="199"/>
      <c r="J219" s="199"/>
      <c r="K219" s="199"/>
      <c r="L219" s="199"/>
      <c r="M219" s="199"/>
      <c r="N219" s="200"/>
      <c r="O219" s="200"/>
      <c r="P219" s="200"/>
    </row>
    <row r="220" ht="18.75" customHeight="1">
      <c r="A220" s="10"/>
      <c r="B220" s="189"/>
      <c r="C220" s="206"/>
      <c r="D220" s="199"/>
      <c r="E220" s="192"/>
      <c r="F220" s="192"/>
      <c r="G220" s="199"/>
      <c r="H220" s="199"/>
      <c r="I220" s="199"/>
      <c r="J220" s="199"/>
      <c r="K220" s="199"/>
      <c r="L220" s="199"/>
      <c r="M220" s="199"/>
      <c r="N220" s="200"/>
      <c r="O220" s="200"/>
      <c r="P220" s="200"/>
    </row>
    <row r="221" ht="18.75" customHeight="1">
      <c r="A221" s="10"/>
      <c r="B221" s="189"/>
      <c r="C221" s="206"/>
      <c r="D221" s="199"/>
      <c r="E221" s="192"/>
      <c r="F221" s="192"/>
      <c r="G221" s="199"/>
      <c r="H221" s="199"/>
      <c r="I221" s="199"/>
      <c r="J221" s="199"/>
      <c r="K221" s="199"/>
      <c r="L221" s="199"/>
      <c r="M221" s="199"/>
      <c r="N221" s="200"/>
      <c r="O221" s="200"/>
      <c r="P221" s="200"/>
    </row>
    <row r="222" ht="18.75" customHeight="1">
      <c r="A222" s="10"/>
      <c r="B222" s="189"/>
      <c r="C222" s="206"/>
      <c r="D222" s="199"/>
      <c r="E222" s="192"/>
      <c r="F222" s="192"/>
      <c r="G222" s="199"/>
      <c r="H222" s="199"/>
      <c r="I222" s="199"/>
      <c r="J222" s="199"/>
      <c r="K222" s="199"/>
      <c r="L222" s="199"/>
      <c r="M222" s="199"/>
      <c r="N222" s="200"/>
      <c r="O222" s="200"/>
      <c r="P222" s="200"/>
    </row>
    <row r="223" ht="18.75" customHeight="1">
      <c r="A223" s="10"/>
      <c r="B223" s="189"/>
      <c r="C223" s="206"/>
      <c r="D223" s="199"/>
      <c r="E223" s="192"/>
      <c r="F223" s="192"/>
      <c r="G223" s="199"/>
      <c r="H223" s="199"/>
      <c r="I223" s="199"/>
      <c r="J223" s="199"/>
      <c r="K223" s="199"/>
      <c r="L223" s="199"/>
      <c r="M223" s="199"/>
      <c r="N223" s="200"/>
      <c r="O223" s="200"/>
      <c r="P223" s="200"/>
    </row>
    <row r="224" ht="18.75" customHeight="1">
      <c r="A224" s="10"/>
      <c r="B224" s="189"/>
      <c r="C224" s="206"/>
      <c r="D224" s="199"/>
      <c r="E224" s="192"/>
      <c r="F224" s="192"/>
      <c r="G224" s="199"/>
      <c r="H224" s="199"/>
      <c r="I224" s="199"/>
      <c r="J224" s="199"/>
      <c r="K224" s="199"/>
      <c r="L224" s="199"/>
      <c r="M224" s="199"/>
      <c r="N224" s="200"/>
      <c r="O224" s="200"/>
      <c r="P224" s="200"/>
    </row>
    <row r="225" ht="18.75" customHeight="1">
      <c r="A225" s="10"/>
      <c r="B225" s="189"/>
      <c r="C225" s="206"/>
      <c r="D225" s="199"/>
      <c r="E225" s="192"/>
      <c r="F225" s="192"/>
      <c r="G225" s="199"/>
      <c r="H225" s="199"/>
      <c r="I225" s="199"/>
      <c r="J225" s="199"/>
      <c r="K225" s="199"/>
      <c r="L225" s="199"/>
      <c r="M225" s="199"/>
      <c r="N225" s="200"/>
      <c r="O225" s="200"/>
      <c r="P225" s="200"/>
    </row>
    <row r="226" ht="18.75" customHeight="1">
      <c r="A226" s="10"/>
      <c r="B226" s="189"/>
      <c r="C226" s="206"/>
      <c r="D226" s="199"/>
      <c r="E226" s="192"/>
      <c r="F226" s="192"/>
      <c r="G226" s="199"/>
      <c r="H226" s="199"/>
      <c r="I226" s="199"/>
      <c r="J226" s="199"/>
      <c r="K226" s="199"/>
      <c r="L226" s="199"/>
      <c r="M226" s="199"/>
      <c r="N226" s="200"/>
      <c r="O226" s="200"/>
      <c r="P226" s="200"/>
    </row>
    <row r="227" ht="18.75" customHeight="1">
      <c r="A227" s="10"/>
      <c r="B227" s="189"/>
      <c r="C227" s="206"/>
      <c r="D227" s="199"/>
      <c r="E227" s="192"/>
      <c r="F227" s="192"/>
      <c r="G227" s="199"/>
      <c r="H227" s="199"/>
      <c r="I227" s="199"/>
      <c r="J227" s="199"/>
      <c r="K227" s="199"/>
      <c r="L227" s="199"/>
      <c r="M227" s="199"/>
      <c r="N227" s="200"/>
      <c r="O227" s="200"/>
      <c r="P227" s="200"/>
    </row>
    <row r="228" ht="18.75" customHeight="1">
      <c r="A228" s="10"/>
      <c r="B228" s="189"/>
      <c r="C228" s="206"/>
      <c r="D228" s="199"/>
      <c r="E228" s="192"/>
      <c r="F228" s="192"/>
      <c r="G228" s="199"/>
      <c r="H228" s="199"/>
      <c r="I228" s="199"/>
      <c r="J228" s="199"/>
      <c r="K228" s="199"/>
      <c r="L228" s="199"/>
      <c r="M228" s="199"/>
      <c r="N228" s="200"/>
      <c r="O228" s="200"/>
      <c r="P228" s="200"/>
    </row>
    <row r="229" ht="18.75" customHeight="1">
      <c r="A229" s="10"/>
      <c r="B229" s="189"/>
      <c r="C229" s="207"/>
      <c r="D229" s="199"/>
      <c r="E229" s="192"/>
      <c r="F229" s="192"/>
      <c r="G229" s="199"/>
      <c r="H229" s="199"/>
      <c r="I229" s="199"/>
      <c r="J229" s="199"/>
      <c r="K229" s="199"/>
      <c r="L229" s="199"/>
      <c r="M229" s="199"/>
      <c r="N229" s="200"/>
      <c r="O229" s="200"/>
      <c r="P229" s="200"/>
    </row>
    <row r="230" ht="18.75" customHeight="1">
      <c r="A230" s="10"/>
      <c r="B230" s="189"/>
      <c r="C230" s="10"/>
      <c r="D230" s="199"/>
      <c r="E230" s="192"/>
      <c r="F230" s="192"/>
      <c r="G230" s="199"/>
      <c r="H230" s="199"/>
      <c r="I230" s="199"/>
      <c r="J230" s="199"/>
      <c r="K230" s="199"/>
      <c r="L230" s="199"/>
      <c r="M230" s="199"/>
      <c r="N230" s="200"/>
      <c r="O230" s="200"/>
      <c r="P230" s="200"/>
    </row>
    <row r="231" ht="18.75" customHeight="1">
      <c r="A231" s="10"/>
      <c r="B231" s="189"/>
      <c r="C231" s="10"/>
      <c r="D231" s="199"/>
      <c r="E231" s="192"/>
      <c r="F231" s="192"/>
      <c r="G231" s="199"/>
      <c r="H231" s="199"/>
      <c r="I231" s="199"/>
      <c r="J231" s="199"/>
      <c r="K231" s="199"/>
      <c r="L231" s="199"/>
      <c r="M231" s="199"/>
      <c r="N231" s="200"/>
      <c r="O231" s="200"/>
      <c r="P231" s="200"/>
    </row>
    <row r="232" ht="18.75" customHeight="1">
      <c r="A232" s="10"/>
      <c r="B232" s="189"/>
      <c r="C232" s="10"/>
      <c r="D232" s="199"/>
      <c r="E232" s="192"/>
      <c r="F232" s="192"/>
      <c r="G232" s="199"/>
      <c r="H232" s="199"/>
      <c r="I232" s="199"/>
      <c r="J232" s="199"/>
      <c r="K232" s="199"/>
      <c r="L232" s="199"/>
      <c r="M232" s="199"/>
      <c r="N232" s="200"/>
      <c r="O232" s="200"/>
      <c r="P232" s="200"/>
    </row>
    <row r="233" ht="18.75" customHeight="1">
      <c r="A233" s="10"/>
      <c r="B233" s="207" t="s">
        <v>647</v>
      </c>
      <c r="C233" s="10"/>
      <c r="D233" s="207"/>
      <c r="E233" s="207"/>
      <c r="F233" s="207"/>
      <c r="G233" s="207"/>
      <c r="H233" s="207"/>
      <c r="I233" s="207"/>
      <c r="J233" s="207"/>
      <c r="K233" s="207"/>
      <c r="L233" s="207"/>
      <c r="M233" s="207"/>
      <c r="N233" s="207"/>
      <c r="O233" s="207"/>
      <c r="P233" s="207"/>
    </row>
  </sheetData>
  <autoFilter ref="$A$1:$P$233"/>
  <conditionalFormatting sqref="B6:P6">
    <cfRule type="expression" dxfId="9" priority="1">
      <formula>B$6="Automatic"</formula>
    </cfRule>
  </conditionalFormatting>
  <conditionalFormatting sqref="B2:P2 B6:P6">
    <cfRule type="expression" dxfId="8" priority="2">
      <formula>B$6="Minimum Required"</formula>
    </cfRule>
  </conditionalFormatting>
  <conditionalFormatting sqref="B6:P6">
    <cfRule type="expression" dxfId="10" priority="3">
      <formula>B$6="Recommended"</formula>
    </cfRule>
  </conditionalFormatting>
  <conditionalFormatting sqref="B6:P6">
    <cfRule type="expression" dxfId="12" priority="4">
      <formula>B$6="Optional"</formula>
    </cfRule>
  </conditionalFormatting>
  <conditionalFormatting sqref="A9:A24">
    <cfRule type="endsWith" dxfId="5" priority="5" operator="endsWith" text="M">
      <formula>RIGHT((A9),LEN("M"))=("M")</formula>
    </cfRule>
  </conditionalFormatting>
  <conditionalFormatting sqref="A9:A24">
    <cfRule type="endsWith" dxfId="6" priority="6" operator="endsWith" text="R">
      <formula>RIGHT((A9),LEN("R"))=("R")</formula>
    </cfRule>
  </conditionalFormatting>
  <conditionalFormatting sqref="A9:A24">
    <cfRule type="endsWith" dxfId="7" priority="7" operator="endsWith" text="O">
      <formula>RIGHT((A9),LEN("O"))=("O")</formula>
    </cfRule>
  </conditionalFormatting>
  <dataValidations>
    <dataValidation type="list" allowBlank="1" showErrorMessage="1" sqref="B9:B232">
      <formula1>Dropdowns!$AR$4:$AR$19</formula1>
    </dataValidation>
    <dataValidation type="list" allowBlank="1" showInputMessage="1" prompt="Fai clic e immetti un valore dall'intervallo" sqref="N9:N232">
      <formula1>Dropdowns!$AC$4:$AC$8</formula1>
    </dataValidation>
    <dataValidation type="list" allowBlank="1" showErrorMessage="1" sqref="B3 G3:I3 L3:P3">
      <formula1>Dropdowns!$AJ$4:$AJ$8</formula1>
    </dataValidation>
    <dataValidation type="list" allowBlank="1" showInputMessage="1" prompt="SFDSFSAGSASG" sqref="C3:F3 J3:K3">
      <formula1>Dropdowns!$AJ$4:$AJ$8</formula1>
    </dataValidation>
    <dataValidation type="list" allowBlank="1" showInputMessage="1" prompt="Select..." sqref="P9:P232">
      <formula1>Dropdowns!$AE$4:$AE$21</formula1>
    </dataValidation>
    <dataValidation type="list" allowBlank="1" showInputMessage="1" prompt="Select..." sqref="O9:O232">
      <formula1>Dropdowns!$AD$3:$AD$30</formula1>
    </dataValidation>
    <dataValidation type="list" allowBlank="1" showInputMessage="1" prompt="Fai clic e immetti un valore dall'intervallo" sqref="H9">
      <formula1>Dropdowns!$AO$4:$AO$11</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2" width="21.5"/>
    <col customWidth="1" min="3" max="7" width="27.63"/>
    <col customWidth="1" min="8" max="8" width="22.63"/>
    <col customWidth="1" min="9" max="9" width="18.25"/>
  </cols>
  <sheetData>
    <row r="1" ht="60.0" customHeight="1">
      <c r="A1" s="208" t="s">
        <v>587</v>
      </c>
      <c r="B1" s="209" t="s">
        <v>648</v>
      </c>
      <c r="C1" s="161" t="s">
        <v>649</v>
      </c>
      <c r="D1" s="161" t="s">
        <v>650</v>
      </c>
      <c r="E1" s="161" t="s">
        <v>651</v>
      </c>
      <c r="F1" s="161" t="s">
        <v>652</v>
      </c>
      <c r="G1" s="161" t="s">
        <v>653</v>
      </c>
      <c r="H1" s="161" t="s">
        <v>654</v>
      </c>
      <c r="I1" s="161" t="s">
        <v>655</v>
      </c>
    </row>
    <row r="2" ht="90.0" customHeight="1">
      <c r="A2" s="210" t="s">
        <v>85</v>
      </c>
      <c r="B2" s="211" t="s">
        <v>656</v>
      </c>
      <c r="C2" s="211" t="s">
        <v>657</v>
      </c>
      <c r="D2" s="211" t="s">
        <v>658</v>
      </c>
      <c r="E2" s="211" t="s">
        <v>659</v>
      </c>
      <c r="F2" s="211" t="s">
        <v>660</v>
      </c>
      <c r="G2" s="85" t="s">
        <v>661</v>
      </c>
      <c r="H2" s="212" t="s">
        <v>662</v>
      </c>
      <c r="I2" s="211" t="s">
        <v>663</v>
      </c>
    </row>
    <row r="3" ht="30.0" customHeight="1">
      <c r="A3" s="213" t="s">
        <v>618</v>
      </c>
      <c r="B3" s="174" t="s">
        <v>107</v>
      </c>
      <c r="C3" s="174" t="s">
        <v>107</v>
      </c>
      <c r="D3" s="174" t="s">
        <v>107</v>
      </c>
      <c r="E3" s="174" t="s">
        <v>107</v>
      </c>
      <c r="F3" s="174" t="s">
        <v>107</v>
      </c>
      <c r="G3" s="173" t="s">
        <v>107</v>
      </c>
      <c r="H3" s="174" t="s">
        <v>107</v>
      </c>
      <c r="I3" s="174" t="s">
        <v>190</v>
      </c>
    </row>
    <row r="4" ht="18.75" customHeight="1">
      <c r="A4" s="213" t="s">
        <v>87</v>
      </c>
      <c r="B4" s="178" t="s">
        <v>108</v>
      </c>
      <c r="C4" s="178" t="s">
        <v>108</v>
      </c>
      <c r="D4" s="178" t="s">
        <v>108</v>
      </c>
      <c r="E4" s="178" t="s">
        <v>108</v>
      </c>
      <c r="F4" s="178" t="s">
        <v>108</v>
      </c>
      <c r="G4" s="177" t="s">
        <v>108</v>
      </c>
      <c r="H4" s="178" t="s">
        <v>114</v>
      </c>
      <c r="I4" s="178" t="s">
        <v>191</v>
      </c>
    </row>
    <row r="5" ht="18.75" customHeight="1">
      <c r="A5" s="213" t="s">
        <v>620</v>
      </c>
      <c r="B5" s="178" t="s">
        <v>109</v>
      </c>
      <c r="C5" s="178" t="s">
        <v>109</v>
      </c>
      <c r="D5" s="178" t="s">
        <v>109</v>
      </c>
      <c r="E5" s="178" t="s">
        <v>109</v>
      </c>
      <c r="F5" s="178" t="s">
        <v>109</v>
      </c>
      <c r="G5" s="178" t="s">
        <v>109</v>
      </c>
      <c r="H5" s="178" t="s">
        <v>109</v>
      </c>
      <c r="I5" s="178" t="s">
        <v>192</v>
      </c>
    </row>
    <row r="6" ht="18.75" customHeight="1">
      <c r="A6" s="213" t="s">
        <v>89</v>
      </c>
      <c r="B6" s="183" t="s">
        <v>37</v>
      </c>
      <c r="C6" s="183" t="s">
        <v>37</v>
      </c>
      <c r="D6" s="183" t="s">
        <v>37</v>
      </c>
      <c r="E6" s="183" t="s">
        <v>39</v>
      </c>
      <c r="F6" s="183" t="s">
        <v>41</v>
      </c>
      <c r="G6" s="184" t="s">
        <v>39</v>
      </c>
      <c r="H6" s="183" t="s">
        <v>37</v>
      </c>
      <c r="I6" s="183" t="s">
        <v>39</v>
      </c>
    </row>
    <row r="7" ht="90.0" customHeight="1">
      <c r="A7" s="182" t="s">
        <v>71</v>
      </c>
      <c r="B7" s="83"/>
      <c r="C7" s="83" t="s">
        <v>664</v>
      </c>
      <c r="D7" s="83" t="s">
        <v>665</v>
      </c>
      <c r="E7" s="83" t="s">
        <v>666</v>
      </c>
      <c r="F7" s="83" t="s">
        <v>667</v>
      </c>
      <c r="G7" s="83" t="s">
        <v>668</v>
      </c>
      <c r="H7" s="83" t="s">
        <v>669</v>
      </c>
      <c r="I7" s="83"/>
    </row>
    <row r="8" ht="18.75" customHeight="1">
      <c r="A8" s="182" t="s">
        <v>84</v>
      </c>
      <c r="B8" s="185"/>
      <c r="C8" s="185" t="s">
        <v>670</v>
      </c>
      <c r="D8" s="185" t="s">
        <v>671</v>
      </c>
      <c r="E8" s="185" t="s">
        <v>672</v>
      </c>
      <c r="F8" s="185" t="s">
        <v>673</v>
      </c>
      <c r="G8" s="185" t="s">
        <v>674</v>
      </c>
      <c r="H8" s="185"/>
      <c r="I8" s="185"/>
    </row>
    <row r="9" ht="18.75" customHeight="1">
      <c r="A9" s="214"/>
      <c r="B9" s="192"/>
      <c r="C9" s="193" t="s">
        <v>675</v>
      </c>
      <c r="D9" s="193" t="s">
        <v>676</v>
      </c>
      <c r="E9" s="193" t="s">
        <v>677</v>
      </c>
      <c r="F9" s="193"/>
      <c r="G9" s="190"/>
      <c r="H9" s="193" t="s">
        <v>678</v>
      </c>
      <c r="I9" s="215">
        <v>123.0</v>
      </c>
    </row>
    <row r="10" ht="18.75" customHeight="1">
      <c r="A10" s="214"/>
      <c r="B10" s="192"/>
      <c r="C10" s="193"/>
      <c r="D10" s="193"/>
      <c r="E10" s="193"/>
      <c r="F10" s="193"/>
      <c r="G10" s="197"/>
      <c r="H10" s="193"/>
      <c r="I10" s="215"/>
    </row>
    <row r="11" ht="18.75" customHeight="1">
      <c r="A11" s="216"/>
      <c r="B11" s="192"/>
      <c r="C11" s="193"/>
      <c r="D11" s="193"/>
      <c r="E11" s="193"/>
      <c r="F11" s="193"/>
      <c r="G11" s="197"/>
      <c r="H11" s="193"/>
      <c r="I11" s="215"/>
    </row>
    <row r="12" ht="18.75" customHeight="1">
      <c r="A12" s="216"/>
      <c r="B12" s="192"/>
      <c r="C12" s="193"/>
      <c r="D12" s="193"/>
      <c r="E12" s="193"/>
      <c r="F12" s="193"/>
      <c r="G12" s="197"/>
      <c r="H12" s="193"/>
      <c r="I12" s="215"/>
    </row>
    <row r="13" ht="18.75" customHeight="1">
      <c r="A13" s="216"/>
      <c r="B13" s="192"/>
      <c r="C13" s="193"/>
      <c r="D13" s="193"/>
      <c r="E13" s="193"/>
      <c r="F13" s="193"/>
      <c r="G13" s="197"/>
      <c r="H13" s="193"/>
      <c r="I13" s="215"/>
    </row>
    <row r="14" ht="18.75" customHeight="1">
      <c r="A14" s="214"/>
      <c r="B14" s="192"/>
      <c r="C14" s="193"/>
      <c r="D14" s="193"/>
      <c r="E14" s="193"/>
      <c r="F14" s="193"/>
      <c r="G14" s="197"/>
      <c r="H14" s="193"/>
      <c r="I14" s="215"/>
    </row>
    <row r="15" ht="18.75" customHeight="1">
      <c r="A15" s="214"/>
      <c r="B15" s="192"/>
      <c r="C15" s="193"/>
      <c r="D15" s="193"/>
      <c r="E15" s="193"/>
      <c r="F15" s="193"/>
      <c r="G15" s="197"/>
      <c r="H15" s="193"/>
      <c r="I15" s="215"/>
    </row>
    <row r="16" ht="18.75" customHeight="1">
      <c r="A16" s="214"/>
      <c r="B16" s="192"/>
      <c r="C16" s="193"/>
      <c r="D16" s="193"/>
      <c r="E16" s="193"/>
      <c r="F16" s="193"/>
      <c r="G16" s="197"/>
      <c r="H16" s="193"/>
      <c r="I16" s="215"/>
    </row>
    <row r="17" ht="18.75" customHeight="1">
      <c r="A17" s="214"/>
      <c r="B17" s="192"/>
      <c r="C17" s="193"/>
      <c r="D17" s="193"/>
      <c r="E17" s="193"/>
      <c r="F17" s="193"/>
      <c r="G17" s="197"/>
      <c r="H17" s="193"/>
      <c r="I17" s="215"/>
    </row>
    <row r="18" ht="18.75" customHeight="1">
      <c r="A18" s="214"/>
      <c r="B18" s="192"/>
      <c r="C18" s="193"/>
      <c r="D18" s="193"/>
      <c r="E18" s="193"/>
      <c r="F18" s="193"/>
      <c r="G18" s="197"/>
      <c r="H18" s="193"/>
      <c r="I18" s="215"/>
    </row>
    <row r="19" ht="18.75" customHeight="1">
      <c r="A19" s="214"/>
      <c r="B19" s="192"/>
      <c r="C19" s="193"/>
      <c r="D19" s="193"/>
      <c r="E19" s="193"/>
      <c r="F19" s="193"/>
      <c r="G19" s="197"/>
      <c r="H19" s="193"/>
      <c r="I19" s="215"/>
    </row>
    <row r="20" ht="18.75" customHeight="1">
      <c r="A20" s="214"/>
      <c r="B20" s="192"/>
      <c r="C20" s="193"/>
      <c r="D20" s="193"/>
      <c r="E20" s="193"/>
      <c r="F20" s="193"/>
      <c r="G20" s="197"/>
      <c r="H20" s="193"/>
      <c r="I20" s="215"/>
    </row>
    <row r="21" ht="18.75" customHeight="1">
      <c r="A21" s="217"/>
      <c r="B21" s="192"/>
      <c r="C21" s="193"/>
      <c r="D21" s="193"/>
      <c r="E21" s="193"/>
      <c r="F21" s="193"/>
      <c r="G21" s="197"/>
      <c r="H21" s="193"/>
      <c r="I21" s="215"/>
    </row>
    <row r="22" ht="18.75" customHeight="1">
      <c r="A22" s="217"/>
      <c r="B22" s="192"/>
      <c r="C22" s="193"/>
      <c r="D22" s="193"/>
      <c r="E22" s="193"/>
      <c r="F22" s="193"/>
      <c r="G22" s="197"/>
      <c r="H22" s="193"/>
      <c r="I22" s="215"/>
    </row>
    <row r="23" ht="18.75" customHeight="1">
      <c r="A23" s="217"/>
      <c r="B23" s="192"/>
      <c r="C23" s="193"/>
      <c r="D23" s="193"/>
      <c r="E23" s="193"/>
      <c r="F23" s="193"/>
      <c r="G23" s="197"/>
      <c r="H23" s="193"/>
      <c r="I23" s="215"/>
    </row>
    <row r="24" ht="18.75" customHeight="1">
      <c r="A24" s="217"/>
      <c r="B24" s="192"/>
      <c r="C24" s="193"/>
      <c r="D24" s="193"/>
      <c r="E24" s="193"/>
      <c r="F24" s="193"/>
      <c r="G24" s="197"/>
      <c r="H24" s="193"/>
      <c r="I24" s="215"/>
    </row>
    <row r="25" ht="18.75" customHeight="1">
      <c r="A25" s="217"/>
      <c r="B25" s="192"/>
      <c r="C25" s="193"/>
      <c r="D25" s="193"/>
      <c r="E25" s="193"/>
      <c r="F25" s="193"/>
      <c r="G25" s="197"/>
      <c r="H25" s="193"/>
      <c r="I25" s="215"/>
    </row>
    <row r="26" ht="18.75" customHeight="1">
      <c r="A26" s="217"/>
      <c r="B26" s="192"/>
      <c r="C26" s="193"/>
      <c r="D26" s="193"/>
      <c r="E26" s="193"/>
      <c r="F26" s="193"/>
      <c r="G26" s="197"/>
      <c r="H26" s="193"/>
      <c r="I26" s="215"/>
    </row>
    <row r="27" ht="18.75" customHeight="1">
      <c r="A27" s="217"/>
      <c r="B27" s="192"/>
      <c r="C27" s="193"/>
      <c r="D27" s="193"/>
      <c r="E27" s="193"/>
      <c r="F27" s="193"/>
      <c r="G27" s="197"/>
      <c r="H27" s="193"/>
      <c r="I27" s="215"/>
    </row>
    <row r="28" ht="18.75" customHeight="1">
      <c r="A28" s="217"/>
      <c r="B28" s="192"/>
      <c r="C28" s="193"/>
      <c r="D28" s="193"/>
      <c r="E28" s="193"/>
      <c r="F28" s="193"/>
      <c r="G28" s="197"/>
      <c r="H28" s="193"/>
      <c r="I28" s="215"/>
    </row>
    <row r="29" ht="18.75" customHeight="1">
      <c r="A29" s="217"/>
      <c r="B29" s="192"/>
      <c r="C29" s="193"/>
      <c r="D29" s="193"/>
      <c r="E29" s="193"/>
      <c r="F29" s="193"/>
      <c r="G29" s="197"/>
      <c r="H29" s="193"/>
      <c r="I29" s="215"/>
    </row>
    <row r="30" ht="18.75" customHeight="1">
      <c r="A30" s="217"/>
      <c r="B30" s="192"/>
      <c r="C30" s="193"/>
      <c r="D30" s="193"/>
      <c r="E30" s="193"/>
      <c r="F30" s="193"/>
      <c r="G30" s="197"/>
      <c r="H30" s="193"/>
      <c r="I30" s="215"/>
    </row>
    <row r="31" ht="18.75" customHeight="1">
      <c r="A31" s="217"/>
      <c r="B31" s="192"/>
      <c r="C31" s="193"/>
      <c r="D31" s="193"/>
      <c r="E31" s="193"/>
      <c r="F31" s="193"/>
      <c r="G31" s="197"/>
      <c r="H31" s="193"/>
      <c r="I31" s="215"/>
    </row>
    <row r="32" ht="18.75" customHeight="1">
      <c r="A32" s="217"/>
      <c r="B32" s="192"/>
      <c r="C32" s="193"/>
      <c r="D32" s="193"/>
      <c r="E32" s="193"/>
      <c r="F32" s="193"/>
      <c r="G32" s="197"/>
      <c r="H32" s="193"/>
      <c r="I32" s="215"/>
    </row>
    <row r="33" ht="18.75" customHeight="1">
      <c r="A33" s="217"/>
      <c r="B33" s="192"/>
      <c r="C33" s="193"/>
      <c r="D33" s="193"/>
      <c r="E33" s="193"/>
      <c r="F33" s="193"/>
      <c r="G33" s="197"/>
      <c r="H33" s="193"/>
      <c r="I33" s="215"/>
    </row>
    <row r="34" ht="18.75" customHeight="1">
      <c r="A34" s="217"/>
      <c r="B34" s="192"/>
      <c r="C34" s="193"/>
      <c r="D34" s="193"/>
      <c r="E34" s="193"/>
      <c r="F34" s="193"/>
      <c r="G34" s="197"/>
      <c r="H34" s="193"/>
      <c r="I34" s="215"/>
    </row>
    <row r="35" ht="18.75" customHeight="1">
      <c r="A35" s="217"/>
      <c r="B35" s="192"/>
      <c r="C35" s="193"/>
      <c r="D35" s="193"/>
      <c r="E35" s="193"/>
      <c r="F35" s="193"/>
      <c r="G35" s="197"/>
      <c r="H35" s="193"/>
      <c r="I35" s="215"/>
    </row>
    <row r="36" ht="18.75" customHeight="1">
      <c r="A36" s="217"/>
      <c r="B36" s="192"/>
      <c r="C36" s="193"/>
      <c r="D36" s="193"/>
      <c r="E36" s="193"/>
      <c r="F36" s="193"/>
      <c r="G36" s="197"/>
      <c r="H36" s="193"/>
      <c r="I36" s="215"/>
    </row>
    <row r="37" ht="18.75" customHeight="1">
      <c r="A37" s="217"/>
      <c r="B37" s="192"/>
      <c r="C37" s="193"/>
      <c r="D37" s="193"/>
      <c r="E37" s="193"/>
      <c r="F37" s="193"/>
      <c r="G37" s="197"/>
      <c r="H37" s="193"/>
      <c r="I37" s="215"/>
    </row>
    <row r="38" ht="18.75" customHeight="1">
      <c r="A38" s="217"/>
      <c r="B38" s="192"/>
      <c r="C38" s="193"/>
      <c r="D38" s="193"/>
      <c r="E38" s="193"/>
      <c r="F38" s="193"/>
      <c r="G38" s="197"/>
      <c r="H38" s="193"/>
      <c r="I38" s="215"/>
    </row>
    <row r="39" ht="18.75" customHeight="1">
      <c r="A39" s="217"/>
      <c r="B39" s="192"/>
      <c r="C39" s="193"/>
      <c r="D39" s="193"/>
      <c r="E39" s="193"/>
      <c r="F39" s="193"/>
      <c r="G39" s="197"/>
      <c r="H39" s="193"/>
      <c r="I39" s="215"/>
    </row>
    <row r="40" ht="18.75" customHeight="1">
      <c r="A40" s="217"/>
      <c r="B40" s="192"/>
      <c r="C40" s="193"/>
      <c r="D40" s="193"/>
      <c r="E40" s="193"/>
      <c r="F40" s="193"/>
      <c r="G40" s="197"/>
      <c r="H40" s="193"/>
      <c r="I40" s="215"/>
    </row>
    <row r="41" ht="18.75" customHeight="1">
      <c r="A41" s="217"/>
      <c r="B41" s="192"/>
      <c r="C41" s="193"/>
      <c r="D41" s="193"/>
      <c r="E41" s="193"/>
      <c r="F41" s="193"/>
      <c r="G41" s="197"/>
      <c r="H41" s="193"/>
      <c r="I41" s="215"/>
    </row>
    <row r="42" ht="18.75" customHeight="1">
      <c r="A42" s="217"/>
      <c r="B42" s="192"/>
      <c r="C42" s="193"/>
      <c r="D42" s="193"/>
      <c r="E42" s="193"/>
      <c r="F42" s="193"/>
      <c r="G42" s="197"/>
      <c r="H42" s="193"/>
      <c r="I42" s="215"/>
    </row>
    <row r="43" ht="18.75" customHeight="1">
      <c r="A43" s="217"/>
      <c r="B43" s="192"/>
      <c r="C43" s="193"/>
      <c r="D43" s="193"/>
      <c r="E43" s="193"/>
      <c r="F43" s="193"/>
      <c r="G43" s="197"/>
      <c r="H43" s="193"/>
      <c r="I43" s="215"/>
    </row>
    <row r="44" ht="18.75" customHeight="1">
      <c r="A44" s="217"/>
      <c r="B44" s="192"/>
      <c r="C44" s="193"/>
      <c r="D44" s="193"/>
      <c r="E44" s="193"/>
      <c r="F44" s="193"/>
      <c r="G44" s="197"/>
      <c r="H44" s="193"/>
      <c r="I44" s="215"/>
    </row>
    <row r="45" ht="18.75" customHeight="1">
      <c r="A45" s="217"/>
      <c r="B45" s="192"/>
      <c r="C45" s="193"/>
      <c r="D45" s="193"/>
      <c r="E45" s="193"/>
      <c r="F45" s="193"/>
      <c r="G45" s="197"/>
      <c r="H45" s="193"/>
      <c r="I45" s="215"/>
    </row>
    <row r="46" ht="18.75" customHeight="1">
      <c r="A46" s="217"/>
      <c r="B46" s="192"/>
      <c r="C46" s="193"/>
      <c r="D46" s="193"/>
      <c r="E46" s="193"/>
      <c r="F46" s="193"/>
      <c r="G46" s="197"/>
      <c r="H46" s="193"/>
      <c r="I46" s="215"/>
    </row>
    <row r="47" ht="18.75" customHeight="1">
      <c r="A47" s="217"/>
      <c r="B47" s="192"/>
      <c r="C47" s="193"/>
      <c r="D47" s="193"/>
      <c r="E47" s="193"/>
      <c r="F47" s="193"/>
      <c r="G47" s="197"/>
      <c r="H47" s="193"/>
      <c r="I47" s="215"/>
    </row>
    <row r="48" ht="18.75" customHeight="1">
      <c r="A48" s="217"/>
      <c r="B48" s="192"/>
      <c r="C48" s="193"/>
      <c r="D48" s="193"/>
      <c r="E48" s="193"/>
      <c r="F48" s="193"/>
      <c r="G48" s="197"/>
      <c r="H48" s="193"/>
      <c r="I48" s="215"/>
    </row>
    <row r="49" ht="18.75" customHeight="1">
      <c r="A49" s="217"/>
      <c r="B49" s="192"/>
      <c r="C49" s="193"/>
      <c r="D49" s="193"/>
      <c r="E49" s="193"/>
      <c r="F49" s="193"/>
      <c r="G49" s="197"/>
      <c r="H49" s="193"/>
      <c r="I49" s="215"/>
    </row>
    <row r="50" ht="18.75" customHeight="1">
      <c r="A50" s="217"/>
      <c r="B50" s="192"/>
      <c r="C50" s="193"/>
      <c r="D50" s="193"/>
      <c r="E50" s="193"/>
      <c r="F50" s="193"/>
      <c r="G50" s="197"/>
      <c r="H50" s="193"/>
      <c r="I50" s="215"/>
    </row>
    <row r="51" ht="18.75" customHeight="1">
      <c r="A51" s="217"/>
      <c r="B51" s="192"/>
      <c r="C51" s="193"/>
      <c r="D51" s="193"/>
      <c r="E51" s="193"/>
      <c r="F51" s="193"/>
      <c r="G51" s="197"/>
      <c r="H51" s="193"/>
      <c r="I51" s="215"/>
    </row>
    <row r="52" ht="18.75" customHeight="1">
      <c r="A52" s="217"/>
      <c r="B52" s="192"/>
      <c r="C52" s="193"/>
      <c r="D52" s="193"/>
      <c r="E52" s="193"/>
      <c r="F52" s="193"/>
      <c r="G52" s="197"/>
      <c r="H52" s="193"/>
      <c r="I52" s="215"/>
    </row>
    <row r="53" ht="18.75" customHeight="1">
      <c r="A53" s="217"/>
      <c r="B53" s="192"/>
      <c r="C53" s="193"/>
      <c r="D53" s="193"/>
      <c r="E53" s="193"/>
      <c r="F53" s="193"/>
      <c r="G53" s="197"/>
      <c r="H53" s="193"/>
      <c r="I53" s="215"/>
    </row>
    <row r="54" ht="18.75" customHeight="1">
      <c r="A54" s="217"/>
      <c r="B54" s="192"/>
      <c r="C54" s="193"/>
      <c r="D54" s="193"/>
      <c r="E54" s="193"/>
      <c r="F54" s="193"/>
      <c r="G54" s="197"/>
      <c r="H54" s="193"/>
      <c r="I54" s="215"/>
    </row>
    <row r="55" ht="18.75" customHeight="1">
      <c r="A55" s="217"/>
      <c r="B55" s="192"/>
      <c r="C55" s="193"/>
      <c r="D55" s="193"/>
      <c r="E55" s="193"/>
      <c r="F55" s="193"/>
      <c r="G55" s="197"/>
      <c r="H55" s="193"/>
      <c r="I55" s="215"/>
    </row>
    <row r="56" ht="18.75" customHeight="1">
      <c r="A56" s="217"/>
      <c r="B56" s="192"/>
      <c r="C56" s="193"/>
      <c r="D56" s="193"/>
      <c r="E56" s="193"/>
      <c r="F56" s="193"/>
      <c r="G56" s="197"/>
      <c r="H56" s="193"/>
      <c r="I56" s="215"/>
    </row>
    <row r="57" ht="18.75" customHeight="1">
      <c r="A57" s="217"/>
      <c r="B57" s="192"/>
      <c r="C57" s="193"/>
      <c r="D57" s="193"/>
      <c r="E57" s="193"/>
      <c r="F57" s="193"/>
      <c r="G57" s="197"/>
      <c r="H57" s="193"/>
      <c r="I57" s="215"/>
    </row>
    <row r="58" ht="18.75" customHeight="1">
      <c r="A58" s="217"/>
      <c r="B58" s="192"/>
      <c r="C58" s="193"/>
      <c r="D58" s="193"/>
      <c r="E58" s="193"/>
      <c r="F58" s="193"/>
      <c r="G58" s="197"/>
      <c r="H58" s="193"/>
      <c r="I58" s="215"/>
    </row>
    <row r="59" ht="18.75" customHeight="1">
      <c r="A59" s="217"/>
      <c r="B59" s="192"/>
      <c r="C59" s="193"/>
      <c r="D59" s="193"/>
      <c r="E59" s="193"/>
      <c r="F59" s="193"/>
      <c r="G59" s="197"/>
      <c r="H59" s="193"/>
      <c r="I59" s="215"/>
    </row>
    <row r="60" ht="18.75" customHeight="1">
      <c r="A60" s="217"/>
      <c r="B60" s="192"/>
      <c r="C60" s="193"/>
      <c r="D60" s="193"/>
      <c r="E60" s="193"/>
      <c r="F60" s="193"/>
      <c r="G60" s="197"/>
      <c r="H60" s="193"/>
      <c r="I60" s="215"/>
    </row>
    <row r="61" ht="18.75" customHeight="1">
      <c r="A61" s="217"/>
      <c r="B61" s="192"/>
      <c r="C61" s="193"/>
      <c r="D61" s="193"/>
      <c r="E61" s="193"/>
      <c r="F61" s="193"/>
      <c r="G61" s="197"/>
      <c r="H61" s="193"/>
      <c r="I61" s="215"/>
    </row>
    <row r="62" ht="18.75" customHeight="1">
      <c r="A62" s="217"/>
      <c r="B62" s="192"/>
      <c r="C62" s="193"/>
      <c r="D62" s="193"/>
      <c r="E62" s="193"/>
      <c r="F62" s="193"/>
      <c r="G62" s="197"/>
      <c r="H62" s="193"/>
      <c r="I62" s="215"/>
    </row>
    <row r="63" ht="18.75" customHeight="1">
      <c r="A63" s="217"/>
      <c r="B63" s="192"/>
      <c r="C63" s="193"/>
      <c r="D63" s="193"/>
      <c r="E63" s="193"/>
      <c r="F63" s="193"/>
      <c r="G63" s="197"/>
      <c r="H63" s="193"/>
      <c r="I63" s="215"/>
    </row>
    <row r="64" ht="18.75" customHeight="1">
      <c r="A64" s="217"/>
      <c r="B64" s="192"/>
      <c r="C64" s="193"/>
      <c r="D64" s="193"/>
      <c r="E64" s="193"/>
      <c r="F64" s="193"/>
      <c r="G64" s="197"/>
      <c r="H64" s="193"/>
      <c r="I64" s="215"/>
    </row>
    <row r="65" ht="18.75" customHeight="1">
      <c r="A65" s="217"/>
      <c r="B65" s="192"/>
      <c r="C65" s="193"/>
      <c r="D65" s="193"/>
      <c r="E65" s="193"/>
      <c r="F65" s="193"/>
      <c r="G65" s="197"/>
      <c r="H65" s="193"/>
      <c r="I65" s="215"/>
    </row>
    <row r="66" ht="18.75" customHeight="1">
      <c r="A66" s="217"/>
      <c r="B66" s="192"/>
      <c r="C66" s="193"/>
      <c r="D66" s="193"/>
      <c r="E66" s="193"/>
      <c r="F66" s="193"/>
      <c r="G66" s="197"/>
      <c r="H66" s="193"/>
      <c r="I66" s="215"/>
    </row>
    <row r="67" ht="18.75" customHeight="1">
      <c r="A67" s="217"/>
      <c r="B67" s="192"/>
      <c r="C67" s="193"/>
      <c r="D67" s="193"/>
      <c r="E67" s="193"/>
      <c r="F67" s="193"/>
      <c r="G67" s="197"/>
      <c r="H67" s="193"/>
      <c r="I67" s="215"/>
    </row>
    <row r="68" ht="18.75" customHeight="1">
      <c r="A68" s="217"/>
      <c r="B68" s="192"/>
      <c r="C68" s="193"/>
      <c r="D68" s="193"/>
      <c r="E68" s="193"/>
      <c r="F68" s="193"/>
      <c r="G68" s="197"/>
      <c r="H68" s="193"/>
      <c r="I68" s="215"/>
    </row>
    <row r="69" ht="18.75" customHeight="1">
      <c r="A69" s="217"/>
      <c r="B69" s="192"/>
      <c r="C69" s="193"/>
      <c r="D69" s="193"/>
      <c r="E69" s="193"/>
      <c r="F69" s="193"/>
      <c r="G69" s="197"/>
      <c r="H69" s="193"/>
      <c r="I69" s="215"/>
    </row>
    <row r="70" ht="18.75" customHeight="1">
      <c r="A70" s="217"/>
      <c r="B70" s="192"/>
      <c r="C70" s="193"/>
      <c r="D70" s="193"/>
      <c r="E70" s="193"/>
      <c r="F70" s="193"/>
      <c r="G70" s="197"/>
      <c r="H70" s="193"/>
      <c r="I70" s="215"/>
    </row>
    <row r="71" ht="18.75" customHeight="1">
      <c r="A71" s="217"/>
      <c r="B71" s="192"/>
      <c r="C71" s="193"/>
      <c r="D71" s="193"/>
      <c r="E71" s="193"/>
      <c r="F71" s="193"/>
      <c r="G71" s="197"/>
      <c r="H71" s="193"/>
      <c r="I71" s="215"/>
    </row>
    <row r="72" ht="18.75" customHeight="1">
      <c r="A72" s="217"/>
      <c r="B72" s="192"/>
      <c r="C72" s="193"/>
      <c r="D72" s="193"/>
      <c r="E72" s="193"/>
      <c r="F72" s="193"/>
      <c r="G72" s="197"/>
      <c r="H72" s="193"/>
      <c r="I72" s="215"/>
    </row>
    <row r="73" ht="18.75" customHeight="1">
      <c r="A73" s="217"/>
      <c r="B73" s="192"/>
      <c r="C73" s="193"/>
      <c r="D73" s="193"/>
      <c r="E73" s="193"/>
      <c r="F73" s="193"/>
      <c r="G73" s="197"/>
      <c r="H73" s="193"/>
      <c r="I73" s="215"/>
    </row>
    <row r="74" ht="18.75" customHeight="1">
      <c r="A74" s="217"/>
      <c r="B74" s="192"/>
      <c r="C74" s="193"/>
      <c r="D74" s="193"/>
      <c r="E74" s="193"/>
      <c r="F74" s="193"/>
      <c r="G74" s="197"/>
      <c r="H74" s="193"/>
      <c r="I74" s="215"/>
    </row>
    <row r="75" ht="18.75" customHeight="1">
      <c r="A75" s="217"/>
      <c r="B75" s="192"/>
      <c r="C75" s="193"/>
      <c r="D75" s="193"/>
      <c r="E75" s="193"/>
      <c r="F75" s="193"/>
      <c r="G75" s="197"/>
      <c r="H75" s="193"/>
      <c r="I75" s="215"/>
    </row>
    <row r="76" ht="18.75" customHeight="1">
      <c r="A76" s="217"/>
      <c r="B76" s="192"/>
      <c r="C76" s="193"/>
      <c r="D76" s="193"/>
      <c r="E76" s="193"/>
      <c r="F76" s="193"/>
      <c r="G76" s="197"/>
      <c r="H76" s="193"/>
      <c r="I76" s="215"/>
    </row>
    <row r="77" ht="18.75" customHeight="1">
      <c r="A77" s="217"/>
      <c r="B77" s="192"/>
      <c r="C77" s="193"/>
      <c r="D77" s="193"/>
      <c r="E77" s="193"/>
      <c r="F77" s="193"/>
      <c r="G77" s="197"/>
      <c r="H77" s="193"/>
      <c r="I77" s="215"/>
    </row>
    <row r="78" ht="18.75" customHeight="1">
      <c r="A78" s="217"/>
      <c r="B78" s="192"/>
      <c r="C78" s="193"/>
      <c r="D78" s="193"/>
      <c r="E78" s="193"/>
      <c r="F78" s="193"/>
      <c r="G78" s="197"/>
      <c r="H78" s="193"/>
      <c r="I78" s="215"/>
    </row>
    <row r="79" ht="18.75" customHeight="1">
      <c r="A79" s="217"/>
      <c r="B79" s="192"/>
      <c r="C79" s="193"/>
      <c r="D79" s="193"/>
      <c r="E79" s="193"/>
      <c r="F79" s="193"/>
      <c r="G79" s="197"/>
      <c r="H79" s="193"/>
      <c r="I79" s="215"/>
    </row>
    <row r="80" ht="18.75" customHeight="1">
      <c r="A80" s="217"/>
      <c r="B80" s="192"/>
      <c r="C80" s="193"/>
      <c r="D80" s="193"/>
      <c r="E80" s="193"/>
      <c r="F80" s="193"/>
      <c r="G80" s="197"/>
      <c r="H80" s="193"/>
      <c r="I80" s="215"/>
    </row>
    <row r="81" ht="18.75" customHeight="1">
      <c r="A81" s="217"/>
      <c r="B81" s="192"/>
      <c r="C81" s="193"/>
      <c r="D81" s="193"/>
      <c r="E81" s="193"/>
      <c r="F81" s="193"/>
      <c r="G81" s="197"/>
      <c r="H81" s="193"/>
      <c r="I81" s="215"/>
    </row>
    <row r="82" ht="18.75" customHeight="1">
      <c r="A82" s="217"/>
      <c r="B82" s="192"/>
      <c r="C82" s="193"/>
      <c r="D82" s="193"/>
      <c r="E82" s="193"/>
      <c r="F82" s="193"/>
      <c r="G82" s="197"/>
      <c r="H82" s="193"/>
      <c r="I82" s="215"/>
    </row>
    <row r="83" ht="18.75" customHeight="1">
      <c r="A83" s="217"/>
      <c r="B83" s="192"/>
      <c r="C83" s="193"/>
      <c r="D83" s="193"/>
      <c r="E83" s="193"/>
      <c r="F83" s="193"/>
      <c r="G83" s="197"/>
      <c r="H83" s="193"/>
      <c r="I83" s="215"/>
    </row>
    <row r="84" ht="18.75" customHeight="1">
      <c r="A84" s="217"/>
      <c r="B84" s="192"/>
      <c r="C84" s="193"/>
      <c r="D84" s="193"/>
      <c r="E84" s="193"/>
      <c r="F84" s="193"/>
      <c r="G84" s="197"/>
      <c r="H84" s="193"/>
      <c r="I84" s="215"/>
    </row>
    <row r="85" ht="18.75" customHeight="1">
      <c r="A85" s="217"/>
      <c r="B85" s="192"/>
      <c r="C85" s="193"/>
      <c r="D85" s="193"/>
      <c r="E85" s="193"/>
      <c r="F85" s="193"/>
      <c r="G85" s="197"/>
      <c r="H85" s="193"/>
      <c r="I85" s="215"/>
    </row>
    <row r="86" ht="18.75" customHeight="1">
      <c r="A86" s="217"/>
      <c r="B86" s="192"/>
      <c r="C86" s="193"/>
      <c r="D86" s="193"/>
      <c r="E86" s="193"/>
      <c r="F86" s="193"/>
      <c r="G86" s="197"/>
      <c r="H86" s="193"/>
      <c r="I86" s="215"/>
    </row>
    <row r="87" ht="18.75" customHeight="1">
      <c r="A87" s="217"/>
      <c r="B87" s="192"/>
      <c r="C87" s="193"/>
      <c r="D87" s="193"/>
      <c r="E87" s="193"/>
      <c r="F87" s="193"/>
      <c r="G87" s="197"/>
      <c r="H87" s="193"/>
      <c r="I87" s="215"/>
    </row>
    <row r="88" ht="18.75" customHeight="1">
      <c r="A88" s="217"/>
      <c r="B88" s="192"/>
      <c r="C88" s="193"/>
      <c r="D88" s="193"/>
      <c r="E88" s="193"/>
      <c r="F88" s="193"/>
      <c r="G88" s="197"/>
      <c r="H88" s="193"/>
      <c r="I88" s="215"/>
    </row>
    <row r="89" ht="18.75" customHeight="1">
      <c r="A89" s="217"/>
      <c r="B89" s="192"/>
      <c r="C89" s="193"/>
      <c r="D89" s="193"/>
      <c r="E89" s="193"/>
      <c r="F89" s="193"/>
      <c r="G89" s="197"/>
      <c r="H89" s="193"/>
      <c r="I89" s="215"/>
    </row>
    <row r="90" ht="18.75" customHeight="1">
      <c r="A90" s="217"/>
      <c r="B90" s="192"/>
      <c r="C90" s="193"/>
      <c r="D90" s="193"/>
      <c r="E90" s="193"/>
      <c r="F90" s="193"/>
      <c r="G90" s="197"/>
      <c r="H90" s="193"/>
      <c r="I90" s="215"/>
    </row>
    <row r="91" ht="18.75" customHeight="1">
      <c r="A91" s="217"/>
      <c r="B91" s="192"/>
      <c r="C91" s="193"/>
      <c r="D91" s="193"/>
      <c r="E91" s="193"/>
      <c r="F91" s="193"/>
      <c r="G91" s="197"/>
      <c r="H91" s="193"/>
      <c r="I91" s="215"/>
    </row>
    <row r="92" ht="18.75" customHeight="1">
      <c r="A92" s="217"/>
      <c r="B92" s="192"/>
      <c r="C92" s="193"/>
      <c r="D92" s="193"/>
      <c r="E92" s="193"/>
      <c r="F92" s="193"/>
      <c r="G92" s="197"/>
      <c r="H92" s="193"/>
      <c r="I92" s="215"/>
    </row>
    <row r="93" ht="18.75" customHeight="1">
      <c r="A93" s="217"/>
      <c r="B93" s="192"/>
      <c r="C93" s="193"/>
      <c r="D93" s="193"/>
      <c r="E93" s="193"/>
      <c r="F93" s="193"/>
      <c r="G93" s="197"/>
      <c r="H93" s="193"/>
      <c r="I93" s="215"/>
    </row>
    <row r="94" ht="18.75" customHeight="1">
      <c r="A94" s="217"/>
      <c r="B94" s="192"/>
      <c r="C94" s="193"/>
      <c r="D94" s="193"/>
      <c r="E94" s="193"/>
      <c r="F94" s="193"/>
      <c r="G94" s="197"/>
      <c r="H94" s="193"/>
      <c r="I94" s="215"/>
    </row>
    <row r="95" ht="18.75" customHeight="1">
      <c r="A95" s="217"/>
      <c r="B95" s="192"/>
      <c r="C95" s="193"/>
      <c r="D95" s="193"/>
      <c r="E95" s="193"/>
      <c r="F95" s="193"/>
      <c r="G95" s="197"/>
      <c r="H95" s="193"/>
      <c r="I95" s="215"/>
    </row>
    <row r="96" ht="18.75" customHeight="1">
      <c r="A96" s="217"/>
      <c r="B96" s="192"/>
      <c r="C96" s="193"/>
      <c r="D96" s="193"/>
      <c r="E96" s="193"/>
      <c r="F96" s="193"/>
      <c r="G96" s="197"/>
      <c r="H96" s="193"/>
      <c r="I96" s="215"/>
    </row>
    <row r="97" ht="18.75" customHeight="1">
      <c r="A97" s="217"/>
      <c r="B97" s="192"/>
      <c r="C97" s="193"/>
      <c r="D97" s="193"/>
      <c r="E97" s="193"/>
      <c r="F97" s="193"/>
      <c r="G97" s="197"/>
      <c r="H97" s="193"/>
      <c r="I97" s="215"/>
    </row>
    <row r="98" ht="18.75" customHeight="1">
      <c r="A98" s="217"/>
      <c r="B98" s="192"/>
      <c r="C98" s="193"/>
      <c r="D98" s="193"/>
      <c r="E98" s="193"/>
      <c r="F98" s="193"/>
      <c r="G98" s="197"/>
      <c r="H98" s="193"/>
      <c r="I98" s="215"/>
    </row>
    <row r="99" ht="18.75" customHeight="1">
      <c r="A99" s="217"/>
      <c r="B99" s="192"/>
      <c r="C99" s="193"/>
      <c r="D99" s="193"/>
      <c r="E99" s="193"/>
      <c r="F99" s="193"/>
      <c r="G99" s="197"/>
      <c r="H99" s="193"/>
      <c r="I99" s="215"/>
    </row>
    <row r="100" ht="18.75" customHeight="1">
      <c r="A100" s="217"/>
      <c r="B100" s="192"/>
      <c r="C100" s="193"/>
      <c r="D100" s="193"/>
      <c r="E100" s="193"/>
      <c r="F100" s="193"/>
      <c r="G100" s="197"/>
      <c r="H100" s="193"/>
      <c r="I100" s="215"/>
    </row>
    <row r="101" ht="18.75" customHeight="1">
      <c r="A101" s="217"/>
      <c r="B101" s="192"/>
      <c r="C101" s="193"/>
      <c r="D101" s="193"/>
      <c r="E101" s="193"/>
      <c r="F101" s="193"/>
      <c r="G101" s="197"/>
      <c r="H101" s="193"/>
      <c r="I101" s="215"/>
    </row>
    <row r="102" ht="18.75" customHeight="1">
      <c r="A102" s="217"/>
      <c r="B102" s="192"/>
      <c r="C102" s="193"/>
      <c r="D102" s="193"/>
      <c r="E102" s="193"/>
      <c r="F102" s="193"/>
      <c r="G102" s="197"/>
      <c r="H102" s="193"/>
      <c r="I102" s="215"/>
    </row>
    <row r="103" ht="18.75" customHeight="1">
      <c r="A103" s="217"/>
      <c r="B103" s="192"/>
      <c r="C103" s="193"/>
      <c r="D103" s="193"/>
      <c r="E103" s="193"/>
      <c r="F103" s="193"/>
      <c r="G103" s="197"/>
      <c r="H103" s="193"/>
      <c r="I103" s="215"/>
    </row>
    <row r="104" ht="18.75" customHeight="1">
      <c r="A104" s="217"/>
      <c r="B104" s="192"/>
      <c r="C104" s="193"/>
      <c r="D104" s="193"/>
      <c r="E104" s="193"/>
      <c r="F104" s="193"/>
      <c r="G104" s="197"/>
      <c r="H104" s="193"/>
      <c r="I104" s="215"/>
    </row>
    <row r="105" ht="18.75" customHeight="1">
      <c r="A105" s="217"/>
      <c r="B105" s="192"/>
      <c r="C105" s="193"/>
      <c r="D105" s="193"/>
      <c r="E105" s="193"/>
      <c r="F105" s="193"/>
      <c r="G105" s="197"/>
      <c r="H105" s="193"/>
      <c r="I105" s="215"/>
    </row>
    <row r="106" ht="18.75" customHeight="1">
      <c r="A106" s="217"/>
      <c r="B106" s="192"/>
      <c r="C106" s="193"/>
      <c r="D106" s="193"/>
      <c r="E106" s="193"/>
      <c r="F106" s="193"/>
      <c r="G106" s="197"/>
      <c r="H106" s="193"/>
      <c r="I106" s="215"/>
    </row>
    <row r="107" ht="18.75" customHeight="1">
      <c r="A107" s="217"/>
      <c r="B107" s="192"/>
      <c r="C107" s="193"/>
      <c r="D107" s="193"/>
      <c r="E107" s="193"/>
      <c r="F107" s="193"/>
      <c r="G107" s="197"/>
      <c r="H107" s="193"/>
      <c r="I107" s="215"/>
    </row>
    <row r="108" ht="18.75" customHeight="1">
      <c r="A108" s="217"/>
      <c r="B108" s="192"/>
      <c r="C108" s="193"/>
      <c r="D108" s="193"/>
      <c r="E108" s="193"/>
      <c r="F108" s="193"/>
      <c r="G108" s="197"/>
      <c r="H108" s="193"/>
      <c r="I108" s="215"/>
    </row>
    <row r="109" ht="18.75" customHeight="1">
      <c r="A109" s="217"/>
      <c r="B109" s="192"/>
      <c r="C109" s="193"/>
      <c r="D109" s="193"/>
      <c r="E109" s="193"/>
      <c r="F109" s="193"/>
      <c r="G109" s="197"/>
      <c r="H109" s="193"/>
      <c r="I109" s="215"/>
    </row>
    <row r="110" ht="18.75" customHeight="1">
      <c r="A110" s="217"/>
      <c r="B110" s="192"/>
      <c r="C110" s="193"/>
      <c r="D110" s="193"/>
      <c r="E110" s="193"/>
      <c r="F110" s="193"/>
      <c r="G110" s="197"/>
      <c r="H110" s="193"/>
      <c r="I110" s="215"/>
    </row>
    <row r="111" ht="18.75" customHeight="1">
      <c r="A111" s="217"/>
      <c r="B111" s="192"/>
      <c r="C111" s="193"/>
      <c r="D111" s="193"/>
      <c r="E111" s="193"/>
      <c r="F111" s="193"/>
      <c r="G111" s="197"/>
      <c r="H111" s="193"/>
      <c r="I111" s="215"/>
    </row>
    <row r="112" ht="18.75" customHeight="1">
      <c r="A112" s="217"/>
      <c r="B112" s="192"/>
      <c r="C112" s="193"/>
      <c r="D112" s="193"/>
      <c r="E112" s="193"/>
      <c r="F112" s="193"/>
      <c r="G112" s="197"/>
      <c r="H112" s="193"/>
      <c r="I112" s="215"/>
    </row>
    <row r="113" ht="18.75" customHeight="1">
      <c r="A113" s="217"/>
      <c r="B113" s="192"/>
      <c r="C113" s="193"/>
      <c r="D113" s="193"/>
      <c r="E113" s="193"/>
      <c r="F113" s="193"/>
      <c r="G113" s="197"/>
      <c r="H113" s="193"/>
      <c r="I113" s="215"/>
    </row>
    <row r="114" ht="18.75" customHeight="1">
      <c r="A114" s="217"/>
      <c r="B114" s="192"/>
      <c r="C114" s="193"/>
      <c r="D114" s="193"/>
      <c r="E114" s="193"/>
      <c r="F114" s="193"/>
      <c r="G114" s="197"/>
      <c r="H114" s="193"/>
      <c r="I114" s="215"/>
    </row>
    <row r="115" ht="18.75" customHeight="1">
      <c r="A115" s="217"/>
      <c r="B115" s="192"/>
      <c r="C115" s="193"/>
      <c r="D115" s="193"/>
      <c r="E115" s="193"/>
      <c r="F115" s="193"/>
      <c r="G115" s="197"/>
      <c r="H115" s="193"/>
      <c r="I115" s="215"/>
    </row>
    <row r="116" ht="18.75" customHeight="1">
      <c r="A116" s="217"/>
      <c r="B116" s="192"/>
      <c r="C116" s="193"/>
      <c r="D116" s="193"/>
      <c r="E116" s="193"/>
      <c r="F116" s="193"/>
      <c r="G116" s="197"/>
      <c r="H116" s="193"/>
      <c r="I116" s="215"/>
    </row>
    <row r="117" ht="18.75" customHeight="1">
      <c r="A117" s="217"/>
      <c r="B117" s="192"/>
      <c r="C117" s="193"/>
      <c r="D117" s="193"/>
      <c r="E117" s="193"/>
      <c r="F117" s="193"/>
      <c r="G117" s="197"/>
      <c r="H117" s="193"/>
      <c r="I117" s="215"/>
    </row>
    <row r="118" ht="18.75" customHeight="1">
      <c r="A118" s="217"/>
      <c r="B118" s="192"/>
      <c r="C118" s="193"/>
      <c r="D118" s="193"/>
      <c r="E118" s="193"/>
      <c r="F118" s="193"/>
      <c r="G118" s="197"/>
      <c r="H118" s="193"/>
      <c r="I118" s="215"/>
    </row>
    <row r="119" ht="18.75" customHeight="1">
      <c r="A119" s="217"/>
      <c r="B119" s="192"/>
      <c r="C119" s="193"/>
      <c r="D119" s="193"/>
      <c r="E119" s="193"/>
      <c r="F119" s="193"/>
      <c r="G119" s="197"/>
      <c r="H119" s="193"/>
      <c r="I119" s="215"/>
    </row>
    <row r="120" ht="18.75" customHeight="1">
      <c r="A120" s="217"/>
      <c r="B120" s="192"/>
      <c r="C120" s="193"/>
      <c r="D120" s="193"/>
      <c r="E120" s="193"/>
      <c r="F120" s="193"/>
      <c r="G120" s="197"/>
      <c r="H120" s="193"/>
      <c r="I120" s="215"/>
    </row>
    <row r="121" ht="18.75" customHeight="1">
      <c r="A121" s="217"/>
      <c r="B121" s="192"/>
      <c r="C121" s="193"/>
      <c r="D121" s="193"/>
      <c r="E121" s="193"/>
      <c r="F121" s="193"/>
      <c r="G121" s="197"/>
      <c r="H121" s="193"/>
      <c r="I121" s="215"/>
    </row>
    <row r="122" ht="18.75" customHeight="1">
      <c r="A122" s="217"/>
      <c r="B122" s="192"/>
      <c r="C122" s="193"/>
      <c r="D122" s="193"/>
      <c r="E122" s="193"/>
      <c r="F122" s="193"/>
      <c r="G122" s="197"/>
      <c r="H122" s="193"/>
      <c r="I122" s="215"/>
    </row>
    <row r="123" ht="18.75" customHeight="1">
      <c r="A123" s="217"/>
      <c r="B123" s="192"/>
      <c r="C123" s="193"/>
      <c r="D123" s="193"/>
      <c r="E123" s="193"/>
      <c r="F123" s="193"/>
      <c r="G123" s="197"/>
      <c r="H123" s="193"/>
      <c r="I123" s="215"/>
    </row>
    <row r="124" ht="18.75" customHeight="1">
      <c r="A124" s="217"/>
      <c r="B124" s="192"/>
      <c r="C124" s="193"/>
      <c r="D124" s="193"/>
      <c r="E124" s="193"/>
      <c r="F124" s="193"/>
      <c r="G124" s="197"/>
      <c r="H124" s="193"/>
      <c r="I124" s="215"/>
    </row>
    <row r="125" ht="18.75" customHeight="1">
      <c r="A125" s="217"/>
      <c r="B125" s="192"/>
      <c r="C125" s="193"/>
      <c r="D125" s="193"/>
      <c r="E125" s="193"/>
      <c r="F125" s="193"/>
      <c r="G125" s="197"/>
      <c r="H125" s="193"/>
      <c r="I125" s="215"/>
    </row>
    <row r="126" ht="18.75" customHeight="1">
      <c r="A126" s="217"/>
      <c r="B126" s="192"/>
      <c r="C126" s="193"/>
      <c r="D126" s="193"/>
      <c r="E126" s="193"/>
      <c r="F126" s="193"/>
      <c r="G126" s="197"/>
      <c r="H126" s="193"/>
      <c r="I126" s="215"/>
    </row>
    <row r="127" ht="18.75" customHeight="1">
      <c r="A127" s="217"/>
      <c r="B127" s="192"/>
      <c r="C127" s="193"/>
      <c r="D127" s="193"/>
      <c r="E127" s="193"/>
      <c r="F127" s="193"/>
      <c r="G127" s="197"/>
      <c r="H127" s="193"/>
      <c r="I127" s="215"/>
    </row>
    <row r="128" ht="18.75" customHeight="1">
      <c r="A128" s="217"/>
      <c r="B128" s="192"/>
      <c r="C128" s="193"/>
      <c r="D128" s="193"/>
      <c r="E128" s="193"/>
      <c r="F128" s="193"/>
      <c r="G128" s="197"/>
      <c r="H128" s="193"/>
      <c r="I128" s="215"/>
    </row>
    <row r="129" ht="18.75" customHeight="1">
      <c r="A129" s="217"/>
      <c r="B129" s="192"/>
      <c r="C129" s="193"/>
      <c r="D129" s="193"/>
      <c r="E129" s="193"/>
      <c r="F129" s="193"/>
      <c r="G129" s="197"/>
      <c r="H129" s="193"/>
      <c r="I129" s="215"/>
    </row>
    <row r="130" ht="18.75" customHeight="1">
      <c r="A130" s="217"/>
      <c r="B130" s="192"/>
      <c r="C130" s="193"/>
      <c r="D130" s="193"/>
      <c r="E130" s="193"/>
      <c r="F130" s="193"/>
      <c r="G130" s="197"/>
      <c r="H130" s="193"/>
      <c r="I130" s="215"/>
    </row>
    <row r="131" ht="18.75" customHeight="1">
      <c r="A131" s="217"/>
      <c r="B131" s="192"/>
      <c r="C131" s="193"/>
      <c r="D131" s="193"/>
      <c r="E131" s="193"/>
      <c r="F131" s="193"/>
      <c r="G131" s="197"/>
      <c r="H131" s="193"/>
      <c r="I131" s="215"/>
    </row>
    <row r="132" ht="18.75" customHeight="1">
      <c r="A132" s="217"/>
      <c r="B132" s="192"/>
      <c r="C132" s="193"/>
      <c r="D132" s="193"/>
      <c r="E132" s="193"/>
      <c r="F132" s="193"/>
      <c r="G132" s="197"/>
      <c r="H132" s="193"/>
      <c r="I132" s="215"/>
    </row>
    <row r="133" ht="18.75" customHeight="1">
      <c r="A133" s="217"/>
      <c r="B133" s="192"/>
      <c r="C133" s="193"/>
      <c r="D133" s="193"/>
      <c r="E133" s="193"/>
      <c r="F133" s="193"/>
      <c r="G133" s="197"/>
      <c r="H133" s="193"/>
      <c r="I133" s="215"/>
    </row>
    <row r="134" ht="18.75" customHeight="1">
      <c r="A134" s="217"/>
      <c r="B134" s="192"/>
      <c r="C134" s="193"/>
      <c r="D134" s="193"/>
      <c r="E134" s="193"/>
      <c r="F134" s="193"/>
      <c r="G134" s="197"/>
      <c r="H134" s="193"/>
      <c r="I134" s="215"/>
    </row>
    <row r="135" ht="18.75" customHeight="1">
      <c r="A135" s="217"/>
      <c r="B135" s="192"/>
      <c r="C135" s="193"/>
      <c r="D135" s="193"/>
      <c r="E135" s="193"/>
      <c r="F135" s="193"/>
      <c r="G135" s="197"/>
      <c r="H135" s="193"/>
      <c r="I135" s="215"/>
    </row>
    <row r="136" ht="18.75" customHeight="1">
      <c r="A136" s="217"/>
      <c r="B136" s="192"/>
      <c r="C136" s="193"/>
      <c r="D136" s="193"/>
      <c r="E136" s="193"/>
      <c r="F136" s="193"/>
      <c r="G136" s="197"/>
      <c r="H136" s="193"/>
      <c r="I136" s="215"/>
    </row>
    <row r="137" ht="18.75" customHeight="1">
      <c r="A137" s="217"/>
      <c r="B137" s="192"/>
      <c r="C137" s="193"/>
      <c r="D137" s="193"/>
      <c r="E137" s="193"/>
      <c r="F137" s="193"/>
      <c r="G137" s="197"/>
      <c r="H137" s="193"/>
      <c r="I137" s="215"/>
    </row>
    <row r="138" ht="18.75" customHeight="1">
      <c r="A138" s="217"/>
      <c r="B138" s="192"/>
      <c r="C138" s="193"/>
      <c r="D138" s="193"/>
      <c r="E138" s="193"/>
      <c r="F138" s="193"/>
      <c r="G138" s="197"/>
      <c r="H138" s="193"/>
      <c r="I138" s="215"/>
    </row>
    <row r="139" ht="18.75" customHeight="1">
      <c r="A139" s="217"/>
      <c r="B139" s="192"/>
      <c r="C139" s="193"/>
      <c r="D139" s="193"/>
      <c r="E139" s="193"/>
      <c r="F139" s="193"/>
      <c r="G139" s="197"/>
      <c r="H139" s="193"/>
      <c r="I139" s="215"/>
    </row>
    <row r="140" ht="18.75" customHeight="1">
      <c r="A140" s="217"/>
      <c r="B140" s="192"/>
      <c r="C140" s="193"/>
      <c r="D140" s="193"/>
      <c r="E140" s="193"/>
      <c r="F140" s="193"/>
      <c r="G140" s="197"/>
      <c r="H140" s="193"/>
      <c r="I140" s="215"/>
    </row>
    <row r="141" ht="18.75" customHeight="1">
      <c r="A141" s="217"/>
      <c r="B141" s="192"/>
      <c r="C141" s="193"/>
      <c r="D141" s="193"/>
      <c r="E141" s="193"/>
      <c r="F141" s="193"/>
      <c r="G141" s="197"/>
      <c r="H141" s="193"/>
      <c r="I141" s="215"/>
    </row>
    <row r="142" ht="18.75" customHeight="1">
      <c r="A142" s="217"/>
      <c r="B142" s="192"/>
      <c r="C142" s="193"/>
      <c r="D142" s="193"/>
      <c r="E142" s="193"/>
      <c r="F142" s="193"/>
      <c r="G142" s="197"/>
      <c r="H142" s="193"/>
      <c r="I142" s="215"/>
    </row>
    <row r="143" ht="18.75" customHeight="1">
      <c r="A143" s="217"/>
      <c r="B143" s="192"/>
      <c r="C143" s="193"/>
      <c r="D143" s="193"/>
      <c r="E143" s="193"/>
      <c r="F143" s="193"/>
      <c r="G143" s="197"/>
      <c r="H143" s="193"/>
      <c r="I143" s="215"/>
    </row>
    <row r="144" ht="18.75" customHeight="1">
      <c r="A144" s="217"/>
      <c r="B144" s="192"/>
      <c r="C144" s="193"/>
      <c r="D144" s="193"/>
      <c r="E144" s="193"/>
      <c r="F144" s="193"/>
      <c r="G144" s="197"/>
      <c r="H144" s="193"/>
      <c r="I144" s="215"/>
    </row>
    <row r="145" ht="18.75" customHeight="1">
      <c r="A145" s="217"/>
      <c r="B145" s="192"/>
      <c r="C145" s="193"/>
      <c r="D145" s="193"/>
      <c r="E145" s="193"/>
      <c r="F145" s="193"/>
      <c r="G145" s="197"/>
      <c r="H145" s="193"/>
      <c r="I145" s="215"/>
    </row>
    <row r="146" ht="18.75" customHeight="1">
      <c r="A146" s="217"/>
      <c r="B146" s="192"/>
      <c r="C146" s="193"/>
      <c r="D146" s="193"/>
      <c r="E146" s="193"/>
      <c r="F146" s="193"/>
      <c r="G146" s="197"/>
      <c r="H146" s="193"/>
      <c r="I146" s="215"/>
    </row>
    <row r="147" ht="18.75" customHeight="1">
      <c r="A147" s="217"/>
      <c r="B147" s="192"/>
      <c r="C147" s="193"/>
      <c r="D147" s="193"/>
      <c r="E147" s="193"/>
      <c r="F147" s="193"/>
      <c r="G147" s="197"/>
      <c r="H147" s="193"/>
      <c r="I147" s="215"/>
    </row>
    <row r="148" ht="18.75" customHeight="1">
      <c r="A148" s="217"/>
      <c r="B148" s="192"/>
      <c r="C148" s="193"/>
      <c r="D148" s="193"/>
      <c r="E148" s="193"/>
      <c r="F148" s="193"/>
      <c r="G148" s="197"/>
      <c r="H148" s="193"/>
      <c r="I148" s="215"/>
    </row>
    <row r="149" ht="18.75" customHeight="1">
      <c r="A149" s="217"/>
      <c r="B149" s="192"/>
      <c r="C149" s="193"/>
      <c r="D149" s="193"/>
      <c r="E149" s="193"/>
      <c r="F149" s="193"/>
      <c r="G149" s="197"/>
      <c r="H149" s="193"/>
      <c r="I149" s="215"/>
    </row>
    <row r="150" ht="18.75" customHeight="1">
      <c r="A150" s="217"/>
      <c r="B150" s="192"/>
      <c r="C150" s="193"/>
      <c r="D150" s="193"/>
      <c r="E150" s="193"/>
      <c r="F150" s="193"/>
      <c r="G150" s="197"/>
      <c r="H150" s="193"/>
      <c r="I150" s="215"/>
    </row>
    <row r="151" ht="18.75" customHeight="1">
      <c r="A151" s="217"/>
      <c r="B151" s="192"/>
      <c r="C151" s="193"/>
      <c r="D151" s="193"/>
      <c r="E151" s="193"/>
      <c r="F151" s="193"/>
      <c r="G151" s="197"/>
      <c r="H151" s="193"/>
      <c r="I151" s="215"/>
    </row>
    <row r="152" ht="18.75" customHeight="1">
      <c r="A152" s="217"/>
      <c r="B152" s="192"/>
      <c r="C152" s="193"/>
      <c r="D152" s="193"/>
      <c r="E152" s="193"/>
      <c r="F152" s="193"/>
      <c r="G152" s="197"/>
      <c r="H152" s="193"/>
      <c r="I152" s="215"/>
    </row>
    <row r="153" ht="18.75" customHeight="1">
      <c r="A153" s="217"/>
      <c r="B153" s="192"/>
      <c r="C153" s="193"/>
      <c r="D153" s="193"/>
      <c r="E153" s="193"/>
      <c r="F153" s="193"/>
      <c r="G153" s="197"/>
      <c r="H153" s="193"/>
      <c r="I153" s="215"/>
    </row>
    <row r="154" ht="18.75" customHeight="1">
      <c r="A154" s="217"/>
      <c r="B154" s="192"/>
      <c r="C154" s="193"/>
      <c r="D154" s="193"/>
      <c r="E154" s="193"/>
      <c r="F154" s="193"/>
      <c r="G154" s="197"/>
      <c r="H154" s="193"/>
      <c r="I154" s="215"/>
    </row>
    <row r="155" ht="18.75" customHeight="1">
      <c r="A155" s="217"/>
      <c r="B155" s="192"/>
      <c r="C155" s="193"/>
      <c r="D155" s="193"/>
      <c r="E155" s="193"/>
      <c r="F155" s="193"/>
      <c r="G155" s="197"/>
      <c r="H155" s="193"/>
      <c r="I155" s="215"/>
    </row>
    <row r="156" ht="18.75" customHeight="1">
      <c r="A156" s="217"/>
      <c r="B156" s="192"/>
      <c r="C156" s="193"/>
      <c r="D156" s="193"/>
      <c r="E156" s="193"/>
      <c r="F156" s="193"/>
      <c r="G156" s="197"/>
      <c r="H156" s="193"/>
      <c r="I156" s="215"/>
    </row>
    <row r="157" ht="18.75" customHeight="1">
      <c r="A157" s="217"/>
      <c r="B157" s="192"/>
      <c r="C157" s="193"/>
      <c r="D157" s="193"/>
      <c r="E157" s="193"/>
      <c r="F157" s="193"/>
      <c r="G157" s="197"/>
      <c r="H157" s="193"/>
      <c r="I157" s="215"/>
    </row>
    <row r="158" ht="18.75" customHeight="1">
      <c r="A158" s="217"/>
      <c r="B158" s="192"/>
      <c r="C158" s="193"/>
      <c r="D158" s="193"/>
      <c r="E158" s="193"/>
      <c r="F158" s="193"/>
      <c r="G158" s="197"/>
      <c r="H158" s="193"/>
      <c r="I158" s="215"/>
    </row>
    <row r="159" ht="18.75" customHeight="1">
      <c r="A159" s="217"/>
      <c r="B159" s="192"/>
      <c r="C159" s="193"/>
      <c r="D159" s="193"/>
      <c r="E159" s="193"/>
      <c r="F159" s="193"/>
      <c r="G159" s="197"/>
      <c r="H159" s="193"/>
      <c r="I159" s="215"/>
    </row>
    <row r="160" ht="18.75" customHeight="1">
      <c r="A160" s="217"/>
      <c r="B160" s="192"/>
      <c r="C160" s="193"/>
      <c r="D160" s="193"/>
      <c r="E160" s="193"/>
      <c r="F160" s="193"/>
      <c r="G160" s="197"/>
      <c r="H160" s="193"/>
      <c r="I160" s="215"/>
    </row>
    <row r="161" ht="18.75" customHeight="1">
      <c r="A161" s="217"/>
      <c r="B161" s="192"/>
      <c r="C161" s="193"/>
      <c r="D161" s="193"/>
      <c r="E161" s="193"/>
      <c r="F161" s="193"/>
      <c r="G161" s="197"/>
      <c r="H161" s="193"/>
      <c r="I161" s="215"/>
    </row>
    <row r="162" ht="18.75" customHeight="1">
      <c r="A162" s="217"/>
      <c r="B162" s="192"/>
      <c r="C162" s="193"/>
      <c r="D162" s="193"/>
      <c r="E162" s="193"/>
      <c r="F162" s="193"/>
      <c r="G162" s="197"/>
      <c r="H162" s="193"/>
      <c r="I162" s="215"/>
    </row>
    <row r="163" ht="18.75" customHeight="1">
      <c r="A163" s="217"/>
      <c r="B163" s="192"/>
      <c r="C163" s="193"/>
      <c r="D163" s="193"/>
      <c r="E163" s="193"/>
      <c r="F163" s="193"/>
      <c r="G163" s="197"/>
      <c r="H163" s="193"/>
      <c r="I163" s="215"/>
    </row>
    <row r="164" ht="18.75" customHeight="1">
      <c r="A164" s="217"/>
      <c r="B164" s="192"/>
      <c r="C164" s="193"/>
      <c r="D164" s="193"/>
      <c r="E164" s="193"/>
      <c r="F164" s="193"/>
      <c r="G164" s="197"/>
      <c r="H164" s="193"/>
      <c r="I164" s="215"/>
    </row>
    <row r="165" ht="18.75" customHeight="1">
      <c r="A165" s="217"/>
      <c r="B165" s="192"/>
      <c r="C165" s="193"/>
      <c r="D165" s="193"/>
      <c r="E165" s="193"/>
      <c r="F165" s="193"/>
      <c r="G165" s="197"/>
      <c r="H165" s="193"/>
      <c r="I165" s="215"/>
    </row>
    <row r="166" ht="18.75" customHeight="1">
      <c r="A166" s="217"/>
      <c r="B166" s="192"/>
      <c r="C166" s="193"/>
      <c r="D166" s="193"/>
      <c r="E166" s="193"/>
      <c r="F166" s="193"/>
      <c r="G166" s="197"/>
      <c r="H166" s="193"/>
      <c r="I166" s="215"/>
    </row>
    <row r="167" ht="18.75" customHeight="1">
      <c r="A167" s="217"/>
      <c r="B167" s="192"/>
      <c r="C167" s="193"/>
      <c r="D167" s="193"/>
      <c r="E167" s="193"/>
      <c r="F167" s="193"/>
      <c r="G167" s="197"/>
      <c r="H167" s="193"/>
      <c r="I167" s="215"/>
    </row>
    <row r="168" ht="18.75" customHeight="1">
      <c r="A168" s="217"/>
      <c r="B168" s="192"/>
      <c r="C168" s="193"/>
      <c r="D168" s="193"/>
      <c r="E168" s="193"/>
      <c r="F168" s="193"/>
      <c r="G168" s="197"/>
      <c r="H168" s="193"/>
      <c r="I168" s="215"/>
    </row>
    <row r="169" ht="18.75" customHeight="1">
      <c r="A169" s="217"/>
      <c r="B169" s="192"/>
      <c r="C169" s="193"/>
      <c r="D169" s="193"/>
      <c r="E169" s="193"/>
      <c r="F169" s="193"/>
      <c r="G169" s="197"/>
      <c r="H169" s="193"/>
      <c r="I169" s="215"/>
    </row>
    <row r="170" ht="18.75" customHeight="1">
      <c r="A170" s="217"/>
      <c r="B170" s="192"/>
      <c r="C170" s="193"/>
      <c r="D170" s="193"/>
      <c r="E170" s="193"/>
      <c r="F170" s="193"/>
      <c r="G170" s="197"/>
      <c r="H170" s="193"/>
      <c r="I170" s="215"/>
    </row>
    <row r="171" ht="18.75" customHeight="1">
      <c r="A171" s="217"/>
      <c r="B171" s="192"/>
      <c r="C171" s="193"/>
      <c r="D171" s="193"/>
      <c r="E171" s="193"/>
      <c r="F171" s="193"/>
      <c r="G171" s="197"/>
      <c r="H171" s="193"/>
      <c r="I171" s="215"/>
    </row>
    <row r="172" ht="18.75" customHeight="1">
      <c r="A172" s="217"/>
      <c r="B172" s="192"/>
      <c r="C172" s="193"/>
      <c r="D172" s="193"/>
      <c r="E172" s="193"/>
      <c r="F172" s="193"/>
      <c r="G172" s="197"/>
      <c r="H172" s="193"/>
      <c r="I172" s="215"/>
    </row>
    <row r="173" ht="18.75" customHeight="1">
      <c r="A173" s="217"/>
      <c r="B173" s="192"/>
      <c r="C173" s="193"/>
      <c r="D173" s="193"/>
      <c r="E173" s="193"/>
      <c r="F173" s="193"/>
      <c r="G173" s="197"/>
      <c r="H173" s="193"/>
      <c r="I173" s="215"/>
    </row>
    <row r="174" ht="18.75" customHeight="1">
      <c r="A174" s="217"/>
      <c r="B174" s="192"/>
      <c r="C174" s="193"/>
      <c r="D174" s="193"/>
      <c r="E174" s="193"/>
      <c r="F174" s="193"/>
      <c r="G174" s="197"/>
      <c r="H174" s="193"/>
      <c r="I174" s="215"/>
    </row>
    <row r="175" ht="18.75" customHeight="1">
      <c r="A175" s="217"/>
      <c r="B175" s="192"/>
      <c r="C175" s="193"/>
      <c r="D175" s="193"/>
      <c r="E175" s="193"/>
      <c r="F175" s="193"/>
      <c r="G175" s="197"/>
      <c r="H175" s="193"/>
      <c r="I175" s="215"/>
    </row>
    <row r="176" ht="18.75" customHeight="1">
      <c r="A176" s="217"/>
      <c r="B176" s="192"/>
      <c r="C176" s="193"/>
      <c r="D176" s="193"/>
      <c r="E176" s="193"/>
      <c r="F176" s="193"/>
      <c r="G176" s="197"/>
      <c r="H176" s="193"/>
      <c r="I176" s="215"/>
    </row>
    <row r="177" ht="18.75" customHeight="1">
      <c r="A177" s="217"/>
      <c r="B177" s="192"/>
      <c r="C177" s="193"/>
      <c r="D177" s="193"/>
      <c r="E177" s="193"/>
      <c r="F177" s="193"/>
      <c r="G177" s="197"/>
      <c r="H177" s="193"/>
      <c r="I177" s="215"/>
    </row>
    <row r="178" ht="18.75" customHeight="1">
      <c r="A178" s="217"/>
      <c r="B178" s="192"/>
      <c r="C178" s="193"/>
      <c r="D178" s="193"/>
      <c r="E178" s="193"/>
      <c r="F178" s="193"/>
      <c r="G178" s="197"/>
      <c r="H178" s="193"/>
      <c r="I178" s="215"/>
    </row>
    <row r="179" ht="18.75" customHeight="1">
      <c r="A179" s="217"/>
      <c r="B179" s="192"/>
      <c r="C179" s="193"/>
      <c r="D179" s="193"/>
      <c r="E179" s="193"/>
      <c r="F179" s="193"/>
      <c r="G179" s="197"/>
      <c r="H179" s="193"/>
      <c r="I179" s="215"/>
    </row>
    <row r="180" ht="18.75" customHeight="1">
      <c r="A180" s="217"/>
      <c r="B180" s="192"/>
      <c r="C180" s="193"/>
      <c r="D180" s="193"/>
      <c r="E180" s="193"/>
      <c r="F180" s="193"/>
      <c r="G180" s="197"/>
      <c r="H180" s="193"/>
      <c r="I180" s="215"/>
    </row>
    <row r="181" ht="18.75" customHeight="1">
      <c r="A181" s="217"/>
      <c r="B181" s="192"/>
      <c r="C181" s="193"/>
      <c r="D181" s="193"/>
      <c r="E181" s="193"/>
      <c r="F181" s="193"/>
      <c r="G181" s="197"/>
      <c r="H181" s="193"/>
      <c r="I181" s="215"/>
    </row>
    <row r="182" ht="18.75" customHeight="1">
      <c r="A182" s="217"/>
      <c r="B182" s="192"/>
      <c r="C182" s="193"/>
      <c r="D182" s="193"/>
      <c r="E182" s="193"/>
      <c r="F182" s="193"/>
      <c r="G182" s="197"/>
      <c r="H182" s="193"/>
      <c r="I182" s="215"/>
    </row>
    <row r="183" ht="18.75" customHeight="1">
      <c r="A183" s="217"/>
      <c r="B183" s="192"/>
      <c r="C183" s="193"/>
      <c r="D183" s="193"/>
      <c r="E183" s="193"/>
      <c r="F183" s="193"/>
      <c r="G183" s="197"/>
      <c r="H183" s="193"/>
      <c r="I183" s="215"/>
    </row>
    <row r="184" ht="18.75" customHeight="1">
      <c r="A184" s="217"/>
      <c r="B184" s="192"/>
      <c r="C184" s="193"/>
      <c r="D184" s="193"/>
      <c r="E184" s="193"/>
      <c r="F184" s="193"/>
      <c r="G184" s="197"/>
      <c r="H184" s="193"/>
      <c r="I184" s="215"/>
    </row>
    <row r="185" ht="18.75" customHeight="1">
      <c r="A185" s="217"/>
      <c r="B185" s="192"/>
      <c r="C185" s="193"/>
      <c r="D185" s="193"/>
      <c r="E185" s="193"/>
      <c r="F185" s="193"/>
      <c r="G185" s="197"/>
      <c r="H185" s="193"/>
      <c r="I185" s="215"/>
    </row>
    <row r="186" ht="18.75" customHeight="1">
      <c r="A186" s="217"/>
      <c r="B186" s="192"/>
      <c r="C186" s="193"/>
      <c r="D186" s="193"/>
      <c r="E186" s="193"/>
      <c r="F186" s="193"/>
      <c r="G186" s="197"/>
      <c r="H186" s="193"/>
      <c r="I186" s="215"/>
    </row>
    <row r="187" ht="18.75" customHeight="1">
      <c r="A187" s="217"/>
      <c r="B187" s="192"/>
      <c r="C187" s="193"/>
      <c r="D187" s="193"/>
      <c r="E187" s="193"/>
      <c r="F187" s="193"/>
      <c r="G187" s="197"/>
      <c r="H187" s="193"/>
      <c r="I187" s="215"/>
    </row>
    <row r="188" ht="18.75" customHeight="1">
      <c r="A188" s="217"/>
      <c r="B188" s="192"/>
      <c r="C188" s="193"/>
      <c r="D188" s="193"/>
      <c r="E188" s="193"/>
      <c r="F188" s="193"/>
      <c r="G188" s="197"/>
      <c r="H188" s="193"/>
      <c r="I188" s="215"/>
    </row>
    <row r="189" ht="18.75" customHeight="1">
      <c r="A189" s="217"/>
      <c r="B189" s="192"/>
      <c r="C189" s="193"/>
      <c r="D189" s="193"/>
      <c r="E189" s="193"/>
      <c r="F189" s="193"/>
      <c r="G189" s="197"/>
      <c r="H189" s="193"/>
      <c r="I189" s="215"/>
    </row>
    <row r="190" ht="18.75" customHeight="1">
      <c r="A190" s="217"/>
      <c r="B190" s="192"/>
      <c r="C190" s="193"/>
      <c r="D190" s="193"/>
      <c r="E190" s="193"/>
      <c r="F190" s="193"/>
      <c r="G190" s="197"/>
      <c r="H190" s="193"/>
      <c r="I190" s="215"/>
    </row>
    <row r="191" ht="18.75" customHeight="1">
      <c r="A191" s="217"/>
      <c r="B191" s="192"/>
      <c r="C191" s="193"/>
      <c r="D191" s="193"/>
      <c r="E191" s="193"/>
      <c r="F191" s="193"/>
      <c r="G191" s="197"/>
      <c r="H191" s="193"/>
      <c r="I191" s="215"/>
    </row>
    <row r="192" ht="18.75" customHeight="1">
      <c r="A192" s="217"/>
      <c r="B192" s="192"/>
      <c r="C192" s="193"/>
      <c r="D192" s="193"/>
      <c r="E192" s="193"/>
      <c r="F192" s="193"/>
      <c r="G192" s="197"/>
      <c r="H192" s="193"/>
      <c r="I192" s="215"/>
    </row>
    <row r="193" ht="18.75" customHeight="1">
      <c r="A193" s="217"/>
      <c r="B193" s="192"/>
      <c r="C193" s="193"/>
      <c r="D193" s="193"/>
      <c r="E193" s="193"/>
      <c r="F193" s="193"/>
      <c r="G193" s="197"/>
      <c r="H193" s="193"/>
      <c r="I193" s="215"/>
    </row>
    <row r="194" ht="18.75" customHeight="1">
      <c r="A194" s="217"/>
      <c r="B194" s="192"/>
      <c r="C194" s="193"/>
      <c r="D194" s="193"/>
      <c r="E194" s="193"/>
      <c r="F194" s="193"/>
      <c r="G194" s="197"/>
      <c r="H194" s="193"/>
      <c r="I194" s="215"/>
    </row>
    <row r="195" ht="18.75" customHeight="1">
      <c r="A195" s="217"/>
      <c r="B195" s="192"/>
      <c r="C195" s="193"/>
      <c r="D195" s="193"/>
      <c r="E195" s="193"/>
      <c r="F195" s="193"/>
      <c r="G195" s="197"/>
      <c r="H195" s="193"/>
      <c r="I195" s="215"/>
    </row>
    <row r="196" ht="18.75" customHeight="1">
      <c r="A196" s="217"/>
      <c r="B196" s="192"/>
      <c r="C196" s="193"/>
      <c r="D196" s="193"/>
      <c r="E196" s="193"/>
      <c r="F196" s="193"/>
      <c r="G196" s="197"/>
      <c r="H196" s="193"/>
      <c r="I196" s="215"/>
    </row>
    <row r="197" ht="18.75" customHeight="1">
      <c r="A197" s="217"/>
      <c r="B197" s="192"/>
      <c r="C197" s="193"/>
      <c r="D197" s="193"/>
      <c r="E197" s="193"/>
      <c r="F197" s="193"/>
      <c r="G197" s="197"/>
      <c r="H197" s="193"/>
      <c r="I197" s="215"/>
    </row>
    <row r="198" ht="18.75" customHeight="1">
      <c r="A198" s="217"/>
      <c r="B198" s="192"/>
      <c r="C198" s="193"/>
      <c r="D198" s="193"/>
      <c r="E198" s="193"/>
      <c r="F198" s="193"/>
      <c r="G198" s="197"/>
      <c r="H198" s="193"/>
      <c r="I198" s="215"/>
    </row>
    <row r="199" ht="18.75" customHeight="1">
      <c r="A199" s="217"/>
      <c r="B199" s="192"/>
      <c r="C199" s="193"/>
      <c r="D199" s="193"/>
      <c r="E199" s="193"/>
      <c r="F199" s="193"/>
      <c r="G199" s="197"/>
      <c r="H199" s="193"/>
      <c r="I199" s="215"/>
    </row>
    <row r="200" ht="18.75" customHeight="1">
      <c r="A200" s="217"/>
      <c r="B200" s="192"/>
      <c r="C200" s="193"/>
      <c r="D200" s="193"/>
      <c r="E200" s="193"/>
      <c r="F200" s="193"/>
      <c r="G200" s="197"/>
      <c r="H200" s="193"/>
      <c r="I200" s="215"/>
    </row>
    <row r="201" ht="18.75" customHeight="1">
      <c r="A201" s="217"/>
      <c r="B201" s="192"/>
      <c r="C201" s="193"/>
      <c r="D201" s="193"/>
      <c r="E201" s="193"/>
      <c r="F201" s="193"/>
      <c r="G201" s="197"/>
      <c r="H201" s="193"/>
      <c r="I201" s="215"/>
    </row>
    <row r="202" ht="18.75" customHeight="1">
      <c r="A202" s="217"/>
      <c r="B202" s="192"/>
      <c r="C202" s="193"/>
      <c r="D202" s="193"/>
      <c r="E202" s="193"/>
      <c r="F202" s="193"/>
      <c r="G202" s="197"/>
      <c r="H202" s="193"/>
      <c r="I202" s="215"/>
    </row>
    <row r="203" ht="18.75" customHeight="1">
      <c r="A203" s="217"/>
      <c r="B203" s="192"/>
      <c r="C203" s="193"/>
      <c r="D203" s="193"/>
      <c r="E203" s="193"/>
      <c r="F203" s="193"/>
      <c r="G203" s="197"/>
      <c r="H203" s="193"/>
      <c r="I203" s="215"/>
    </row>
    <row r="204" ht="18.75" customHeight="1">
      <c r="A204" s="217"/>
      <c r="B204" s="192"/>
      <c r="C204" s="193"/>
      <c r="D204" s="193"/>
      <c r="E204" s="193"/>
      <c r="F204" s="193"/>
      <c r="G204" s="197"/>
      <c r="H204" s="193"/>
      <c r="I204" s="215"/>
    </row>
    <row r="205" ht="18.75" customHeight="1">
      <c r="A205" s="217"/>
      <c r="B205" s="192"/>
      <c r="C205" s="193"/>
      <c r="D205" s="193"/>
      <c r="E205" s="193"/>
      <c r="F205" s="193"/>
      <c r="G205" s="197"/>
      <c r="H205" s="193"/>
      <c r="I205" s="215"/>
    </row>
    <row r="206" ht="18.75" customHeight="1">
      <c r="A206" s="217"/>
      <c r="B206" s="192"/>
      <c r="C206" s="193"/>
      <c r="D206" s="193"/>
      <c r="E206" s="193"/>
      <c r="F206" s="193"/>
      <c r="G206" s="197"/>
      <c r="H206" s="193"/>
      <c r="I206" s="215"/>
    </row>
    <row r="207" ht="18.75" customHeight="1">
      <c r="A207" s="217"/>
      <c r="B207" s="192"/>
      <c r="C207" s="193"/>
      <c r="D207" s="193"/>
      <c r="E207" s="193"/>
      <c r="F207" s="193"/>
      <c r="G207" s="197"/>
      <c r="H207" s="193"/>
      <c r="I207" s="215"/>
    </row>
    <row r="208" ht="18.75" customHeight="1">
      <c r="A208" s="217"/>
      <c r="B208" s="192"/>
      <c r="C208" s="193"/>
      <c r="D208" s="193"/>
      <c r="E208" s="193"/>
      <c r="F208" s="193"/>
      <c r="G208" s="197"/>
      <c r="H208" s="193"/>
      <c r="I208" s="215"/>
    </row>
    <row r="209" ht="18.75" customHeight="1">
      <c r="A209" s="217"/>
      <c r="B209" s="192"/>
      <c r="C209" s="193"/>
      <c r="D209" s="193"/>
      <c r="E209" s="193"/>
      <c r="F209" s="193"/>
      <c r="G209" s="197"/>
      <c r="H209" s="193"/>
      <c r="I209" s="215"/>
    </row>
    <row r="210" ht="18.75" customHeight="1">
      <c r="A210" s="217"/>
      <c r="B210" s="192"/>
      <c r="C210" s="193"/>
      <c r="D210" s="193"/>
      <c r="E210" s="193"/>
      <c r="F210" s="193"/>
      <c r="G210" s="197"/>
      <c r="H210" s="193"/>
      <c r="I210" s="215"/>
    </row>
    <row r="211" ht="18.75" customHeight="1">
      <c r="A211" s="217"/>
      <c r="B211" s="192"/>
      <c r="C211" s="193"/>
      <c r="D211" s="193"/>
      <c r="E211" s="193"/>
      <c r="F211" s="193"/>
      <c r="G211" s="197"/>
      <c r="H211" s="193"/>
      <c r="I211" s="215"/>
    </row>
    <row r="212" ht="18.75" customHeight="1">
      <c r="A212" s="217"/>
      <c r="B212" s="192"/>
      <c r="C212" s="193"/>
      <c r="D212" s="193"/>
      <c r="E212" s="193"/>
      <c r="F212" s="193"/>
      <c r="G212" s="197"/>
      <c r="H212" s="193"/>
      <c r="I212" s="215"/>
    </row>
    <row r="213" ht="18.75" customHeight="1">
      <c r="A213" s="217"/>
      <c r="B213" s="192"/>
      <c r="C213" s="193"/>
      <c r="D213" s="193"/>
      <c r="E213" s="193"/>
      <c r="F213" s="193"/>
      <c r="G213" s="197"/>
      <c r="H213" s="193"/>
      <c r="I213" s="215"/>
    </row>
    <row r="214" ht="18.75" customHeight="1">
      <c r="A214" s="217"/>
      <c r="B214" s="192"/>
      <c r="C214" s="193"/>
      <c r="D214" s="193"/>
      <c r="E214" s="193"/>
      <c r="F214" s="193"/>
      <c r="G214" s="197"/>
      <c r="H214" s="193"/>
      <c r="I214" s="215"/>
    </row>
    <row r="215" ht="18.75" customHeight="1">
      <c r="A215" s="217"/>
      <c r="B215" s="192"/>
      <c r="C215" s="193"/>
      <c r="D215" s="193"/>
      <c r="E215" s="193"/>
      <c r="F215" s="193"/>
      <c r="G215" s="197"/>
      <c r="H215" s="193"/>
      <c r="I215" s="215"/>
    </row>
    <row r="216" ht="18.75" customHeight="1">
      <c r="A216" s="217"/>
      <c r="B216" s="192"/>
      <c r="C216" s="193"/>
      <c r="D216" s="193"/>
      <c r="E216" s="193"/>
      <c r="F216" s="193"/>
      <c r="G216" s="197"/>
      <c r="H216" s="193"/>
      <c r="I216" s="215"/>
    </row>
    <row r="217" ht="18.75" customHeight="1">
      <c r="A217" s="217"/>
      <c r="B217" s="192"/>
      <c r="C217" s="193"/>
      <c r="D217" s="193"/>
      <c r="E217" s="193"/>
      <c r="F217" s="193"/>
      <c r="G217" s="197"/>
      <c r="H217" s="193"/>
      <c r="I217" s="215"/>
    </row>
    <row r="218" ht="18.75" customHeight="1">
      <c r="A218" s="217"/>
      <c r="B218" s="192"/>
      <c r="C218" s="193"/>
      <c r="D218" s="193"/>
      <c r="E218" s="193"/>
      <c r="F218" s="193"/>
      <c r="G218" s="197"/>
      <c r="H218" s="193"/>
      <c r="I218" s="215"/>
    </row>
    <row r="219" ht="18.75" customHeight="1">
      <c r="A219" s="217"/>
      <c r="B219" s="192"/>
      <c r="C219" s="193"/>
      <c r="D219" s="193"/>
      <c r="E219" s="193"/>
      <c r="F219" s="193"/>
      <c r="G219" s="197"/>
      <c r="H219" s="193"/>
      <c r="I219" s="215"/>
    </row>
    <row r="220" ht="18.75" customHeight="1">
      <c r="A220" s="217"/>
      <c r="B220" s="192"/>
      <c r="C220" s="193"/>
      <c r="D220" s="193"/>
      <c r="E220" s="193"/>
      <c r="F220" s="193"/>
      <c r="G220" s="197"/>
      <c r="H220" s="193"/>
      <c r="I220" s="215"/>
    </row>
    <row r="221" ht="18.75" customHeight="1">
      <c r="A221" s="217"/>
      <c r="B221" s="192"/>
      <c r="C221" s="193"/>
      <c r="D221" s="193"/>
      <c r="E221" s="193"/>
      <c r="F221" s="193"/>
      <c r="G221" s="197"/>
      <c r="H221" s="193"/>
      <c r="I221" s="215"/>
    </row>
    <row r="222" ht="18.75" customHeight="1">
      <c r="A222" s="217"/>
      <c r="B222" s="192"/>
      <c r="C222" s="193"/>
      <c r="D222" s="193"/>
      <c r="E222" s="193"/>
      <c r="F222" s="193"/>
      <c r="G222" s="197"/>
      <c r="H222" s="193"/>
      <c r="I222" s="215"/>
    </row>
    <row r="223" ht="18.75" customHeight="1">
      <c r="A223" s="217"/>
      <c r="B223" s="192"/>
      <c r="C223" s="193"/>
      <c r="D223" s="193"/>
      <c r="E223" s="193"/>
      <c r="F223" s="193"/>
      <c r="G223" s="197"/>
      <c r="H223" s="193"/>
      <c r="I223" s="215"/>
    </row>
    <row r="224" ht="18.75" customHeight="1">
      <c r="A224" s="217"/>
      <c r="B224" s="192"/>
      <c r="C224" s="193"/>
      <c r="D224" s="193"/>
      <c r="E224" s="193"/>
      <c r="F224" s="193"/>
      <c r="G224" s="197"/>
      <c r="H224" s="193"/>
      <c r="I224" s="215"/>
    </row>
    <row r="225" ht="18.75" customHeight="1">
      <c r="A225" s="217"/>
      <c r="B225" s="192"/>
      <c r="C225" s="193"/>
      <c r="D225" s="193"/>
      <c r="E225" s="193"/>
      <c r="F225" s="193"/>
      <c r="G225" s="197"/>
      <c r="H225" s="193"/>
      <c r="I225" s="215"/>
    </row>
    <row r="226" ht="18.75" customHeight="1">
      <c r="A226" s="217"/>
      <c r="B226" s="192"/>
      <c r="C226" s="193"/>
      <c r="D226" s="193"/>
      <c r="E226" s="193"/>
      <c r="F226" s="193"/>
      <c r="G226" s="197"/>
      <c r="H226" s="193"/>
      <c r="I226" s="215"/>
    </row>
    <row r="227" ht="18.75" customHeight="1">
      <c r="A227" s="217"/>
      <c r="B227" s="192"/>
      <c r="C227" s="193"/>
      <c r="D227" s="193"/>
      <c r="E227" s="193"/>
      <c r="F227" s="193"/>
      <c r="G227" s="197"/>
      <c r="H227" s="193"/>
      <c r="I227" s="215"/>
    </row>
    <row r="228" ht="18.75" customHeight="1">
      <c r="A228" s="217"/>
      <c r="B228" s="192"/>
      <c r="C228" s="193"/>
      <c r="D228" s="193"/>
      <c r="E228" s="193"/>
      <c r="F228" s="193"/>
      <c r="G228" s="197"/>
      <c r="H228" s="193"/>
      <c r="I228" s="215"/>
    </row>
    <row r="229" ht="18.75" customHeight="1">
      <c r="A229" s="217"/>
      <c r="B229" s="192"/>
      <c r="C229" s="193"/>
      <c r="D229" s="193"/>
      <c r="E229" s="193"/>
      <c r="F229" s="193"/>
      <c r="G229" s="197"/>
      <c r="H229" s="193"/>
      <c r="I229" s="215"/>
    </row>
    <row r="230" ht="18.75" customHeight="1">
      <c r="A230" s="217"/>
      <c r="B230" s="192"/>
      <c r="C230" s="193"/>
      <c r="D230" s="193"/>
      <c r="E230" s="193"/>
      <c r="F230" s="193"/>
      <c r="G230" s="197"/>
      <c r="H230" s="193"/>
      <c r="I230" s="215"/>
    </row>
    <row r="231" ht="18.75" customHeight="1">
      <c r="A231" s="217"/>
      <c r="B231" s="192"/>
      <c r="C231" s="193"/>
      <c r="D231" s="193"/>
      <c r="E231" s="193"/>
      <c r="F231" s="193"/>
      <c r="G231" s="197"/>
      <c r="H231" s="193"/>
      <c r="I231" s="215"/>
    </row>
    <row r="232" ht="18.75" customHeight="1">
      <c r="A232" s="217"/>
      <c r="B232" s="192"/>
      <c r="C232" s="193"/>
      <c r="D232" s="193"/>
      <c r="E232" s="193"/>
      <c r="F232" s="193"/>
      <c r="G232" s="197"/>
      <c r="H232" s="193"/>
      <c r="I232" s="215"/>
    </row>
    <row r="233" ht="18.75" customHeight="1">
      <c r="A233" s="217"/>
      <c r="B233" s="207" t="s">
        <v>647</v>
      </c>
      <c r="C233" s="207"/>
      <c r="D233" s="207"/>
      <c r="E233" s="207"/>
      <c r="F233" s="207"/>
      <c r="G233" s="207"/>
      <c r="H233" s="207"/>
      <c r="I233" s="207"/>
    </row>
  </sheetData>
  <autoFilter ref="$A$1:$I$233"/>
  <conditionalFormatting sqref="B6:I6">
    <cfRule type="expression" dxfId="9" priority="1">
      <formula>B$6="Automatic"</formula>
    </cfRule>
  </conditionalFormatting>
  <conditionalFormatting sqref="B2:I2 B6:I6">
    <cfRule type="expression" dxfId="8" priority="2">
      <formula>B$6="Minimum Required"</formula>
    </cfRule>
  </conditionalFormatting>
  <conditionalFormatting sqref="B6:I6">
    <cfRule type="expression" dxfId="10" priority="3">
      <formula>B$6="Recommended"</formula>
    </cfRule>
  </conditionalFormatting>
  <conditionalFormatting sqref="B6:I6">
    <cfRule type="expression" dxfId="12" priority="4">
      <formula>B$6="Optional"</formula>
    </cfRule>
  </conditionalFormatting>
  <conditionalFormatting sqref="A11:A13">
    <cfRule type="endsWith" dxfId="5" priority="5" operator="endsWith" text="M">
      <formula>RIGHT((A11),LEN("M"))=("M")</formula>
    </cfRule>
  </conditionalFormatting>
  <conditionalFormatting sqref="A11:A13">
    <cfRule type="endsWith" dxfId="6" priority="6" operator="endsWith" text="R">
      <formula>RIGHT((A11),LEN("R"))=("R")</formula>
    </cfRule>
  </conditionalFormatting>
  <conditionalFormatting sqref="A11:A13">
    <cfRule type="endsWith" dxfId="7" priority="7" operator="endsWith" text="O">
      <formula>RIGHT((A11),LEN("O"))=("O")</formula>
    </cfRule>
  </conditionalFormatting>
  <dataValidations>
    <dataValidation type="list" allowBlank="1" showErrorMessage="1" sqref="B3:F3 H3:I3">
      <formula1>Dropdowns!$AJ$4:$AJ$8</formula1>
    </dataValidation>
    <dataValidation type="list" allowBlank="1" showInputMessage="1" prompt="SFDSFSAGSASG" sqref="G3">
      <formula1>Dropdowns!$AJ$4:$AJ$8</formula1>
    </dataValidation>
    <dataValidation type="list" allowBlank="1" showErrorMessage="1" sqref="H9:H232">
      <formula1>Dropdowns!$AQ$4:$AQ$5</formula1>
    </dataValidation>
    <dataValidation type="list" allowBlank="1" showErrorMessage="1" sqref="C9:F232">
      <formula1>BEC_openBDF!$G$5:$G$154</formula1>
    </dataValidation>
  </dataValidation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9" width="27.63"/>
    <col customWidth="1" min="10" max="13" width="15.13" outlineLevel="1"/>
    <col customWidth="1" min="14" max="17" width="27.63"/>
    <col customWidth="1" min="18" max="29" width="15.13"/>
  </cols>
  <sheetData>
    <row r="1" ht="60.0" customHeight="1">
      <c r="A1" s="218" t="s">
        <v>587</v>
      </c>
      <c r="B1" s="209" t="s">
        <v>679</v>
      </c>
      <c r="C1" s="161" t="s">
        <v>654</v>
      </c>
      <c r="D1" s="161" t="s">
        <v>649</v>
      </c>
      <c r="E1" s="161" t="s">
        <v>650</v>
      </c>
      <c r="F1" s="161" t="s">
        <v>651</v>
      </c>
      <c r="G1" s="161" t="s">
        <v>652</v>
      </c>
      <c r="H1" s="161" t="s">
        <v>680</v>
      </c>
      <c r="I1" s="219" t="s">
        <v>681</v>
      </c>
      <c r="J1" s="220" t="s">
        <v>682</v>
      </c>
      <c r="K1" s="221" t="s">
        <v>683</v>
      </c>
      <c r="L1" s="221" t="s">
        <v>684</v>
      </c>
      <c r="M1" s="221" t="s">
        <v>685</v>
      </c>
      <c r="N1" s="161" t="s">
        <v>653</v>
      </c>
      <c r="O1" s="219" t="s">
        <v>686</v>
      </c>
      <c r="P1" s="161" t="s">
        <v>589</v>
      </c>
      <c r="Q1" s="161" t="s">
        <v>590</v>
      </c>
      <c r="R1" s="161" t="s">
        <v>591</v>
      </c>
      <c r="S1" s="161" t="s">
        <v>592</v>
      </c>
      <c r="T1" s="161" t="s">
        <v>687</v>
      </c>
      <c r="U1" s="162" t="s">
        <v>688</v>
      </c>
      <c r="V1" s="162" t="s">
        <v>689</v>
      </c>
      <c r="W1" s="164" t="s">
        <v>690</v>
      </c>
      <c r="X1" s="164" t="s">
        <v>691</v>
      </c>
      <c r="Y1" s="162" t="s">
        <v>597</v>
      </c>
      <c r="Z1" s="162" t="s">
        <v>692</v>
      </c>
      <c r="AA1" s="162" t="s">
        <v>693</v>
      </c>
      <c r="AB1" s="209" t="s">
        <v>601</v>
      </c>
      <c r="AC1" s="209" t="s">
        <v>694</v>
      </c>
    </row>
    <row r="2" ht="90.0" customHeight="1">
      <c r="A2" s="218" t="s">
        <v>85</v>
      </c>
      <c r="B2" s="85" t="s">
        <v>695</v>
      </c>
      <c r="C2" s="85" t="s">
        <v>696</v>
      </c>
      <c r="D2" s="85" t="s">
        <v>657</v>
      </c>
      <c r="E2" s="85" t="s">
        <v>658</v>
      </c>
      <c r="F2" s="85" t="s">
        <v>659</v>
      </c>
      <c r="G2" s="85" t="s">
        <v>660</v>
      </c>
      <c r="H2" s="85" t="s">
        <v>697</v>
      </c>
      <c r="I2" s="85" t="s">
        <v>698</v>
      </c>
      <c r="J2" s="85" t="s">
        <v>699</v>
      </c>
      <c r="K2" s="85" t="s">
        <v>700</v>
      </c>
      <c r="L2" s="85" t="s">
        <v>701</v>
      </c>
      <c r="M2" s="85" t="s">
        <v>702</v>
      </c>
      <c r="N2" s="85" t="s">
        <v>661</v>
      </c>
      <c r="O2" s="85" t="s">
        <v>703</v>
      </c>
      <c r="P2" s="85" t="s">
        <v>604</v>
      </c>
      <c r="Q2" s="85" t="s">
        <v>605</v>
      </c>
      <c r="R2" s="85" t="s">
        <v>606</v>
      </c>
      <c r="S2" s="85" t="s">
        <v>607</v>
      </c>
      <c r="T2" s="222" t="s">
        <v>610</v>
      </c>
      <c r="U2" s="223" t="s">
        <v>704</v>
      </c>
      <c r="V2" s="223" t="s">
        <v>705</v>
      </c>
      <c r="W2" s="223" t="s">
        <v>706</v>
      </c>
      <c r="X2" s="223" t="s">
        <v>707</v>
      </c>
      <c r="Y2" s="85" t="s">
        <v>612</v>
      </c>
      <c r="Z2" s="85" t="s">
        <v>611</v>
      </c>
      <c r="AA2" s="85" t="s">
        <v>708</v>
      </c>
      <c r="AB2" s="85" t="s">
        <v>709</v>
      </c>
      <c r="AC2" s="85" t="s">
        <v>710</v>
      </c>
    </row>
    <row r="3" ht="30.0" customHeight="1">
      <c r="A3" s="182" t="s">
        <v>618</v>
      </c>
      <c r="B3" s="224" t="s">
        <v>153</v>
      </c>
      <c r="C3" s="224" t="s">
        <v>619</v>
      </c>
      <c r="D3" s="173" t="s">
        <v>107</v>
      </c>
      <c r="E3" s="173" t="s">
        <v>107</v>
      </c>
      <c r="F3" s="173" t="s">
        <v>107</v>
      </c>
      <c r="G3" s="173" t="s">
        <v>107</v>
      </c>
      <c r="H3" s="173" t="s">
        <v>107</v>
      </c>
      <c r="I3" s="173" t="s">
        <v>619</v>
      </c>
      <c r="J3" s="178"/>
      <c r="K3" s="178"/>
      <c r="L3" s="178"/>
      <c r="M3" s="178"/>
      <c r="N3" s="173" t="s">
        <v>107</v>
      </c>
      <c r="O3" s="173" t="s">
        <v>619</v>
      </c>
      <c r="P3" s="173" t="s">
        <v>107</v>
      </c>
      <c r="Q3" s="173" t="s">
        <v>619</v>
      </c>
      <c r="R3" s="173" t="s">
        <v>107</v>
      </c>
      <c r="S3" s="173" t="s">
        <v>107</v>
      </c>
      <c r="T3" s="174" t="s">
        <v>190</v>
      </c>
      <c r="U3" s="173" t="s">
        <v>190</v>
      </c>
      <c r="V3" s="173" t="s">
        <v>190</v>
      </c>
      <c r="W3" s="175" t="s">
        <v>190</v>
      </c>
      <c r="X3" s="175" t="s">
        <v>190</v>
      </c>
      <c r="Y3" s="173" t="s">
        <v>190</v>
      </c>
      <c r="Z3" s="173" t="s">
        <v>190</v>
      </c>
      <c r="AA3" s="174" t="s">
        <v>190</v>
      </c>
      <c r="AB3" s="173" t="s">
        <v>619</v>
      </c>
      <c r="AC3" s="173" t="s">
        <v>619</v>
      </c>
    </row>
    <row r="4" ht="18.75" customHeight="1">
      <c r="A4" s="225" t="s">
        <v>87</v>
      </c>
      <c r="B4" s="177" t="s">
        <v>191</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177" t="s">
        <v>191</v>
      </c>
      <c r="U4" s="178" t="s">
        <v>191</v>
      </c>
      <c r="V4" s="178" t="s">
        <v>191</v>
      </c>
      <c r="W4" s="227" t="s">
        <v>191</v>
      </c>
      <c r="X4" s="227" t="s">
        <v>191</v>
      </c>
      <c r="Y4" s="177" t="s">
        <v>191</v>
      </c>
      <c r="Z4" s="177" t="s">
        <v>191</v>
      </c>
      <c r="AA4" s="177" t="s">
        <v>191</v>
      </c>
      <c r="AB4" s="177" t="s">
        <v>114</v>
      </c>
      <c r="AC4" s="177" t="s">
        <v>114</v>
      </c>
    </row>
    <row r="5" ht="18.75" customHeight="1">
      <c r="A5" s="171" t="s">
        <v>620</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0" t="s">
        <v>155</v>
      </c>
      <c r="U5" s="180" t="s">
        <v>155</v>
      </c>
      <c r="V5" s="180" t="s">
        <v>155</v>
      </c>
      <c r="W5" s="181" t="s">
        <v>155</v>
      </c>
      <c r="X5" s="181" t="s">
        <v>155</v>
      </c>
      <c r="Y5" s="180" t="s">
        <v>622</v>
      </c>
      <c r="Z5" s="180" t="s">
        <v>621</v>
      </c>
      <c r="AA5" s="180" t="s">
        <v>711</v>
      </c>
      <c r="AB5" s="178" t="s">
        <v>109</v>
      </c>
      <c r="AC5" s="178" t="s">
        <v>109</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37</v>
      </c>
      <c r="P6" s="184" t="s">
        <v>37</v>
      </c>
      <c r="Q6" s="184" t="s">
        <v>39</v>
      </c>
      <c r="R6" s="184" t="s">
        <v>41</v>
      </c>
      <c r="S6" s="184" t="s">
        <v>41</v>
      </c>
      <c r="T6" s="183" t="s">
        <v>41</v>
      </c>
      <c r="U6" s="184" t="s">
        <v>39</v>
      </c>
      <c r="V6" s="184" t="s">
        <v>39</v>
      </c>
      <c r="W6" s="229" t="s">
        <v>39</v>
      </c>
      <c r="X6" s="229" t="s">
        <v>39</v>
      </c>
      <c r="Y6" s="184" t="s">
        <v>37</v>
      </c>
      <c r="Z6" s="184" t="s">
        <v>37</v>
      </c>
      <c r="AA6" s="183" t="s">
        <v>39</v>
      </c>
      <c r="AB6" s="183" t="s">
        <v>37</v>
      </c>
      <c r="AC6" s="183" t="s">
        <v>39</v>
      </c>
    </row>
    <row r="7" ht="90.0" customHeight="1">
      <c r="A7" s="182" t="s">
        <v>712</v>
      </c>
      <c r="B7" s="83" t="s">
        <v>713</v>
      </c>
      <c r="C7" s="83" t="s">
        <v>669</v>
      </c>
      <c r="D7" s="83" t="s">
        <v>664</v>
      </c>
      <c r="E7" s="83" t="s">
        <v>665</v>
      </c>
      <c r="F7" s="83" t="s">
        <v>666</v>
      </c>
      <c r="G7" s="83" t="s">
        <v>667</v>
      </c>
      <c r="H7" s="83" t="s">
        <v>714</v>
      </c>
      <c r="I7" s="83" t="s">
        <v>715</v>
      </c>
      <c r="J7" s="230" t="s">
        <v>716</v>
      </c>
      <c r="K7" s="230" t="s">
        <v>717</v>
      </c>
      <c r="L7" s="230" t="s">
        <v>718</v>
      </c>
      <c r="M7" s="230" t="s">
        <v>719</v>
      </c>
      <c r="N7" s="83" t="s">
        <v>668</v>
      </c>
      <c r="O7" s="83" t="s">
        <v>720</v>
      </c>
      <c r="P7" s="83" t="s">
        <v>626</v>
      </c>
      <c r="Q7" s="83" t="s">
        <v>627</v>
      </c>
      <c r="R7" s="83" t="s">
        <v>629</v>
      </c>
      <c r="S7" s="83" t="s">
        <v>629</v>
      </c>
      <c r="T7" s="83" t="s">
        <v>721</v>
      </c>
      <c r="U7" s="83" t="s">
        <v>722</v>
      </c>
      <c r="V7" s="83" t="s">
        <v>722</v>
      </c>
      <c r="W7" s="83" t="s">
        <v>722</v>
      </c>
      <c r="X7" s="83" t="s">
        <v>722</v>
      </c>
      <c r="Y7" s="83" t="s">
        <v>723</v>
      </c>
      <c r="Z7" s="83" t="s">
        <v>724</v>
      </c>
      <c r="AA7" s="83" t="s">
        <v>725</v>
      </c>
      <c r="AB7" s="83" t="s">
        <v>726</v>
      </c>
      <c r="AC7" s="83" t="s">
        <v>727</v>
      </c>
    </row>
    <row r="8" ht="18.75" customHeight="1">
      <c r="A8" s="182" t="s">
        <v>84</v>
      </c>
      <c r="B8" s="185" t="s">
        <v>728</v>
      </c>
      <c r="C8" s="185" t="s">
        <v>729</v>
      </c>
      <c r="D8" s="185" t="s">
        <v>670</v>
      </c>
      <c r="E8" s="185" t="s">
        <v>671</v>
      </c>
      <c r="F8" s="185" t="s">
        <v>672</v>
      </c>
      <c r="G8" s="185" t="s">
        <v>673</v>
      </c>
      <c r="H8" s="185" t="s">
        <v>730</v>
      </c>
      <c r="I8" s="185" t="s">
        <v>731</v>
      </c>
      <c r="J8" s="185" t="s">
        <v>732</v>
      </c>
      <c r="K8" s="185" t="s">
        <v>733</v>
      </c>
      <c r="L8" s="185" t="s">
        <v>734</v>
      </c>
      <c r="M8" s="185" t="s">
        <v>735</v>
      </c>
      <c r="N8" s="185" t="s">
        <v>674</v>
      </c>
      <c r="O8" s="186" t="s">
        <v>736</v>
      </c>
      <c r="P8" s="186" t="s">
        <v>637</v>
      </c>
      <c r="Q8" s="186" t="s">
        <v>638</v>
      </c>
      <c r="R8" s="186" t="s">
        <v>737</v>
      </c>
      <c r="S8" s="186" t="s">
        <v>738</v>
      </c>
      <c r="T8" s="186" t="s">
        <v>739</v>
      </c>
      <c r="U8" s="186" t="s">
        <v>740</v>
      </c>
      <c r="V8" s="186" t="s">
        <v>741</v>
      </c>
      <c r="W8" s="231" t="s">
        <v>742</v>
      </c>
      <c r="X8" s="231" t="s">
        <v>743</v>
      </c>
      <c r="Y8" s="186" t="s">
        <v>744</v>
      </c>
      <c r="Z8" s="186" t="s">
        <v>641</v>
      </c>
      <c r="AA8" s="186" t="s">
        <v>745</v>
      </c>
      <c r="AB8" s="186" t="s">
        <v>746</v>
      </c>
      <c r="AC8" s="186" t="s">
        <v>747</v>
      </c>
    </row>
    <row r="9" ht="18.75" customHeight="1">
      <c r="A9" s="232"/>
      <c r="B9" s="192"/>
      <c r="C9" s="193" t="s">
        <v>678</v>
      </c>
      <c r="D9" s="233"/>
      <c r="E9" s="233"/>
      <c r="F9" s="233"/>
      <c r="G9" s="233"/>
      <c r="H9" s="233"/>
      <c r="I9" s="193" t="s">
        <v>748</v>
      </c>
      <c r="J9" s="234" t="str">
        <f>IFERROR(__xludf.DUMMYFUNCTION("IF(
  $I9="""",
  """",
  IF(
    COLUMN()-9 &gt;
    (1 + LEN(REGEXEXTRACT($I9,""^[0-9.]+"")) - LEN(SUBSTITUTE(REGEXEXTRACT($I9,""^[0-9.]+""),""."",""""))),
    """",
    INDEX(
      BEC_openBDF!$A:$D,
      MATCH(
        $I9,
        INDEX(
          BEC"&amp;"_openBDF!$A:$D,
          0,
          (1 + LEN(REGEXEXTRACT($I9,""^[0-9.]+"")) - LEN(SUBSTITUTE(REGEXEXTRACT($I9,""^[0-9.]+""),""."","""")))
        ),
        0
      ),
      COLUMN()-9
    )
  )
)"),"1 Sub-structure")</f>
        <v>1 Sub-structure</v>
      </c>
      <c r="K9" s="234" t="str">
        <f>IFERROR(__xludf.DUMMYFUNCTION("IF(
  $I9="""",
  """",
  IF(
    COLUMN()-9 &gt;
    (1 + LEN(REGEXEXTRACT($I9,""^[0-9.]+"")) - LEN(SUBSTITUTE(REGEXEXTRACT($I9,""^[0-9.]+""),""."",""""))),
    """",
    INDEX(
      BEC_openBDF!$A:$D,
      MATCH(
        $I9,
        INDEX(
          BEC"&amp;"_openBDF!$A:$D,
          0,
          (1 + LEN(REGEXEXTRACT($I9,""^[0-9.]+"")) - LEN(SUBSTITUTE(REGEXEXTRACT($I9,""^[0-9.]+""),""."","""")))
        ),
        0
      ),
      COLUMN()-9
    )
  )
)"),"1.1 Foundations and piling")</f>
        <v>1.1 Foundations and piling</v>
      </c>
      <c r="L9" s="234" t="str">
        <f>IFERROR(__xludf.DUMMYFUNCTION("IF(
  $I9="""",
  """",
  IF(
    COLUMN()-9 &gt;
    (1 + LEN(REGEXEXTRACT($I9,""^[0-9.]+"")) - LEN(SUBSTITUTE(REGEXEXTRACT($I9,""^[0-9.]+""),""."",""""))),
    """",
    INDEX(
      BEC_openBDF!$A:$D,
      MATCH(
        $I9,
        INDEX(
          BEC"&amp;"_openBDF!$A:$D,
          0,
          (1 + LEN(REGEXEXTRACT($I9,""^[0-9.]+"")) - LEN(SUBSTITUTE(REGEXEXTRACT($I9,""^[0-9.]+""),""."","""")))
        ),
        0
      ),
      COLUMN()-9
    )
  )
)"),"1.1.1 Foundations and piling")</f>
        <v>1.1.1 Foundations and piling</v>
      </c>
      <c r="M9" s="234" t="str">
        <f>IFERROR(__xludf.DUMMYFUNCTION("IF(
  $I9="""",
  """",
  IF(
    COLUMN()-9 &gt;
    (1 + LEN(REGEXEXTRACT($I9,""^[0-9.]+"")) - LEN(SUBSTITUTE(REGEXEXTRACT($I9,""^[0-9.]+""),""."",""""))),
    """",
    INDEX(
      BEC_openBDF!$A:$D,
      MATCH(
        $I9,
        INDEX(
          BEC"&amp;"_openBDF!$A:$D,
          0,
          (1 + LEN(REGEXEXTRACT($I9,""^[0-9.]+"")) - LEN(SUBSTITUTE(REGEXEXTRACT($I9,""^[0-9.]+""),""."","""")))
        ),
        0
      ),
      COLUMN()-9
    )
  )
)"),"1.1.1.0 Foundations and piling")</f>
        <v>1.1.1.0 Foundations and piling</v>
      </c>
      <c r="N9" s="190"/>
      <c r="O9" s="193" t="s">
        <v>642</v>
      </c>
      <c r="P9" s="190"/>
      <c r="Q9" s="235" t="str">
        <f>'Materials Database'!D9</f>
        <v>Gypsum plasterboard</v>
      </c>
      <c r="R9" s="235"/>
      <c r="S9" s="193"/>
      <c r="T9" s="235"/>
      <c r="U9" s="193">
        <v>200.0</v>
      </c>
      <c r="V9" s="193"/>
      <c r="W9" s="193"/>
      <c r="X9" s="193"/>
      <c r="Y9" s="193">
        <v>1000.0</v>
      </c>
      <c r="Z9" s="235"/>
      <c r="AA9" s="233"/>
      <c r="AB9" s="236" t="s">
        <v>749</v>
      </c>
      <c r="AC9" s="235"/>
    </row>
    <row r="10" ht="18.75" customHeight="1">
      <c r="A10" s="232"/>
      <c r="B10" s="192"/>
      <c r="C10" s="193"/>
      <c r="D10" s="237"/>
      <c r="E10" s="237"/>
      <c r="F10" s="237"/>
      <c r="G10" s="237"/>
      <c r="H10" s="237"/>
      <c r="I10" s="192" t="s">
        <v>750</v>
      </c>
      <c r="J10" s="234" t="str">
        <f>IFERROR(__xludf.DUMMYFUNCTION("IF(
  $I10="""",
  """",
  IF(
    COLUMN()-9 &gt;
    (1 + LEN(REGEXEXTRACT($I10,""^[0-9.]+"")) - LEN(SUBSTITUTE(REGEXEXTRACT($I10,""^[0-9.]+""),""."",""""))),
    """",
    INDEX(
      BEC_openBDF!$A:$D,
      MATCH(
        $I10,
        INDEX(
         "&amp;" BEC_openBDF!$A:$D,
          0,
          (1 + LEN(REGEXEXTRACT($I10,""^[0-9.]+"")) - LEN(SUBSTITUTE(REGEXEXTRACT($I10,""^[0-9.]+""),""."","""")))
        ),
        0
      ),
      COLUMN()-9
    )
  )
)"),"..")</f>
        <v>..</v>
      </c>
      <c r="K10" s="234" t="str">
        <f>IFERROR(__xludf.DUMMYFUNCTION("IF(
  $I10="""",
  """",
  IF(
    COLUMN()-9 &gt;
    (1 + LEN(REGEXEXTRACT($I10,""^[0-9.]+"")) - LEN(SUBSTITUTE(REGEXEXTRACT($I10,""^[0-9.]+""),""."",""""))),
    """",
    INDEX(
      BEC_openBDF!$A:$D,
      MATCH(
        $I10,
        INDEX(
         "&amp;" BEC_openBDF!$A:$D,
          0,
          (1 + LEN(REGEXEXTRACT($I10,""^[0-9.]+"")) - LEN(SUBSTITUTE(REGEXEXTRACT($I10,""^[0-9.]+""),""."","""")))
        ),
        0
      ),
      COLUMN()-9
    )
  )
)"),"..")</f>
        <v>..</v>
      </c>
      <c r="L10" s="234" t="str">
        <f>IFERROR(__xludf.DUMMYFUNCTION("IF(
  $I10="""",
  """",
  IF(
    COLUMN()-9 &gt;
    (1 + LEN(REGEXEXTRACT($I10,""^[0-9.]+"")) - LEN(SUBSTITUTE(REGEXEXTRACT($I10,""^[0-9.]+""),""."",""""))),
    """",
    INDEX(
      BEC_openBDF!$A:$D,
      MATCH(
        $I10,
        INDEX(
         "&amp;" BEC_openBDF!$A:$D,
          0,
          (1 + LEN(REGEXEXTRACT($I10,""^[0-9.]+"")) - LEN(SUBSTITUTE(REGEXEXTRACT($I10,""^[0-9.]+""),""."","""")))
        ),
        0
      ),
      COLUMN()-9
    )
  )
)"),"..")</f>
        <v>..</v>
      </c>
      <c r="M10" s="234" t="str">
        <f>IFERROR(__xludf.DUMMYFUNCTION("IF(
  $I10="""",
  """",
  IF(
    COLUMN()-9 &gt;
    (1 + LEN(REGEXEXTRACT($I10,""^[0-9.]+"")) - LEN(SUBSTITUTE(REGEXEXTRACT($I10,""^[0-9.]+""),""."",""""))),
    """",
    INDEX(
      BEC_openBDF!$A:$D,
      MATCH(
        $I10,
        INDEX(
         "&amp;" BEC_openBDF!$A:$D,
          0,
          (1 + LEN(REGEXEXTRACT($I10,""^[0-9.]+"")) - LEN(SUBSTITUTE(REGEXEXTRACT($I10,""^[0-9.]+""),""."","""")))
        ),
        0
      ),
      COLUMN()-9
    )
  )
)"),"")</f>
        <v/>
      </c>
      <c r="N10" s="197"/>
      <c r="O10" s="193"/>
      <c r="P10" s="197"/>
      <c r="Q10" s="238"/>
      <c r="R10" s="238"/>
      <c r="S10" s="237"/>
      <c r="T10" s="238"/>
      <c r="U10" s="237"/>
      <c r="V10" s="237"/>
      <c r="W10" s="237"/>
      <c r="X10" s="237"/>
      <c r="Y10" s="237"/>
      <c r="Z10" s="238"/>
      <c r="AA10" s="237"/>
      <c r="AB10" s="238"/>
      <c r="AC10" s="238"/>
    </row>
    <row r="11" ht="18.75" customHeight="1">
      <c r="A11" s="232"/>
      <c r="B11" s="192"/>
      <c r="C11" s="193"/>
      <c r="D11" s="237"/>
      <c r="E11" s="237"/>
      <c r="F11" s="237"/>
      <c r="G11" s="237"/>
      <c r="H11" s="237"/>
      <c r="I11" s="192" t="s">
        <v>750</v>
      </c>
      <c r="J11" s="234" t="str">
        <f>IFERROR(__xludf.DUMMYFUNCTION("IF(
  $I11="""",
  """",
  IF(
    COLUMN()-9 &gt;
    (1 + LEN(REGEXEXTRACT($I11,""^[0-9.]+"")) - LEN(SUBSTITUTE(REGEXEXTRACT($I11,""^[0-9.]+""),""."",""""))),
    """",
    INDEX(
      BEC_openBDF!$A:$D,
      MATCH(
        $I11,
        INDEX(
         "&amp;" BEC_openBDF!$A:$D,
          0,
          (1 + LEN(REGEXEXTRACT($I11,""^[0-9.]+"")) - LEN(SUBSTITUTE(REGEXEXTRACT($I11,""^[0-9.]+""),""."","""")))
        ),
        0
      ),
      COLUMN()-9
    )
  )
)"),"..")</f>
        <v>..</v>
      </c>
      <c r="K11" s="234" t="str">
        <f>IFERROR(__xludf.DUMMYFUNCTION("IF(
  $I11="""",
  """",
  IF(
    COLUMN()-9 &gt;
    (1 + LEN(REGEXEXTRACT($I11,""^[0-9.]+"")) - LEN(SUBSTITUTE(REGEXEXTRACT($I11,""^[0-9.]+""),""."",""""))),
    """",
    INDEX(
      BEC_openBDF!$A:$D,
      MATCH(
        $I11,
        INDEX(
         "&amp;" BEC_openBDF!$A:$D,
          0,
          (1 + LEN(REGEXEXTRACT($I11,""^[0-9.]+"")) - LEN(SUBSTITUTE(REGEXEXTRACT($I11,""^[0-9.]+""),""."","""")))
        ),
        0
      ),
      COLUMN()-9
    )
  )
)"),"..")</f>
        <v>..</v>
      </c>
      <c r="L11" s="234" t="str">
        <f>IFERROR(__xludf.DUMMYFUNCTION("IF(
  $I11="""",
  """",
  IF(
    COLUMN()-9 &gt;
    (1 + LEN(REGEXEXTRACT($I11,""^[0-9.]+"")) - LEN(SUBSTITUTE(REGEXEXTRACT($I11,""^[0-9.]+""),""."",""""))),
    """",
    INDEX(
      BEC_openBDF!$A:$D,
      MATCH(
        $I11,
        INDEX(
         "&amp;" BEC_openBDF!$A:$D,
          0,
          (1 + LEN(REGEXEXTRACT($I11,""^[0-9.]+"")) - LEN(SUBSTITUTE(REGEXEXTRACT($I11,""^[0-9.]+""),""."","""")))
        ),
        0
      ),
      COLUMN()-9
    )
  )
)"),"..")</f>
        <v>..</v>
      </c>
      <c r="M11" s="234" t="str">
        <f>IFERROR(__xludf.DUMMYFUNCTION("IF(
  $I11="""",
  """",
  IF(
    COLUMN()-9 &gt;
    (1 + LEN(REGEXEXTRACT($I11,""^[0-9.]+"")) - LEN(SUBSTITUTE(REGEXEXTRACT($I11,""^[0-9.]+""),""."",""""))),
    """",
    INDEX(
      BEC_openBDF!$A:$D,
      MATCH(
        $I11,
        INDEX(
         "&amp;" BEC_openBDF!$A:$D,
          0,
          (1 + LEN(REGEXEXTRACT($I11,""^[0-9.]+"")) - LEN(SUBSTITUTE(REGEXEXTRACT($I11,""^[0-9.]+""),""."","""")))
        ),
        0
      ),
      COLUMN()-9
    )
  )
)"),"")</f>
        <v/>
      </c>
      <c r="N11" s="197"/>
      <c r="O11" s="193"/>
      <c r="P11" s="197"/>
      <c r="Q11" s="238"/>
      <c r="R11" s="238"/>
      <c r="S11" s="237"/>
      <c r="T11" s="238"/>
      <c r="U11" s="237"/>
      <c r="V11" s="237"/>
      <c r="W11" s="237"/>
      <c r="X11" s="237"/>
      <c r="Y11" s="237"/>
      <c r="Z11" s="238"/>
      <c r="AA11" s="237"/>
      <c r="AB11" s="238"/>
      <c r="AC11" s="238"/>
    </row>
    <row r="12" ht="18.75" customHeight="1">
      <c r="A12" s="232"/>
      <c r="B12" s="192"/>
      <c r="C12" s="193"/>
      <c r="D12" s="237"/>
      <c r="E12" s="237"/>
      <c r="F12" s="237"/>
      <c r="G12" s="237"/>
      <c r="H12" s="237"/>
      <c r="I12" s="192" t="s">
        <v>750</v>
      </c>
      <c r="J12" s="234" t="str">
        <f>IFERROR(__xludf.DUMMYFUNCTION("IF(
  $I12="""",
  """",
  IF(
    COLUMN()-9 &gt;
    (1 + LEN(REGEXEXTRACT($I12,""^[0-9.]+"")) - LEN(SUBSTITUTE(REGEXEXTRACT($I12,""^[0-9.]+""),""."",""""))),
    """",
    INDEX(
      BEC_openBDF!$A:$D,
      MATCH(
        $I12,
        INDEX(
         "&amp;" BEC_openBDF!$A:$D,
          0,
          (1 + LEN(REGEXEXTRACT($I12,""^[0-9.]+"")) - LEN(SUBSTITUTE(REGEXEXTRACT($I12,""^[0-9.]+""),""."","""")))
        ),
        0
      ),
      COLUMN()-9
    )
  )
)"),"..")</f>
        <v>..</v>
      </c>
      <c r="K12" s="234" t="str">
        <f>IFERROR(__xludf.DUMMYFUNCTION("IF(
  $I12="""",
  """",
  IF(
    COLUMN()-9 &gt;
    (1 + LEN(REGEXEXTRACT($I12,""^[0-9.]+"")) - LEN(SUBSTITUTE(REGEXEXTRACT($I12,""^[0-9.]+""),""."",""""))),
    """",
    INDEX(
      BEC_openBDF!$A:$D,
      MATCH(
        $I12,
        INDEX(
         "&amp;" BEC_openBDF!$A:$D,
          0,
          (1 + LEN(REGEXEXTRACT($I12,""^[0-9.]+"")) - LEN(SUBSTITUTE(REGEXEXTRACT($I12,""^[0-9.]+""),""."","""")))
        ),
        0
      ),
      COLUMN()-9
    )
  )
)"),"..")</f>
        <v>..</v>
      </c>
      <c r="L12" s="234" t="str">
        <f>IFERROR(__xludf.DUMMYFUNCTION("IF(
  $I12="""",
  """",
  IF(
    COLUMN()-9 &gt;
    (1 + LEN(REGEXEXTRACT($I12,""^[0-9.]+"")) - LEN(SUBSTITUTE(REGEXEXTRACT($I12,""^[0-9.]+""),""."",""""))),
    """",
    INDEX(
      BEC_openBDF!$A:$D,
      MATCH(
        $I12,
        INDEX(
         "&amp;" BEC_openBDF!$A:$D,
          0,
          (1 + LEN(REGEXEXTRACT($I12,""^[0-9.]+"")) - LEN(SUBSTITUTE(REGEXEXTRACT($I12,""^[0-9.]+""),""."","""")))
        ),
        0
      ),
      COLUMN()-9
    )
  )
)"),"..")</f>
        <v>..</v>
      </c>
      <c r="M12" s="234" t="str">
        <f>IFERROR(__xludf.DUMMYFUNCTION("IF(
  $I12="""",
  """",
  IF(
    COLUMN()-9 &gt;
    (1 + LEN(REGEXEXTRACT($I12,""^[0-9.]+"")) - LEN(SUBSTITUTE(REGEXEXTRACT($I12,""^[0-9.]+""),""."",""""))),
    """",
    INDEX(
      BEC_openBDF!$A:$D,
      MATCH(
        $I12,
        INDEX(
         "&amp;" BEC_openBDF!$A:$D,
          0,
          (1 + LEN(REGEXEXTRACT($I12,""^[0-9.]+"")) - LEN(SUBSTITUTE(REGEXEXTRACT($I12,""^[0-9.]+""),""."","""")))
        ),
        0
      ),
      COLUMN()-9
    )
  )
)"),"")</f>
        <v/>
      </c>
      <c r="N12" s="197"/>
      <c r="O12" s="193"/>
      <c r="P12" s="197"/>
      <c r="Q12" s="238"/>
      <c r="R12" s="238"/>
      <c r="S12" s="237"/>
      <c r="T12" s="238"/>
      <c r="U12" s="237"/>
      <c r="V12" s="237"/>
      <c r="W12" s="237"/>
      <c r="X12" s="237"/>
      <c r="Y12" s="237"/>
      <c r="Z12" s="238"/>
      <c r="AA12" s="237"/>
      <c r="AB12" s="238"/>
      <c r="AC12" s="238"/>
    </row>
    <row r="13" ht="18.75" customHeight="1">
      <c r="A13" s="232"/>
      <c r="B13" s="192"/>
      <c r="C13" s="193"/>
      <c r="D13" s="237"/>
      <c r="E13" s="237"/>
      <c r="F13" s="237"/>
      <c r="G13" s="237"/>
      <c r="H13" s="237"/>
      <c r="I13" s="192" t="s">
        <v>751</v>
      </c>
      <c r="J13" s="234" t="str">
        <f>IFERROR(__xludf.DUMMYFUNCTION("IF(
  $I13="""",
  """",
  IF(
    COLUMN()-9 &gt;
    (1 + LEN(REGEXEXTRACT($I13,""^[0-9.]+"")) - LEN(SUBSTITUTE(REGEXEXTRACT($I13,""^[0-9.]+""),""."",""""))),
    """",
    INDEX(
      BEC_openBDF!$A:$D,
      MATCH(
        $I13,
        INDEX(
         "&amp;" BEC_openBDF!$A:$D,
          0,
          (1 + LEN(REGEXEXTRACT($I13,""^[0-9.]+"")) - LEN(SUBSTITUTE(REGEXEXTRACT($I13,""^[0-9.]+""),""."","""")))
        ),
        0
      ),
      COLUMN()-9
    )
  )
)"),"0 Treatment and demolition works &amp; Facilitating works")</f>
        <v>0 Treatment and demolition works &amp; Facilitating works</v>
      </c>
      <c r="K13" s="234" t="str">
        <f>IFERROR(__xludf.DUMMYFUNCTION("IF(
  $I13="""",
  """",
  IF(
    COLUMN()-9 &gt;
    (1 + LEN(REGEXEXTRACT($I13,""^[0-9.]+"")) - LEN(SUBSTITUTE(REGEXEXTRACT($I13,""^[0-9.]+""),""."",""""))),
    """",
    INDEX(
      BEC_openBDF!$A:$D,
      MATCH(
        $I13,
        INDEX(
         "&amp;" BEC_openBDF!$A:$D,
          0,
          (1 + LEN(REGEXEXTRACT($I13,""^[0-9.]+"")) - LEN(SUBSTITUTE(REGEXEXTRACT($I13,""^[0-9.]+""),""."","""")))
        ),
        0
      ),
      COLUMN()-9
    )
  )
)"),"0.1 Treatment and demolition works &amp; Facilitating works")</f>
        <v>0.1 Treatment and demolition works &amp; Facilitating works</v>
      </c>
      <c r="L13" s="234" t="str">
        <f>IFERROR(__xludf.DUMMYFUNCTION("IF(
  $I13="""",
  """",
  IF(
    COLUMN()-9 &gt;
    (1 + LEN(REGEXEXTRACT($I13,""^[0-9.]+"")) - LEN(SUBSTITUTE(REGEXEXTRACT($I13,""^[0-9.]+""),""."",""""))),
    """",
    INDEX(
      BEC_openBDF!$A:$D,
      MATCH(
        $I13,
        INDEX(
         "&amp;" BEC_openBDF!$A:$D,
          0,
          (1 + LEN(REGEXEXTRACT($I13,""^[0-9.]+"")) - LEN(SUBSTITUTE(REGEXEXTRACT($I13,""^[0-9.]+""),""."","""")))
        ),
        0
      ),
      COLUMN()-9
    )
  )
)"),"0.1.1 Toxic/contaminated material treatment &amp; Demolition works")</f>
        <v>0.1.1 Toxic/contaminated material treatment &amp; Demolition works</v>
      </c>
      <c r="M13" s="234" t="str">
        <f>IFERROR(__xludf.DUMMYFUNCTION("IF(
  $I13="""",
  """",
  IF(
    COLUMN()-9 &gt;
    (1 + LEN(REGEXEXTRACT($I13,""^[0-9.]+"")) - LEN(SUBSTITUTE(REGEXEXTRACT($I13,""^[0-9.]+""),""."",""""))),
    """",
    INDEX(
      BEC_openBDF!$A:$D,
      MATCH(
        $I13,
        INDEX(
         "&amp;" BEC_openBDF!$A:$D,
          0,
          (1 + LEN(REGEXEXTRACT($I13,""^[0-9.]+"")) - LEN(SUBSTITUTE(REGEXEXTRACT($I13,""^[0-9.]+""),""."","""")))
        ),
        0
      ),
      COLUMN()-9
    )
  )
)"),"0.1.1.1 Toxic/contaminated material treatment
")</f>
        <v>0.1.1.1 Toxic/contaminated material treatment
</v>
      </c>
      <c r="N13" s="197"/>
      <c r="O13" s="193"/>
      <c r="P13" s="197"/>
      <c r="Q13" s="238"/>
      <c r="R13" s="238"/>
      <c r="S13" s="237"/>
      <c r="T13" s="238"/>
      <c r="U13" s="237"/>
      <c r="V13" s="237"/>
      <c r="W13" s="237"/>
      <c r="X13" s="237"/>
      <c r="Y13" s="237"/>
      <c r="Z13" s="238"/>
      <c r="AA13" s="237"/>
      <c r="AB13" s="238"/>
      <c r="AC13" s="238"/>
    </row>
    <row r="14" ht="18.75" customHeight="1">
      <c r="A14" s="239"/>
      <c r="B14" s="192"/>
      <c r="C14" s="193"/>
      <c r="D14" s="237"/>
      <c r="E14" s="237"/>
      <c r="F14" s="237"/>
      <c r="G14" s="237"/>
      <c r="H14" s="237"/>
      <c r="I14" s="192" t="s">
        <v>750</v>
      </c>
      <c r="J14" s="234" t="str">
        <f>IFERROR(__xludf.DUMMYFUNCTION("IF(
  $I14="""",
  """",
  IF(
    COLUMN()-9 &gt;
    (1 + LEN(REGEXEXTRACT($I14,""^[0-9.]+"")) - LEN(SUBSTITUTE(REGEXEXTRACT($I14,""^[0-9.]+""),""."",""""))),
    """",
    INDEX(
      BEC_openBDF!$A:$D,
      MATCH(
        $I14,
        INDEX(
         "&amp;" BEC_openBDF!$A:$D,
          0,
          (1 + LEN(REGEXEXTRACT($I14,""^[0-9.]+"")) - LEN(SUBSTITUTE(REGEXEXTRACT($I14,""^[0-9.]+""),""."","""")))
        ),
        0
      ),
      COLUMN()-9
    )
  )
)"),"..")</f>
        <v>..</v>
      </c>
      <c r="K14" s="234" t="str">
        <f>IFERROR(__xludf.DUMMYFUNCTION("IF(
  $I14="""",
  """",
  IF(
    COLUMN()-9 &gt;
    (1 + LEN(REGEXEXTRACT($I14,""^[0-9.]+"")) - LEN(SUBSTITUTE(REGEXEXTRACT($I14,""^[0-9.]+""),""."",""""))),
    """",
    INDEX(
      BEC_openBDF!$A:$D,
      MATCH(
        $I14,
        INDEX(
         "&amp;" BEC_openBDF!$A:$D,
          0,
          (1 + LEN(REGEXEXTRACT($I14,""^[0-9.]+"")) - LEN(SUBSTITUTE(REGEXEXTRACT($I14,""^[0-9.]+""),""."","""")))
        ),
        0
      ),
      COLUMN()-9
    )
  )
)"),"..")</f>
        <v>..</v>
      </c>
      <c r="L14" s="234" t="str">
        <f>IFERROR(__xludf.DUMMYFUNCTION("IF(
  $I14="""",
  """",
  IF(
    COLUMN()-9 &gt;
    (1 + LEN(REGEXEXTRACT($I14,""^[0-9.]+"")) - LEN(SUBSTITUTE(REGEXEXTRACT($I14,""^[0-9.]+""),""."",""""))),
    """",
    INDEX(
      BEC_openBDF!$A:$D,
      MATCH(
        $I14,
        INDEX(
         "&amp;" BEC_openBDF!$A:$D,
          0,
          (1 + LEN(REGEXEXTRACT($I14,""^[0-9.]+"")) - LEN(SUBSTITUTE(REGEXEXTRACT($I14,""^[0-9.]+""),""."","""")))
        ),
        0
      ),
      COLUMN()-9
    )
  )
)"),"..")</f>
        <v>..</v>
      </c>
      <c r="M14" s="234" t="str">
        <f>IFERROR(__xludf.DUMMYFUNCTION("IF(
  $I14="""",
  """",
  IF(
    COLUMN()-9 &gt;
    (1 + LEN(REGEXEXTRACT($I14,""^[0-9.]+"")) - LEN(SUBSTITUTE(REGEXEXTRACT($I14,""^[0-9.]+""),""."",""""))),
    """",
    INDEX(
      BEC_openBDF!$A:$D,
      MATCH(
        $I14,
        INDEX(
         "&amp;" BEC_openBDF!$A:$D,
          0,
          (1 + LEN(REGEXEXTRACT($I14,""^[0-9.]+"")) - LEN(SUBSTITUTE(REGEXEXTRACT($I14,""^[0-9.]+""),""."","""")))
        ),
        0
      ),
      COLUMN()-9
    )
  )
)"),"")</f>
        <v/>
      </c>
      <c r="N14" s="201"/>
      <c r="O14" s="193"/>
      <c r="P14" s="201"/>
      <c r="Q14" s="238"/>
      <c r="R14" s="238"/>
      <c r="S14" s="237"/>
      <c r="T14" s="238"/>
      <c r="U14" s="237"/>
      <c r="V14" s="237"/>
      <c r="W14" s="237"/>
      <c r="X14" s="237"/>
      <c r="Y14" s="237"/>
      <c r="Z14" s="238"/>
      <c r="AA14" s="237"/>
      <c r="AB14" s="238"/>
      <c r="AC14" s="238"/>
    </row>
    <row r="15" ht="18.75" customHeight="1">
      <c r="A15" s="232"/>
      <c r="B15" s="192"/>
      <c r="C15" s="193"/>
      <c r="D15" s="237"/>
      <c r="E15" s="237"/>
      <c r="F15" s="237"/>
      <c r="G15" s="237"/>
      <c r="H15" s="237"/>
      <c r="I15" s="192" t="s">
        <v>750</v>
      </c>
      <c r="J15" s="234" t="str">
        <f>IFERROR(__xludf.DUMMYFUNCTION("IF(
  $I15="""",
  """",
  IF(
    COLUMN()-9 &gt;
    (1 + LEN(REGEXEXTRACT($I15,""^[0-9.]+"")) - LEN(SUBSTITUTE(REGEXEXTRACT($I15,""^[0-9.]+""),""."",""""))),
    """",
    INDEX(
      BEC_openBDF!$A:$D,
      MATCH(
        $I15,
        INDEX(
         "&amp;" BEC_openBDF!$A:$D,
          0,
          (1 + LEN(REGEXEXTRACT($I15,""^[0-9.]+"")) - LEN(SUBSTITUTE(REGEXEXTRACT($I15,""^[0-9.]+""),""."","""")))
        ),
        0
      ),
      COLUMN()-9
    )
  )
)"),"..")</f>
        <v>..</v>
      </c>
      <c r="K15" s="234" t="str">
        <f>IFERROR(__xludf.DUMMYFUNCTION("IF(
  $I15="""",
  """",
  IF(
    COLUMN()-9 &gt;
    (1 + LEN(REGEXEXTRACT($I15,""^[0-9.]+"")) - LEN(SUBSTITUTE(REGEXEXTRACT($I15,""^[0-9.]+""),""."",""""))),
    """",
    INDEX(
      BEC_openBDF!$A:$D,
      MATCH(
        $I15,
        INDEX(
         "&amp;" BEC_openBDF!$A:$D,
          0,
          (1 + LEN(REGEXEXTRACT($I15,""^[0-9.]+"")) - LEN(SUBSTITUTE(REGEXEXTRACT($I15,""^[0-9.]+""),""."","""")))
        ),
        0
      ),
      COLUMN()-9
    )
  )
)"),"..")</f>
        <v>..</v>
      </c>
      <c r="L15" s="234" t="str">
        <f>IFERROR(__xludf.DUMMYFUNCTION("IF(
  $I15="""",
  """",
  IF(
    COLUMN()-9 &gt;
    (1 + LEN(REGEXEXTRACT($I15,""^[0-9.]+"")) - LEN(SUBSTITUTE(REGEXEXTRACT($I15,""^[0-9.]+""),""."",""""))),
    """",
    INDEX(
      BEC_openBDF!$A:$D,
      MATCH(
        $I15,
        INDEX(
         "&amp;" BEC_openBDF!$A:$D,
          0,
          (1 + LEN(REGEXEXTRACT($I15,""^[0-9.]+"")) - LEN(SUBSTITUTE(REGEXEXTRACT($I15,""^[0-9.]+""),""."","""")))
        ),
        0
      ),
      COLUMN()-9
    )
  )
)"),"..")</f>
        <v>..</v>
      </c>
      <c r="M15" s="234" t="str">
        <f>IFERROR(__xludf.DUMMYFUNCTION("IF(
  $I15="""",
  """",
  IF(
    COLUMN()-9 &gt;
    (1 + LEN(REGEXEXTRACT($I15,""^[0-9.]+"")) - LEN(SUBSTITUTE(REGEXEXTRACT($I15,""^[0-9.]+""),""."",""""))),
    """",
    INDEX(
      BEC_openBDF!$A:$D,
      MATCH(
        $I15,
        INDEX(
         "&amp;" BEC_openBDF!$A:$D,
          0,
          (1 + LEN(REGEXEXTRACT($I15,""^[0-9.]+"")) - LEN(SUBSTITUTE(REGEXEXTRACT($I15,""^[0-9.]+""),""."","""")))
        ),
        0
      ),
      COLUMN()-9
    )
  )
)"),"")</f>
        <v/>
      </c>
      <c r="N15" s="201"/>
      <c r="O15" s="193"/>
      <c r="P15" s="201"/>
      <c r="Q15" s="238"/>
      <c r="R15" s="238"/>
      <c r="S15" s="237"/>
      <c r="T15" s="238"/>
      <c r="U15" s="237"/>
      <c r="V15" s="237"/>
      <c r="W15" s="237"/>
      <c r="X15" s="237"/>
      <c r="Y15" s="237"/>
      <c r="Z15" s="238"/>
      <c r="AA15" s="237"/>
      <c r="AB15" s="238"/>
      <c r="AC15" s="238"/>
    </row>
    <row r="16" ht="18.75" customHeight="1">
      <c r="A16" s="232"/>
      <c r="B16" s="192"/>
      <c r="C16" s="193"/>
      <c r="D16" s="192"/>
      <c r="E16" s="192"/>
      <c r="F16" s="237"/>
      <c r="G16" s="237"/>
      <c r="H16" s="237"/>
      <c r="I16" s="192"/>
      <c r="J16" s="234"/>
      <c r="K16" s="234"/>
      <c r="L16" s="234"/>
      <c r="M16" s="234"/>
      <c r="N16" s="197"/>
      <c r="O16" s="193"/>
      <c r="P16" s="197"/>
      <c r="Q16" s="238"/>
      <c r="R16" s="238"/>
      <c r="S16" s="240"/>
      <c r="T16" s="238"/>
      <c r="U16" s="240"/>
      <c r="V16" s="240"/>
      <c r="W16" s="240"/>
      <c r="X16" s="240"/>
      <c r="Y16" s="240"/>
      <c r="Z16" s="238"/>
      <c r="AA16" s="237"/>
      <c r="AB16" s="238"/>
      <c r="AC16" s="238"/>
    </row>
    <row r="17" ht="18.75" customHeight="1">
      <c r="A17" s="232"/>
      <c r="B17" s="192"/>
      <c r="C17" s="193"/>
      <c r="D17" s="192"/>
      <c r="E17" s="192"/>
      <c r="F17" s="237"/>
      <c r="G17" s="237"/>
      <c r="H17" s="237"/>
      <c r="I17" s="192"/>
      <c r="J17" s="234"/>
      <c r="K17" s="234"/>
      <c r="L17" s="234"/>
      <c r="M17" s="234"/>
      <c r="N17" s="197"/>
      <c r="O17" s="193"/>
      <c r="P17" s="197"/>
      <c r="Q17" s="238"/>
      <c r="R17" s="238"/>
      <c r="S17" s="240"/>
      <c r="T17" s="238"/>
      <c r="U17" s="240"/>
      <c r="V17" s="240"/>
      <c r="W17" s="240"/>
      <c r="X17" s="240"/>
      <c r="Y17" s="240"/>
      <c r="Z17" s="238"/>
      <c r="AA17" s="237"/>
      <c r="AB17" s="238"/>
      <c r="AC17" s="238"/>
    </row>
    <row r="18" ht="18.75" customHeight="1">
      <c r="A18" s="232"/>
      <c r="B18" s="192"/>
      <c r="C18" s="193"/>
      <c r="D18" s="192"/>
      <c r="E18" s="192"/>
      <c r="F18" s="237"/>
      <c r="G18" s="237"/>
      <c r="H18" s="237"/>
      <c r="I18" s="192"/>
      <c r="J18" s="234"/>
      <c r="K18" s="234"/>
      <c r="L18" s="234"/>
      <c r="M18" s="234"/>
      <c r="N18" s="197"/>
      <c r="O18" s="193"/>
      <c r="P18" s="197"/>
      <c r="Q18" s="238"/>
      <c r="R18" s="238"/>
      <c r="S18" s="240"/>
      <c r="T18" s="238"/>
      <c r="U18" s="240"/>
      <c r="V18" s="240"/>
      <c r="W18" s="240"/>
      <c r="X18" s="240"/>
      <c r="Y18" s="240"/>
      <c r="Z18" s="238"/>
      <c r="AA18" s="237"/>
      <c r="AB18" s="238"/>
      <c r="AC18" s="238"/>
    </row>
    <row r="19" ht="18.75" customHeight="1">
      <c r="A19" s="232"/>
      <c r="B19" s="192"/>
      <c r="C19" s="193"/>
      <c r="D19" s="192"/>
      <c r="E19" s="192"/>
      <c r="F19" s="237"/>
      <c r="G19" s="237"/>
      <c r="H19" s="237"/>
      <c r="I19" s="192"/>
      <c r="J19" s="234"/>
      <c r="K19" s="234"/>
      <c r="L19" s="234"/>
      <c r="M19" s="234"/>
      <c r="N19" s="197"/>
      <c r="O19" s="193"/>
      <c r="P19" s="197"/>
      <c r="Q19" s="238"/>
      <c r="R19" s="238"/>
      <c r="S19" s="240"/>
      <c r="T19" s="238"/>
      <c r="U19" s="240"/>
      <c r="V19" s="240"/>
      <c r="W19" s="240"/>
      <c r="X19" s="240"/>
      <c r="Y19" s="240"/>
      <c r="Z19" s="238"/>
      <c r="AA19" s="237"/>
      <c r="AB19" s="238"/>
      <c r="AC19" s="238"/>
    </row>
    <row r="20" ht="18.75" customHeight="1">
      <c r="A20" s="232"/>
      <c r="B20" s="192"/>
      <c r="C20" s="193"/>
      <c r="D20" s="192"/>
      <c r="E20" s="192"/>
      <c r="F20" s="237"/>
      <c r="G20" s="237"/>
      <c r="H20" s="237"/>
      <c r="I20" s="192"/>
      <c r="J20" s="234"/>
      <c r="K20" s="234"/>
      <c r="L20" s="234"/>
      <c r="M20" s="234"/>
      <c r="N20" s="197"/>
      <c r="O20" s="193"/>
      <c r="P20" s="197"/>
      <c r="Q20" s="238"/>
      <c r="R20" s="238"/>
      <c r="S20" s="192"/>
      <c r="T20" s="238"/>
      <c r="U20" s="192"/>
      <c r="V20" s="192"/>
      <c r="W20" s="192"/>
      <c r="X20" s="192"/>
      <c r="Y20" s="192"/>
      <c r="Z20" s="238"/>
      <c r="AA20" s="237"/>
      <c r="AB20" s="238"/>
      <c r="AC20" s="238"/>
    </row>
    <row r="21" ht="18.75" customHeight="1">
      <c r="A21" s="232"/>
      <c r="B21" s="192"/>
      <c r="C21" s="193"/>
      <c r="D21" s="192"/>
      <c r="E21" s="192"/>
      <c r="F21" s="237"/>
      <c r="G21" s="237"/>
      <c r="H21" s="237"/>
      <c r="I21" s="192"/>
      <c r="J21" s="234"/>
      <c r="K21" s="234"/>
      <c r="L21" s="234"/>
      <c r="M21" s="234"/>
      <c r="N21" s="197"/>
      <c r="O21" s="193"/>
      <c r="P21" s="197"/>
      <c r="Q21" s="238"/>
      <c r="R21" s="238"/>
      <c r="S21" s="240"/>
      <c r="T21" s="238"/>
      <c r="U21" s="240"/>
      <c r="V21" s="240"/>
      <c r="W21" s="240"/>
      <c r="X21" s="240"/>
      <c r="Y21" s="240"/>
      <c r="Z21" s="238"/>
      <c r="AA21" s="237"/>
      <c r="AB21" s="238"/>
      <c r="AC21" s="238"/>
    </row>
    <row r="22" ht="18.75" customHeight="1">
      <c r="A22" s="232"/>
      <c r="B22" s="192"/>
      <c r="C22" s="193"/>
      <c r="D22" s="192"/>
      <c r="E22" s="192"/>
      <c r="F22" s="237"/>
      <c r="G22" s="237"/>
      <c r="H22" s="237"/>
      <c r="I22" s="192"/>
      <c r="J22" s="234"/>
      <c r="K22" s="234"/>
      <c r="L22" s="234"/>
      <c r="M22" s="234"/>
      <c r="N22" s="197"/>
      <c r="O22" s="193"/>
      <c r="P22" s="197"/>
      <c r="Q22" s="238"/>
      <c r="R22" s="238"/>
      <c r="S22" s="192"/>
      <c r="T22" s="238"/>
      <c r="U22" s="192"/>
      <c r="V22" s="192"/>
      <c r="W22" s="192"/>
      <c r="X22" s="192"/>
      <c r="Y22" s="192"/>
      <c r="Z22" s="238"/>
      <c r="AA22" s="237"/>
      <c r="AB22" s="238"/>
      <c r="AC22" s="238"/>
    </row>
    <row r="23" ht="18.75" customHeight="1">
      <c r="A23" s="232"/>
      <c r="B23" s="192"/>
      <c r="C23" s="193"/>
      <c r="D23" s="192"/>
      <c r="E23" s="192"/>
      <c r="F23" s="237"/>
      <c r="G23" s="237"/>
      <c r="H23" s="237"/>
      <c r="I23" s="192"/>
      <c r="J23" s="234"/>
      <c r="K23" s="234"/>
      <c r="L23" s="234"/>
      <c r="M23" s="234"/>
      <c r="N23" s="197"/>
      <c r="O23" s="193"/>
      <c r="P23" s="197"/>
      <c r="Q23" s="238"/>
      <c r="R23" s="238"/>
      <c r="S23" s="240"/>
      <c r="T23" s="238"/>
      <c r="U23" s="240"/>
      <c r="V23" s="240"/>
      <c r="W23" s="240"/>
      <c r="X23" s="240"/>
      <c r="Y23" s="240"/>
      <c r="Z23" s="238"/>
      <c r="AA23" s="237"/>
      <c r="AB23" s="238"/>
      <c r="AC23" s="238"/>
    </row>
    <row r="24" ht="18.75" customHeight="1">
      <c r="A24" s="232"/>
      <c r="B24" s="192"/>
      <c r="C24" s="193"/>
      <c r="D24" s="192"/>
      <c r="E24" s="192"/>
      <c r="F24" s="237"/>
      <c r="G24" s="237"/>
      <c r="H24" s="237"/>
      <c r="I24" s="192"/>
      <c r="J24" s="234"/>
      <c r="K24" s="234"/>
      <c r="L24" s="234"/>
      <c r="M24" s="234"/>
      <c r="N24" s="197"/>
      <c r="O24" s="193"/>
      <c r="P24" s="197"/>
      <c r="Q24" s="238"/>
      <c r="R24" s="238"/>
      <c r="S24" s="192"/>
      <c r="T24" s="238"/>
      <c r="U24" s="192"/>
      <c r="V24" s="192"/>
      <c r="W24" s="192"/>
      <c r="X24" s="192"/>
      <c r="Y24" s="192"/>
      <c r="Z24" s="238"/>
      <c r="AA24" s="237"/>
      <c r="AB24" s="238"/>
      <c r="AC24" s="238"/>
    </row>
    <row r="25" ht="18.75" customHeight="1">
      <c r="A25" s="232"/>
      <c r="B25" s="192"/>
      <c r="C25" s="193"/>
      <c r="D25" s="192"/>
      <c r="E25" s="192"/>
      <c r="F25" s="237"/>
      <c r="G25" s="237"/>
      <c r="H25" s="237"/>
      <c r="I25" s="192"/>
      <c r="J25" s="234"/>
      <c r="K25" s="234"/>
      <c r="L25" s="234"/>
      <c r="M25" s="234"/>
      <c r="N25" s="197"/>
      <c r="O25" s="193"/>
      <c r="P25" s="197"/>
      <c r="Q25" s="238"/>
      <c r="R25" s="238"/>
      <c r="S25" s="192"/>
      <c r="T25" s="238"/>
      <c r="U25" s="192"/>
      <c r="V25" s="192"/>
      <c r="W25" s="192"/>
      <c r="X25" s="192"/>
      <c r="Y25" s="192"/>
      <c r="Z25" s="238"/>
      <c r="AA25" s="237"/>
      <c r="AB25" s="238"/>
      <c r="AC25" s="238"/>
    </row>
    <row r="26" ht="18.75" customHeight="1">
      <c r="A26" s="232"/>
      <c r="B26" s="192"/>
      <c r="C26" s="193"/>
      <c r="D26" s="192"/>
      <c r="E26" s="192"/>
      <c r="F26" s="237"/>
      <c r="G26" s="237"/>
      <c r="H26" s="237"/>
      <c r="I26" s="192"/>
      <c r="J26" s="234"/>
      <c r="K26" s="234"/>
      <c r="L26" s="234"/>
      <c r="M26" s="234"/>
      <c r="N26" s="197"/>
      <c r="O26" s="193"/>
      <c r="P26" s="197"/>
      <c r="Q26" s="238"/>
      <c r="R26" s="238"/>
      <c r="S26" s="240"/>
      <c r="T26" s="238"/>
      <c r="U26" s="240"/>
      <c r="V26" s="240"/>
      <c r="W26" s="240"/>
      <c r="X26" s="240"/>
      <c r="Y26" s="240"/>
      <c r="Z26" s="238"/>
      <c r="AA26" s="237"/>
      <c r="AB26" s="238"/>
      <c r="AC26" s="238"/>
    </row>
    <row r="27" ht="18.75" customHeight="1">
      <c r="A27" s="232"/>
      <c r="B27" s="192"/>
      <c r="C27" s="193"/>
      <c r="D27" s="192"/>
      <c r="E27" s="192"/>
      <c r="F27" s="237"/>
      <c r="G27" s="237"/>
      <c r="H27" s="237"/>
      <c r="I27" s="192"/>
      <c r="J27" s="234"/>
      <c r="K27" s="234"/>
      <c r="L27" s="234"/>
      <c r="M27" s="234"/>
      <c r="N27" s="197"/>
      <c r="O27" s="193"/>
      <c r="P27" s="197"/>
      <c r="Q27" s="238"/>
      <c r="R27" s="238"/>
      <c r="S27" s="240"/>
      <c r="T27" s="238"/>
      <c r="U27" s="240"/>
      <c r="V27" s="240"/>
      <c r="W27" s="240"/>
      <c r="X27" s="240"/>
      <c r="Y27" s="240"/>
      <c r="Z27" s="238"/>
      <c r="AA27" s="237"/>
      <c r="AB27" s="238"/>
      <c r="AC27" s="238"/>
    </row>
    <row r="28" ht="18.75" customHeight="1">
      <c r="A28" s="232"/>
      <c r="B28" s="192"/>
      <c r="C28" s="193"/>
      <c r="D28" s="192"/>
      <c r="E28" s="192"/>
      <c r="F28" s="237"/>
      <c r="G28" s="237"/>
      <c r="H28" s="237"/>
      <c r="I28" s="192"/>
      <c r="J28" s="234"/>
      <c r="K28" s="234"/>
      <c r="L28" s="234"/>
      <c r="M28" s="234"/>
      <c r="N28" s="197"/>
      <c r="O28" s="193"/>
      <c r="P28" s="197"/>
      <c r="Q28" s="238"/>
      <c r="R28" s="238"/>
      <c r="S28" s="192"/>
      <c r="T28" s="238"/>
      <c r="U28" s="192"/>
      <c r="V28" s="192"/>
      <c r="W28" s="192"/>
      <c r="X28" s="192"/>
      <c r="Y28" s="192"/>
      <c r="Z28" s="238"/>
      <c r="AA28" s="237"/>
      <c r="AB28" s="238"/>
      <c r="AC28" s="238"/>
    </row>
    <row r="29" ht="18.75" customHeight="1">
      <c r="A29" s="232"/>
      <c r="B29" s="192"/>
      <c r="C29" s="193"/>
      <c r="D29" s="192"/>
      <c r="E29" s="192"/>
      <c r="F29" s="237"/>
      <c r="G29" s="237"/>
      <c r="H29" s="237"/>
      <c r="I29" s="192"/>
      <c r="J29" s="234"/>
      <c r="K29" s="234"/>
      <c r="L29" s="234"/>
      <c r="M29" s="234"/>
      <c r="N29" s="197"/>
      <c r="O29" s="193"/>
      <c r="P29" s="197"/>
      <c r="Q29" s="238"/>
      <c r="R29" s="238"/>
      <c r="S29" s="192"/>
      <c r="T29" s="238"/>
      <c r="U29" s="192"/>
      <c r="V29" s="192"/>
      <c r="W29" s="192"/>
      <c r="X29" s="192"/>
      <c r="Y29" s="192"/>
      <c r="Z29" s="238"/>
      <c r="AA29" s="237"/>
      <c r="AB29" s="238"/>
      <c r="AC29" s="238"/>
    </row>
    <row r="30" ht="18.75" customHeight="1">
      <c r="A30" s="232"/>
      <c r="B30" s="192"/>
      <c r="C30" s="193"/>
      <c r="D30" s="192"/>
      <c r="E30" s="192"/>
      <c r="F30" s="237"/>
      <c r="G30" s="237"/>
      <c r="H30" s="237"/>
      <c r="I30" s="192"/>
      <c r="J30" s="234"/>
      <c r="K30" s="234"/>
      <c r="L30" s="234"/>
      <c r="M30" s="234"/>
      <c r="N30" s="197"/>
      <c r="O30" s="193"/>
      <c r="P30" s="197"/>
      <c r="Q30" s="238"/>
      <c r="R30" s="238"/>
      <c r="S30" s="192"/>
      <c r="T30" s="238"/>
      <c r="U30" s="192"/>
      <c r="V30" s="192"/>
      <c r="W30" s="192"/>
      <c r="X30" s="192"/>
      <c r="Y30" s="192"/>
      <c r="Z30" s="238"/>
      <c r="AA30" s="237"/>
      <c r="AB30" s="238"/>
      <c r="AC30" s="238"/>
    </row>
    <row r="31" ht="18.75" customHeight="1">
      <c r="A31" s="232"/>
      <c r="B31" s="192"/>
      <c r="C31" s="193"/>
      <c r="D31" s="192"/>
      <c r="E31" s="192"/>
      <c r="F31" s="237"/>
      <c r="G31" s="237"/>
      <c r="H31" s="237"/>
      <c r="I31" s="192"/>
      <c r="J31" s="234"/>
      <c r="K31" s="234"/>
      <c r="L31" s="234"/>
      <c r="M31" s="234"/>
      <c r="N31" s="197"/>
      <c r="O31" s="193"/>
      <c r="P31" s="197"/>
      <c r="Q31" s="238"/>
      <c r="R31" s="238"/>
      <c r="S31" s="192"/>
      <c r="T31" s="238"/>
      <c r="U31" s="192"/>
      <c r="V31" s="192"/>
      <c r="W31" s="192"/>
      <c r="X31" s="192"/>
      <c r="Y31" s="192"/>
      <c r="Z31" s="238"/>
      <c r="AA31" s="237"/>
      <c r="AB31" s="238"/>
      <c r="AC31" s="238"/>
    </row>
    <row r="32" ht="18.75" customHeight="1">
      <c r="A32" s="232"/>
      <c r="B32" s="192"/>
      <c r="C32" s="193"/>
      <c r="D32" s="192"/>
      <c r="E32" s="192"/>
      <c r="F32" s="237"/>
      <c r="G32" s="237"/>
      <c r="H32" s="237"/>
      <c r="I32" s="192"/>
      <c r="J32" s="234"/>
      <c r="K32" s="234"/>
      <c r="L32" s="234"/>
      <c r="M32" s="234"/>
      <c r="N32" s="197"/>
      <c r="O32" s="193"/>
      <c r="P32" s="197"/>
      <c r="Q32" s="238"/>
      <c r="R32" s="238"/>
      <c r="S32" s="192"/>
      <c r="T32" s="238"/>
      <c r="U32" s="192"/>
      <c r="V32" s="192"/>
      <c r="W32" s="192"/>
      <c r="X32" s="192"/>
      <c r="Y32" s="192"/>
      <c r="Z32" s="238"/>
      <c r="AA32" s="237"/>
      <c r="AB32" s="238"/>
      <c r="AC32" s="238"/>
    </row>
    <row r="33" ht="18.75" customHeight="1">
      <c r="A33" s="232"/>
      <c r="B33" s="192"/>
      <c r="C33" s="193"/>
      <c r="D33" s="192"/>
      <c r="E33" s="192"/>
      <c r="F33" s="237"/>
      <c r="G33" s="237"/>
      <c r="H33" s="237"/>
      <c r="I33" s="192"/>
      <c r="J33" s="234"/>
      <c r="K33" s="234"/>
      <c r="L33" s="234"/>
      <c r="M33" s="234"/>
      <c r="N33" s="197"/>
      <c r="O33" s="193"/>
      <c r="P33" s="197"/>
      <c r="Q33" s="238"/>
      <c r="R33" s="238"/>
      <c r="S33" s="192"/>
      <c r="T33" s="238"/>
      <c r="U33" s="192"/>
      <c r="V33" s="192"/>
      <c r="W33" s="192"/>
      <c r="X33" s="192"/>
      <c r="Y33" s="192"/>
      <c r="Z33" s="238"/>
      <c r="AA33" s="237"/>
      <c r="AB33" s="238"/>
      <c r="AC33" s="238"/>
    </row>
    <row r="34" ht="18.75" customHeight="1">
      <c r="A34" s="232"/>
      <c r="B34" s="192"/>
      <c r="C34" s="193"/>
      <c r="D34" s="192"/>
      <c r="E34" s="192"/>
      <c r="F34" s="237"/>
      <c r="G34" s="237"/>
      <c r="H34" s="237"/>
      <c r="I34" s="192"/>
      <c r="J34" s="234"/>
      <c r="K34" s="234"/>
      <c r="L34" s="234"/>
      <c r="M34" s="234"/>
      <c r="N34" s="197"/>
      <c r="O34" s="193"/>
      <c r="P34" s="197"/>
      <c r="Q34" s="238"/>
      <c r="R34" s="238"/>
      <c r="S34" s="192"/>
      <c r="T34" s="238"/>
      <c r="U34" s="192"/>
      <c r="V34" s="192"/>
      <c r="W34" s="192"/>
      <c r="X34" s="192"/>
      <c r="Y34" s="192"/>
      <c r="Z34" s="238"/>
      <c r="AA34" s="237"/>
      <c r="AB34" s="238"/>
      <c r="AC34" s="238"/>
    </row>
    <row r="35" ht="18.75" customHeight="1">
      <c r="A35" s="232"/>
      <c r="B35" s="192"/>
      <c r="C35" s="193"/>
      <c r="D35" s="192"/>
      <c r="E35" s="192"/>
      <c r="F35" s="237"/>
      <c r="G35" s="237"/>
      <c r="H35" s="237"/>
      <c r="I35" s="192"/>
      <c r="J35" s="234"/>
      <c r="K35" s="234"/>
      <c r="L35" s="234"/>
      <c r="M35" s="234"/>
      <c r="N35" s="197"/>
      <c r="O35" s="193"/>
      <c r="P35" s="197"/>
      <c r="Q35" s="238"/>
      <c r="R35" s="238"/>
      <c r="S35" s="192"/>
      <c r="T35" s="238"/>
      <c r="U35" s="192"/>
      <c r="V35" s="192"/>
      <c r="W35" s="192"/>
      <c r="X35" s="192"/>
      <c r="Y35" s="192"/>
      <c r="Z35" s="238"/>
      <c r="AA35" s="237"/>
      <c r="AB35" s="238"/>
      <c r="AC35" s="238"/>
    </row>
    <row r="36" ht="18.75" customHeight="1">
      <c r="A36" s="232"/>
      <c r="B36" s="192"/>
      <c r="C36" s="193"/>
      <c r="D36" s="192"/>
      <c r="E36" s="192"/>
      <c r="F36" s="237"/>
      <c r="G36" s="237"/>
      <c r="H36" s="237"/>
      <c r="I36" s="192"/>
      <c r="J36" s="234"/>
      <c r="K36" s="234"/>
      <c r="L36" s="234"/>
      <c r="M36" s="234"/>
      <c r="N36" s="197"/>
      <c r="O36" s="193"/>
      <c r="P36" s="197"/>
      <c r="Q36" s="238"/>
      <c r="R36" s="238"/>
      <c r="S36" s="192"/>
      <c r="T36" s="238"/>
      <c r="U36" s="192"/>
      <c r="V36" s="192"/>
      <c r="W36" s="192"/>
      <c r="X36" s="192"/>
      <c r="Y36" s="192"/>
      <c r="Z36" s="238"/>
      <c r="AA36" s="237"/>
      <c r="AB36" s="238"/>
      <c r="AC36" s="238"/>
    </row>
    <row r="37" ht="18.75" customHeight="1">
      <c r="A37" s="232"/>
      <c r="B37" s="192"/>
      <c r="C37" s="193"/>
      <c r="D37" s="192"/>
      <c r="E37" s="192"/>
      <c r="F37" s="237"/>
      <c r="G37" s="237"/>
      <c r="H37" s="237"/>
      <c r="I37" s="192"/>
      <c r="J37" s="234"/>
      <c r="K37" s="234"/>
      <c r="L37" s="234"/>
      <c r="M37" s="234"/>
      <c r="N37" s="197"/>
      <c r="O37" s="193"/>
      <c r="P37" s="197"/>
      <c r="Q37" s="238"/>
      <c r="R37" s="238"/>
      <c r="S37" s="192"/>
      <c r="T37" s="238"/>
      <c r="U37" s="192"/>
      <c r="V37" s="192"/>
      <c r="W37" s="192"/>
      <c r="X37" s="192"/>
      <c r="Y37" s="192"/>
      <c r="Z37" s="238"/>
      <c r="AA37" s="237"/>
      <c r="AB37" s="238"/>
      <c r="AC37" s="238"/>
    </row>
    <row r="38" ht="18.75" customHeight="1">
      <c r="A38" s="232"/>
      <c r="B38" s="192"/>
      <c r="C38" s="193"/>
      <c r="D38" s="192"/>
      <c r="E38" s="192"/>
      <c r="F38" s="237"/>
      <c r="G38" s="237"/>
      <c r="H38" s="237"/>
      <c r="I38" s="192"/>
      <c r="J38" s="234"/>
      <c r="K38" s="234"/>
      <c r="L38" s="234"/>
      <c r="M38" s="234"/>
      <c r="N38" s="197"/>
      <c r="O38" s="193"/>
      <c r="P38" s="197"/>
      <c r="Q38" s="238"/>
      <c r="R38" s="238"/>
      <c r="S38" s="192"/>
      <c r="T38" s="238"/>
      <c r="U38" s="192"/>
      <c r="V38" s="192"/>
      <c r="W38" s="192"/>
      <c r="X38" s="192"/>
      <c r="Y38" s="192"/>
      <c r="Z38" s="238"/>
      <c r="AA38" s="237"/>
      <c r="AB38" s="238"/>
      <c r="AC38" s="238"/>
    </row>
    <row r="39" ht="18.75" customHeight="1">
      <c r="A39" s="232"/>
      <c r="B39" s="192"/>
      <c r="C39" s="193"/>
      <c r="D39" s="192"/>
      <c r="E39" s="192"/>
      <c r="F39" s="237"/>
      <c r="G39" s="237"/>
      <c r="H39" s="237"/>
      <c r="I39" s="192"/>
      <c r="J39" s="234"/>
      <c r="K39" s="234"/>
      <c r="L39" s="234"/>
      <c r="M39" s="234"/>
      <c r="N39" s="197"/>
      <c r="O39" s="193"/>
      <c r="P39" s="197"/>
      <c r="Q39" s="238"/>
      <c r="R39" s="238"/>
      <c r="S39" s="192"/>
      <c r="T39" s="238"/>
      <c r="U39" s="192"/>
      <c r="V39" s="192"/>
      <c r="W39" s="192"/>
      <c r="X39" s="192"/>
      <c r="Y39" s="192"/>
      <c r="Z39" s="238"/>
      <c r="AA39" s="237"/>
      <c r="AB39" s="238"/>
      <c r="AC39" s="238"/>
    </row>
    <row r="40" ht="18.75" customHeight="1">
      <c r="A40" s="232"/>
      <c r="B40" s="192"/>
      <c r="C40" s="193"/>
      <c r="D40" s="192"/>
      <c r="E40" s="192"/>
      <c r="F40" s="237"/>
      <c r="G40" s="237"/>
      <c r="H40" s="237"/>
      <c r="I40" s="192"/>
      <c r="J40" s="234"/>
      <c r="K40" s="234"/>
      <c r="L40" s="234"/>
      <c r="M40" s="234"/>
      <c r="N40" s="197"/>
      <c r="O40" s="193"/>
      <c r="P40" s="197"/>
      <c r="Q40" s="238"/>
      <c r="R40" s="238"/>
      <c r="S40" s="192"/>
      <c r="T40" s="238"/>
      <c r="U40" s="192"/>
      <c r="V40" s="192"/>
      <c r="W40" s="192"/>
      <c r="X40" s="192"/>
      <c r="Y40" s="192"/>
      <c r="Z40" s="238"/>
      <c r="AA40" s="237"/>
      <c r="AB40" s="238"/>
      <c r="AC40" s="238"/>
    </row>
    <row r="41" ht="18.75" customHeight="1">
      <c r="A41" s="232"/>
      <c r="B41" s="192"/>
      <c r="C41" s="193"/>
      <c r="D41" s="192"/>
      <c r="E41" s="192"/>
      <c r="F41" s="237"/>
      <c r="G41" s="237"/>
      <c r="H41" s="237"/>
      <c r="I41" s="192"/>
      <c r="J41" s="234"/>
      <c r="K41" s="234"/>
      <c r="L41" s="234"/>
      <c r="M41" s="234"/>
      <c r="N41" s="197"/>
      <c r="O41" s="193"/>
      <c r="P41" s="197"/>
      <c r="Q41" s="238"/>
      <c r="R41" s="238"/>
      <c r="S41" s="192"/>
      <c r="T41" s="238"/>
      <c r="U41" s="192"/>
      <c r="V41" s="192"/>
      <c r="W41" s="192"/>
      <c r="X41" s="192"/>
      <c r="Y41" s="192"/>
      <c r="Z41" s="238"/>
      <c r="AA41" s="237"/>
      <c r="AB41" s="238"/>
      <c r="AC41" s="238"/>
    </row>
    <row r="42" ht="18.75" customHeight="1">
      <c r="A42" s="232"/>
      <c r="B42" s="192"/>
      <c r="C42" s="193"/>
      <c r="D42" s="192"/>
      <c r="E42" s="192"/>
      <c r="F42" s="237"/>
      <c r="G42" s="237"/>
      <c r="H42" s="237"/>
      <c r="I42" s="192"/>
      <c r="J42" s="234"/>
      <c r="K42" s="234"/>
      <c r="L42" s="234"/>
      <c r="M42" s="234"/>
      <c r="N42" s="197"/>
      <c r="O42" s="193"/>
      <c r="P42" s="197"/>
      <c r="Q42" s="238"/>
      <c r="R42" s="238"/>
      <c r="S42" s="192"/>
      <c r="T42" s="238"/>
      <c r="U42" s="192"/>
      <c r="V42" s="192"/>
      <c r="W42" s="192"/>
      <c r="X42" s="192"/>
      <c r="Y42" s="192"/>
      <c r="Z42" s="238"/>
      <c r="AA42" s="237"/>
      <c r="AB42" s="238"/>
      <c r="AC42" s="238"/>
    </row>
    <row r="43" ht="18.75" customHeight="1">
      <c r="A43" s="232"/>
      <c r="B43" s="192"/>
      <c r="C43" s="193"/>
      <c r="D43" s="192"/>
      <c r="E43" s="192"/>
      <c r="F43" s="237"/>
      <c r="G43" s="237"/>
      <c r="H43" s="237"/>
      <c r="I43" s="192"/>
      <c r="J43" s="234"/>
      <c r="K43" s="234"/>
      <c r="L43" s="234"/>
      <c r="M43" s="234"/>
      <c r="N43" s="197"/>
      <c r="O43" s="193"/>
      <c r="P43" s="197"/>
      <c r="Q43" s="238"/>
      <c r="R43" s="238"/>
      <c r="S43" s="240"/>
      <c r="T43" s="238"/>
      <c r="U43" s="240"/>
      <c r="V43" s="240"/>
      <c r="W43" s="240"/>
      <c r="X43" s="240"/>
      <c r="Y43" s="240"/>
      <c r="Z43" s="238"/>
      <c r="AA43" s="237"/>
      <c r="AB43" s="238"/>
      <c r="AC43" s="238"/>
    </row>
    <row r="44" ht="18.75" customHeight="1">
      <c r="A44" s="232"/>
      <c r="B44" s="192"/>
      <c r="C44" s="193"/>
      <c r="D44" s="192"/>
      <c r="E44" s="192"/>
      <c r="F44" s="237"/>
      <c r="G44" s="237"/>
      <c r="H44" s="237"/>
      <c r="I44" s="192"/>
      <c r="J44" s="234"/>
      <c r="K44" s="234"/>
      <c r="L44" s="234"/>
      <c r="M44" s="234"/>
      <c r="N44" s="197"/>
      <c r="O44" s="193"/>
      <c r="P44" s="197"/>
      <c r="Q44" s="238"/>
      <c r="R44" s="238"/>
      <c r="S44" s="192"/>
      <c r="T44" s="238"/>
      <c r="U44" s="192"/>
      <c r="V44" s="192"/>
      <c r="W44" s="192"/>
      <c r="X44" s="192"/>
      <c r="Y44" s="192"/>
      <c r="Z44" s="238"/>
      <c r="AA44" s="237"/>
      <c r="AB44" s="238"/>
      <c r="AC44" s="238"/>
    </row>
    <row r="45" ht="18.75" customHeight="1">
      <c r="A45" s="232"/>
      <c r="B45" s="192"/>
      <c r="C45" s="193"/>
      <c r="D45" s="192"/>
      <c r="E45" s="192"/>
      <c r="F45" s="237"/>
      <c r="G45" s="237"/>
      <c r="H45" s="237"/>
      <c r="I45" s="192"/>
      <c r="J45" s="234"/>
      <c r="K45" s="234"/>
      <c r="L45" s="234"/>
      <c r="M45" s="234"/>
      <c r="N45" s="197"/>
      <c r="O45" s="193"/>
      <c r="P45" s="197"/>
      <c r="Q45" s="238"/>
      <c r="R45" s="238"/>
      <c r="S45" s="240"/>
      <c r="T45" s="238"/>
      <c r="U45" s="240"/>
      <c r="V45" s="240"/>
      <c r="W45" s="240"/>
      <c r="X45" s="240"/>
      <c r="Y45" s="240"/>
      <c r="Z45" s="238"/>
      <c r="AA45" s="237"/>
      <c r="AB45" s="238"/>
      <c r="AC45" s="238"/>
    </row>
    <row r="46" ht="18.75" customHeight="1">
      <c r="A46" s="232"/>
      <c r="B46" s="192"/>
      <c r="C46" s="193"/>
      <c r="D46" s="192"/>
      <c r="E46" s="192"/>
      <c r="F46" s="237"/>
      <c r="G46" s="237"/>
      <c r="H46" s="237"/>
      <c r="I46" s="192"/>
      <c r="J46" s="234"/>
      <c r="K46" s="234"/>
      <c r="L46" s="234"/>
      <c r="M46" s="234"/>
      <c r="N46" s="197"/>
      <c r="O46" s="193"/>
      <c r="P46" s="197"/>
      <c r="Q46" s="238"/>
      <c r="R46" s="238"/>
      <c r="S46" s="192"/>
      <c r="T46" s="238"/>
      <c r="U46" s="192"/>
      <c r="V46" s="192"/>
      <c r="W46" s="192"/>
      <c r="X46" s="192"/>
      <c r="Y46" s="192"/>
      <c r="Z46" s="238"/>
      <c r="AA46" s="237"/>
      <c r="AB46" s="238"/>
      <c r="AC46" s="238"/>
    </row>
    <row r="47" ht="18.75" customHeight="1">
      <c r="A47" s="232"/>
      <c r="B47" s="192"/>
      <c r="C47" s="193"/>
      <c r="D47" s="192"/>
      <c r="E47" s="192"/>
      <c r="F47" s="237"/>
      <c r="G47" s="237"/>
      <c r="H47" s="237"/>
      <c r="I47" s="192"/>
      <c r="J47" s="234"/>
      <c r="K47" s="234"/>
      <c r="L47" s="234"/>
      <c r="M47" s="234"/>
      <c r="N47" s="197"/>
      <c r="O47" s="193"/>
      <c r="P47" s="197"/>
      <c r="Q47" s="238"/>
      <c r="R47" s="238"/>
      <c r="S47" s="192"/>
      <c r="T47" s="238"/>
      <c r="U47" s="192"/>
      <c r="V47" s="192"/>
      <c r="W47" s="192"/>
      <c r="X47" s="192"/>
      <c r="Y47" s="192"/>
      <c r="Z47" s="238"/>
      <c r="AA47" s="237"/>
      <c r="AB47" s="238"/>
      <c r="AC47" s="238"/>
    </row>
    <row r="48" ht="18.75" customHeight="1">
      <c r="A48" s="232"/>
      <c r="B48" s="192"/>
      <c r="C48" s="193"/>
      <c r="D48" s="192"/>
      <c r="E48" s="192"/>
      <c r="F48" s="237"/>
      <c r="G48" s="237"/>
      <c r="H48" s="237"/>
      <c r="I48" s="192"/>
      <c r="J48" s="234"/>
      <c r="K48" s="234"/>
      <c r="L48" s="234"/>
      <c r="M48" s="234"/>
      <c r="N48" s="197"/>
      <c r="O48" s="193"/>
      <c r="P48" s="197"/>
      <c r="Q48" s="238"/>
      <c r="R48" s="238"/>
      <c r="S48" s="192"/>
      <c r="T48" s="238"/>
      <c r="U48" s="192"/>
      <c r="V48" s="192"/>
      <c r="W48" s="192"/>
      <c r="X48" s="192"/>
      <c r="Y48" s="192"/>
      <c r="Z48" s="238"/>
      <c r="AA48" s="237"/>
      <c r="AB48" s="238"/>
      <c r="AC48" s="238"/>
    </row>
    <row r="49" ht="18.75" customHeight="1">
      <c r="A49" s="232"/>
      <c r="B49" s="192"/>
      <c r="C49" s="193"/>
      <c r="D49" s="192"/>
      <c r="E49" s="192"/>
      <c r="F49" s="237"/>
      <c r="G49" s="237"/>
      <c r="H49" s="237"/>
      <c r="I49" s="192"/>
      <c r="J49" s="234"/>
      <c r="K49" s="234"/>
      <c r="L49" s="234"/>
      <c r="M49" s="234"/>
      <c r="N49" s="197"/>
      <c r="O49" s="193"/>
      <c r="P49" s="197"/>
      <c r="Q49" s="238"/>
      <c r="R49" s="238"/>
      <c r="S49" s="192"/>
      <c r="T49" s="238"/>
      <c r="U49" s="192"/>
      <c r="V49" s="192"/>
      <c r="W49" s="192"/>
      <c r="X49" s="192"/>
      <c r="Y49" s="192"/>
      <c r="Z49" s="238"/>
      <c r="AA49" s="237"/>
      <c r="AB49" s="238"/>
      <c r="AC49" s="238"/>
    </row>
    <row r="50" ht="18.75" customHeight="1">
      <c r="A50" s="232"/>
      <c r="B50" s="192"/>
      <c r="C50" s="193"/>
      <c r="D50" s="192"/>
      <c r="E50" s="192"/>
      <c r="F50" s="237"/>
      <c r="G50" s="237"/>
      <c r="H50" s="237"/>
      <c r="I50" s="192"/>
      <c r="J50" s="234"/>
      <c r="K50" s="234"/>
      <c r="L50" s="234"/>
      <c r="M50" s="234"/>
      <c r="N50" s="197"/>
      <c r="O50" s="193"/>
      <c r="P50" s="197"/>
      <c r="Q50" s="238"/>
      <c r="R50" s="238"/>
      <c r="S50" s="192"/>
      <c r="T50" s="238"/>
      <c r="U50" s="192"/>
      <c r="V50" s="192"/>
      <c r="W50" s="192"/>
      <c r="X50" s="192"/>
      <c r="Y50" s="192"/>
      <c r="Z50" s="238"/>
      <c r="AA50" s="237"/>
      <c r="AB50" s="238"/>
      <c r="AC50" s="238"/>
    </row>
    <row r="51" ht="18.75" customHeight="1">
      <c r="A51" s="232"/>
      <c r="B51" s="192"/>
      <c r="C51" s="193"/>
      <c r="D51" s="192"/>
      <c r="E51" s="192"/>
      <c r="F51" s="237"/>
      <c r="G51" s="237"/>
      <c r="H51" s="237"/>
      <c r="I51" s="192"/>
      <c r="J51" s="234"/>
      <c r="K51" s="234"/>
      <c r="L51" s="234"/>
      <c r="M51" s="234"/>
      <c r="N51" s="197"/>
      <c r="O51" s="193"/>
      <c r="P51" s="197"/>
      <c r="Q51" s="238"/>
      <c r="R51" s="238"/>
      <c r="S51" s="192"/>
      <c r="T51" s="238"/>
      <c r="U51" s="192"/>
      <c r="V51" s="192"/>
      <c r="W51" s="192"/>
      <c r="X51" s="192"/>
      <c r="Y51" s="192"/>
      <c r="Z51" s="238"/>
      <c r="AA51" s="237"/>
      <c r="AB51" s="238"/>
      <c r="AC51" s="238"/>
    </row>
    <row r="52" ht="18.75" customHeight="1">
      <c r="A52" s="232"/>
      <c r="B52" s="192"/>
      <c r="C52" s="193"/>
      <c r="D52" s="192"/>
      <c r="E52" s="192"/>
      <c r="F52" s="237"/>
      <c r="G52" s="237"/>
      <c r="H52" s="237"/>
      <c r="I52" s="192"/>
      <c r="J52" s="234"/>
      <c r="K52" s="234"/>
      <c r="L52" s="234"/>
      <c r="M52" s="234"/>
      <c r="N52" s="197"/>
      <c r="O52" s="193"/>
      <c r="P52" s="197"/>
      <c r="Q52" s="238"/>
      <c r="R52" s="238"/>
      <c r="S52" s="192"/>
      <c r="T52" s="238"/>
      <c r="U52" s="192"/>
      <c r="V52" s="192"/>
      <c r="W52" s="192"/>
      <c r="X52" s="192"/>
      <c r="Y52" s="192"/>
      <c r="Z52" s="238"/>
      <c r="AA52" s="237"/>
      <c r="AB52" s="238"/>
      <c r="AC52" s="238"/>
    </row>
    <row r="53" ht="18.75" customHeight="1">
      <c r="A53" s="232"/>
      <c r="B53" s="192"/>
      <c r="C53" s="193"/>
      <c r="D53" s="192"/>
      <c r="E53" s="192"/>
      <c r="F53" s="237"/>
      <c r="G53" s="237"/>
      <c r="H53" s="237"/>
      <c r="I53" s="192"/>
      <c r="J53" s="234"/>
      <c r="K53" s="234"/>
      <c r="L53" s="234"/>
      <c r="M53" s="234"/>
      <c r="N53" s="197"/>
      <c r="O53" s="193"/>
      <c r="P53" s="197"/>
      <c r="Q53" s="238"/>
      <c r="R53" s="238"/>
      <c r="S53" s="192"/>
      <c r="T53" s="238"/>
      <c r="U53" s="192"/>
      <c r="V53" s="192"/>
      <c r="W53" s="192"/>
      <c r="X53" s="192"/>
      <c r="Y53" s="192"/>
      <c r="Z53" s="238"/>
      <c r="AA53" s="237"/>
      <c r="AB53" s="238"/>
      <c r="AC53" s="238"/>
    </row>
    <row r="54" ht="18.75" customHeight="1">
      <c r="A54" s="232"/>
      <c r="B54" s="192"/>
      <c r="C54" s="193"/>
      <c r="D54" s="192"/>
      <c r="E54" s="192"/>
      <c r="F54" s="237"/>
      <c r="G54" s="237"/>
      <c r="H54" s="237"/>
      <c r="I54" s="192"/>
      <c r="J54" s="234"/>
      <c r="K54" s="234"/>
      <c r="L54" s="234"/>
      <c r="M54" s="234"/>
      <c r="N54" s="197"/>
      <c r="O54" s="193"/>
      <c r="P54" s="197"/>
      <c r="Q54" s="238"/>
      <c r="R54" s="238"/>
      <c r="S54" s="192"/>
      <c r="T54" s="238"/>
      <c r="U54" s="192"/>
      <c r="V54" s="192"/>
      <c r="W54" s="192"/>
      <c r="X54" s="192"/>
      <c r="Y54" s="192"/>
      <c r="Z54" s="238"/>
      <c r="AA54" s="237"/>
      <c r="AB54" s="238"/>
      <c r="AC54" s="238"/>
    </row>
    <row r="55" ht="18.75" customHeight="1">
      <c r="A55" s="232"/>
      <c r="B55" s="192"/>
      <c r="C55" s="193"/>
      <c r="D55" s="192"/>
      <c r="E55" s="192"/>
      <c r="F55" s="237"/>
      <c r="G55" s="237"/>
      <c r="H55" s="237"/>
      <c r="I55" s="192"/>
      <c r="J55" s="234"/>
      <c r="K55" s="234"/>
      <c r="L55" s="234"/>
      <c r="M55" s="234"/>
      <c r="N55" s="197"/>
      <c r="O55" s="193"/>
      <c r="P55" s="197"/>
      <c r="Q55" s="238"/>
      <c r="R55" s="238"/>
      <c r="S55" s="192"/>
      <c r="T55" s="238"/>
      <c r="U55" s="192"/>
      <c r="V55" s="192"/>
      <c r="W55" s="192"/>
      <c r="X55" s="192"/>
      <c r="Y55" s="192"/>
      <c r="Z55" s="238"/>
      <c r="AA55" s="237"/>
      <c r="AB55" s="238"/>
      <c r="AC55" s="238"/>
    </row>
    <row r="56" ht="18.75" customHeight="1">
      <c r="A56" s="232"/>
      <c r="B56" s="192"/>
      <c r="C56" s="193"/>
      <c r="D56" s="192"/>
      <c r="E56" s="192"/>
      <c r="F56" s="237"/>
      <c r="G56" s="237"/>
      <c r="H56" s="237"/>
      <c r="I56" s="192"/>
      <c r="J56" s="234"/>
      <c r="K56" s="234"/>
      <c r="L56" s="234"/>
      <c r="M56" s="234"/>
      <c r="N56" s="197"/>
      <c r="O56" s="193"/>
      <c r="P56" s="197"/>
      <c r="Q56" s="238"/>
      <c r="R56" s="238"/>
      <c r="S56" s="192"/>
      <c r="T56" s="238"/>
      <c r="U56" s="192"/>
      <c r="V56" s="192"/>
      <c r="W56" s="192"/>
      <c r="X56" s="192"/>
      <c r="Y56" s="192"/>
      <c r="Z56" s="238"/>
      <c r="AA56" s="237"/>
      <c r="AB56" s="238"/>
      <c r="AC56" s="238"/>
    </row>
    <row r="57" ht="18.75" customHeight="1">
      <c r="A57" s="232"/>
      <c r="B57" s="192"/>
      <c r="C57" s="193"/>
      <c r="D57" s="192"/>
      <c r="E57" s="192"/>
      <c r="F57" s="237"/>
      <c r="G57" s="237"/>
      <c r="H57" s="237"/>
      <c r="I57" s="192"/>
      <c r="J57" s="234"/>
      <c r="K57" s="234"/>
      <c r="L57" s="234"/>
      <c r="M57" s="234"/>
      <c r="N57" s="197"/>
      <c r="O57" s="193"/>
      <c r="P57" s="197"/>
      <c r="Q57" s="238"/>
      <c r="R57" s="238"/>
      <c r="S57" s="192"/>
      <c r="T57" s="238"/>
      <c r="U57" s="192"/>
      <c r="V57" s="192"/>
      <c r="W57" s="192"/>
      <c r="X57" s="192"/>
      <c r="Y57" s="192"/>
      <c r="Z57" s="238"/>
      <c r="AA57" s="237"/>
      <c r="AB57" s="238"/>
      <c r="AC57" s="238"/>
    </row>
    <row r="58" ht="18.75" customHeight="1">
      <c r="A58" s="232"/>
      <c r="B58" s="192"/>
      <c r="C58" s="193"/>
      <c r="D58" s="192"/>
      <c r="E58" s="192"/>
      <c r="F58" s="237"/>
      <c r="G58" s="237"/>
      <c r="H58" s="237"/>
      <c r="I58" s="192"/>
      <c r="J58" s="234"/>
      <c r="K58" s="234"/>
      <c r="L58" s="234"/>
      <c r="M58" s="234"/>
      <c r="N58" s="197"/>
      <c r="O58" s="193"/>
      <c r="P58" s="197"/>
      <c r="Q58" s="238"/>
      <c r="R58" s="238"/>
      <c r="S58" s="192"/>
      <c r="T58" s="238"/>
      <c r="U58" s="192"/>
      <c r="V58" s="192"/>
      <c r="W58" s="192"/>
      <c r="X58" s="192"/>
      <c r="Y58" s="192"/>
      <c r="Z58" s="238"/>
      <c r="AA58" s="237"/>
      <c r="AB58" s="238"/>
      <c r="AC58" s="238"/>
    </row>
    <row r="59" ht="18.75" customHeight="1">
      <c r="A59" s="232"/>
      <c r="B59" s="192"/>
      <c r="C59" s="193"/>
      <c r="D59" s="192"/>
      <c r="E59" s="192"/>
      <c r="F59" s="237"/>
      <c r="G59" s="237"/>
      <c r="H59" s="237"/>
      <c r="I59" s="192"/>
      <c r="J59" s="234"/>
      <c r="K59" s="234"/>
      <c r="L59" s="234"/>
      <c r="M59" s="234"/>
      <c r="N59" s="197"/>
      <c r="O59" s="193"/>
      <c r="P59" s="197"/>
      <c r="Q59" s="238"/>
      <c r="R59" s="238"/>
      <c r="S59" s="192"/>
      <c r="T59" s="238"/>
      <c r="U59" s="192"/>
      <c r="V59" s="192"/>
      <c r="W59" s="192"/>
      <c r="X59" s="192"/>
      <c r="Y59" s="192"/>
      <c r="Z59" s="238"/>
      <c r="AA59" s="237"/>
      <c r="AB59" s="238"/>
      <c r="AC59" s="238"/>
    </row>
    <row r="60" ht="18.75" customHeight="1">
      <c r="A60" s="232"/>
      <c r="B60" s="192"/>
      <c r="C60" s="193"/>
      <c r="D60" s="192"/>
      <c r="E60" s="192"/>
      <c r="F60" s="237"/>
      <c r="G60" s="237"/>
      <c r="H60" s="237"/>
      <c r="I60" s="192"/>
      <c r="J60" s="234"/>
      <c r="K60" s="234"/>
      <c r="L60" s="234"/>
      <c r="M60" s="234"/>
      <c r="N60" s="197"/>
      <c r="O60" s="193"/>
      <c r="P60" s="197"/>
      <c r="Q60" s="238"/>
      <c r="R60" s="238"/>
      <c r="S60" s="192"/>
      <c r="T60" s="238"/>
      <c r="U60" s="192"/>
      <c r="V60" s="192"/>
      <c r="W60" s="192"/>
      <c r="X60" s="192"/>
      <c r="Y60" s="192"/>
      <c r="Z60" s="238"/>
      <c r="AA60" s="237"/>
      <c r="AB60" s="238"/>
      <c r="AC60" s="238"/>
    </row>
    <row r="61" ht="18.75" customHeight="1">
      <c r="A61" s="232"/>
      <c r="B61" s="192"/>
      <c r="C61" s="193"/>
      <c r="D61" s="192"/>
      <c r="E61" s="192"/>
      <c r="F61" s="237"/>
      <c r="G61" s="237"/>
      <c r="H61" s="237"/>
      <c r="I61" s="192"/>
      <c r="J61" s="234"/>
      <c r="K61" s="234"/>
      <c r="L61" s="234"/>
      <c r="M61" s="234"/>
      <c r="N61" s="197"/>
      <c r="O61" s="193"/>
      <c r="P61" s="197"/>
      <c r="Q61" s="238"/>
      <c r="R61" s="238"/>
      <c r="S61" s="192"/>
      <c r="T61" s="238"/>
      <c r="U61" s="192"/>
      <c r="V61" s="192"/>
      <c r="W61" s="192"/>
      <c r="X61" s="192"/>
      <c r="Y61" s="192"/>
      <c r="Z61" s="238"/>
      <c r="AA61" s="237"/>
      <c r="AB61" s="238"/>
      <c r="AC61" s="238"/>
    </row>
    <row r="62" ht="18.75" customHeight="1">
      <c r="A62" s="232"/>
      <c r="B62" s="192"/>
      <c r="C62" s="193"/>
      <c r="D62" s="192"/>
      <c r="E62" s="192"/>
      <c r="F62" s="237"/>
      <c r="G62" s="237"/>
      <c r="H62" s="237"/>
      <c r="I62" s="192"/>
      <c r="J62" s="234"/>
      <c r="K62" s="234"/>
      <c r="L62" s="234"/>
      <c r="M62" s="234"/>
      <c r="N62" s="197"/>
      <c r="O62" s="193"/>
      <c r="P62" s="197"/>
      <c r="Q62" s="238"/>
      <c r="R62" s="238"/>
      <c r="S62" s="192"/>
      <c r="T62" s="238"/>
      <c r="U62" s="192"/>
      <c r="V62" s="192"/>
      <c r="W62" s="192"/>
      <c r="X62" s="192"/>
      <c r="Y62" s="192"/>
      <c r="Z62" s="238"/>
      <c r="AA62" s="237"/>
      <c r="AB62" s="238"/>
      <c r="AC62" s="238"/>
    </row>
    <row r="63" ht="18.75" customHeight="1">
      <c r="A63" s="232"/>
      <c r="B63" s="192"/>
      <c r="C63" s="193"/>
      <c r="D63" s="192"/>
      <c r="E63" s="192"/>
      <c r="F63" s="237"/>
      <c r="G63" s="237"/>
      <c r="H63" s="237"/>
      <c r="I63" s="192"/>
      <c r="J63" s="234"/>
      <c r="K63" s="234"/>
      <c r="L63" s="234"/>
      <c r="M63" s="234"/>
      <c r="N63" s="197"/>
      <c r="O63" s="193"/>
      <c r="P63" s="197"/>
      <c r="Q63" s="238"/>
      <c r="R63" s="238"/>
      <c r="S63" s="192"/>
      <c r="T63" s="238"/>
      <c r="U63" s="192"/>
      <c r="V63" s="192"/>
      <c r="W63" s="192"/>
      <c r="X63" s="192"/>
      <c r="Y63" s="192"/>
      <c r="Z63" s="238"/>
      <c r="AA63" s="237"/>
      <c r="AB63" s="238"/>
      <c r="AC63" s="238"/>
    </row>
    <row r="64" ht="18.75" customHeight="1">
      <c r="A64" s="232"/>
      <c r="B64" s="192"/>
      <c r="C64" s="193"/>
      <c r="D64" s="192"/>
      <c r="E64" s="192"/>
      <c r="F64" s="237"/>
      <c r="G64" s="237"/>
      <c r="H64" s="237"/>
      <c r="I64" s="192"/>
      <c r="J64" s="234"/>
      <c r="K64" s="234"/>
      <c r="L64" s="234"/>
      <c r="M64" s="234"/>
      <c r="N64" s="197"/>
      <c r="O64" s="193"/>
      <c r="P64" s="197"/>
      <c r="Q64" s="238"/>
      <c r="R64" s="238"/>
      <c r="S64" s="192"/>
      <c r="T64" s="238"/>
      <c r="U64" s="192"/>
      <c r="V64" s="192"/>
      <c r="W64" s="192"/>
      <c r="X64" s="192"/>
      <c r="Y64" s="192"/>
      <c r="Z64" s="238"/>
      <c r="AA64" s="237"/>
      <c r="AB64" s="238"/>
      <c r="AC64" s="238"/>
    </row>
    <row r="65" ht="18.75" customHeight="1">
      <c r="A65" s="232"/>
      <c r="B65" s="192"/>
      <c r="C65" s="193"/>
      <c r="D65" s="192"/>
      <c r="E65" s="192"/>
      <c r="F65" s="237"/>
      <c r="G65" s="237"/>
      <c r="H65" s="237"/>
      <c r="I65" s="192"/>
      <c r="J65" s="234"/>
      <c r="K65" s="234"/>
      <c r="L65" s="234"/>
      <c r="M65" s="234"/>
      <c r="N65" s="197"/>
      <c r="O65" s="193"/>
      <c r="P65" s="197"/>
      <c r="Q65" s="238"/>
      <c r="R65" s="238"/>
      <c r="S65" s="192"/>
      <c r="T65" s="238"/>
      <c r="U65" s="192"/>
      <c r="V65" s="192"/>
      <c r="W65" s="192"/>
      <c r="X65" s="192"/>
      <c r="Y65" s="192"/>
      <c r="Z65" s="238"/>
      <c r="AA65" s="237"/>
      <c r="AB65" s="238"/>
      <c r="AC65" s="238"/>
    </row>
    <row r="66" ht="18.75" customHeight="1">
      <c r="A66" s="232"/>
      <c r="B66" s="192"/>
      <c r="C66" s="193"/>
      <c r="D66" s="192"/>
      <c r="E66" s="192"/>
      <c r="F66" s="237"/>
      <c r="G66" s="237"/>
      <c r="H66" s="237"/>
      <c r="I66" s="192"/>
      <c r="J66" s="234"/>
      <c r="K66" s="234"/>
      <c r="L66" s="234"/>
      <c r="M66" s="234"/>
      <c r="N66" s="197"/>
      <c r="O66" s="193"/>
      <c r="P66" s="197"/>
      <c r="Q66" s="238"/>
      <c r="R66" s="238"/>
      <c r="S66" s="192"/>
      <c r="T66" s="238"/>
      <c r="U66" s="192"/>
      <c r="V66" s="192"/>
      <c r="W66" s="192"/>
      <c r="X66" s="192"/>
      <c r="Y66" s="192"/>
      <c r="Z66" s="238"/>
      <c r="AA66" s="237"/>
      <c r="AB66" s="238"/>
      <c r="AC66" s="238"/>
    </row>
    <row r="67" ht="18.75" customHeight="1">
      <c r="A67" s="232"/>
      <c r="B67" s="192"/>
      <c r="C67" s="193"/>
      <c r="D67" s="237"/>
      <c r="E67" s="237"/>
      <c r="F67" s="237"/>
      <c r="G67" s="237"/>
      <c r="H67" s="237"/>
      <c r="I67" s="192"/>
      <c r="J67" s="234"/>
      <c r="K67" s="234"/>
      <c r="L67" s="234"/>
      <c r="M67" s="234"/>
      <c r="N67" s="201"/>
      <c r="O67" s="193"/>
      <c r="P67" s="201"/>
      <c r="Q67" s="238"/>
      <c r="R67" s="238"/>
      <c r="S67" s="237"/>
      <c r="T67" s="238"/>
      <c r="U67" s="237"/>
      <c r="V67" s="237"/>
      <c r="W67" s="237"/>
      <c r="X67" s="237"/>
      <c r="Y67" s="237"/>
      <c r="Z67" s="238"/>
      <c r="AA67" s="237"/>
      <c r="AB67" s="238"/>
      <c r="AC67" s="238"/>
    </row>
    <row r="68" ht="18.75" customHeight="1">
      <c r="A68" s="232"/>
      <c r="B68" s="192"/>
      <c r="C68" s="193"/>
      <c r="D68" s="237"/>
      <c r="E68" s="237"/>
      <c r="F68" s="237"/>
      <c r="G68" s="237"/>
      <c r="H68" s="237"/>
      <c r="I68" s="192" t="s">
        <v>750</v>
      </c>
      <c r="J68" s="234" t="str">
        <f>IFERROR(__xludf.DUMMYFUNCTION("IF(
  $I68="""",
  """",
  IF(
    COLUMN()-9 &gt;
    (1 + LEN(REGEXEXTRACT($I68,""^[0-9.]+"")) - LEN(SUBSTITUTE(REGEXEXTRACT($I68,""^[0-9.]+""),""."",""""))),
    """",
    INDEX(
      BEC_openBDF!$A:$D,
      MATCH(
        $I68,
        INDEX(
         "&amp;" BEC_openBDF!$A:$D,
          0,
          (1 + LEN(REGEXEXTRACT($I68,""^[0-9.]+"")) - LEN(SUBSTITUTE(REGEXEXTRACT($I68,""^[0-9.]+""),""."","""")))
        ),
        0
      ),
      COLUMN()-9
    )
  )
)"),"..")</f>
        <v>..</v>
      </c>
      <c r="K68" s="234" t="str">
        <f>IFERROR(__xludf.DUMMYFUNCTION("IF(
  $I68="""",
  """",
  IF(
    COLUMN()-9 &gt;
    (1 + LEN(REGEXEXTRACT($I68,""^[0-9.]+"")) - LEN(SUBSTITUTE(REGEXEXTRACT($I68,""^[0-9.]+""),""."",""""))),
    """",
    INDEX(
      BEC_openBDF!$A:$D,
      MATCH(
        $I68,
        INDEX(
         "&amp;" BEC_openBDF!$A:$D,
          0,
          (1 + LEN(REGEXEXTRACT($I68,""^[0-9.]+"")) - LEN(SUBSTITUTE(REGEXEXTRACT($I68,""^[0-9.]+""),""."","""")))
        ),
        0
      ),
      COLUMN()-9
    )
  )
)"),"..")</f>
        <v>..</v>
      </c>
      <c r="L68" s="234" t="str">
        <f>IFERROR(__xludf.DUMMYFUNCTION("IF(
  $I68="""",
  """",
  IF(
    COLUMN()-9 &gt;
    (1 + LEN(REGEXEXTRACT($I68,""^[0-9.]+"")) - LEN(SUBSTITUTE(REGEXEXTRACT($I68,""^[0-9.]+""),""."",""""))),
    """",
    INDEX(
      BEC_openBDF!$A:$D,
      MATCH(
        $I68,
        INDEX(
         "&amp;" BEC_openBDF!$A:$D,
          0,
          (1 + LEN(REGEXEXTRACT($I68,""^[0-9.]+"")) - LEN(SUBSTITUTE(REGEXEXTRACT($I68,""^[0-9.]+""),""."","""")))
        ),
        0
      ),
      COLUMN()-9
    )
  )
)"),"..")</f>
        <v>..</v>
      </c>
      <c r="M68" s="234" t="str">
        <f>IFERROR(__xludf.DUMMYFUNCTION("IF(
  $I68="""",
  """",
  IF(
    COLUMN()-9 &gt;
    (1 + LEN(REGEXEXTRACT($I68,""^[0-9.]+"")) - LEN(SUBSTITUTE(REGEXEXTRACT($I68,""^[0-9.]+""),""."",""""))),
    """",
    INDEX(
      BEC_openBDF!$A:$D,
      MATCH(
        $I68,
        INDEX(
         "&amp;" BEC_openBDF!$A:$D,
          0,
          (1 + LEN(REGEXEXTRACT($I68,""^[0-9.]+"")) - LEN(SUBSTITUTE(REGEXEXTRACT($I68,""^[0-9.]+""),""."","""")))
        ),
        0
      ),
      COLUMN()-9
    )
  )
)"),"")</f>
        <v/>
      </c>
      <c r="N68" s="201"/>
      <c r="O68" s="193"/>
      <c r="P68" s="201"/>
      <c r="Q68" s="238"/>
      <c r="R68" s="238"/>
      <c r="S68" s="237"/>
      <c r="T68" s="238"/>
      <c r="U68" s="237"/>
      <c r="V68" s="237"/>
      <c r="W68" s="237"/>
      <c r="X68" s="237"/>
      <c r="Y68" s="237"/>
      <c r="Z68" s="238"/>
      <c r="AA68" s="237"/>
      <c r="AB68" s="238"/>
      <c r="AC68" s="238"/>
    </row>
    <row r="69" ht="18.75" customHeight="1">
      <c r="A69" s="232"/>
      <c r="B69" s="192"/>
      <c r="C69" s="193"/>
      <c r="D69" s="237"/>
      <c r="E69" s="237"/>
      <c r="F69" s="237"/>
      <c r="G69" s="237"/>
      <c r="H69" s="237"/>
      <c r="I69" s="192" t="s">
        <v>750</v>
      </c>
      <c r="J69" s="234" t="str">
        <f>IFERROR(__xludf.DUMMYFUNCTION("IF(
  $I69="""",
  """",
  IF(
    COLUMN()-9 &gt;
    (1 + LEN(REGEXEXTRACT($I69,""^[0-9.]+"")) - LEN(SUBSTITUTE(REGEXEXTRACT($I69,""^[0-9.]+""),""."",""""))),
    """",
    INDEX(
      BEC_openBDF!$A:$D,
      MATCH(
        $I69,
        INDEX(
         "&amp;" BEC_openBDF!$A:$D,
          0,
          (1 + LEN(REGEXEXTRACT($I69,""^[0-9.]+"")) - LEN(SUBSTITUTE(REGEXEXTRACT($I69,""^[0-9.]+""),""."","""")))
        ),
        0
      ),
      COLUMN()-9
    )
  )
)"),"..")</f>
        <v>..</v>
      </c>
      <c r="K69" s="234" t="str">
        <f>IFERROR(__xludf.DUMMYFUNCTION("IF(
  $I69="""",
  """",
  IF(
    COLUMN()-9 &gt;
    (1 + LEN(REGEXEXTRACT($I69,""^[0-9.]+"")) - LEN(SUBSTITUTE(REGEXEXTRACT($I69,""^[0-9.]+""),""."",""""))),
    """",
    INDEX(
      BEC_openBDF!$A:$D,
      MATCH(
        $I69,
        INDEX(
         "&amp;" BEC_openBDF!$A:$D,
          0,
          (1 + LEN(REGEXEXTRACT($I69,""^[0-9.]+"")) - LEN(SUBSTITUTE(REGEXEXTRACT($I69,""^[0-9.]+""),""."","""")))
        ),
        0
      ),
      COLUMN()-9
    )
  )
)"),"..")</f>
        <v>..</v>
      </c>
      <c r="L69" s="234" t="str">
        <f>IFERROR(__xludf.DUMMYFUNCTION("IF(
  $I69="""",
  """",
  IF(
    COLUMN()-9 &gt;
    (1 + LEN(REGEXEXTRACT($I69,""^[0-9.]+"")) - LEN(SUBSTITUTE(REGEXEXTRACT($I69,""^[0-9.]+""),""."",""""))),
    """",
    INDEX(
      BEC_openBDF!$A:$D,
      MATCH(
        $I69,
        INDEX(
         "&amp;" BEC_openBDF!$A:$D,
          0,
          (1 + LEN(REGEXEXTRACT($I69,""^[0-9.]+"")) - LEN(SUBSTITUTE(REGEXEXTRACT($I69,""^[0-9.]+""),""."","""")))
        ),
        0
      ),
      COLUMN()-9
    )
  )
)"),"..")</f>
        <v>..</v>
      </c>
      <c r="M69" s="234" t="str">
        <f>IFERROR(__xludf.DUMMYFUNCTION("IF(
  $I69="""",
  """",
  IF(
    COLUMN()-9 &gt;
    (1 + LEN(REGEXEXTRACT($I69,""^[0-9.]+"")) - LEN(SUBSTITUTE(REGEXEXTRACT($I69,""^[0-9.]+""),""."",""""))),
    """",
    INDEX(
      BEC_openBDF!$A:$D,
      MATCH(
        $I69,
        INDEX(
         "&amp;" BEC_openBDF!$A:$D,
          0,
          (1 + LEN(REGEXEXTRACT($I69,""^[0-9.]+"")) - LEN(SUBSTITUTE(REGEXEXTRACT($I69,""^[0-9.]+""),""."","""")))
        ),
        0
      ),
      COLUMN()-9
    )
  )
)"),"")</f>
        <v/>
      </c>
      <c r="N69" s="201"/>
      <c r="O69" s="193"/>
      <c r="P69" s="201"/>
      <c r="Q69" s="238"/>
      <c r="R69" s="238"/>
      <c r="S69" s="237"/>
      <c r="T69" s="238"/>
      <c r="U69" s="237"/>
      <c r="V69" s="237"/>
      <c r="W69" s="237"/>
      <c r="X69" s="237"/>
      <c r="Y69" s="237"/>
      <c r="Z69" s="238"/>
      <c r="AA69" s="237"/>
      <c r="AB69" s="238"/>
      <c r="AC69" s="238"/>
    </row>
    <row r="70" ht="18.75" customHeight="1">
      <c r="A70" s="232"/>
      <c r="B70" s="192"/>
      <c r="C70" s="193"/>
      <c r="D70" s="237"/>
      <c r="E70" s="237"/>
      <c r="F70" s="237"/>
      <c r="G70" s="237"/>
      <c r="H70" s="237"/>
      <c r="I70" s="192" t="s">
        <v>750</v>
      </c>
      <c r="J70" s="234" t="str">
        <f>IFERROR(__xludf.DUMMYFUNCTION("IF(
  $I70="""",
  """",
  IF(
    COLUMN()-9 &gt;
    (1 + LEN(REGEXEXTRACT($I70,""^[0-9.]+"")) - LEN(SUBSTITUTE(REGEXEXTRACT($I70,""^[0-9.]+""),""."",""""))),
    """",
    INDEX(
      BEC_openBDF!$A:$D,
      MATCH(
        $I70,
        INDEX(
         "&amp;" BEC_openBDF!$A:$D,
          0,
          (1 + LEN(REGEXEXTRACT($I70,""^[0-9.]+"")) - LEN(SUBSTITUTE(REGEXEXTRACT($I70,""^[0-9.]+""),""."","""")))
        ),
        0
      ),
      COLUMN()-9
    )
  )
)"),"..")</f>
        <v>..</v>
      </c>
      <c r="K70" s="234" t="str">
        <f>IFERROR(__xludf.DUMMYFUNCTION("IF(
  $I70="""",
  """",
  IF(
    COLUMN()-9 &gt;
    (1 + LEN(REGEXEXTRACT($I70,""^[0-9.]+"")) - LEN(SUBSTITUTE(REGEXEXTRACT($I70,""^[0-9.]+""),""."",""""))),
    """",
    INDEX(
      BEC_openBDF!$A:$D,
      MATCH(
        $I70,
        INDEX(
         "&amp;" BEC_openBDF!$A:$D,
          0,
          (1 + LEN(REGEXEXTRACT($I70,""^[0-9.]+"")) - LEN(SUBSTITUTE(REGEXEXTRACT($I70,""^[0-9.]+""),""."","""")))
        ),
        0
      ),
      COLUMN()-9
    )
  )
)"),"..")</f>
        <v>..</v>
      </c>
      <c r="L70" s="234" t="str">
        <f>IFERROR(__xludf.DUMMYFUNCTION("IF(
  $I70="""",
  """",
  IF(
    COLUMN()-9 &gt;
    (1 + LEN(REGEXEXTRACT($I70,""^[0-9.]+"")) - LEN(SUBSTITUTE(REGEXEXTRACT($I70,""^[0-9.]+""),""."",""""))),
    """",
    INDEX(
      BEC_openBDF!$A:$D,
      MATCH(
        $I70,
        INDEX(
         "&amp;" BEC_openBDF!$A:$D,
          0,
          (1 + LEN(REGEXEXTRACT($I70,""^[0-9.]+"")) - LEN(SUBSTITUTE(REGEXEXTRACT($I70,""^[0-9.]+""),""."","""")))
        ),
        0
      ),
      COLUMN()-9
    )
  )
)"),"..")</f>
        <v>..</v>
      </c>
      <c r="M70" s="234" t="str">
        <f>IFERROR(__xludf.DUMMYFUNCTION("IF(
  $I70="""",
  """",
  IF(
    COLUMN()-9 &gt;
    (1 + LEN(REGEXEXTRACT($I70,""^[0-9.]+"")) - LEN(SUBSTITUTE(REGEXEXTRACT($I70,""^[0-9.]+""),""."",""""))),
    """",
    INDEX(
      BEC_openBDF!$A:$D,
      MATCH(
        $I70,
        INDEX(
         "&amp;" BEC_openBDF!$A:$D,
          0,
          (1 + LEN(REGEXEXTRACT($I70,""^[0-9.]+"")) - LEN(SUBSTITUTE(REGEXEXTRACT($I70,""^[0-9.]+""),""."","""")))
        ),
        0
      ),
      COLUMN()-9
    )
  )
)"),"")</f>
        <v/>
      </c>
      <c r="N70" s="201"/>
      <c r="O70" s="193"/>
      <c r="P70" s="201"/>
      <c r="Q70" s="238"/>
      <c r="R70" s="238"/>
      <c r="S70" s="237"/>
      <c r="T70" s="238"/>
      <c r="U70" s="237"/>
      <c r="V70" s="237"/>
      <c r="W70" s="237"/>
      <c r="X70" s="237"/>
      <c r="Y70" s="237"/>
      <c r="Z70" s="238"/>
      <c r="AA70" s="237"/>
      <c r="AB70" s="238"/>
      <c r="AC70" s="238"/>
    </row>
    <row r="71" ht="18.75" customHeight="1">
      <c r="A71" s="232"/>
      <c r="B71" s="192"/>
      <c r="C71" s="193"/>
      <c r="D71" s="237"/>
      <c r="E71" s="237"/>
      <c r="F71" s="237"/>
      <c r="G71" s="237"/>
      <c r="H71" s="237"/>
      <c r="I71" s="192" t="s">
        <v>750</v>
      </c>
      <c r="J71" s="234" t="str">
        <f>IFERROR(__xludf.DUMMYFUNCTION("IF(
  $I71="""",
  """",
  IF(
    COLUMN()-9 &gt;
    (1 + LEN(REGEXEXTRACT($I71,""^[0-9.]+"")) - LEN(SUBSTITUTE(REGEXEXTRACT($I71,""^[0-9.]+""),""."",""""))),
    """",
    INDEX(
      BEC_openBDF!$A:$D,
      MATCH(
        $I71,
        INDEX(
         "&amp;" BEC_openBDF!$A:$D,
          0,
          (1 + LEN(REGEXEXTRACT($I71,""^[0-9.]+"")) - LEN(SUBSTITUTE(REGEXEXTRACT($I71,""^[0-9.]+""),""."","""")))
        ),
        0
      ),
      COLUMN()-9
    )
  )
)"),"..")</f>
        <v>..</v>
      </c>
      <c r="K71" s="234" t="str">
        <f>IFERROR(__xludf.DUMMYFUNCTION("IF(
  $I71="""",
  """",
  IF(
    COLUMN()-9 &gt;
    (1 + LEN(REGEXEXTRACT($I71,""^[0-9.]+"")) - LEN(SUBSTITUTE(REGEXEXTRACT($I71,""^[0-9.]+""),""."",""""))),
    """",
    INDEX(
      BEC_openBDF!$A:$D,
      MATCH(
        $I71,
        INDEX(
         "&amp;" BEC_openBDF!$A:$D,
          0,
          (1 + LEN(REGEXEXTRACT($I71,""^[0-9.]+"")) - LEN(SUBSTITUTE(REGEXEXTRACT($I71,""^[0-9.]+""),""."","""")))
        ),
        0
      ),
      COLUMN()-9
    )
  )
)"),"..")</f>
        <v>..</v>
      </c>
      <c r="L71" s="234" t="str">
        <f>IFERROR(__xludf.DUMMYFUNCTION("IF(
  $I71="""",
  """",
  IF(
    COLUMN()-9 &gt;
    (1 + LEN(REGEXEXTRACT($I71,""^[0-9.]+"")) - LEN(SUBSTITUTE(REGEXEXTRACT($I71,""^[0-9.]+""),""."",""""))),
    """",
    INDEX(
      BEC_openBDF!$A:$D,
      MATCH(
        $I71,
        INDEX(
         "&amp;" BEC_openBDF!$A:$D,
          0,
          (1 + LEN(REGEXEXTRACT($I71,""^[0-9.]+"")) - LEN(SUBSTITUTE(REGEXEXTRACT($I71,""^[0-9.]+""),""."","""")))
        ),
        0
      ),
      COLUMN()-9
    )
  )
)"),"..")</f>
        <v>..</v>
      </c>
      <c r="M71" s="234" t="str">
        <f>IFERROR(__xludf.DUMMYFUNCTION("IF(
  $I71="""",
  """",
  IF(
    COLUMN()-9 &gt;
    (1 + LEN(REGEXEXTRACT($I71,""^[0-9.]+"")) - LEN(SUBSTITUTE(REGEXEXTRACT($I71,""^[0-9.]+""),""."",""""))),
    """",
    INDEX(
      BEC_openBDF!$A:$D,
      MATCH(
        $I71,
        INDEX(
         "&amp;" BEC_openBDF!$A:$D,
          0,
          (1 + LEN(REGEXEXTRACT($I71,""^[0-9.]+"")) - LEN(SUBSTITUTE(REGEXEXTRACT($I71,""^[0-9.]+""),""."","""")))
        ),
        0
      ),
      COLUMN()-9
    )
  )
)"),"")</f>
        <v/>
      </c>
      <c r="N71" s="201"/>
      <c r="O71" s="193"/>
      <c r="P71" s="201"/>
      <c r="Q71" s="238"/>
      <c r="R71" s="238"/>
      <c r="S71" s="237"/>
      <c r="T71" s="238"/>
      <c r="U71" s="237"/>
      <c r="V71" s="237"/>
      <c r="W71" s="237"/>
      <c r="X71" s="237"/>
      <c r="Y71" s="237"/>
      <c r="Z71" s="238"/>
      <c r="AA71" s="237"/>
      <c r="AB71" s="238"/>
      <c r="AC71" s="238"/>
    </row>
    <row r="72" ht="18.75" customHeight="1">
      <c r="A72" s="232"/>
      <c r="B72" s="192"/>
      <c r="C72" s="193"/>
      <c r="D72" s="237"/>
      <c r="E72" s="237"/>
      <c r="F72" s="237"/>
      <c r="G72" s="237"/>
      <c r="H72" s="237"/>
      <c r="I72" s="192" t="s">
        <v>750</v>
      </c>
      <c r="J72" s="234" t="str">
        <f>IFERROR(__xludf.DUMMYFUNCTION("IF(
  $I72="""",
  """",
  IF(
    COLUMN()-9 &gt;
    (1 + LEN(REGEXEXTRACT($I72,""^[0-9.]+"")) - LEN(SUBSTITUTE(REGEXEXTRACT($I72,""^[0-9.]+""),""."",""""))),
    """",
    INDEX(
      BEC_openBDF!$A:$D,
      MATCH(
        $I72,
        INDEX(
         "&amp;" BEC_openBDF!$A:$D,
          0,
          (1 + LEN(REGEXEXTRACT($I72,""^[0-9.]+"")) - LEN(SUBSTITUTE(REGEXEXTRACT($I72,""^[0-9.]+""),""."","""")))
        ),
        0
      ),
      COLUMN()-9
    )
  )
)"),"..")</f>
        <v>..</v>
      </c>
      <c r="K72" s="234" t="str">
        <f>IFERROR(__xludf.DUMMYFUNCTION("IF(
  $I72="""",
  """",
  IF(
    COLUMN()-9 &gt;
    (1 + LEN(REGEXEXTRACT($I72,""^[0-9.]+"")) - LEN(SUBSTITUTE(REGEXEXTRACT($I72,""^[0-9.]+""),""."",""""))),
    """",
    INDEX(
      BEC_openBDF!$A:$D,
      MATCH(
        $I72,
        INDEX(
         "&amp;" BEC_openBDF!$A:$D,
          0,
          (1 + LEN(REGEXEXTRACT($I72,""^[0-9.]+"")) - LEN(SUBSTITUTE(REGEXEXTRACT($I72,""^[0-9.]+""),""."","""")))
        ),
        0
      ),
      COLUMN()-9
    )
  )
)"),"..")</f>
        <v>..</v>
      </c>
      <c r="L72" s="234" t="str">
        <f>IFERROR(__xludf.DUMMYFUNCTION("IF(
  $I72="""",
  """",
  IF(
    COLUMN()-9 &gt;
    (1 + LEN(REGEXEXTRACT($I72,""^[0-9.]+"")) - LEN(SUBSTITUTE(REGEXEXTRACT($I72,""^[0-9.]+""),""."",""""))),
    """",
    INDEX(
      BEC_openBDF!$A:$D,
      MATCH(
        $I72,
        INDEX(
         "&amp;" BEC_openBDF!$A:$D,
          0,
          (1 + LEN(REGEXEXTRACT($I72,""^[0-9.]+"")) - LEN(SUBSTITUTE(REGEXEXTRACT($I72,""^[0-9.]+""),""."","""")))
        ),
        0
      ),
      COLUMN()-9
    )
  )
)"),"..")</f>
        <v>..</v>
      </c>
      <c r="M72" s="234" t="str">
        <f>IFERROR(__xludf.DUMMYFUNCTION("IF(
  $I72="""",
  """",
  IF(
    COLUMN()-9 &gt;
    (1 + LEN(REGEXEXTRACT($I72,""^[0-9.]+"")) - LEN(SUBSTITUTE(REGEXEXTRACT($I72,""^[0-9.]+""),""."",""""))),
    """",
    INDEX(
      BEC_openBDF!$A:$D,
      MATCH(
        $I72,
        INDEX(
         "&amp;" BEC_openBDF!$A:$D,
          0,
          (1 + LEN(REGEXEXTRACT($I72,""^[0-9.]+"")) - LEN(SUBSTITUTE(REGEXEXTRACT($I72,""^[0-9.]+""),""."","""")))
        ),
        0
      ),
      COLUMN()-9
    )
  )
)"),"")</f>
        <v/>
      </c>
      <c r="N72" s="201"/>
      <c r="O72" s="193"/>
      <c r="P72" s="201"/>
      <c r="Q72" s="238"/>
      <c r="R72" s="238"/>
      <c r="S72" s="237"/>
      <c r="T72" s="238"/>
      <c r="U72" s="237"/>
      <c r="V72" s="237"/>
      <c r="W72" s="237"/>
      <c r="X72" s="237"/>
      <c r="Y72" s="237"/>
      <c r="Z72" s="238"/>
      <c r="AA72" s="237"/>
      <c r="AB72" s="238"/>
      <c r="AC72" s="238"/>
    </row>
    <row r="73" ht="18.75" customHeight="1">
      <c r="A73" s="232"/>
      <c r="B73" s="192"/>
      <c r="C73" s="193"/>
      <c r="D73" s="237"/>
      <c r="E73" s="237"/>
      <c r="F73" s="237"/>
      <c r="G73" s="237"/>
      <c r="H73" s="237"/>
      <c r="I73" s="192" t="s">
        <v>750</v>
      </c>
      <c r="J73" s="234" t="str">
        <f>IFERROR(__xludf.DUMMYFUNCTION("IF(
  $I73="""",
  """",
  IF(
    COLUMN()-9 &gt;
    (1 + LEN(REGEXEXTRACT($I73,""^[0-9.]+"")) - LEN(SUBSTITUTE(REGEXEXTRACT($I73,""^[0-9.]+""),""."",""""))),
    """",
    INDEX(
      BEC_openBDF!$A:$D,
      MATCH(
        $I73,
        INDEX(
         "&amp;" BEC_openBDF!$A:$D,
          0,
          (1 + LEN(REGEXEXTRACT($I73,""^[0-9.]+"")) - LEN(SUBSTITUTE(REGEXEXTRACT($I73,""^[0-9.]+""),""."","""")))
        ),
        0
      ),
      COLUMN()-9
    )
  )
)"),"..")</f>
        <v>..</v>
      </c>
      <c r="K73" s="234" t="str">
        <f>IFERROR(__xludf.DUMMYFUNCTION("IF(
  $I73="""",
  """",
  IF(
    COLUMN()-9 &gt;
    (1 + LEN(REGEXEXTRACT($I73,""^[0-9.]+"")) - LEN(SUBSTITUTE(REGEXEXTRACT($I73,""^[0-9.]+""),""."",""""))),
    """",
    INDEX(
      BEC_openBDF!$A:$D,
      MATCH(
        $I73,
        INDEX(
         "&amp;" BEC_openBDF!$A:$D,
          0,
          (1 + LEN(REGEXEXTRACT($I73,""^[0-9.]+"")) - LEN(SUBSTITUTE(REGEXEXTRACT($I73,""^[0-9.]+""),""."","""")))
        ),
        0
      ),
      COLUMN()-9
    )
  )
)"),"..")</f>
        <v>..</v>
      </c>
      <c r="L73" s="234" t="str">
        <f>IFERROR(__xludf.DUMMYFUNCTION("IF(
  $I73="""",
  """",
  IF(
    COLUMN()-9 &gt;
    (1 + LEN(REGEXEXTRACT($I73,""^[0-9.]+"")) - LEN(SUBSTITUTE(REGEXEXTRACT($I73,""^[0-9.]+""),""."",""""))),
    """",
    INDEX(
      BEC_openBDF!$A:$D,
      MATCH(
        $I73,
        INDEX(
         "&amp;" BEC_openBDF!$A:$D,
          0,
          (1 + LEN(REGEXEXTRACT($I73,""^[0-9.]+"")) - LEN(SUBSTITUTE(REGEXEXTRACT($I73,""^[0-9.]+""),""."","""")))
        ),
        0
      ),
      COLUMN()-9
    )
  )
)"),"..")</f>
        <v>..</v>
      </c>
      <c r="M73" s="234" t="str">
        <f>IFERROR(__xludf.DUMMYFUNCTION("IF(
  $I73="""",
  """",
  IF(
    COLUMN()-9 &gt;
    (1 + LEN(REGEXEXTRACT($I73,""^[0-9.]+"")) - LEN(SUBSTITUTE(REGEXEXTRACT($I73,""^[0-9.]+""),""."",""""))),
    """",
    INDEX(
      BEC_openBDF!$A:$D,
      MATCH(
        $I73,
        INDEX(
         "&amp;" BEC_openBDF!$A:$D,
          0,
          (1 + LEN(REGEXEXTRACT($I73,""^[0-9.]+"")) - LEN(SUBSTITUTE(REGEXEXTRACT($I73,""^[0-9.]+""),""."","""")))
        ),
        0
      ),
      COLUMN()-9
    )
  )
)"),"")</f>
        <v/>
      </c>
      <c r="N73" s="201"/>
      <c r="O73" s="193"/>
      <c r="P73" s="201"/>
      <c r="Q73" s="238"/>
      <c r="R73" s="238"/>
      <c r="S73" s="237"/>
      <c r="T73" s="238"/>
      <c r="U73" s="237"/>
      <c r="V73" s="237"/>
      <c r="W73" s="237"/>
      <c r="X73" s="237"/>
      <c r="Y73" s="237"/>
      <c r="Z73" s="238"/>
      <c r="AA73" s="237"/>
      <c r="AB73" s="238"/>
      <c r="AC73" s="238"/>
    </row>
    <row r="74" ht="18.75" customHeight="1">
      <c r="A74" s="232"/>
      <c r="B74" s="192"/>
      <c r="C74" s="193"/>
      <c r="D74" s="237"/>
      <c r="E74" s="237"/>
      <c r="F74" s="237"/>
      <c r="G74" s="237"/>
      <c r="H74" s="237"/>
      <c r="I74" s="192" t="s">
        <v>750</v>
      </c>
      <c r="J74" s="234" t="str">
        <f>IFERROR(__xludf.DUMMYFUNCTION("IF(
  $I74="""",
  """",
  IF(
    COLUMN()-9 &gt;
    (1 + LEN(REGEXEXTRACT($I74,""^[0-9.]+"")) - LEN(SUBSTITUTE(REGEXEXTRACT($I74,""^[0-9.]+""),""."",""""))),
    """",
    INDEX(
      BEC_openBDF!$A:$D,
      MATCH(
        $I74,
        INDEX(
         "&amp;" BEC_openBDF!$A:$D,
          0,
          (1 + LEN(REGEXEXTRACT($I74,""^[0-9.]+"")) - LEN(SUBSTITUTE(REGEXEXTRACT($I74,""^[0-9.]+""),""."","""")))
        ),
        0
      ),
      COLUMN()-9
    )
  )
)"),"..")</f>
        <v>..</v>
      </c>
      <c r="K74" s="234" t="str">
        <f>IFERROR(__xludf.DUMMYFUNCTION("IF(
  $I74="""",
  """",
  IF(
    COLUMN()-9 &gt;
    (1 + LEN(REGEXEXTRACT($I74,""^[0-9.]+"")) - LEN(SUBSTITUTE(REGEXEXTRACT($I74,""^[0-9.]+""),""."",""""))),
    """",
    INDEX(
      BEC_openBDF!$A:$D,
      MATCH(
        $I74,
        INDEX(
         "&amp;" BEC_openBDF!$A:$D,
          0,
          (1 + LEN(REGEXEXTRACT($I74,""^[0-9.]+"")) - LEN(SUBSTITUTE(REGEXEXTRACT($I74,""^[0-9.]+""),""."","""")))
        ),
        0
      ),
      COLUMN()-9
    )
  )
)"),"..")</f>
        <v>..</v>
      </c>
      <c r="L74" s="234" t="str">
        <f>IFERROR(__xludf.DUMMYFUNCTION("IF(
  $I74="""",
  """",
  IF(
    COLUMN()-9 &gt;
    (1 + LEN(REGEXEXTRACT($I74,""^[0-9.]+"")) - LEN(SUBSTITUTE(REGEXEXTRACT($I74,""^[0-9.]+""),""."",""""))),
    """",
    INDEX(
      BEC_openBDF!$A:$D,
      MATCH(
        $I74,
        INDEX(
         "&amp;" BEC_openBDF!$A:$D,
          0,
          (1 + LEN(REGEXEXTRACT($I74,""^[0-9.]+"")) - LEN(SUBSTITUTE(REGEXEXTRACT($I74,""^[0-9.]+""),""."","""")))
        ),
        0
      ),
      COLUMN()-9
    )
  )
)"),"..")</f>
        <v>..</v>
      </c>
      <c r="M74" s="234" t="str">
        <f>IFERROR(__xludf.DUMMYFUNCTION("IF(
  $I74="""",
  """",
  IF(
    COLUMN()-9 &gt;
    (1 + LEN(REGEXEXTRACT($I74,""^[0-9.]+"")) - LEN(SUBSTITUTE(REGEXEXTRACT($I74,""^[0-9.]+""),""."",""""))),
    """",
    INDEX(
      BEC_openBDF!$A:$D,
      MATCH(
        $I74,
        INDEX(
         "&amp;" BEC_openBDF!$A:$D,
          0,
          (1 + LEN(REGEXEXTRACT($I74,""^[0-9.]+"")) - LEN(SUBSTITUTE(REGEXEXTRACT($I74,""^[0-9.]+""),""."","""")))
        ),
        0
      ),
      COLUMN()-9
    )
  )
)"),"")</f>
        <v/>
      </c>
      <c r="N74" s="201"/>
      <c r="O74" s="193"/>
      <c r="P74" s="201"/>
      <c r="Q74" s="238"/>
      <c r="R74" s="238"/>
      <c r="S74" s="237"/>
      <c r="T74" s="238"/>
      <c r="U74" s="237"/>
      <c r="V74" s="237"/>
      <c r="W74" s="237"/>
      <c r="X74" s="237"/>
      <c r="Y74" s="237"/>
      <c r="Z74" s="238"/>
      <c r="AA74" s="237"/>
      <c r="AB74" s="238"/>
      <c r="AC74" s="238"/>
    </row>
    <row r="75" ht="18.75" customHeight="1">
      <c r="A75" s="232"/>
      <c r="B75" s="192"/>
      <c r="C75" s="193"/>
      <c r="D75" s="237"/>
      <c r="E75" s="237"/>
      <c r="F75" s="237"/>
      <c r="G75" s="237"/>
      <c r="H75" s="237"/>
      <c r="I75" s="192" t="s">
        <v>750</v>
      </c>
      <c r="J75" s="234" t="str">
        <f>IFERROR(__xludf.DUMMYFUNCTION("IF(
  $I75="""",
  """",
  IF(
    COLUMN()-9 &gt;
    (1 + LEN(REGEXEXTRACT($I75,""^[0-9.]+"")) - LEN(SUBSTITUTE(REGEXEXTRACT($I75,""^[0-9.]+""),""."",""""))),
    """",
    INDEX(
      BEC_openBDF!$A:$D,
      MATCH(
        $I75,
        INDEX(
         "&amp;" BEC_openBDF!$A:$D,
          0,
          (1 + LEN(REGEXEXTRACT($I75,""^[0-9.]+"")) - LEN(SUBSTITUTE(REGEXEXTRACT($I75,""^[0-9.]+""),""."","""")))
        ),
        0
      ),
      COLUMN()-9
    )
  )
)"),"..")</f>
        <v>..</v>
      </c>
      <c r="K75" s="234" t="str">
        <f>IFERROR(__xludf.DUMMYFUNCTION("IF(
  $I75="""",
  """",
  IF(
    COLUMN()-9 &gt;
    (1 + LEN(REGEXEXTRACT($I75,""^[0-9.]+"")) - LEN(SUBSTITUTE(REGEXEXTRACT($I75,""^[0-9.]+""),""."",""""))),
    """",
    INDEX(
      BEC_openBDF!$A:$D,
      MATCH(
        $I75,
        INDEX(
         "&amp;" BEC_openBDF!$A:$D,
          0,
          (1 + LEN(REGEXEXTRACT($I75,""^[0-9.]+"")) - LEN(SUBSTITUTE(REGEXEXTRACT($I75,""^[0-9.]+""),""."","""")))
        ),
        0
      ),
      COLUMN()-9
    )
  )
)"),"..")</f>
        <v>..</v>
      </c>
      <c r="L75" s="234" t="str">
        <f>IFERROR(__xludf.DUMMYFUNCTION("IF(
  $I75="""",
  """",
  IF(
    COLUMN()-9 &gt;
    (1 + LEN(REGEXEXTRACT($I75,""^[0-9.]+"")) - LEN(SUBSTITUTE(REGEXEXTRACT($I75,""^[0-9.]+""),""."",""""))),
    """",
    INDEX(
      BEC_openBDF!$A:$D,
      MATCH(
        $I75,
        INDEX(
         "&amp;" BEC_openBDF!$A:$D,
          0,
          (1 + LEN(REGEXEXTRACT($I75,""^[0-9.]+"")) - LEN(SUBSTITUTE(REGEXEXTRACT($I75,""^[0-9.]+""),""."","""")))
        ),
        0
      ),
      COLUMN()-9
    )
  )
)"),"..")</f>
        <v>..</v>
      </c>
      <c r="M75" s="234" t="str">
        <f>IFERROR(__xludf.DUMMYFUNCTION("IF(
  $I75="""",
  """",
  IF(
    COLUMN()-9 &gt;
    (1 + LEN(REGEXEXTRACT($I75,""^[0-9.]+"")) - LEN(SUBSTITUTE(REGEXEXTRACT($I75,""^[0-9.]+""),""."",""""))),
    """",
    INDEX(
      BEC_openBDF!$A:$D,
      MATCH(
        $I75,
        INDEX(
         "&amp;" BEC_openBDF!$A:$D,
          0,
          (1 + LEN(REGEXEXTRACT($I75,""^[0-9.]+"")) - LEN(SUBSTITUTE(REGEXEXTRACT($I75,""^[0-9.]+""),""."","""")))
        ),
        0
      ),
      COLUMN()-9
    )
  )
)"),"")</f>
        <v/>
      </c>
      <c r="N75" s="201"/>
      <c r="O75" s="193"/>
      <c r="P75" s="201"/>
      <c r="Q75" s="238"/>
      <c r="R75" s="238"/>
      <c r="S75" s="237"/>
      <c r="T75" s="238"/>
      <c r="U75" s="237"/>
      <c r="V75" s="237"/>
      <c r="W75" s="237"/>
      <c r="X75" s="237"/>
      <c r="Y75" s="237"/>
      <c r="Z75" s="238"/>
      <c r="AA75" s="237"/>
      <c r="AB75" s="238"/>
      <c r="AC75" s="238"/>
    </row>
    <row r="76" ht="18.75" customHeight="1">
      <c r="A76" s="232"/>
      <c r="B76" s="192"/>
      <c r="C76" s="193"/>
      <c r="D76" s="237"/>
      <c r="E76" s="237"/>
      <c r="F76" s="237"/>
      <c r="G76" s="237"/>
      <c r="H76" s="237"/>
      <c r="I76" s="192" t="s">
        <v>750</v>
      </c>
      <c r="J76" s="234" t="str">
        <f>IFERROR(__xludf.DUMMYFUNCTION("IF(
  $I76="""",
  """",
  IF(
    COLUMN()-9 &gt;
    (1 + LEN(REGEXEXTRACT($I76,""^[0-9.]+"")) - LEN(SUBSTITUTE(REGEXEXTRACT($I76,""^[0-9.]+""),""."",""""))),
    """",
    INDEX(
      BEC_openBDF!$A:$D,
      MATCH(
        $I76,
        INDEX(
         "&amp;" BEC_openBDF!$A:$D,
          0,
          (1 + LEN(REGEXEXTRACT($I76,""^[0-9.]+"")) - LEN(SUBSTITUTE(REGEXEXTRACT($I76,""^[0-9.]+""),""."","""")))
        ),
        0
      ),
      COLUMN()-9
    )
  )
)"),"..")</f>
        <v>..</v>
      </c>
      <c r="K76" s="234" t="str">
        <f>IFERROR(__xludf.DUMMYFUNCTION("IF(
  $I76="""",
  """",
  IF(
    COLUMN()-9 &gt;
    (1 + LEN(REGEXEXTRACT($I76,""^[0-9.]+"")) - LEN(SUBSTITUTE(REGEXEXTRACT($I76,""^[0-9.]+""),""."",""""))),
    """",
    INDEX(
      BEC_openBDF!$A:$D,
      MATCH(
        $I76,
        INDEX(
         "&amp;" BEC_openBDF!$A:$D,
          0,
          (1 + LEN(REGEXEXTRACT($I76,""^[0-9.]+"")) - LEN(SUBSTITUTE(REGEXEXTRACT($I76,""^[0-9.]+""),""."","""")))
        ),
        0
      ),
      COLUMN()-9
    )
  )
)"),"..")</f>
        <v>..</v>
      </c>
      <c r="L76" s="234" t="str">
        <f>IFERROR(__xludf.DUMMYFUNCTION("IF(
  $I76="""",
  """",
  IF(
    COLUMN()-9 &gt;
    (1 + LEN(REGEXEXTRACT($I76,""^[0-9.]+"")) - LEN(SUBSTITUTE(REGEXEXTRACT($I76,""^[0-9.]+""),""."",""""))),
    """",
    INDEX(
      BEC_openBDF!$A:$D,
      MATCH(
        $I76,
        INDEX(
         "&amp;" BEC_openBDF!$A:$D,
          0,
          (1 + LEN(REGEXEXTRACT($I76,""^[0-9.]+"")) - LEN(SUBSTITUTE(REGEXEXTRACT($I76,""^[0-9.]+""),""."","""")))
        ),
        0
      ),
      COLUMN()-9
    )
  )
)"),"..")</f>
        <v>..</v>
      </c>
      <c r="M76" s="234" t="str">
        <f>IFERROR(__xludf.DUMMYFUNCTION("IF(
  $I76="""",
  """",
  IF(
    COLUMN()-9 &gt;
    (1 + LEN(REGEXEXTRACT($I76,""^[0-9.]+"")) - LEN(SUBSTITUTE(REGEXEXTRACT($I76,""^[0-9.]+""),""."",""""))),
    """",
    INDEX(
      BEC_openBDF!$A:$D,
      MATCH(
        $I76,
        INDEX(
         "&amp;" BEC_openBDF!$A:$D,
          0,
          (1 + LEN(REGEXEXTRACT($I76,""^[0-9.]+"")) - LEN(SUBSTITUTE(REGEXEXTRACT($I76,""^[0-9.]+""),""."","""")))
        ),
        0
      ),
      COLUMN()-9
    )
  )
)"),"")</f>
        <v/>
      </c>
      <c r="N76" s="201"/>
      <c r="O76" s="193"/>
      <c r="P76" s="201"/>
      <c r="Q76" s="238"/>
      <c r="R76" s="238"/>
      <c r="S76" s="237"/>
      <c r="T76" s="238"/>
      <c r="U76" s="237"/>
      <c r="V76" s="237"/>
      <c r="W76" s="237"/>
      <c r="X76" s="237"/>
      <c r="Y76" s="237"/>
      <c r="Z76" s="238"/>
      <c r="AA76" s="237"/>
      <c r="AB76" s="238"/>
      <c r="AC76" s="238"/>
    </row>
    <row r="77" ht="18.75" customHeight="1">
      <c r="A77" s="232"/>
      <c r="B77" s="192"/>
      <c r="C77" s="193"/>
      <c r="D77" s="237"/>
      <c r="E77" s="237"/>
      <c r="F77" s="237"/>
      <c r="G77" s="237"/>
      <c r="H77" s="237"/>
      <c r="I77" s="192" t="s">
        <v>750</v>
      </c>
      <c r="J77" s="234" t="str">
        <f>IFERROR(__xludf.DUMMYFUNCTION("IF(
  $I77="""",
  """",
  IF(
    COLUMN()-9 &gt;
    (1 + LEN(REGEXEXTRACT($I77,""^[0-9.]+"")) - LEN(SUBSTITUTE(REGEXEXTRACT($I77,""^[0-9.]+""),""."",""""))),
    """",
    INDEX(
      BEC_openBDF!$A:$D,
      MATCH(
        $I77,
        INDEX(
         "&amp;" BEC_openBDF!$A:$D,
          0,
          (1 + LEN(REGEXEXTRACT($I77,""^[0-9.]+"")) - LEN(SUBSTITUTE(REGEXEXTRACT($I77,""^[0-9.]+""),""."","""")))
        ),
        0
      ),
      COLUMN()-9
    )
  )
)"),"..")</f>
        <v>..</v>
      </c>
      <c r="K77" s="234" t="str">
        <f>IFERROR(__xludf.DUMMYFUNCTION("IF(
  $I77="""",
  """",
  IF(
    COLUMN()-9 &gt;
    (1 + LEN(REGEXEXTRACT($I77,""^[0-9.]+"")) - LEN(SUBSTITUTE(REGEXEXTRACT($I77,""^[0-9.]+""),""."",""""))),
    """",
    INDEX(
      BEC_openBDF!$A:$D,
      MATCH(
        $I77,
        INDEX(
         "&amp;" BEC_openBDF!$A:$D,
          0,
          (1 + LEN(REGEXEXTRACT($I77,""^[0-9.]+"")) - LEN(SUBSTITUTE(REGEXEXTRACT($I77,""^[0-9.]+""),""."","""")))
        ),
        0
      ),
      COLUMN()-9
    )
  )
)"),"..")</f>
        <v>..</v>
      </c>
      <c r="L77" s="234" t="str">
        <f>IFERROR(__xludf.DUMMYFUNCTION("IF(
  $I77="""",
  """",
  IF(
    COLUMN()-9 &gt;
    (1 + LEN(REGEXEXTRACT($I77,""^[0-9.]+"")) - LEN(SUBSTITUTE(REGEXEXTRACT($I77,""^[0-9.]+""),""."",""""))),
    """",
    INDEX(
      BEC_openBDF!$A:$D,
      MATCH(
        $I77,
        INDEX(
         "&amp;" BEC_openBDF!$A:$D,
          0,
          (1 + LEN(REGEXEXTRACT($I77,""^[0-9.]+"")) - LEN(SUBSTITUTE(REGEXEXTRACT($I77,""^[0-9.]+""),""."","""")))
        ),
        0
      ),
      COLUMN()-9
    )
  )
)"),"..")</f>
        <v>..</v>
      </c>
      <c r="M77" s="234" t="str">
        <f>IFERROR(__xludf.DUMMYFUNCTION("IF(
  $I77="""",
  """",
  IF(
    COLUMN()-9 &gt;
    (1 + LEN(REGEXEXTRACT($I77,""^[0-9.]+"")) - LEN(SUBSTITUTE(REGEXEXTRACT($I77,""^[0-9.]+""),""."",""""))),
    """",
    INDEX(
      BEC_openBDF!$A:$D,
      MATCH(
        $I77,
        INDEX(
         "&amp;" BEC_openBDF!$A:$D,
          0,
          (1 + LEN(REGEXEXTRACT($I77,""^[0-9.]+"")) - LEN(SUBSTITUTE(REGEXEXTRACT($I77,""^[0-9.]+""),""."","""")))
        ),
        0
      ),
      COLUMN()-9
    )
  )
)"),"")</f>
        <v/>
      </c>
      <c r="N77" s="201"/>
      <c r="O77" s="193"/>
      <c r="P77" s="201"/>
      <c r="Q77" s="238"/>
      <c r="R77" s="238"/>
      <c r="S77" s="237"/>
      <c r="T77" s="238"/>
      <c r="U77" s="237"/>
      <c r="V77" s="237"/>
      <c r="W77" s="237"/>
      <c r="X77" s="237"/>
      <c r="Y77" s="237"/>
      <c r="Z77" s="238"/>
      <c r="AA77" s="237"/>
      <c r="AB77" s="238"/>
      <c r="AC77" s="238"/>
    </row>
    <row r="78" ht="18.75" customHeight="1">
      <c r="A78" s="232"/>
      <c r="B78" s="192"/>
      <c r="C78" s="193"/>
      <c r="D78" s="237"/>
      <c r="E78" s="237"/>
      <c r="F78" s="237"/>
      <c r="G78" s="237"/>
      <c r="H78" s="237"/>
      <c r="I78" s="192" t="s">
        <v>750</v>
      </c>
      <c r="J78" s="234" t="str">
        <f>IFERROR(__xludf.DUMMYFUNCTION("IF(
  $I78="""",
  """",
  IF(
    COLUMN()-9 &gt;
    (1 + LEN(REGEXEXTRACT($I78,""^[0-9.]+"")) - LEN(SUBSTITUTE(REGEXEXTRACT($I78,""^[0-9.]+""),""."",""""))),
    """",
    INDEX(
      BEC_openBDF!$A:$D,
      MATCH(
        $I78,
        INDEX(
         "&amp;" BEC_openBDF!$A:$D,
          0,
          (1 + LEN(REGEXEXTRACT($I78,""^[0-9.]+"")) - LEN(SUBSTITUTE(REGEXEXTRACT($I78,""^[0-9.]+""),""."","""")))
        ),
        0
      ),
      COLUMN()-9
    )
  )
)"),"..")</f>
        <v>..</v>
      </c>
      <c r="K78" s="234" t="str">
        <f>IFERROR(__xludf.DUMMYFUNCTION("IF(
  $I78="""",
  """",
  IF(
    COLUMN()-9 &gt;
    (1 + LEN(REGEXEXTRACT($I78,""^[0-9.]+"")) - LEN(SUBSTITUTE(REGEXEXTRACT($I78,""^[0-9.]+""),""."",""""))),
    """",
    INDEX(
      BEC_openBDF!$A:$D,
      MATCH(
        $I78,
        INDEX(
         "&amp;" BEC_openBDF!$A:$D,
          0,
          (1 + LEN(REGEXEXTRACT($I78,""^[0-9.]+"")) - LEN(SUBSTITUTE(REGEXEXTRACT($I78,""^[0-9.]+""),""."","""")))
        ),
        0
      ),
      COLUMN()-9
    )
  )
)"),"..")</f>
        <v>..</v>
      </c>
      <c r="L78" s="234" t="str">
        <f>IFERROR(__xludf.DUMMYFUNCTION("IF(
  $I78="""",
  """",
  IF(
    COLUMN()-9 &gt;
    (1 + LEN(REGEXEXTRACT($I78,""^[0-9.]+"")) - LEN(SUBSTITUTE(REGEXEXTRACT($I78,""^[0-9.]+""),""."",""""))),
    """",
    INDEX(
      BEC_openBDF!$A:$D,
      MATCH(
        $I78,
        INDEX(
         "&amp;" BEC_openBDF!$A:$D,
          0,
          (1 + LEN(REGEXEXTRACT($I78,""^[0-9.]+"")) - LEN(SUBSTITUTE(REGEXEXTRACT($I78,""^[0-9.]+""),""."","""")))
        ),
        0
      ),
      COLUMN()-9
    )
  )
)"),"..")</f>
        <v>..</v>
      </c>
      <c r="M78" s="234" t="str">
        <f>IFERROR(__xludf.DUMMYFUNCTION("IF(
  $I78="""",
  """",
  IF(
    COLUMN()-9 &gt;
    (1 + LEN(REGEXEXTRACT($I78,""^[0-9.]+"")) - LEN(SUBSTITUTE(REGEXEXTRACT($I78,""^[0-9.]+""),""."",""""))),
    """",
    INDEX(
      BEC_openBDF!$A:$D,
      MATCH(
        $I78,
        INDEX(
         "&amp;" BEC_openBDF!$A:$D,
          0,
          (1 + LEN(REGEXEXTRACT($I78,""^[0-9.]+"")) - LEN(SUBSTITUTE(REGEXEXTRACT($I78,""^[0-9.]+""),""."","""")))
        ),
        0
      ),
      COLUMN()-9
    )
  )
)"),"")</f>
        <v/>
      </c>
      <c r="N78" s="201"/>
      <c r="O78" s="193"/>
      <c r="P78" s="201"/>
      <c r="Q78" s="238"/>
      <c r="R78" s="238"/>
      <c r="S78" s="237"/>
      <c r="T78" s="238"/>
      <c r="U78" s="237"/>
      <c r="V78" s="237"/>
      <c r="W78" s="237"/>
      <c r="X78" s="237"/>
      <c r="Y78" s="237"/>
      <c r="Z78" s="238"/>
      <c r="AA78" s="237"/>
      <c r="AB78" s="238"/>
      <c r="AC78" s="238"/>
    </row>
    <row r="79" ht="18.75" customHeight="1">
      <c r="A79" s="232"/>
      <c r="B79" s="192"/>
      <c r="C79" s="193"/>
      <c r="D79" s="237"/>
      <c r="E79" s="237"/>
      <c r="F79" s="237"/>
      <c r="G79" s="237"/>
      <c r="H79" s="237"/>
      <c r="I79" s="192" t="s">
        <v>750</v>
      </c>
      <c r="J79" s="234" t="str">
        <f>IFERROR(__xludf.DUMMYFUNCTION("IF(
  $I79="""",
  """",
  IF(
    COLUMN()-9 &gt;
    (1 + LEN(REGEXEXTRACT($I79,""^[0-9.]+"")) - LEN(SUBSTITUTE(REGEXEXTRACT($I79,""^[0-9.]+""),""."",""""))),
    """",
    INDEX(
      BEC_openBDF!$A:$D,
      MATCH(
        $I79,
        INDEX(
         "&amp;" BEC_openBDF!$A:$D,
          0,
          (1 + LEN(REGEXEXTRACT($I79,""^[0-9.]+"")) - LEN(SUBSTITUTE(REGEXEXTRACT($I79,""^[0-9.]+""),""."","""")))
        ),
        0
      ),
      COLUMN()-9
    )
  )
)"),"..")</f>
        <v>..</v>
      </c>
      <c r="K79" s="234" t="str">
        <f>IFERROR(__xludf.DUMMYFUNCTION("IF(
  $I79="""",
  """",
  IF(
    COLUMN()-9 &gt;
    (1 + LEN(REGEXEXTRACT($I79,""^[0-9.]+"")) - LEN(SUBSTITUTE(REGEXEXTRACT($I79,""^[0-9.]+""),""."",""""))),
    """",
    INDEX(
      BEC_openBDF!$A:$D,
      MATCH(
        $I79,
        INDEX(
         "&amp;" BEC_openBDF!$A:$D,
          0,
          (1 + LEN(REGEXEXTRACT($I79,""^[0-9.]+"")) - LEN(SUBSTITUTE(REGEXEXTRACT($I79,""^[0-9.]+""),""."","""")))
        ),
        0
      ),
      COLUMN()-9
    )
  )
)"),"..")</f>
        <v>..</v>
      </c>
      <c r="L79" s="234" t="str">
        <f>IFERROR(__xludf.DUMMYFUNCTION("IF(
  $I79="""",
  """",
  IF(
    COLUMN()-9 &gt;
    (1 + LEN(REGEXEXTRACT($I79,""^[0-9.]+"")) - LEN(SUBSTITUTE(REGEXEXTRACT($I79,""^[0-9.]+""),""."",""""))),
    """",
    INDEX(
      BEC_openBDF!$A:$D,
      MATCH(
        $I79,
        INDEX(
         "&amp;" BEC_openBDF!$A:$D,
          0,
          (1 + LEN(REGEXEXTRACT($I79,""^[0-9.]+"")) - LEN(SUBSTITUTE(REGEXEXTRACT($I79,""^[0-9.]+""),""."","""")))
        ),
        0
      ),
      COLUMN()-9
    )
  )
)"),"..")</f>
        <v>..</v>
      </c>
      <c r="M79" s="234" t="str">
        <f>IFERROR(__xludf.DUMMYFUNCTION("IF(
  $I79="""",
  """",
  IF(
    COLUMN()-9 &gt;
    (1 + LEN(REGEXEXTRACT($I79,""^[0-9.]+"")) - LEN(SUBSTITUTE(REGEXEXTRACT($I79,""^[0-9.]+""),""."",""""))),
    """",
    INDEX(
      BEC_openBDF!$A:$D,
      MATCH(
        $I79,
        INDEX(
         "&amp;" BEC_openBDF!$A:$D,
          0,
          (1 + LEN(REGEXEXTRACT($I79,""^[0-9.]+"")) - LEN(SUBSTITUTE(REGEXEXTRACT($I79,""^[0-9.]+""),""."","""")))
        ),
        0
      ),
      COLUMN()-9
    )
  )
)"),"")</f>
        <v/>
      </c>
      <c r="N79" s="201"/>
      <c r="O79" s="193"/>
      <c r="P79" s="201"/>
      <c r="Q79" s="238"/>
      <c r="R79" s="238"/>
      <c r="S79" s="237"/>
      <c r="T79" s="238"/>
      <c r="U79" s="237"/>
      <c r="V79" s="237"/>
      <c r="W79" s="237"/>
      <c r="X79" s="237"/>
      <c r="Y79" s="237"/>
      <c r="Z79" s="238"/>
      <c r="AA79" s="237"/>
      <c r="AB79" s="238"/>
      <c r="AC79" s="238"/>
    </row>
    <row r="80" ht="18.75" customHeight="1">
      <c r="A80" s="232"/>
      <c r="B80" s="192"/>
      <c r="C80" s="193"/>
      <c r="D80" s="237"/>
      <c r="E80" s="237"/>
      <c r="F80" s="237"/>
      <c r="G80" s="237"/>
      <c r="H80" s="237"/>
      <c r="I80" s="192" t="s">
        <v>750</v>
      </c>
      <c r="J80" s="234" t="str">
        <f>IFERROR(__xludf.DUMMYFUNCTION("IF(
  $I80="""",
  """",
  IF(
    COLUMN()-9 &gt;
    (1 + LEN(REGEXEXTRACT($I80,""^[0-9.]+"")) - LEN(SUBSTITUTE(REGEXEXTRACT($I80,""^[0-9.]+""),""."",""""))),
    """",
    INDEX(
      BEC_openBDF!$A:$D,
      MATCH(
        $I80,
        INDEX(
         "&amp;" BEC_openBDF!$A:$D,
          0,
          (1 + LEN(REGEXEXTRACT($I80,""^[0-9.]+"")) - LEN(SUBSTITUTE(REGEXEXTRACT($I80,""^[0-9.]+""),""."","""")))
        ),
        0
      ),
      COLUMN()-9
    )
  )
)"),"..")</f>
        <v>..</v>
      </c>
      <c r="K80" s="234" t="str">
        <f>IFERROR(__xludf.DUMMYFUNCTION("IF(
  $I80="""",
  """",
  IF(
    COLUMN()-9 &gt;
    (1 + LEN(REGEXEXTRACT($I80,""^[0-9.]+"")) - LEN(SUBSTITUTE(REGEXEXTRACT($I80,""^[0-9.]+""),""."",""""))),
    """",
    INDEX(
      BEC_openBDF!$A:$D,
      MATCH(
        $I80,
        INDEX(
         "&amp;" BEC_openBDF!$A:$D,
          0,
          (1 + LEN(REGEXEXTRACT($I80,""^[0-9.]+"")) - LEN(SUBSTITUTE(REGEXEXTRACT($I80,""^[0-9.]+""),""."","""")))
        ),
        0
      ),
      COLUMN()-9
    )
  )
)"),"..")</f>
        <v>..</v>
      </c>
      <c r="L80" s="234" t="str">
        <f>IFERROR(__xludf.DUMMYFUNCTION("IF(
  $I80="""",
  """",
  IF(
    COLUMN()-9 &gt;
    (1 + LEN(REGEXEXTRACT($I80,""^[0-9.]+"")) - LEN(SUBSTITUTE(REGEXEXTRACT($I80,""^[0-9.]+""),""."",""""))),
    """",
    INDEX(
      BEC_openBDF!$A:$D,
      MATCH(
        $I80,
        INDEX(
         "&amp;" BEC_openBDF!$A:$D,
          0,
          (1 + LEN(REGEXEXTRACT($I80,""^[0-9.]+"")) - LEN(SUBSTITUTE(REGEXEXTRACT($I80,""^[0-9.]+""),""."","""")))
        ),
        0
      ),
      COLUMN()-9
    )
  )
)"),"..")</f>
        <v>..</v>
      </c>
      <c r="M80" s="234" t="str">
        <f>IFERROR(__xludf.DUMMYFUNCTION("IF(
  $I80="""",
  """",
  IF(
    COLUMN()-9 &gt;
    (1 + LEN(REGEXEXTRACT($I80,""^[0-9.]+"")) - LEN(SUBSTITUTE(REGEXEXTRACT($I80,""^[0-9.]+""),""."",""""))),
    """",
    INDEX(
      BEC_openBDF!$A:$D,
      MATCH(
        $I80,
        INDEX(
         "&amp;" BEC_openBDF!$A:$D,
          0,
          (1 + LEN(REGEXEXTRACT($I80,""^[0-9.]+"")) - LEN(SUBSTITUTE(REGEXEXTRACT($I80,""^[0-9.]+""),""."","""")))
        ),
        0
      ),
      COLUMN()-9
    )
  )
)"),"")</f>
        <v/>
      </c>
      <c r="N80" s="201"/>
      <c r="O80" s="193"/>
      <c r="P80" s="201"/>
      <c r="Q80" s="238"/>
      <c r="R80" s="238"/>
      <c r="S80" s="237"/>
      <c r="T80" s="238"/>
      <c r="U80" s="237"/>
      <c r="V80" s="237"/>
      <c r="W80" s="237"/>
      <c r="X80" s="237"/>
      <c r="Y80" s="237"/>
      <c r="Z80" s="238"/>
      <c r="AA80" s="237"/>
      <c r="AB80" s="238"/>
      <c r="AC80" s="238"/>
    </row>
    <row r="81" ht="18.75" customHeight="1">
      <c r="A81" s="232"/>
      <c r="B81" s="192"/>
      <c r="C81" s="193"/>
      <c r="D81" s="237"/>
      <c r="E81" s="237"/>
      <c r="F81" s="237"/>
      <c r="G81" s="237"/>
      <c r="H81" s="237"/>
      <c r="I81" s="192" t="s">
        <v>750</v>
      </c>
      <c r="J81" s="234" t="str">
        <f>IFERROR(__xludf.DUMMYFUNCTION("IF(
  $I81="""",
  """",
  IF(
    COLUMN()-9 &gt;
    (1 + LEN(REGEXEXTRACT($I81,""^[0-9.]+"")) - LEN(SUBSTITUTE(REGEXEXTRACT($I81,""^[0-9.]+""),""."",""""))),
    """",
    INDEX(
      BEC_openBDF!$A:$D,
      MATCH(
        $I81,
        INDEX(
         "&amp;" BEC_openBDF!$A:$D,
          0,
          (1 + LEN(REGEXEXTRACT($I81,""^[0-9.]+"")) - LEN(SUBSTITUTE(REGEXEXTRACT($I81,""^[0-9.]+""),""."","""")))
        ),
        0
      ),
      COLUMN()-9
    )
  )
)"),"..")</f>
        <v>..</v>
      </c>
      <c r="K81" s="234" t="str">
        <f>IFERROR(__xludf.DUMMYFUNCTION("IF(
  $I81="""",
  """",
  IF(
    COLUMN()-9 &gt;
    (1 + LEN(REGEXEXTRACT($I81,""^[0-9.]+"")) - LEN(SUBSTITUTE(REGEXEXTRACT($I81,""^[0-9.]+""),""."",""""))),
    """",
    INDEX(
      BEC_openBDF!$A:$D,
      MATCH(
        $I81,
        INDEX(
         "&amp;" BEC_openBDF!$A:$D,
          0,
          (1 + LEN(REGEXEXTRACT($I81,""^[0-9.]+"")) - LEN(SUBSTITUTE(REGEXEXTRACT($I81,""^[0-9.]+""),""."","""")))
        ),
        0
      ),
      COLUMN()-9
    )
  )
)"),"..")</f>
        <v>..</v>
      </c>
      <c r="L81" s="234" t="str">
        <f>IFERROR(__xludf.DUMMYFUNCTION("IF(
  $I81="""",
  """",
  IF(
    COLUMN()-9 &gt;
    (1 + LEN(REGEXEXTRACT($I81,""^[0-9.]+"")) - LEN(SUBSTITUTE(REGEXEXTRACT($I81,""^[0-9.]+""),""."",""""))),
    """",
    INDEX(
      BEC_openBDF!$A:$D,
      MATCH(
        $I81,
        INDEX(
         "&amp;" BEC_openBDF!$A:$D,
          0,
          (1 + LEN(REGEXEXTRACT($I81,""^[0-9.]+"")) - LEN(SUBSTITUTE(REGEXEXTRACT($I81,""^[0-9.]+""),""."","""")))
        ),
        0
      ),
      COLUMN()-9
    )
  )
)"),"..")</f>
        <v>..</v>
      </c>
      <c r="M81" s="234" t="str">
        <f>IFERROR(__xludf.DUMMYFUNCTION("IF(
  $I81="""",
  """",
  IF(
    COLUMN()-9 &gt;
    (1 + LEN(REGEXEXTRACT($I81,""^[0-9.]+"")) - LEN(SUBSTITUTE(REGEXEXTRACT($I81,""^[0-9.]+""),""."",""""))),
    """",
    INDEX(
      BEC_openBDF!$A:$D,
      MATCH(
        $I81,
        INDEX(
         "&amp;" BEC_openBDF!$A:$D,
          0,
          (1 + LEN(REGEXEXTRACT($I81,""^[0-9.]+"")) - LEN(SUBSTITUTE(REGEXEXTRACT($I81,""^[0-9.]+""),""."","""")))
        ),
        0
      ),
      COLUMN()-9
    )
  )
)"),"")</f>
        <v/>
      </c>
      <c r="N81" s="201"/>
      <c r="O81" s="193"/>
      <c r="P81" s="201"/>
      <c r="Q81" s="238"/>
      <c r="R81" s="238"/>
      <c r="S81" s="237"/>
      <c r="T81" s="238"/>
      <c r="U81" s="237"/>
      <c r="V81" s="237"/>
      <c r="W81" s="237"/>
      <c r="X81" s="237"/>
      <c r="Y81" s="237"/>
      <c r="Z81" s="238"/>
      <c r="AA81" s="237"/>
      <c r="AB81" s="238"/>
      <c r="AC81" s="238"/>
    </row>
    <row r="82" ht="18.75" customHeight="1">
      <c r="A82" s="232"/>
      <c r="B82" s="192"/>
      <c r="C82" s="193"/>
      <c r="D82" s="237"/>
      <c r="E82" s="237"/>
      <c r="F82" s="237"/>
      <c r="G82" s="237"/>
      <c r="H82" s="237"/>
      <c r="I82" s="192" t="s">
        <v>750</v>
      </c>
      <c r="J82" s="234" t="str">
        <f>IFERROR(__xludf.DUMMYFUNCTION("IF(
  $I82="""",
  """",
  IF(
    COLUMN()-9 &gt;
    (1 + LEN(REGEXEXTRACT($I82,""^[0-9.]+"")) - LEN(SUBSTITUTE(REGEXEXTRACT($I82,""^[0-9.]+""),""."",""""))),
    """",
    INDEX(
      BEC_openBDF!$A:$D,
      MATCH(
        $I82,
        INDEX(
         "&amp;" BEC_openBDF!$A:$D,
          0,
          (1 + LEN(REGEXEXTRACT($I82,""^[0-9.]+"")) - LEN(SUBSTITUTE(REGEXEXTRACT($I82,""^[0-9.]+""),""."","""")))
        ),
        0
      ),
      COLUMN()-9
    )
  )
)"),"..")</f>
        <v>..</v>
      </c>
      <c r="K82" s="234" t="str">
        <f>IFERROR(__xludf.DUMMYFUNCTION("IF(
  $I82="""",
  """",
  IF(
    COLUMN()-9 &gt;
    (1 + LEN(REGEXEXTRACT($I82,""^[0-9.]+"")) - LEN(SUBSTITUTE(REGEXEXTRACT($I82,""^[0-9.]+""),""."",""""))),
    """",
    INDEX(
      BEC_openBDF!$A:$D,
      MATCH(
        $I82,
        INDEX(
         "&amp;" BEC_openBDF!$A:$D,
          0,
          (1 + LEN(REGEXEXTRACT($I82,""^[0-9.]+"")) - LEN(SUBSTITUTE(REGEXEXTRACT($I82,""^[0-9.]+""),""."","""")))
        ),
        0
      ),
      COLUMN()-9
    )
  )
)"),"..")</f>
        <v>..</v>
      </c>
      <c r="L82" s="234" t="str">
        <f>IFERROR(__xludf.DUMMYFUNCTION("IF(
  $I82="""",
  """",
  IF(
    COLUMN()-9 &gt;
    (1 + LEN(REGEXEXTRACT($I82,""^[0-9.]+"")) - LEN(SUBSTITUTE(REGEXEXTRACT($I82,""^[0-9.]+""),""."",""""))),
    """",
    INDEX(
      BEC_openBDF!$A:$D,
      MATCH(
        $I82,
        INDEX(
         "&amp;" BEC_openBDF!$A:$D,
          0,
          (1 + LEN(REGEXEXTRACT($I82,""^[0-9.]+"")) - LEN(SUBSTITUTE(REGEXEXTRACT($I82,""^[0-9.]+""),""."","""")))
        ),
        0
      ),
      COLUMN()-9
    )
  )
)"),"..")</f>
        <v>..</v>
      </c>
      <c r="M82" s="234" t="str">
        <f>IFERROR(__xludf.DUMMYFUNCTION("IF(
  $I82="""",
  """",
  IF(
    COLUMN()-9 &gt;
    (1 + LEN(REGEXEXTRACT($I82,""^[0-9.]+"")) - LEN(SUBSTITUTE(REGEXEXTRACT($I82,""^[0-9.]+""),""."",""""))),
    """",
    INDEX(
      BEC_openBDF!$A:$D,
      MATCH(
        $I82,
        INDEX(
         "&amp;" BEC_openBDF!$A:$D,
          0,
          (1 + LEN(REGEXEXTRACT($I82,""^[0-9.]+"")) - LEN(SUBSTITUTE(REGEXEXTRACT($I82,""^[0-9.]+""),""."","""")))
        ),
        0
      ),
      COLUMN()-9
    )
  )
)"),"")</f>
        <v/>
      </c>
      <c r="N82" s="201"/>
      <c r="O82" s="193"/>
      <c r="P82" s="201"/>
      <c r="Q82" s="238"/>
      <c r="R82" s="238"/>
      <c r="S82" s="237"/>
      <c r="T82" s="238"/>
      <c r="U82" s="237"/>
      <c r="V82" s="237"/>
      <c r="W82" s="237"/>
      <c r="X82" s="237"/>
      <c r="Y82" s="237"/>
      <c r="Z82" s="238"/>
      <c r="AA82" s="237"/>
      <c r="AB82" s="238"/>
      <c r="AC82" s="238"/>
    </row>
    <row r="83" ht="18.75" customHeight="1">
      <c r="A83" s="232"/>
      <c r="B83" s="192"/>
      <c r="C83" s="193"/>
      <c r="D83" s="237"/>
      <c r="E83" s="237"/>
      <c r="F83" s="237"/>
      <c r="G83" s="237"/>
      <c r="H83" s="237"/>
      <c r="I83" s="192" t="s">
        <v>750</v>
      </c>
      <c r="J83" s="234" t="str">
        <f>IFERROR(__xludf.DUMMYFUNCTION("IF(
  $I83="""",
  """",
  IF(
    COLUMN()-9 &gt;
    (1 + LEN(REGEXEXTRACT($I83,""^[0-9.]+"")) - LEN(SUBSTITUTE(REGEXEXTRACT($I83,""^[0-9.]+""),""."",""""))),
    """",
    INDEX(
      BEC_openBDF!$A:$D,
      MATCH(
        $I83,
        INDEX(
         "&amp;" BEC_openBDF!$A:$D,
          0,
          (1 + LEN(REGEXEXTRACT($I83,""^[0-9.]+"")) - LEN(SUBSTITUTE(REGEXEXTRACT($I83,""^[0-9.]+""),""."","""")))
        ),
        0
      ),
      COLUMN()-9
    )
  )
)"),"..")</f>
        <v>..</v>
      </c>
      <c r="K83" s="234" t="str">
        <f>IFERROR(__xludf.DUMMYFUNCTION("IF(
  $I83="""",
  """",
  IF(
    COLUMN()-9 &gt;
    (1 + LEN(REGEXEXTRACT($I83,""^[0-9.]+"")) - LEN(SUBSTITUTE(REGEXEXTRACT($I83,""^[0-9.]+""),""."",""""))),
    """",
    INDEX(
      BEC_openBDF!$A:$D,
      MATCH(
        $I83,
        INDEX(
         "&amp;" BEC_openBDF!$A:$D,
          0,
          (1 + LEN(REGEXEXTRACT($I83,""^[0-9.]+"")) - LEN(SUBSTITUTE(REGEXEXTRACT($I83,""^[0-9.]+""),""."","""")))
        ),
        0
      ),
      COLUMN()-9
    )
  )
)"),"..")</f>
        <v>..</v>
      </c>
      <c r="L83" s="234" t="str">
        <f>IFERROR(__xludf.DUMMYFUNCTION("IF(
  $I83="""",
  """",
  IF(
    COLUMN()-9 &gt;
    (1 + LEN(REGEXEXTRACT($I83,""^[0-9.]+"")) - LEN(SUBSTITUTE(REGEXEXTRACT($I83,""^[0-9.]+""),""."",""""))),
    """",
    INDEX(
      BEC_openBDF!$A:$D,
      MATCH(
        $I83,
        INDEX(
         "&amp;" BEC_openBDF!$A:$D,
          0,
          (1 + LEN(REGEXEXTRACT($I83,""^[0-9.]+"")) - LEN(SUBSTITUTE(REGEXEXTRACT($I83,""^[0-9.]+""),""."","""")))
        ),
        0
      ),
      COLUMN()-9
    )
  )
)"),"..")</f>
        <v>..</v>
      </c>
      <c r="M83" s="234" t="str">
        <f>IFERROR(__xludf.DUMMYFUNCTION("IF(
  $I83="""",
  """",
  IF(
    COLUMN()-9 &gt;
    (1 + LEN(REGEXEXTRACT($I83,""^[0-9.]+"")) - LEN(SUBSTITUTE(REGEXEXTRACT($I83,""^[0-9.]+""),""."",""""))),
    """",
    INDEX(
      BEC_openBDF!$A:$D,
      MATCH(
        $I83,
        INDEX(
         "&amp;" BEC_openBDF!$A:$D,
          0,
          (1 + LEN(REGEXEXTRACT($I83,""^[0-9.]+"")) - LEN(SUBSTITUTE(REGEXEXTRACT($I83,""^[0-9.]+""),""."","""")))
        ),
        0
      ),
      COLUMN()-9
    )
  )
)"),"")</f>
        <v/>
      </c>
      <c r="N83" s="201"/>
      <c r="O83" s="193"/>
      <c r="P83" s="201"/>
      <c r="Q83" s="238"/>
      <c r="R83" s="238"/>
      <c r="S83" s="237"/>
      <c r="T83" s="238"/>
      <c r="U83" s="237"/>
      <c r="V83" s="237"/>
      <c r="W83" s="237"/>
      <c r="X83" s="237"/>
      <c r="Y83" s="237"/>
      <c r="Z83" s="238"/>
      <c r="AA83" s="237"/>
      <c r="AB83" s="238"/>
      <c r="AC83" s="238"/>
    </row>
    <row r="84" ht="18.75" customHeight="1">
      <c r="A84" s="232"/>
      <c r="B84" s="192"/>
      <c r="C84" s="193"/>
      <c r="D84" s="237"/>
      <c r="E84" s="237"/>
      <c r="F84" s="237"/>
      <c r="G84" s="237"/>
      <c r="H84" s="237"/>
      <c r="I84" s="192" t="s">
        <v>750</v>
      </c>
      <c r="J84" s="234" t="str">
        <f>IFERROR(__xludf.DUMMYFUNCTION("IF(
  $I84="""",
  """",
  IF(
    COLUMN()-9 &gt;
    (1 + LEN(REGEXEXTRACT($I84,""^[0-9.]+"")) - LEN(SUBSTITUTE(REGEXEXTRACT($I84,""^[0-9.]+""),""."",""""))),
    """",
    INDEX(
      BEC_openBDF!$A:$D,
      MATCH(
        $I84,
        INDEX(
         "&amp;" BEC_openBDF!$A:$D,
          0,
          (1 + LEN(REGEXEXTRACT($I84,""^[0-9.]+"")) - LEN(SUBSTITUTE(REGEXEXTRACT($I84,""^[0-9.]+""),""."","""")))
        ),
        0
      ),
      COLUMN()-9
    )
  )
)"),"..")</f>
        <v>..</v>
      </c>
      <c r="K84" s="234" t="str">
        <f>IFERROR(__xludf.DUMMYFUNCTION("IF(
  $I84="""",
  """",
  IF(
    COLUMN()-9 &gt;
    (1 + LEN(REGEXEXTRACT($I84,""^[0-9.]+"")) - LEN(SUBSTITUTE(REGEXEXTRACT($I84,""^[0-9.]+""),""."",""""))),
    """",
    INDEX(
      BEC_openBDF!$A:$D,
      MATCH(
        $I84,
        INDEX(
         "&amp;" BEC_openBDF!$A:$D,
          0,
          (1 + LEN(REGEXEXTRACT($I84,""^[0-9.]+"")) - LEN(SUBSTITUTE(REGEXEXTRACT($I84,""^[0-9.]+""),""."","""")))
        ),
        0
      ),
      COLUMN()-9
    )
  )
)"),"..")</f>
        <v>..</v>
      </c>
      <c r="L84" s="234" t="str">
        <f>IFERROR(__xludf.DUMMYFUNCTION("IF(
  $I84="""",
  """",
  IF(
    COLUMN()-9 &gt;
    (1 + LEN(REGEXEXTRACT($I84,""^[0-9.]+"")) - LEN(SUBSTITUTE(REGEXEXTRACT($I84,""^[0-9.]+""),""."",""""))),
    """",
    INDEX(
      BEC_openBDF!$A:$D,
      MATCH(
        $I84,
        INDEX(
         "&amp;" BEC_openBDF!$A:$D,
          0,
          (1 + LEN(REGEXEXTRACT($I84,""^[0-9.]+"")) - LEN(SUBSTITUTE(REGEXEXTRACT($I84,""^[0-9.]+""),""."","""")))
        ),
        0
      ),
      COLUMN()-9
    )
  )
)"),"..")</f>
        <v>..</v>
      </c>
      <c r="M84" s="234" t="str">
        <f>IFERROR(__xludf.DUMMYFUNCTION("IF(
  $I84="""",
  """",
  IF(
    COLUMN()-9 &gt;
    (1 + LEN(REGEXEXTRACT($I84,""^[0-9.]+"")) - LEN(SUBSTITUTE(REGEXEXTRACT($I84,""^[0-9.]+""),""."",""""))),
    """",
    INDEX(
      BEC_openBDF!$A:$D,
      MATCH(
        $I84,
        INDEX(
         "&amp;" BEC_openBDF!$A:$D,
          0,
          (1 + LEN(REGEXEXTRACT($I84,""^[0-9.]+"")) - LEN(SUBSTITUTE(REGEXEXTRACT($I84,""^[0-9.]+""),""."","""")))
        ),
        0
      ),
      COLUMN()-9
    )
  )
)"),"")</f>
        <v/>
      </c>
      <c r="N84" s="201"/>
      <c r="O84" s="193"/>
      <c r="P84" s="201"/>
      <c r="Q84" s="238"/>
      <c r="R84" s="238"/>
      <c r="S84" s="237"/>
      <c r="T84" s="238"/>
      <c r="U84" s="237"/>
      <c r="V84" s="237"/>
      <c r="W84" s="237"/>
      <c r="X84" s="237"/>
      <c r="Y84" s="237"/>
      <c r="Z84" s="238"/>
      <c r="AA84" s="237"/>
      <c r="AB84" s="238"/>
      <c r="AC84" s="238"/>
    </row>
    <row r="85" ht="18.75" customHeight="1">
      <c r="A85" s="232"/>
      <c r="B85" s="192"/>
      <c r="C85" s="193"/>
      <c r="D85" s="237"/>
      <c r="E85" s="237"/>
      <c r="F85" s="237"/>
      <c r="G85" s="237"/>
      <c r="H85" s="237"/>
      <c r="I85" s="192" t="s">
        <v>750</v>
      </c>
      <c r="J85" s="234" t="str">
        <f>IFERROR(__xludf.DUMMYFUNCTION("IF(
  $I85="""",
  """",
  IF(
    COLUMN()-9 &gt;
    (1 + LEN(REGEXEXTRACT($I85,""^[0-9.]+"")) - LEN(SUBSTITUTE(REGEXEXTRACT($I85,""^[0-9.]+""),""."",""""))),
    """",
    INDEX(
      BEC_openBDF!$A:$D,
      MATCH(
        $I85,
        INDEX(
         "&amp;" BEC_openBDF!$A:$D,
          0,
          (1 + LEN(REGEXEXTRACT($I85,""^[0-9.]+"")) - LEN(SUBSTITUTE(REGEXEXTRACT($I85,""^[0-9.]+""),""."","""")))
        ),
        0
      ),
      COLUMN()-9
    )
  )
)"),"..")</f>
        <v>..</v>
      </c>
      <c r="K85" s="234" t="str">
        <f>IFERROR(__xludf.DUMMYFUNCTION("IF(
  $I85="""",
  """",
  IF(
    COLUMN()-9 &gt;
    (1 + LEN(REGEXEXTRACT($I85,""^[0-9.]+"")) - LEN(SUBSTITUTE(REGEXEXTRACT($I85,""^[0-9.]+""),""."",""""))),
    """",
    INDEX(
      BEC_openBDF!$A:$D,
      MATCH(
        $I85,
        INDEX(
         "&amp;" BEC_openBDF!$A:$D,
          0,
          (1 + LEN(REGEXEXTRACT($I85,""^[0-9.]+"")) - LEN(SUBSTITUTE(REGEXEXTRACT($I85,""^[0-9.]+""),""."","""")))
        ),
        0
      ),
      COLUMN()-9
    )
  )
)"),"..")</f>
        <v>..</v>
      </c>
      <c r="L85" s="234" t="str">
        <f>IFERROR(__xludf.DUMMYFUNCTION("IF(
  $I85="""",
  """",
  IF(
    COLUMN()-9 &gt;
    (1 + LEN(REGEXEXTRACT($I85,""^[0-9.]+"")) - LEN(SUBSTITUTE(REGEXEXTRACT($I85,""^[0-9.]+""),""."",""""))),
    """",
    INDEX(
      BEC_openBDF!$A:$D,
      MATCH(
        $I85,
        INDEX(
         "&amp;" BEC_openBDF!$A:$D,
          0,
          (1 + LEN(REGEXEXTRACT($I85,""^[0-9.]+"")) - LEN(SUBSTITUTE(REGEXEXTRACT($I85,""^[0-9.]+""),""."","""")))
        ),
        0
      ),
      COLUMN()-9
    )
  )
)"),"..")</f>
        <v>..</v>
      </c>
      <c r="M85" s="234" t="str">
        <f>IFERROR(__xludf.DUMMYFUNCTION("IF(
  $I85="""",
  """",
  IF(
    COLUMN()-9 &gt;
    (1 + LEN(REGEXEXTRACT($I85,""^[0-9.]+"")) - LEN(SUBSTITUTE(REGEXEXTRACT($I85,""^[0-9.]+""),""."",""""))),
    """",
    INDEX(
      BEC_openBDF!$A:$D,
      MATCH(
        $I85,
        INDEX(
         "&amp;" BEC_openBDF!$A:$D,
          0,
          (1 + LEN(REGEXEXTRACT($I85,""^[0-9.]+"")) - LEN(SUBSTITUTE(REGEXEXTRACT($I85,""^[0-9.]+""),""."","""")))
        ),
        0
      ),
      COLUMN()-9
    )
  )
)"),"")</f>
        <v/>
      </c>
      <c r="N85" s="201"/>
      <c r="O85" s="193"/>
      <c r="P85" s="201"/>
      <c r="Q85" s="238"/>
      <c r="R85" s="238"/>
      <c r="S85" s="237"/>
      <c r="T85" s="238"/>
      <c r="U85" s="237"/>
      <c r="V85" s="237"/>
      <c r="W85" s="237"/>
      <c r="X85" s="237"/>
      <c r="Y85" s="237"/>
      <c r="Z85" s="238"/>
      <c r="AA85" s="237"/>
      <c r="AB85" s="238"/>
      <c r="AC85" s="238"/>
    </row>
    <row r="86" ht="18.75" customHeight="1">
      <c r="A86" s="232"/>
      <c r="B86" s="192"/>
      <c r="C86" s="193"/>
      <c r="D86" s="237"/>
      <c r="E86" s="237"/>
      <c r="F86" s="237"/>
      <c r="G86" s="237"/>
      <c r="H86" s="237"/>
      <c r="I86" s="192" t="s">
        <v>750</v>
      </c>
      <c r="J86" s="234" t="str">
        <f>IFERROR(__xludf.DUMMYFUNCTION("IF(
  $I86="""",
  """",
  IF(
    COLUMN()-9 &gt;
    (1 + LEN(REGEXEXTRACT($I86,""^[0-9.]+"")) - LEN(SUBSTITUTE(REGEXEXTRACT($I86,""^[0-9.]+""),""."",""""))),
    """",
    INDEX(
      BEC_openBDF!$A:$D,
      MATCH(
        $I86,
        INDEX(
         "&amp;" BEC_openBDF!$A:$D,
          0,
          (1 + LEN(REGEXEXTRACT($I86,""^[0-9.]+"")) - LEN(SUBSTITUTE(REGEXEXTRACT($I86,""^[0-9.]+""),""."","""")))
        ),
        0
      ),
      COLUMN()-9
    )
  )
)"),"..")</f>
        <v>..</v>
      </c>
      <c r="K86" s="234" t="str">
        <f>IFERROR(__xludf.DUMMYFUNCTION("IF(
  $I86="""",
  """",
  IF(
    COLUMN()-9 &gt;
    (1 + LEN(REGEXEXTRACT($I86,""^[0-9.]+"")) - LEN(SUBSTITUTE(REGEXEXTRACT($I86,""^[0-9.]+""),""."",""""))),
    """",
    INDEX(
      BEC_openBDF!$A:$D,
      MATCH(
        $I86,
        INDEX(
         "&amp;" BEC_openBDF!$A:$D,
          0,
          (1 + LEN(REGEXEXTRACT($I86,""^[0-9.]+"")) - LEN(SUBSTITUTE(REGEXEXTRACT($I86,""^[0-9.]+""),""."","""")))
        ),
        0
      ),
      COLUMN()-9
    )
  )
)"),"..")</f>
        <v>..</v>
      </c>
      <c r="L86" s="234" t="str">
        <f>IFERROR(__xludf.DUMMYFUNCTION("IF(
  $I86="""",
  """",
  IF(
    COLUMN()-9 &gt;
    (1 + LEN(REGEXEXTRACT($I86,""^[0-9.]+"")) - LEN(SUBSTITUTE(REGEXEXTRACT($I86,""^[0-9.]+""),""."",""""))),
    """",
    INDEX(
      BEC_openBDF!$A:$D,
      MATCH(
        $I86,
        INDEX(
         "&amp;" BEC_openBDF!$A:$D,
          0,
          (1 + LEN(REGEXEXTRACT($I86,""^[0-9.]+"")) - LEN(SUBSTITUTE(REGEXEXTRACT($I86,""^[0-9.]+""),""."","""")))
        ),
        0
      ),
      COLUMN()-9
    )
  )
)"),"..")</f>
        <v>..</v>
      </c>
      <c r="M86" s="234" t="str">
        <f>IFERROR(__xludf.DUMMYFUNCTION("IF(
  $I86="""",
  """",
  IF(
    COLUMN()-9 &gt;
    (1 + LEN(REGEXEXTRACT($I86,""^[0-9.]+"")) - LEN(SUBSTITUTE(REGEXEXTRACT($I86,""^[0-9.]+""),""."",""""))),
    """",
    INDEX(
      BEC_openBDF!$A:$D,
      MATCH(
        $I86,
        INDEX(
         "&amp;" BEC_openBDF!$A:$D,
          0,
          (1 + LEN(REGEXEXTRACT($I86,""^[0-9.]+"")) - LEN(SUBSTITUTE(REGEXEXTRACT($I86,""^[0-9.]+""),""."","""")))
        ),
        0
      ),
      COLUMN()-9
    )
  )
)"),"")</f>
        <v/>
      </c>
      <c r="N86" s="201"/>
      <c r="O86" s="193"/>
      <c r="P86" s="201"/>
      <c r="Q86" s="238"/>
      <c r="R86" s="238"/>
      <c r="S86" s="237"/>
      <c r="T86" s="238"/>
      <c r="U86" s="237"/>
      <c r="V86" s="237"/>
      <c r="W86" s="237"/>
      <c r="X86" s="237"/>
      <c r="Y86" s="237"/>
      <c r="Z86" s="238"/>
      <c r="AA86" s="237"/>
      <c r="AB86" s="238"/>
      <c r="AC86" s="238"/>
    </row>
    <row r="87" ht="18.75" customHeight="1">
      <c r="A87" s="232"/>
      <c r="B87" s="192"/>
      <c r="C87" s="193"/>
      <c r="D87" s="237"/>
      <c r="E87" s="237"/>
      <c r="F87" s="237"/>
      <c r="G87" s="237"/>
      <c r="H87" s="237"/>
      <c r="I87" s="192" t="s">
        <v>750</v>
      </c>
      <c r="J87" s="234" t="str">
        <f>IFERROR(__xludf.DUMMYFUNCTION("IF(
  $I87="""",
  """",
  IF(
    COLUMN()-9 &gt;
    (1 + LEN(REGEXEXTRACT($I87,""^[0-9.]+"")) - LEN(SUBSTITUTE(REGEXEXTRACT($I87,""^[0-9.]+""),""."",""""))),
    """",
    INDEX(
      BEC_openBDF!$A:$D,
      MATCH(
        $I87,
        INDEX(
         "&amp;" BEC_openBDF!$A:$D,
          0,
          (1 + LEN(REGEXEXTRACT($I87,""^[0-9.]+"")) - LEN(SUBSTITUTE(REGEXEXTRACT($I87,""^[0-9.]+""),""."","""")))
        ),
        0
      ),
      COLUMN()-9
    )
  )
)"),"..")</f>
        <v>..</v>
      </c>
      <c r="K87" s="234" t="str">
        <f>IFERROR(__xludf.DUMMYFUNCTION("IF(
  $I87="""",
  """",
  IF(
    COLUMN()-9 &gt;
    (1 + LEN(REGEXEXTRACT($I87,""^[0-9.]+"")) - LEN(SUBSTITUTE(REGEXEXTRACT($I87,""^[0-9.]+""),""."",""""))),
    """",
    INDEX(
      BEC_openBDF!$A:$D,
      MATCH(
        $I87,
        INDEX(
         "&amp;" BEC_openBDF!$A:$D,
          0,
          (1 + LEN(REGEXEXTRACT($I87,""^[0-9.]+"")) - LEN(SUBSTITUTE(REGEXEXTRACT($I87,""^[0-9.]+""),""."","""")))
        ),
        0
      ),
      COLUMN()-9
    )
  )
)"),"..")</f>
        <v>..</v>
      </c>
      <c r="L87" s="234" t="str">
        <f>IFERROR(__xludf.DUMMYFUNCTION("IF(
  $I87="""",
  """",
  IF(
    COLUMN()-9 &gt;
    (1 + LEN(REGEXEXTRACT($I87,""^[0-9.]+"")) - LEN(SUBSTITUTE(REGEXEXTRACT($I87,""^[0-9.]+""),""."",""""))),
    """",
    INDEX(
      BEC_openBDF!$A:$D,
      MATCH(
        $I87,
        INDEX(
         "&amp;" BEC_openBDF!$A:$D,
          0,
          (1 + LEN(REGEXEXTRACT($I87,""^[0-9.]+"")) - LEN(SUBSTITUTE(REGEXEXTRACT($I87,""^[0-9.]+""),""."","""")))
        ),
        0
      ),
      COLUMN()-9
    )
  )
)"),"..")</f>
        <v>..</v>
      </c>
      <c r="M87" s="234" t="str">
        <f>IFERROR(__xludf.DUMMYFUNCTION("IF(
  $I87="""",
  """",
  IF(
    COLUMN()-9 &gt;
    (1 + LEN(REGEXEXTRACT($I87,""^[0-9.]+"")) - LEN(SUBSTITUTE(REGEXEXTRACT($I87,""^[0-9.]+""),""."",""""))),
    """",
    INDEX(
      BEC_openBDF!$A:$D,
      MATCH(
        $I87,
        INDEX(
         "&amp;" BEC_openBDF!$A:$D,
          0,
          (1 + LEN(REGEXEXTRACT($I87,""^[0-9.]+"")) - LEN(SUBSTITUTE(REGEXEXTRACT($I87,""^[0-9.]+""),""."","""")))
        ),
        0
      ),
      COLUMN()-9
    )
  )
)"),"")</f>
        <v/>
      </c>
      <c r="N87" s="201"/>
      <c r="O87" s="193"/>
      <c r="P87" s="201"/>
      <c r="Q87" s="238"/>
      <c r="R87" s="238"/>
      <c r="S87" s="237"/>
      <c r="T87" s="238"/>
      <c r="U87" s="237"/>
      <c r="V87" s="237"/>
      <c r="W87" s="237"/>
      <c r="X87" s="237"/>
      <c r="Y87" s="237"/>
      <c r="Z87" s="238"/>
      <c r="AA87" s="237"/>
      <c r="AB87" s="238"/>
      <c r="AC87" s="238"/>
    </row>
    <row r="88" ht="18.75" customHeight="1">
      <c r="A88" s="232"/>
      <c r="B88" s="192"/>
      <c r="C88" s="193"/>
      <c r="D88" s="237"/>
      <c r="E88" s="237"/>
      <c r="F88" s="237"/>
      <c r="G88" s="237"/>
      <c r="H88" s="237"/>
      <c r="I88" s="192" t="s">
        <v>750</v>
      </c>
      <c r="J88" s="234" t="str">
        <f>IFERROR(__xludf.DUMMYFUNCTION("IF(
  $I88="""",
  """",
  IF(
    COLUMN()-9 &gt;
    (1 + LEN(REGEXEXTRACT($I88,""^[0-9.]+"")) - LEN(SUBSTITUTE(REGEXEXTRACT($I88,""^[0-9.]+""),""."",""""))),
    """",
    INDEX(
      BEC_openBDF!$A:$D,
      MATCH(
        $I88,
        INDEX(
         "&amp;" BEC_openBDF!$A:$D,
          0,
          (1 + LEN(REGEXEXTRACT($I88,""^[0-9.]+"")) - LEN(SUBSTITUTE(REGEXEXTRACT($I88,""^[0-9.]+""),""."","""")))
        ),
        0
      ),
      COLUMN()-9
    )
  )
)"),"..")</f>
        <v>..</v>
      </c>
      <c r="K88" s="234" t="str">
        <f>IFERROR(__xludf.DUMMYFUNCTION("IF(
  $I88="""",
  """",
  IF(
    COLUMN()-9 &gt;
    (1 + LEN(REGEXEXTRACT($I88,""^[0-9.]+"")) - LEN(SUBSTITUTE(REGEXEXTRACT($I88,""^[0-9.]+""),""."",""""))),
    """",
    INDEX(
      BEC_openBDF!$A:$D,
      MATCH(
        $I88,
        INDEX(
         "&amp;" BEC_openBDF!$A:$D,
          0,
          (1 + LEN(REGEXEXTRACT($I88,""^[0-9.]+"")) - LEN(SUBSTITUTE(REGEXEXTRACT($I88,""^[0-9.]+""),""."","""")))
        ),
        0
      ),
      COLUMN()-9
    )
  )
)"),"..")</f>
        <v>..</v>
      </c>
      <c r="L88" s="234" t="str">
        <f>IFERROR(__xludf.DUMMYFUNCTION("IF(
  $I88="""",
  """",
  IF(
    COLUMN()-9 &gt;
    (1 + LEN(REGEXEXTRACT($I88,""^[0-9.]+"")) - LEN(SUBSTITUTE(REGEXEXTRACT($I88,""^[0-9.]+""),""."",""""))),
    """",
    INDEX(
      BEC_openBDF!$A:$D,
      MATCH(
        $I88,
        INDEX(
         "&amp;" BEC_openBDF!$A:$D,
          0,
          (1 + LEN(REGEXEXTRACT($I88,""^[0-9.]+"")) - LEN(SUBSTITUTE(REGEXEXTRACT($I88,""^[0-9.]+""),""."","""")))
        ),
        0
      ),
      COLUMN()-9
    )
  )
)"),"..")</f>
        <v>..</v>
      </c>
      <c r="M88" s="234" t="str">
        <f>IFERROR(__xludf.DUMMYFUNCTION("IF(
  $I88="""",
  """",
  IF(
    COLUMN()-9 &gt;
    (1 + LEN(REGEXEXTRACT($I88,""^[0-9.]+"")) - LEN(SUBSTITUTE(REGEXEXTRACT($I88,""^[0-9.]+""),""."",""""))),
    """",
    INDEX(
      BEC_openBDF!$A:$D,
      MATCH(
        $I88,
        INDEX(
         "&amp;" BEC_openBDF!$A:$D,
          0,
          (1 + LEN(REGEXEXTRACT($I88,""^[0-9.]+"")) - LEN(SUBSTITUTE(REGEXEXTRACT($I88,""^[0-9.]+""),""."","""")))
        ),
        0
      ),
      COLUMN()-9
    )
  )
)"),"")</f>
        <v/>
      </c>
      <c r="N88" s="201"/>
      <c r="O88" s="193"/>
      <c r="P88" s="201"/>
      <c r="Q88" s="238"/>
      <c r="R88" s="238"/>
      <c r="S88" s="237"/>
      <c r="T88" s="238"/>
      <c r="U88" s="237"/>
      <c r="V88" s="237"/>
      <c r="W88" s="237"/>
      <c r="X88" s="237"/>
      <c r="Y88" s="237"/>
      <c r="Z88" s="238"/>
      <c r="AA88" s="237"/>
      <c r="AB88" s="238"/>
      <c r="AC88" s="238"/>
    </row>
    <row r="89" ht="18.75" customHeight="1">
      <c r="A89" s="232"/>
      <c r="B89" s="192"/>
      <c r="C89" s="193"/>
      <c r="D89" s="237"/>
      <c r="E89" s="237"/>
      <c r="F89" s="237"/>
      <c r="G89" s="237"/>
      <c r="H89" s="237"/>
      <c r="I89" s="192" t="s">
        <v>750</v>
      </c>
      <c r="J89" s="234" t="str">
        <f>IFERROR(__xludf.DUMMYFUNCTION("IF(
  $I89="""",
  """",
  IF(
    COLUMN()-9 &gt;
    (1 + LEN(REGEXEXTRACT($I89,""^[0-9.]+"")) - LEN(SUBSTITUTE(REGEXEXTRACT($I89,""^[0-9.]+""),""."",""""))),
    """",
    INDEX(
      BEC_openBDF!$A:$D,
      MATCH(
        $I89,
        INDEX(
         "&amp;" BEC_openBDF!$A:$D,
          0,
          (1 + LEN(REGEXEXTRACT($I89,""^[0-9.]+"")) - LEN(SUBSTITUTE(REGEXEXTRACT($I89,""^[0-9.]+""),""."","""")))
        ),
        0
      ),
      COLUMN()-9
    )
  )
)"),"..")</f>
        <v>..</v>
      </c>
      <c r="K89" s="234" t="str">
        <f>IFERROR(__xludf.DUMMYFUNCTION("IF(
  $I89="""",
  """",
  IF(
    COLUMN()-9 &gt;
    (1 + LEN(REGEXEXTRACT($I89,""^[0-9.]+"")) - LEN(SUBSTITUTE(REGEXEXTRACT($I89,""^[0-9.]+""),""."",""""))),
    """",
    INDEX(
      BEC_openBDF!$A:$D,
      MATCH(
        $I89,
        INDEX(
         "&amp;" BEC_openBDF!$A:$D,
          0,
          (1 + LEN(REGEXEXTRACT($I89,""^[0-9.]+"")) - LEN(SUBSTITUTE(REGEXEXTRACT($I89,""^[0-9.]+""),""."","""")))
        ),
        0
      ),
      COLUMN()-9
    )
  )
)"),"..")</f>
        <v>..</v>
      </c>
      <c r="L89" s="234" t="str">
        <f>IFERROR(__xludf.DUMMYFUNCTION("IF(
  $I89="""",
  """",
  IF(
    COLUMN()-9 &gt;
    (1 + LEN(REGEXEXTRACT($I89,""^[0-9.]+"")) - LEN(SUBSTITUTE(REGEXEXTRACT($I89,""^[0-9.]+""),""."",""""))),
    """",
    INDEX(
      BEC_openBDF!$A:$D,
      MATCH(
        $I89,
        INDEX(
         "&amp;" BEC_openBDF!$A:$D,
          0,
          (1 + LEN(REGEXEXTRACT($I89,""^[0-9.]+"")) - LEN(SUBSTITUTE(REGEXEXTRACT($I89,""^[0-9.]+""),""."","""")))
        ),
        0
      ),
      COLUMN()-9
    )
  )
)"),"..")</f>
        <v>..</v>
      </c>
      <c r="M89" s="234" t="str">
        <f>IFERROR(__xludf.DUMMYFUNCTION("IF(
  $I89="""",
  """",
  IF(
    COLUMN()-9 &gt;
    (1 + LEN(REGEXEXTRACT($I89,""^[0-9.]+"")) - LEN(SUBSTITUTE(REGEXEXTRACT($I89,""^[0-9.]+""),""."",""""))),
    """",
    INDEX(
      BEC_openBDF!$A:$D,
      MATCH(
        $I89,
        INDEX(
         "&amp;" BEC_openBDF!$A:$D,
          0,
          (1 + LEN(REGEXEXTRACT($I89,""^[0-9.]+"")) - LEN(SUBSTITUTE(REGEXEXTRACT($I89,""^[0-9.]+""),""."","""")))
        ),
        0
      ),
      COLUMN()-9
    )
  )
)"),"")</f>
        <v/>
      </c>
      <c r="N89" s="201"/>
      <c r="O89" s="193"/>
      <c r="P89" s="201"/>
      <c r="Q89" s="238"/>
      <c r="R89" s="238"/>
      <c r="S89" s="237"/>
      <c r="T89" s="238"/>
      <c r="U89" s="237"/>
      <c r="V89" s="237"/>
      <c r="W89" s="237"/>
      <c r="X89" s="237"/>
      <c r="Y89" s="237"/>
      <c r="Z89" s="238"/>
      <c r="AA89" s="237"/>
      <c r="AB89" s="238"/>
      <c r="AC89" s="238"/>
    </row>
    <row r="90" ht="18.75" customHeight="1">
      <c r="A90" s="232"/>
      <c r="B90" s="192"/>
      <c r="C90" s="193"/>
      <c r="D90" s="237"/>
      <c r="E90" s="237"/>
      <c r="F90" s="237"/>
      <c r="G90" s="237"/>
      <c r="H90" s="237"/>
      <c r="I90" s="192" t="s">
        <v>750</v>
      </c>
      <c r="J90" s="234" t="str">
        <f>IFERROR(__xludf.DUMMYFUNCTION("IF(
  $I90="""",
  """",
  IF(
    COLUMN()-9 &gt;
    (1 + LEN(REGEXEXTRACT($I90,""^[0-9.]+"")) - LEN(SUBSTITUTE(REGEXEXTRACT($I90,""^[0-9.]+""),""."",""""))),
    """",
    INDEX(
      BEC_openBDF!$A:$D,
      MATCH(
        $I90,
        INDEX(
         "&amp;" BEC_openBDF!$A:$D,
          0,
          (1 + LEN(REGEXEXTRACT($I90,""^[0-9.]+"")) - LEN(SUBSTITUTE(REGEXEXTRACT($I90,""^[0-9.]+""),""."","""")))
        ),
        0
      ),
      COLUMN()-9
    )
  )
)"),"..")</f>
        <v>..</v>
      </c>
      <c r="K90" s="234" t="str">
        <f>IFERROR(__xludf.DUMMYFUNCTION("IF(
  $I90="""",
  """",
  IF(
    COLUMN()-9 &gt;
    (1 + LEN(REGEXEXTRACT($I90,""^[0-9.]+"")) - LEN(SUBSTITUTE(REGEXEXTRACT($I90,""^[0-9.]+""),""."",""""))),
    """",
    INDEX(
      BEC_openBDF!$A:$D,
      MATCH(
        $I90,
        INDEX(
         "&amp;" BEC_openBDF!$A:$D,
          0,
          (1 + LEN(REGEXEXTRACT($I90,""^[0-9.]+"")) - LEN(SUBSTITUTE(REGEXEXTRACT($I90,""^[0-9.]+""),""."","""")))
        ),
        0
      ),
      COLUMN()-9
    )
  )
)"),"..")</f>
        <v>..</v>
      </c>
      <c r="L90" s="234" t="str">
        <f>IFERROR(__xludf.DUMMYFUNCTION("IF(
  $I90="""",
  """",
  IF(
    COLUMN()-9 &gt;
    (1 + LEN(REGEXEXTRACT($I90,""^[0-9.]+"")) - LEN(SUBSTITUTE(REGEXEXTRACT($I90,""^[0-9.]+""),""."",""""))),
    """",
    INDEX(
      BEC_openBDF!$A:$D,
      MATCH(
        $I90,
        INDEX(
         "&amp;" BEC_openBDF!$A:$D,
          0,
          (1 + LEN(REGEXEXTRACT($I90,""^[0-9.]+"")) - LEN(SUBSTITUTE(REGEXEXTRACT($I90,""^[0-9.]+""),""."","""")))
        ),
        0
      ),
      COLUMN()-9
    )
  )
)"),"..")</f>
        <v>..</v>
      </c>
      <c r="M90" s="234" t="str">
        <f>IFERROR(__xludf.DUMMYFUNCTION("IF(
  $I90="""",
  """",
  IF(
    COLUMN()-9 &gt;
    (1 + LEN(REGEXEXTRACT($I90,""^[0-9.]+"")) - LEN(SUBSTITUTE(REGEXEXTRACT($I90,""^[0-9.]+""),""."",""""))),
    """",
    INDEX(
      BEC_openBDF!$A:$D,
      MATCH(
        $I90,
        INDEX(
         "&amp;" BEC_openBDF!$A:$D,
          0,
          (1 + LEN(REGEXEXTRACT($I90,""^[0-9.]+"")) - LEN(SUBSTITUTE(REGEXEXTRACT($I90,""^[0-9.]+""),""."","""")))
        ),
        0
      ),
      COLUMN()-9
    )
  )
)"),"")</f>
        <v/>
      </c>
      <c r="N90" s="201"/>
      <c r="O90" s="193"/>
      <c r="P90" s="201"/>
      <c r="Q90" s="238"/>
      <c r="R90" s="238"/>
      <c r="S90" s="237"/>
      <c r="T90" s="238"/>
      <c r="U90" s="237"/>
      <c r="V90" s="237"/>
      <c r="W90" s="237"/>
      <c r="X90" s="237"/>
      <c r="Y90" s="237"/>
      <c r="Z90" s="238"/>
      <c r="AA90" s="237"/>
      <c r="AB90" s="238"/>
      <c r="AC90" s="238"/>
    </row>
    <row r="91" ht="18.75" customHeight="1">
      <c r="A91" s="232"/>
      <c r="B91" s="192"/>
      <c r="C91" s="193"/>
      <c r="D91" s="237"/>
      <c r="E91" s="237"/>
      <c r="F91" s="237"/>
      <c r="G91" s="237"/>
      <c r="H91" s="237"/>
      <c r="I91" s="192" t="s">
        <v>750</v>
      </c>
      <c r="J91" s="234" t="str">
        <f>IFERROR(__xludf.DUMMYFUNCTION("IF(
  $I91="""",
  """",
  IF(
    COLUMN()-9 &gt;
    (1 + LEN(REGEXEXTRACT($I91,""^[0-9.]+"")) - LEN(SUBSTITUTE(REGEXEXTRACT($I91,""^[0-9.]+""),""."",""""))),
    """",
    INDEX(
      BEC_openBDF!$A:$D,
      MATCH(
        $I91,
        INDEX(
         "&amp;" BEC_openBDF!$A:$D,
          0,
          (1 + LEN(REGEXEXTRACT($I91,""^[0-9.]+"")) - LEN(SUBSTITUTE(REGEXEXTRACT($I91,""^[0-9.]+""),""."","""")))
        ),
        0
      ),
      COLUMN()-9
    )
  )
)"),"..")</f>
        <v>..</v>
      </c>
      <c r="K91" s="234" t="str">
        <f>IFERROR(__xludf.DUMMYFUNCTION("IF(
  $I91="""",
  """",
  IF(
    COLUMN()-9 &gt;
    (1 + LEN(REGEXEXTRACT($I91,""^[0-9.]+"")) - LEN(SUBSTITUTE(REGEXEXTRACT($I91,""^[0-9.]+""),""."",""""))),
    """",
    INDEX(
      BEC_openBDF!$A:$D,
      MATCH(
        $I91,
        INDEX(
         "&amp;" BEC_openBDF!$A:$D,
          0,
          (1 + LEN(REGEXEXTRACT($I91,""^[0-9.]+"")) - LEN(SUBSTITUTE(REGEXEXTRACT($I91,""^[0-9.]+""),""."","""")))
        ),
        0
      ),
      COLUMN()-9
    )
  )
)"),"..")</f>
        <v>..</v>
      </c>
      <c r="L91" s="234" t="str">
        <f>IFERROR(__xludf.DUMMYFUNCTION("IF(
  $I91="""",
  """",
  IF(
    COLUMN()-9 &gt;
    (1 + LEN(REGEXEXTRACT($I91,""^[0-9.]+"")) - LEN(SUBSTITUTE(REGEXEXTRACT($I91,""^[0-9.]+""),""."",""""))),
    """",
    INDEX(
      BEC_openBDF!$A:$D,
      MATCH(
        $I91,
        INDEX(
         "&amp;" BEC_openBDF!$A:$D,
          0,
          (1 + LEN(REGEXEXTRACT($I91,""^[0-9.]+"")) - LEN(SUBSTITUTE(REGEXEXTRACT($I91,""^[0-9.]+""),""."","""")))
        ),
        0
      ),
      COLUMN()-9
    )
  )
)"),"..")</f>
        <v>..</v>
      </c>
      <c r="M91" s="234" t="str">
        <f>IFERROR(__xludf.DUMMYFUNCTION("IF(
  $I91="""",
  """",
  IF(
    COLUMN()-9 &gt;
    (1 + LEN(REGEXEXTRACT($I91,""^[0-9.]+"")) - LEN(SUBSTITUTE(REGEXEXTRACT($I91,""^[0-9.]+""),""."",""""))),
    """",
    INDEX(
      BEC_openBDF!$A:$D,
      MATCH(
        $I91,
        INDEX(
         "&amp;" BEC_openBDF!$A:$D,
          0,
          (1 + LEN(REGEXEXTRACT($I91,""^[0-9.]+"")) - LEN(SUBSTITUTE(REGEXEXTRACT($I91,""^[0-9.]+""),""."","""")))
        ),
        0
      ),
      COLUMN()-9
    )
  )
)"),"")</f>
        <v/>
      </c>
      <c r="N91" s="201"/>
      <c r="O91" s="193"/>
      <c r="P91" s="201"/>
      <c r="Q91" s="238"/>
      <c r="R91" s="238"/>
      <c r="S91" s="237"/>
      <c r="T91" s="238"/>
      <c r="U91" s="237"/>
      <c r="V91" s="237"/>
      <c r="W91" s="237"/>
      <c r="X91" s="237"/>
      <c r="Y91" s="237"/>
      <c r="Z91" s="238"/>
      <c r="AA91" s="237"/>
      <c r="AB91" s="238"/>
      <c r="AC91" s="238"/>
    </row>
    <row r="92" ht="18.75" customHeight="1">
      <c r="A92" s="232"/>
      <c r="B92" s="192"/>
      <c r="C92" s="193"/>
      <c r="D92" s="237"/>
      <c r="E92" s="237"/>
      <c r="F92" s="237"/>
      <c r="G92" s="237"/>
      <c r="H92" s="237"/>
      <c r="I92" s="192" t="s">
        <v>750</v>
      </c>
      <c r="J92" s="234" t="str">
        <f>IFERROR(__xludf.DUMMYFUNCTION("IF(
  $I92="""",
  """",
  IF(
    COLUMN()-9 &gt;
    (1 + LEN(REGEXEXTRACT($I92,""^[0-9.]+"")) - LEN(SUBSTITUTE(REGEXEXTRACT($I92,""^[0-9.]+""),""."",""""))),
    """",
    INDEX(
      BEC_openBDF!$A:$D,
      MATCH(
        $I92,
        INDEX(
         "&amp;" BEC_openBDF!$A:$D,
          0,
          (1 + LEN(REGEXEXTRACT($I92,""^[0-9.]+"")) - LEN(SUBSTITUTE(REGEXEXTRACT($I92,""^[0-9.]+""),""."","""")))
        ),
        0
      ),
      COLUMN()-9
    )
  )
)"),"..")</f>
        <v>..</v>
      </c>
      <c r="K92" s="234" t="str">
        <f>IFERROR(__xludf.DUMMYFUNCTION("IF(
  $I92="""",
  """",
  IF(
    COLUMN()-9 &gt;
    (1 + LEN(REGEXEXTRACT($I92,""^[0-9.]+"")) - LEN(SUBSTITUTE(REGEXEXTRACT($I92,""^[0-9.]+""),""."",""""))),
    """",
    INDEX(
      BEC_openBDF!$A:$D,
      MATCH(
        $I92,
        INDEX(
         "&amp;" BEC_openBDF!$A:$D,
          0,
          (1 + LEN(REGEXEXTRACT($I92,""^[0-9.]+"")) - LEN(SUBSTITUTE(REGEXEXTRACT($I92,""^[0-9.]+""),""."","""")))
        ),
        0
      ),
      COLUMN()-9
    )
  )
)"),"..")</f>
        <v>..</v>
      </c>
      <c r="L92" s="234" t="str">
        <f>IFERROR(__xludf.DUMMYFUNCTION("IF(
  $I92="""",
  """",
  IF(
    COLUMN()-9 &gt;
    (1 + LEN(REGEXEXTRACT($I92,""^[0-9.]+"")) - LEN(SUBSTITUTE(REGEXEXTRACT($I92,""^[0-9.]+""),""."",""""))),
    """",
    INDEX(
      BEC_openBDF!$A:$D,
      MATCH(
        $I92,
        INDEX(
         "&amp;" BEC_openBDF!$A:$D,
          0,
          (1 + LEN(REGEXEXTRACT($I92,""^[0-9.]+"")) - LEN(SUBSTITUTE(REGEXEXTRACT($I92,""^[0-9.]+""),""."","""")))
        ),
        0
      ),
      COLUMN()-9
    )
  )
)"),"..")</f>
        <v>..</v>
      </c>
      <c r="M92" s="234" t="str">
        <f>IFERROR(__xludf.DUMMYFUNCTION("IF(
  $I92="""",
  """",
  IF(
    COLUMN()-9 &gt;
    (1 + LEN(REGEXEXTRACT($I92,""^[0-9.]+"")) - LEN(SUBSTITUTE(REGEXEXTRACT($I92,""^[0-9.]+""),""."",""""))),
    """",
    INDEX(
      BEC_openBDF!$A:$D,
      MATCH(
        $I92,
        INDEX(
         "&amp;" BEC_openBDF!$A:$D,
          0,
          (1 + LEN(REGEXEXTRACT($I92,""^[0-9.]+"")) - LEN(SUBSTITUTE(REGEXEXTRACT($I92,""^[0-9.]+""),""."","""")))
        ),
        0
      ),
      COLUMN()-9
    )
  )
)"),"")</f>
        <v/>
      </c>
      <c r="N92" s="201"/>
      <c r="O92" s="193"/>
      <c r="P92" s="201"/>
      <c r="Q92" s="238"/>
      <c r="R92" s="238"/>
      <c r="S92" s="237"/>
      <c r="T92" s="238"/>
      <c r="U92" s="237"/>
      <c r="V92" s="237"/>
      <c r="W92" s="237"/>
      <c r="X92" s="237"/>
      <c r="Y92" s="237"/>
      <c r="Z92" s="238"/>
      <c r="AA92" s="237"/>
      <c r="AB92" s="238"/>
      <c r="AC92" s="238"/>
    </row>
    <row r="93" ht="18.75" customHeight="1">
      <c r="A93" s="232"/>
      <c r="B93" s="192"/>
      <c r="C93" s="193"/>
      <c r="D93" s="237"/>
      <c r="E93" s="237"/>
      <c r="F93" s="237"/>
      <c r="G93" s="237"/>
      <c r="H93" s="237"/>
      <c r="I93" s="192" t="s">
        <v>750</v>
      </c>
      <c r="J93" s="234" t="str">
        <f>IFERROR(__xludf.DUMMYFUNCTION("IF(
  $I93="""",
  """",
  IF(
    COLUMN()-9 &gt;
    (1 + LEN(REGEXEXTRACT($I93,""^[0-9.]+"")) - LEN(SUBSTITUTE(REGEXEXTRACT($I93,""^[0-9.]+""),""."",""""))),
    """",
    INDEX(
      BEC_openBDF!$A:$D,
      MATCH(
        $I93,
        INDEX(
         "&amp;" BEC_openBDF!$A:$D,
          0,
          (1 + LEN(REGEXEXTRACT($I93,""^[0-9.]+"")) - LEN(SUBSTITUTE(REGEXEXTRACT($I93,""^[0-9.]+""),""."","""")))
        ),
        0
      ),
      COLUMN()-9
    )
  )
)"),"..")</f>
        <v>..</v>
      </c>
      <c r="K93" s="234" t="str">
        <f>IFERROR(__xludf.DUMMYFUNCTION("IF(
  $I93="""",
  """",
  IF(
    COLUMN()-9 &gt;
    (1 + LEN(REGEXEXTRACT($I93,""^[0-9.]+"")) - LEN(SUBSTITUTE(REGEXEXTRACT($I93,""^[0-9.]+""),""."",""""))),
    """",
    INDEX(
      BEC_openBDF!$A:$D,
      MATCH(
        $I93,
        INDEX(
         "&amp;" BEC_openBDF!$A:$D,
          0,
          (1 + LEN(REGEXEXTRACT($I93,""^[0-9.]+"")) - LEN(SUBSTITUTE(REGEXEXTRACT($I93,""^[0-9.]+""),""."","""")))
        ),
        0
      ),
      COLUMN()-9
    )
  )
)"),"..")</f>
        <v>..</v>
      </c>
      <c r="L93" s="234" t="str">
        <f>IFERROR(__xludf.DUMMYFUNCTION("IF(
  $I93="""",
  """",
  IF(
    COLUMN()-9 &gt;
    (1 + LEN(REGEXEXTRACT($I93,""^[0-9.]+"")) - LEN(SUBSTITUTE(REGEXEXTRACT($I93,""^[0-9.]+""),""."",""""))),
    """",
    INDEX(
      BEC_openBDF!$A:$D,
      MATCH(
        $I93,
        INDEX(
         "&amp;" BEC_openBDF!$A:$D,
          0,
          (1 + LEN(REGEXEXTRACT($I93,""^[0-9.]+"")) - LEN(SUBSTITUTE(REGEXEXTRACT($I93,""^[0-9.]+""),""."","""")))
        ),
        0
      ),
      COLUMN()-9
    )
  )
)"),"..")</f>
        <v>..</v>
      </c>
      <c r="M93" s="234" t="str">
        <f>IFERROR(__xludf.DUMMYFUNCTION("IF(
  $I93="""",
  """",
  IF(
    COLUMN()-9 &gt;
    (1 + LEN(REGEXEXTRACT($I93,""^[0-9.]+"")) - LEN(SUBSTITUTE(REGEXEXTRACT($I93,""^[0-9.]+""),""."",""""))),
    """",
    INDEX(
      BEC_openBDF!$A:$D,
      MATCH(
        $I93,
        INDEX(
         "&amp;" BEC_openBDF!$A:$D,
          0,
          (1 + LEN(REGEXEXTRACT($I93,""^[0-9.]+"")) - LEN(SUBSTITUTE(REGEXEXTRACT($I93,""^[0-9.]+""),""."","""")))
        ),
        0
      ),
      COLUMN()-9
    )
  )
)"),"")</f>
        <v/>
      </c>
      <c r="N93" s="201"/>
      <c r="O93" s="193"/>
      <c r="P93" s="201"/>
      <c r="Q93" s="238"/>
      <c r="R93" s="238"/>
      <c r="S93" s="237"/>
      <c r="T93" s="238"/>
      <c r="U93" s="237"/>
      <c r="V93" s="237"/>
      <c r="W93" s="237"/>
      <c r="X93" s="237"/>
      <c r="Y93" s="237"/>
      <c r="Z93" s="238"/>
      <c r="AA93" s="237"/>
      <c r="AB93" s="238"/>
      <c r="AC93" s="238"/>
    </row>
    <row r="94" ht="18.75" customHeight="1">
      <c r="A94" s="232"/>
      <c r="B94" s="192"/>
      <c r="C94" s="193"/>
      <c r="D94" s="237"/>
      <c r="E94" s="237"/>
      <c r="F94" s="237"/>
      <c r="G94" s="237"/>
      <c r="H94" s="237"/>
      <c r="I94" s="192" t="s">
        <v>750</v>
      </c>
      <c r="J94" s="234" t="str">
        <f>IFERROR(__xludf.DUMMYFUNCTION("IF(
  $I94="""",
  """",
  IF(
    COLUMN()-9 &gt;
    (1 + LEN(REGEXEXTRACT($I94,""^[0-9.]+"")) - LEN(SUBSTITUTE(REGEXEXTRACT($I94,""^[0-9.]+""),""."",""""))),
    """",
    INDEX(
      BEC_openBDF!$A:$D,
      MATCH(
        $I94,
        INDEX(
         "&amp;" BEC_openBDF!$A:$D,
          0,
          (1 + LEN(REGEXEXTRACT($I94,""^[0-9.]+"")) - LEN(SUBSTITUTE(REGEXEXTRACT($I94,""^[0-9.]+""),""."","""")))
        ),
        0
      ),
      COLUMN()-9
    )
  )
)"),"..")</f>
        <v>..</v>
      </c>
      <c r="K94" s="234" t="str">
        <f>IFERROR(__xludf.DUMMYFUNCTION("IF(
  $I94="""",
  """",
  IF(
    COLUMN()-9 &gt;
    (1 + LEN(REGEXEXTRACT($I94,""^[0-9.]+"")) - LEN(SUBSTITUTE(REGEXEXTRACT($I94,""^[0-9.]+""),""."",""""))),
    """",
    INDEX(
      BEC_openBDF!$A:$D,
      MATCH(
        $I94,
        INDEX(
         "&amp;" BEC_openBDF!$A:$D,
          0,
          (1 + LEN(REGEXEXTRACT($I94,""^[0-9.]+"")) - LEN(SUBSTITUTE(REGEXEXTRACT($I94,""^[0-9.]+""),""."","""")))
        ),
        0
      ),
      COLUMN()-9
    )
  )
)"),"..")</f>
        <v>..</v>
      </c>
      <c r="L94" s="234" t="str">
        <f>IFERROR(__xludf.DUMMYFUNCTION("IF(
  $I94="""",
  """",
  IF(
    COLUMN()-9 &gt;
    (1 + LEN(REGEXEXTRACT($I94,""^[0-9.]+"")) - LEN(SUBSTITUTE(REGEXEXTRACT($I94,""^[0-9.]+""),""."",""""))),
    """",
    INDEX(
      BEC_openBDF!$A:$D,
      MATCH(
        $I94,
        INDEX(
         "&amp;" BEC_openBDF!$A:$D,
          0,
          (1 + LEN(REGEXEXTRACT($I94,""^[0-9.]+"")) - LEN(SUBSTITUTE(REGEXEXTRACT($I94,""^[0-9.]+""),""."","""")))
        ),
        0
      ),
      COLUMN()-9
    )
  )
)"),"..")</f>
        <v>..</v>
      </c>
      <c r="M94" s="234" t="str">
        <f>IFERROR(__xludf.DUMMYFUNCTION("IF(
  $I94="""",
  """",
  IF(
    COLUMN()-9 &gt;
    (1 + LEN(REGEXEXTRACT($I94,""^[0-9.]+"")) - LEN(SUBSTITUTE(REGEXEXTRACT($I94,""^[0-9.]+""),""."",""""))),
    """",
    INDEX(
      BEC_openBDF!$A:$D,
      MATCH(
        $I94,
        INDEX(
         "&amp;" BEC_openBDF!$A:$D,
          0,
          (1 + LEN(REGEXEXTRACT($I94,""^[0-9.]+"")) - LEN(SUBSTITUTE(REGEXEXTRACT($I94,""^[0-9.]+""),""."","""")))
        ),
        0
      ),
      COLUMN()-9
    )
  )
)"),"")</f>
        <v/>
      </c>
      <c r="N94" s="201"/>
      <c r="O94" s="193"/>
      <c r="P94" s="201"/>
      <c r="Q94" s="238"/>
      <c r="R94" s="238"/>
      <c r="S94" s="237"/>
      <c r="T94" s="238"/>
      <c r="U94" s="237"/>
      <c r="V94" s="237"/>
      <c r="W94" s="237"/>
      <c r="X94" s="237"/>
      <c r="Y94" s="237"/>
      <c r="Z94" s="238"/>
      <c r="AA94" s="237"/>
      <c r="AB94" s="238"/>
      <c r="AC94" s="238"/>
    </row>
    <row r="95" ht="18.75" customHeight="1">
      <c r="A95" s="232"/>
      <c r="B95" s="192"/>
      <c r="C95" s="193"/>
      <c r="D95" s="237"/>
      <c r="E95" s="237"/>
      <c r="F95" s="237"/>
      <c r="G95" s="237"/>
      <c r="H95" s="237"/>
      <c r="I95" s="192" t="s">
        <v>750</v>
      </c>
      <c r="J95" s="234" t="str">
        <f>IFERROR(__xludf.DUMMYFUNCTION("IF(
  $I95="""",
  """",
  IF(
    COLUMN()-9 &gt;
    (1 + LEN(REGEXEXTRACT($I95,""^[0-9.]+"")) - LEN(SUBSTITUTE(REGEXEXTRACT($I95,""^[0-9.]+""),""."",""""))),
    """",
    INDEX(
      BEC_openBDF!$A:$D,
      MATCH(
        $I95,
        INDEX(
         "&amp;" BEC_openBDF!$A:$D,
          0,
          (1 + LEN(REGEXEXTRACT($I95,""^[0-9.]+"")) - LEN(SUBSTITUTE(REGEXEXTRACT($I95,""^[0-9.]+""),""."","""")))
        ),
        0
      ),
      COLUMN()-9
    )
  )
)"),"..")</f>
        <v>..</v>
      </c>
      <c r="K95" s="234" t="str">
        <f>IFERROR(__xludf.DUMMYFUNCTION("IF(
  $I95="""",
  """",
  IF(
    COLUMN()-9 &gt;
    (1 + LEN(REGEXEXTRACT($I95,""^[0-9.]+"")) - LEN(SUBSTITUTE(REGEXEXTRACT($I95,""^[0-9.]+""),""."",""""))),
    """",
    INDEX(
      BEC_openBDF!$A:$D,
      MATCH(
        $I95,
        INDEX(
         "&amp;" BEC_openBDF!$A:$D,
          0,
          (1 + LEN(REGEXEXTRACT($I95,""^[0-9.]+"")) - LEN(SUBSTITUTE(REGEXEXTRACT($I95,""^[0-9.]+""),""."","""")))
        ),
        0
      ),
      COLUMN()-9
    )
  )
)"),"..")</f>
        <v>..</v>
      </c>
      <c r="L95" s="234" t="str">
        <f>IFERROR(__xludf.DUMMYFUNCTION("IF(
  $I95="""",
  """",
  IF(
    COLUMN()-9 &gt;
    (1 + LEN(REGEXEXTRACT($I95,""^[0-9.]+"")) - LEN(SUBSTITUTE(REGEXEXTRACT($I95,""^[0-9.]+""),""."",""""))),
    """",
    INDEX(
      BEC_openBDF!$A:$D,
      MATCH(
        $I95,
        INDEX(
         "&amp;" BEC_openBDF!$A:$D,
          0,
          (1 + LEN(REGEXEXTRACT($I95,""^[0-9.]+"")) - LEN(SUBSTITUTE(REGEXEXTRACT($I95,""^[0-9.]+""),""."","""")))
        ),
        0
      ),
      COLUMN()-9
    )
  )
)"),"..")</f>
        <v>..</v>
      </c>
      <c r="M95" s="234" t="str">
        <f>IFERROR(__xludf.DUMMYFUNCTION("IF(
  $I95="""",
  """",
  IF(
    COLUMN()-9 &gt;
    (1 + LEN(REGEXEXTRACT($I95,""^[0-9.]+"")) - LEN(SUBSTITUTE(REGEXEXTRACT($I95,""^[0-9.]+""),""."",""""))),
    """",
    INDEX(
      BEC_openBDF!$A:$D,
      MATCH(
        $I95,
        INDEX(
         "&amp;" BEC_openBDF!$A:$D,
          0,
          (1 + LEN(REGEXEXTRACT($I95,""^[0-9.]+"")) - LEN(SUBSTITUTE(REGEXEXTRACT($I95,""^[0-9.]+""),""."","""")))
        ),
        0
      ),
      COLUMN()-9
    )
  )
)"),"")</f>
        <v/>
      </c>
      <c r="N95" s="201"/>
      <c r="O95" s="193"/>
      <c r="P95" s="201"/>
      <c r="Q95" s="238"/>
      <c r="R95" s="238"/>
      <c r="S95" s="237"/>
      <c r="T95" s="238"/>
      <c r="U95" s="237"/>
      <c r="V95" s="237"/>
      <c r="W95" s="237"/>
      <c r="X95" s="237"/>
      <c r="Y95" s="237"/>
      <c r="Z95" s="238"/>
      <c r="AA95" s="237"/>
      <c r="AB95" s="238"/>
      <c r="AC95" s="238"/>
    </row>
    <row r="96" ht="18.75" customHeight="1">
      <c r="A96" s="232"/>
      <c r="B96" s="192"/>
      <c r="C96" s="193"/>
      <c r="D96" s="237"/>
      <c r="E96" s="237"/>
      <c r="F96" s="237"/>
      <c r="G96" s="237"/>
      <c r="H96" s="237"/>
      <c r="I96" s="192" t="s">
        <v>750</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201"/>
      <c r="O96" s="193"/>
      <c r="P96" s="201"/>
      <c r="Q96" s="238"/>
      <c r="R96" s="238"/>
      <c r="S96" s="237"/>
      <c r="T96" s="238"/>
      <c r="U96" s="237"/>
      <c r="V96" s="237"/>
      <c r="W96" s="237"/>
      <c r="X96" s="237"/>
      <c r="Y96" s="237"/>
      <c r="Z96" s="238"/>
      <c r="AA96" s="237"/>
      <c r="AB96" s="238"/>
      <c r="AC96" s="238"/>
    </row>
    <row r="97" ht="18.75" customHeight="1">
      <c r="A97" s="232"/>
      <c r="B97" s="192"/>
      <c r="C97" s="193"/>
      <c r="D97" s="237"/>
      <c r="E97" s="237"/>
      <c r="F97" s="237"/>
      <c r="G97" s="237"/>
      <c r="H97" s="237"/>
      <c r="I97" s="192" t="s">
        <v>750</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201"/>
      <c r="O97" s="193"/>
      <c r="P97" s="201"/>
      <c r="Q97" s="238"/>
      <c r="R97" s="238"/>
      <c r="S97" s="237"/>
      <c r="T97" s="238"/>
      <c r="U97" s="237"/>
      <c r="V97" s="237"/>
      <c r="W97" s="237"/>
      <c r="X97" s="237"/>
      <c r="Y97" s="237"/>
      <c r="Z97" s="238"/>
      <c r="AA97" s="237"/>
      <c r="AB97" s="238"/>
      <c r="AC97" s="238"/>
    </row>
    <row r="98" ht="18.75" customHeight="1">
      <c r="A98" s="232"/>
      <c r="B98" s="192"/>
      <c r="C98" s="193"/>
      <c r="D98" s="237"/>
      <c r="E98" s="237"/>
      <c r="F98" s="237"/>
      <c r="G98" s="237"/>
      <c r="H98" s="237"/>
      <c r="I98" s="192" t="s">
        <v>750</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201"/>
      <c r="O98" s="193"/>
      <c r="P98" s="201"/>
      <c r="Q98" s="238"/>
      <c r="R98" s="238"/>
      <c r="S98" s="237"/>
      <c r="T98" s="238"/>
      <c r="U98" s="237"/>
      <c r="V98" s="237"/>
      <c r="W98" s="237"/>
      <c r="X98" s="237"/>
      <c r="Y98" s="237"/>
      <c r="Z98" s="238"/>
      <c r="AA98" s="237"/>
      <c r="AB98" s="238"/>
      <c r="AC98" s="238"/>
    </row>
    <row r="99" ht="18.75" customHeight="1">
      <c r="A99" s="232"/>
      <c r="B99" s="192"/>
      <c r="C99" s="193"/>
      <c r="D99" s="237"/>
      <c r="E99" s="237"/>
      <c r="F99" s="237"/>
      <c r="G99" s="237"/>
      <c r="H99" s="237"/>
      <c r="I99" s="192" t="s">
        <v>750</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201"/>
      <c r="O99" s="193"/>
      <c r="P99" s="201"/>
      <c r="Q99" s="238"/>
      <c r="R99" s="238"/>
      <c r="S99" s="237"/>
      <c r="T99" s="238"/>
      <c r="U99" s="237"/>
      <c r="V99" s="237"/>
      <c r="W99" s="237"/>
      <c r="X99" s="237"/>
      <c r="Y99" s="237"/>
      <c r="Z99" s="238"/>
      <c r="AA99" s="237"/>
      <c r="AB99" s="238"/>
      <c r="AC99" s="238"/>
    </row>
    <row r="100" ht="18.75" customHeight="1">
      <c r="A100" s="232"/>
      <c r="B100" s="192"/>
      <c r="C100" s="193"/>
      <c r="D100" s="237"/>
      <c r="E100" s="237"/>
      <c r="F100" s="237"/>
      <c r="G100" s="237"/>
      <c r="H100" s="237"/>
      <c r="I100" s="192" t="s">
        <v>750</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201"/>
      <c r="O100" s="193"/>
      <c r="P100" s="201"/>
      <c r="Q100" s="238"/>
      <c r="R100" s="238"/>
      <c r="S100" s="237"/>
      <c r="T100" s="238"/>
      <c r="U100" s="237"/>
      <c r="V100" s="237"/>
      <c r="W100" s="237"/>
      <c r="X100" s="237"/>
      <c r="Y100" s="237"/>
      <c r="Z100" s="238"/>
      <c r="AA100" s="237"/>
      <c r="AB100" s="238"/>
      <c r="AC100" s="238"/>
    </row>
    <row r="101" ht="18.75" customHeight="1">
      <c r="A101" s="232"/>
      <c r="B101" s="192"/>
      <c r="C101" s="193"/>
      <c r="D101" s="237"/>
      <c r="E101" s="237"/>
      <c r="F101" s="237"/>
      <c r="G101" s="237"/>
      <c r="H101" s="237"/>
      <c r="I101" s="192" t="s">
        <v>750</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201"/>
      <c r="O101" s="193"/>
      <c r="P101" s="201"/>
      <c r="Q101" s="238"/>
      <c r="R101" s="238"/>
      <c r="S101" s="237"/>
      <c r="T101" s="238"/>
      <c r="U101" s="237"/>
      <c r="V101" s="237"/>
      <c r="W101" s="237"/>
      <c r="X101" s="237"/>
      <c r="Y101" s="237"/>
      <c r="Z101" s="238"/>
      <c r="AA101" s="237"/>
      <c r="AB101" s="238"/>
      <c r="AC101" s="238"/>
    </row>
    <row r="102" ht="18.75" customHeight="1">
      <c r="A102" s="232"/>
      <c r="B102" s="192"/>
      <c r="C102" s="193"/>
      <c r="D102" s="237"/>
      <c r="E102" s="237"/>
      <c r="F102" s="237"/>
      <c r="G102" s="237"/>
      <c r="H102" s="237"/>
      <c r="I102" s="192" t="s">
        <v>750</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201"/>
      <c r="O102" s="193"/>
      <c r="P102" s="201"/>
      <c r="Q102" s="238"/>
      <c r="R102" s="238"/>
      <c r="S102" s="237"/>
      <c r="T102" s="238"/>
      <c r="U102" s="237"/>
      <c r="V102" s="237"/>
      <c r="W102" s="237"/>
      <c r="X102" s="237"/>
      <c r="Y102" s="237"/>
      <c r="Z102" s="238"/>
      <c r="AA102" s="237"/>
      <c r="AB102" s="238"/>
      <c r="AC102" s="238"/>
    </row>
    <row r="103" ht="18.75" customHeight="1">
      <c r="A103" s="232"/>
      <c r="B103" s="192"/>
      <c r="C103" s="193"/>
      <c r="D103" s="237"/>
      <c r="E103" s="237"/>
      <c r="F103" s="237"/>
      <c r="G103" s="237"/>
      <c r="H103" s="237"/>
      <c r="I103" s="192" t="s">
        <v>750</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201"/>
      <c r="O103" s="193"/>
      <c r="P103" s="201"/>
      <c r="Q103" s="238"/>
      <c r="R103" s="238"/>
      <c r="S103" s="237"/>
      <c r="T103" s="238"/>
      <c r="U103" s="237"/>
      <c r="V103" s="237"/>
      <c r="W103" s="237"/>
      <c r="X103" s="237"/>
      <c r="Y103" s="237"/>
      <c r="Z103" s="238"/>
      <c r="AA103" s="237"/>
      <c r="AB103" s="238"/>
      <c r="AC103" s="238"/>
    </row>
    <row r="104" ht="18.75" customHeight="1">
      <c r="A104" s="232"/>
      <c r="B104" s="192"/>
      <c r="C104" s="193"/>
      <c r="D104" s="237"/>
      <c r="E104" s="237"/>
      <c r="F104" s="237"/>
      <c r="G104" s="237"/>
      <c r="H104" s="237"/>
      <c r="I104" s="192" t="s">
        <v>750</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201"/>
      <c r="O104" s="193"/>
      <c r="P104" s="201"/>
      <c r="Q104" s="238"/>
      <c r="R104" s="238"/>
      <c r="S104" s="237"/>
      <c r="T104" s="238"/>
      <c r="U104" s="237"/>
      <c r="V104" s="237"/>
      <c r="W104" s="237"/>
      <c r="X104" s="237"/>
      <c r="Y104" s="237"/>
      <c r="Z104" s="238"/>
      <c r="AA104" s="237"/>
      <c r="AB104" s="238"/>
      <c r="AC104" s="238"/>
    </row>
    <row r="105" ht="18.75" customHeight="1">
      <c r="A105" s="232"/>
      <c r="B105" s="192"/>
      <c r="C105" s="193"/>
      <c r="D105" s="237"/>
      <c r="E105" s="237"/>
      <c r="F105" s="237"/>
      <c r="G105" s="237"/>
      <c r="H105" s="237"/>
      <c r="I105" s="192" t="s">
        <v>750</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7"/>
      <c r="T105" s="238"/>
      <c r="U105" s="237"/>
      <c r="V105" s="237"/>
      <c r="W105" s="237"/>
      <c r="X105" s="237"/>
      <c r="Y105" s="237"/>
      <c r="Z105" s="238"/>
      <c r="AA105" s="237"/>
      <c r="AB105" s="238"/>
      <c r="AC105" s="238"/>
    </row>
    <row r="106" ht="18.75" customHeight="1">
      <c r="A106" s="232"/>
      <c r="B106" s="192"/>
      <c r="C106" s="193"/>
      <c r="D106" s="237"/>
      <c r="E106" s="237"/>
      <c r="F106" s="237"/>
      <c r="G106" s="237"/>
      <c r="H106" s="237"/>
      <c r="I106" s="192" t="s">
        <v>750</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7"/>
      <c r="T106" s="238"/>
      <c r="U106" s="237"/>
      <c r="V106" s="237"/>
      <c r="W106" s="237"/>
      <c r="X106" s="237"/>
      <c r="Y106" s="237"/>
      <c r="Z106" s="238"/>
      <c r="AA106" s="237"/>
      <c r="AB106" s="238"/>
      <c r="AC106" s="238"/>
    </row>
    <row r="107" ht="18.75" customHeight="1">
      <c r="A107" s="232"/>
      <c r="B107" s="192"/>
      <c r="C107" s="193"/>
      <c r="D107" s="237"/>
      <c r="E107" s="237"/>
      <c r="F107" s="237"/>
      <c r="G107" s="237"/>
      <c r="H107" s="237"/>
      <c r="I107" s="192" t="s">
        <v>750</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7"/>
      <c r="T107" s="238"/>
      <c r="U107" s="237"/>
      <c r="V107" s="237"/>
      <c r="W107" s="237"/>
      <c r="X107" s="237"/>
      <c r="Y107" s="237"/>
      <c r="Z107" s="238"/>
      <c r="AA107" s="237"/>
      <c r="AB107" s="238"/>
      <c r="AC107" s="238"/>
    </row>
    <row r="108" ht="18.75" customHeight="1">
      <c r="A108" s="232"/>
      <c r="B108" s="192"/>
      <c r="C108" s="193"/>
      <c r="D108" s="237"/>
      <c r="E108" s="237"/>
      <c r="F108" s="237"/>
      <c r="G108" s="237"/>
      <c r="H108" s="237"/>
      <c r="I108" s="192" t="s">
        <v>750</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7"/>
      <c r="T108" s="238"/>
      <c r="U108" s="237"/>
      <c r="V108" s="237"/>
      <c r="W108" s="237"/>
      <c r="X108" s="237"/>
      <c r="Y108" s="237"/>
      <c r="Z108" s="238"/>
      <c r="AA108" s="237"/>
      <c r="AB108" s="238"/>
      <c r="AC108" s="238"/>
    </row>
    <row r="109" ht="18.75" customHeight="1">
      <c r="A109" s="232"/>
      <c r="B109" s="192"/>
      <c r="C109" s="193"/>
      <c r="D109" s="237"/>
      <c r="E109" s="237"/>
      <c r="F109" s="237"/>
      <c r="G109" s="237"/>
      <c r="H109" s="237"/>
      <c r="I109" s="192" t="s">
        <v>750</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7"/>
      <c r="T109" s="238"/>
      <c r="U109" s="237"/>
      <c r="V109" s="237"/>
      <c r="W109" s="237"/>
      <c r="X109" s="237"/>
      <c r="Y109" s="237"/>
      <c r="Z109" s="238"/>
      <c r="AA109" s="237"/>
      <c r="AB109" s="238"/>
      <c r="AC109" s="238"/>
    </row>
    <row r="110" ht="18.75" customHeight="1">
      <c r="A110" s="232"/>
      <c r="B110" s="192"/>
      <c r="C110" s="193"/>
      <c r="D110" s="237"/>
      <c r="E110" s="237"/>
      <c r="F110" s="237"/>
      <c r="G110" s="237"/>
      <c r="H110" s="237"/>
      <c r="I110" s="192" t="s">
        <v>750</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7"/>
      <c r="T110" s="238"/>
      <c r="U110" s="237"/>
      <c r="V110" s="237"/>
      <c r="W110" s="237"/>
      <c r="X110" s="237"/>
      <c r="Y110" s="237"/>
      <c r="Z110" s="238"/>
      <c r="AA110" s="237"/>
      <c r="AB110" s="238"/>
      <c r="AC110" s="238"/>
    </row>
    <row r="111" ht="18.75" customHeight="1">
      <c r="A111" s="232"/>
      <c r="B111" s="192"/>
      <c r="C111" s="193"/>
      <c r="D111" s="237"/>
      <c r="E111" s="237"/>
      <c r="F111" s="237"/>
      <c r="G111" s="237"/>
      <c r="H111" s="237"/>
      <c r="I111" s="192" t="s">
        <v>750</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7"/>
      <c r="T111" s="238"/>
      <c r="U111" s="237"/>
      <c r="V111" s="237"/>
      <c r="W111" s="237"/>
      <c r="X111" s="237"/>
      <c r="Y111" s="237"/>
      <c r="Z111" s="238"/>
      <c r="AA111" s="237"/>
      <c r="AB111" s="238"/>
      <c r="AC111" s="238"/>
    </row>
    <row r="112" ht="18.75" customHeight="1">
      <c r="A112" s="232"/>
      <c r="B112" s="192"/>
      <c r="C112" s="193"/>
      <c r="D112" s="237"/>
      <c r="E112" s="237"/>
      <c r="F112" s="237"/>
      <c r="G112" s="237"/>
      <c r="H112" s="237"/>
      <c r="I112" s="192" t="s">
        <v>750</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7"/>
      <c r="T112" s="238"/>
      <c r="U112" s="237"/>
      <c r="V112" s="237"/>
      <c r="W112" s="237"/>
      <c r="X112" s="237"/>
      <c r="Y112" s="237"/>
      <c r="Z112" s="238"/>
      <c r="AA112" s="237"/>
      <c r="AB112" s="238"/>
      <c r="AC112" s="238"/>
    </row>
    <row r="113" ht="18.75" customHeight="1">
      <c r="A113" s="232"/>
      <c r="B113" s="192"/>
      <c r="C113" s="193"/>
      <c r="D113" s="237"/>
      <c r="E113" s="237"/>
      <c r="F113" s="237"/>
      <c r="G113" s="237"/>
      <c r="H113" s="237"/>
      <c r="I113" s="192" t="s">
        <v>750</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7"/>
      <c r="T113" s="238"/>
      <c r="U113" s="237"/>
      <c r="V113" s="237"/>
      <c r="W113" s="237"/>
      <c r="X113" s="237"/>
      <c r="Y113" s="237"/>
      <c r="Z113" s="238"/>
      <c r="AA113" s="237"/>
      <c r="AB113" s="238"/>
      <c r="AC113" s="238"/>
    </row>
    <row r="114" ht="18.75" customHeight="1">
      <c r="A114" s="232"/>
      <c r="B114" s="192"/>
      <c r="C114" s="193"/>
      <c r="D114" s="237"/>
      <c r="E114" s="237"/>
      <c r="F114" s="237"/>
      <c r="G114" s="237"/>
      <c r="H114" s="237"/>
      <c r="I114" s="192" t="s">
        <v>750</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7"/>
      <c r="T114" s="238"/>
      <c r="U114" s="237"/>
      <c r="V114" s="237"/>
      <c r="W114" s="237"/>
      <c r="X114" s="237"/>
      <c r="Y114" s="237"/>
      <c r="Z114" s="238"/>
      <c r="AA114" s="237"/>
      <c r="AB114" s="238"/>
      <c r="AC114" s="238"/>
    </row>
    <row r="115" ht="18.75" customHeight="1">
      <c r="A115" s="232"/>
      <c r="B115" s="192"/>
      <c r="C115" s="193"/>
      <c r="D115" s="237"/>
      <c r="E115" s="237"/>
      <c r="F115" s="237"/>
      <c r="G115" s="237"/>
      <c r="H115" s="237"/>
      <c r="I115" s="192" t="s">
        <v>750</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7"/>
      <c r="T115" s="238"/>
      <c r="U115" s="237"/>
      <c r="V115" s="237"/>
      <c r="W115" s="237"/>
      <c r="X115" s="237"/>
      <c r="Y115" s="237"/>
      <c r="Z115" s="238"/>
      <c r="AA115" s="237"/>
      <c r="AB115" s="238"/>
      <c r="AC115" s="238"/>
    </row>
    <row r="116" ht="18.75" customHeight="1">
      <c r="A116" s="232"/>
      <c r="B116" s="192"/>
      <c r="C116" s="193"/>
      <c r="D116" s="237"/>
      <c r="E116" s="237"/>
      <c r="F116" s="237"/>
      <c r="G116" s="237"/>
      <c r="H116" s="237"/>
      <c r="I116" s="192" t="s">
        <v>750</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7"/>
      <c r="T116" s="238"/>
      <c r="U116" s="237"/>
      <c r="V116" s="237"/>
      <c r="W116" s="237"/>
      <c r="X116" s="237"/>
      <c r="Y116" s="237"/>
      <c r="Z116" s="238"/>
      <c r="AA116" s="237"/>
      <c r="AB116" s="238"/>
      <c r="AC116" s="238"/>
    </row>
    <row r="117" ht="18.75" customHeight="1">
      <c r="A117" s="232"/>
      <c r="B117" s="192"/>
      <c r="C117" s="193"/>
      <c r="D117" s="237"/>
      <c r="E117" s="237"/>
      <c r="F117" s="237"/>
      <c r="G117" s="237"/>
      <c r="H117" s="237"/>
      <c r="I117" s="192" t="s">
        <v>750</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7"/>
      <c r="T117" s="238"/>
      <c r="U117" s="237"/>
      <c r="V117" s="237"/>
      <c r="W117" s="237"/>
      <c r="X117" s="237"/>
      <c r="Y117" s="237"/>
      <c r="Z117" s="238"/>
      <c r="AA117" s="237"/>
      <c r="AB117" s="238"/>
      <c r="AC117" s="238"/>
    </row>
    <row r="118" ht="18.75" customHeight="1">
      <c r="A118" s="232"/>
      <c r="B118" s="192"/>
      <c r="C118" s="193"/>
      <c r="D118" s="237"/>
      <c r="E118" s="237"/>
      <c r="F118" s="237"/>
      <c r="G118" s="237"/>
      <c r="H118" s="237"/>
      <c r="I118" s="192" t="s">
        <v>750</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7"/>
      <c r="T118" s="238"/>
      <c r="U118" s="237"/>
      <c r="V118" s="237"/>
      <c r="W118" s="237"/>
      <c r="X118" s="237"/>
      <c r="Y118" s="237"/>
      <c r="Z118" s="238"/>
      <c r="AA118" s="237"/>
      <c r="AB118" s="238"/>
      <c r="AC118" s="238"/>
    </row>
    <row r="119" ht="18.75" customHeight="1">
      <c r="A119" s="232"/>
      <c r="B119" s="192"/>
      <c r="C119" s="193"/>
      <c r="D119" s="237"/>
      <c r="E119" s="237"/>
      <c r="F119" s="237"/>
      <c r="G119" s="237"/>
      <c r="H119" s="237"/>
      <c r="I119" s="192" t="s">
        <v>750</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7"/>
      <c r="T119" s="238"/>
      <c r="U119" s="237"/>
      <c r="V119" s="237"/>
      <c r="W119" s="237"/>
      <c r="X119" s="237"/>
      <c r="Y119" s="237"/>
      <c r="Z119" s="238"/>
      <c r="AA119" s="237"/>
      <c r="AB119" s="238"/>
      <c r="AC119" s="238"/>
    </row>
    <row r="120" ht="18.75" customHeight="1">
      <c r="A120" s="232"/>
      <c r="B120" s="192"/>
      <c r="C120" s="193"/>
      <c r="D120" s="237"/>
      <c r="E120" s="237"/>
      <c r="F120" s="237"/>
      <c r="G120" s="237"/>
      <c r="H120" s="237"/>
      <c r="I120" s="192" t="s">
        <v>750</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7"/>
      <c r="T120" s="238"/>
      <c r="U120" s="237"/>
      <c r="V120" s="237"/>
      <c r="W120" s="237"/>
      <c r="X120" s="237"/>
      <c r="Y120" s="237"/>
      <c r="Z120" s="238"/>
      <c r="AA120" s="237"/>
      <c r="AB120" s="238"/>
      <c r="AC120" s="238"/>
    </row>
    <row r="121" ht="18.75" customHeight="1">
      <c r="A121" s="232"/>
      <c r="B121" s="192"/>
      <c r="C121" s="193"/>
      <c r="D121" s="237"/>
      <c r="E121" s="237"/>
      <c r="F121" s="237"/>
      <c r="G121" s="237"/>
      <c r="H121" s="237"/>
      <c r="I121" s="192" t="s">
        <v>750</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7"/>
      <c r="T121" s="238"/>
      <c r="U121" s="237"/>
      <c r="V121" s="237"/>
      <c r="W121" s="237"/>
      <c r="X121" s="237"/>
      <c r="Y121" s="237"/>
      <c r="Z121" s="238"/>
      <c r="AA121" s="237"/>
      <c r="AB121" s="238"/>
      <c r="AC121" s="238"/>
    </row>
    <row r="122" ht="18.75" customHeight="1">
      <c r="A122" s="232"/>
      <c r="B122" s="192"/>
      <c r="C122" s="193"/>
      <c r="D122" s="237"/>
      <c r="E122" s="237"/>
      <c r="F122" s="237"/>
      <c r="G122" s="237"/>
      <c r="H122" s="237"/>
      <c r="I122" s="192" t="s">
        <v>750</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7"/>
      <c r="T122" s="238"/>
      <c r="U122" s="237"/>
      <c r="V122" s="237"/>
      <c r="W122" s="237"/>
      <c r="X122" s="237"/>
      <c r="Y122" s="237"/>
      <c r="Z122" s="238"/>
      <c r="AA122" s="237"/>
      <c r="AB122" s="238"/>
      <c r="AC122" s="238"/>
    </row>
    <row r="123" ht="18.75" customHeight="1">
      <c r="A123" s="232"/>
      <c r="B123" s="192"/>
      <c r="C123" s="193"/>
      <c r="D123" s="237"/>
      <c r="E123" s="237"/>
      <c r="F123" s="237"/>
      <c r="G123" s="237"/>
      <c r="H123" s="237"/>
      <c r="I123" s="192" t="s">
        <v>750</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7"/>
      <c r="T123" s="238"/>
      <c r="U123" s="237"/>
      <c r="V123" s="237"/>
      <c r="W123" s="237"/>
      <c r="X123" s="237"/>
      <c r="Y123" s="237"/>
      <c r="Z123" s="238"/>
      <c r="AA123" s="237"/>
      <c r="AB123" s="238"/>
      <c r="AC123" s="238"/>
    </row>
    <row r="124" ht="18.75" customHeight="1">
      <c r="A124" s="232"/>
      <c r="B124" s="192"/>
      <c r="C124" s="193"/>
      <c r="D124" s="237"/>
      <c r="E124" s="237"/>
      <c r="F124" s="237"/>
      <c r="G124" s="237"/>
      <c r="H124" s="237"/>
      <c r="I124" s="192" t="s">
        <v>750</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7"/>
      <c r="T124" s="238"/>
      <c r="U124" s="237"/>
      <c r="V124" s="237"/>
      <c r="W124" s="237"/>
      <c r="X124" s="237"/>
      <c r="Y124" s="237"/>
      <c r="Z124" s="238"/>
      <c r="AA124" s="237"/>
      <c r="AB124" s="238"/>
      <c r="AC124" s="238"/>
    </row>
    <row r="125" ht="18.75" customHeight="1">
      <c r="A125" s="232"/>
      <c r="B125" s="192"/>
      <c r="C125" s="193"/>
      <c r="D125" s="237"/>
      <c r="E125" s="237"/>
      <c r="F125" s="237"/>
      <c r="G125" s="237"/>
      <c r="H125" s="237"/>
      <c r="I125" s="192" t="s">
        <v>750</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7"/>
      <c r="T125" s="238"/>
      <c r="U125" s="237"/>
      <c r="V125" s="237"/>
      <c r="W125" s="237"/>
      <c r="X125" s="237"/>
      <c r="Y125" s="237"/>
      <c r="Z125" s="238"/>
      <c r="AA125" s="237"/>
      <c r="AB125" s="238"/>
      <c r="AC125" s="238"/>
    </row>
    <row r="126" ht="18.75" customHeight="1">
      <c r="A126" s="232"/>
      <c r="B126" s="192"/>
      <c r="C126" s="193"/>
      <c r="D126" s="237"/>
      <c r="E126" s="237"/>
      <c r="F126" s="237"/>
      <c r="G126" s="237"/>
      <c r="H126" s="237"/>
      <c r="I126" s="192" t="s">
        <v>750</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7"/>
      <c r="T126" s="238"/>
      <c r="U126" s="237"/>
      <c r="V126" s="237"/>
      <c r="W126" s="237"/>
      <c r="X126" s="237"/>
      <c r="Y126" s="237"/>
      <c r="Z126" s="238"/>
      <c r="AA126" s="237"/>
      <c r="AB126" s="238"/>
      <c r="AC126" s="238"/>
    </row>
    <row r="127" ht="18.75" customHeight="1">
      <c r="A127" s="232"/>
      <c r="B127" s="192"/>
      <c r="C127" s="193"/>
      <c r="D127" s="237"/>
      <c r="E127" s="237"/>
      <c r="F127" s="237"/>
      <c r="G127" s="237"/>
      <c r="H127" s="237"/>
      <c r="I127" s="192" t="s">
        <v>750</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7"/>
      <c r="T127" s="238"/>
      <c r="U127" s="237"/>
      <c r="V127" s="237"/>
      <c r="W127" s="237"/>
      <c r="X127" s="237"/>
      <c r="Y127" s="237"/>
      <c r="Z127" s="238"/>
      <c r="AA127" s="237"/>
      <c r="AB127" s="238"/>
      <c r="AC127" s="238"/>
    </row>
    <row r="128" ht="18.75" customHeight="1">
      <c r="A128" s="232"/>
      <c r="B128" s="192"/>
      <c r="C128" s="193"/>
      <c r="D128" s="237"/>
      <c r="E128" s="237"/>
      <c r="F128" s="237"/>
      <c r="G128" s="237"/>
      <c r="H128" s="237"/>
      <c r="I128" s="192" t="s">
        <v>750</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7"/>
      <c r="T128" s="238"/>
      <c r="U128" s="237"/>
      <c r="V128" s="237"/>
      <c r="W128" s="237"/>
      <c r="X128" s="237"/>
      <c r="Y128" s="237"/>
      <c r="Z128" s="238"/>
      <c r="AA128" s="237"/>
      <c r="AB128" s="238"/>
      <c r="AC128" s="238"/>
    </row>
    <row r="129" ht="18.75" customHeight="1">
      <c r="A129" s="232"/>
      <c r="B129" s="192"/>
      <c r="C129" s="193"/>
      <c r="D129" s="237"/>
      <c r="E129" s="237"/>
      <c r="F129" s="237"/>
      <c r="G129" s="237"/>
      <c r="H129" s="237"/>
      <c r="I129" s="192" t="s">
        <v>750</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7"/>
      <c r="T129" s="238"/>
      <c r="U129" s="237"/>
      <c r="V129" s="237"/>
      <c r="W129" s="237"/>
      <c r="X129" s="237"/>
      <c r="Y129" s="237"/>
      <c r="Z129" s="238"/>
      <c r="AA129" s="237"/>
      <c r="AB129" s="238"/>
      <c r="AC129" s="238"/>
    </row>
    <row r="130" ht="18.75" customHeight="1">
      <c r="A130" s="232"/>
      <c r="B130" s="192"/>
      <c r="C130" s="193"/>
      <c r="D130" s="237"/>
      <c r="E130" s="237"/>
      <c r="F130" s="237"/>
      <c r="G130" s="237"/>
      <c r="H130" s="237"/>
      <c r="I130" s="192" t="s">
        <v>750</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7"/>
      <c r="T130" s="238"/>
      <c r="U130" s="237"/>
      <c r="V130" s="237"/>
      <c r="W130" s="237"/>
      <c r="X130" s="237"/>
      <c r="Y130" s="237"/>
      <c r="Z130" s="238"/>
      <c r="AA130" s="237"/>
      <c r="AB130" s="238"/>
      <c r="AC130" s="238"/>
    </row>
    <row r="131" ht="18.75" customHeight="1">
      <c r="A131" s="232"/>
      <c r="B131" s="192"/>
      <c r="C131" s="193"/>
      <c r="D131" s="237"/>
      <c r="E131" s="237"/>
      <c r="F131" s="237"/>
      <c r="G131" s="237"/>
      <c r="H131" s="237"/>
      <c r="I131" s="192" t="s">
        <v>750</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7"/>
      <c r="T131" s="238"/>
      <c r="U131" s="237"/>
      <c r="V131" s="237"/>
      <c r="W131" s="237"/>
      <c r="X131" s="237"/>
      <c r="Y131" s="237"/>
      <c r="Z131" s="238"/>
      <c r="AA131" s="237"/>
      <c r="AB131" s="238"/>
      <c r="AC131" s="238"/>
    </row>
    <row r="132" ht="18.75" customHeight="1">
      <c r="A132" s="232"/>
      <c r="B132" s="192"/>
      <c r="C132" s="193"/>
      <c r="D132" s="237"/>
      <c r="E132" s="237"/>
      <c r="F132" s="237"/>
      <c r="G132" s="237"/>
      <c r="H132" s="237"/>
      <c r="I132" s="192" t="s">
        <v>750</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7"/>
      <c r="T132" s="238"/>
      <c r="U132" s="237"/>
      <c r="V132" s="237"/>
      <c r="W132" s="237"/>
      <c r="X132" s="237"/>
      <c r="Y132" s="237"/>
      <c r="Z132" s="238"/>
      <c r="AA132" s="237"/>
      <c r="AB132" s="238"/>
      <c r="AC132" s="238"/>
    </row>
    <row r="133" ht="18.75" customHeight="1">
      <c r="A133" s="232"/>
      <c r="B133" s="192"/>
      <c r="C133" s="193"/>
      <c r="D133" s="237"/>
      <c r="E133" s="237"/>
      <c r="F133" s="237"/>
      <c r="G133" s="237"/>
      <c r="H133" s="237"/>
      <c r="I133" s="192" t="s">
        <v>750</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7"/>
      <c r="T133" s="238"/>
      <c r="U133" s="237"/>
      <c r="V133" s="237"/>
      <c r="W133" s="237"/>
      <c r="X133" s="237"/>
      <c r="Y133" s="237"/>
      <c r="Z133" s="238"/>
      <c r="AA133" s="237"/>
      <c r="AB133" s="238"/>
      <c r="AC133" s="238"/>
    </row>
    <row r="134" ht="18.75" customHeight="1">
      <c r="A134" s="232"/>
      <c r="B134" s="192"/>
      <c r="C134" s="193"/>
      <c r="D134" s="237"/>
      <c r="E134" s="237"/>
      <c r="F134" s="237"/>
      <c r="G134" s="237"/>
      <c r="H134" s="237"/>
      <c r="I134" s="192" t="s">
        <v>750</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7"/>
      <c r="T134" s="238"/>
      <c r="U134" s="237"/>
      <c r="V134" s="237"/>
      <c r="W134" s="237"/>
      <c r="X134" s="237"/>
      <c r="Y134" s="237"/>
      <c r="Z134" s="238"/>
      <c r="AA134" s="237"/>
      <c r="AB134" s="238"/>
      <c r="AC134" s="238"/>
    </row>
    <row r="135" ht="18.75" customHeight="1">
      <c r="A135" s="232"/>
      <c r="B135" s="192"/>
      <c r="C135" s="193"/>
      <c r="D135" s="237"/>
      <c r="E135" s="237"/>
      <c r="F135" s="237"/>
      <c r="G135" s="237"/>
      <c r="H135" s="237"/>
      <c r="I135" s="192" t="s">
        <v>750</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7"/>
      <c r="T135" s="238"/>
      <c r="U135" s="237"/>
      <c r="V135" s="237"/>
      <c r="W135" s="237"/>
      <c r="X135" s="237"/>
      <c r="Y135" s="237"/>
      <c r="Z135" s="238"/>
      <c r="AA135" s="237"/>
      <c r="AB135" s="238"/>
      <c r="AC135" s="238"/>
    </row>
    <row r="136" ht="18.75" customHeight="1">
      <c r="A136" s="232"/>
      <c r="B136" s="192"/>
      <c r="C136" s="193"/>
      <c r="D136" s="237"/>
      <c r="E136" s="237"/>
      <c r="F136" s="237"/>
      <c r="G136" s="237"/>
      <c r="H136" s="237"/>
      <c r="I136" s="192" t="s">
        <v>750</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7"/>
      <c r="T136" s="238"/>
      <c r="U136" s="237"/>
      <c r="V136" s="237"/>
      <c r="W136" s="237"/>
      <c r="X136" s="237"/>
      <c r="Y136" s="237"/>
      <c r="Z136" s="238"/>
      <c r="AA136" s="237"/>
      <c r="AB136" s="238"/>
      <c r="AC136" s="238"/>
    </row>
    <row r="137" ht="18.75" customHeight="1">
      <c r="A137" s="232"/>
      <c r="B137" s="192"/>
      <c r="C137" s="193"/>
      <c r="D137" s="237"/>
      <c r="E137" s="237"/>
      <c r="F137" s="237"/>
      <c r="G137" s="237"/>
      <c r="H137" s="237"/>
      <c r="I137" s="192" t="s">
        <v>750</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7"/>
      <c r="T137" s="238"/>
      <c r="U137" s="237"/>
      <c r="V137" s="237"/>
      <c r="W137" s="237"/>
      <c r="X137" s="237"/>
      <c r="Y137" s="237"/>
      <c r="Z137" s="238"/>
      <c r="AA137" s="237"/>
      <c r="AB137" s="238"/>
      <c r="AC137" s="238"/>
    </row>
    <row r="138" ht="18.75" customHeight="1">
      <c r="A138" s="232"/>
      <c r="B138" s="192"/>
      <c r="C138" s="193"/>
      <c r="D138" s="237"/>
      <c r="E138" s="237"/>
      <c r="F138" s="237"/>
      <c r="G138" s="237"/>
      <c r="H138" s="237"/>
      <c r="I138" s="192" t="s">
        <v>750</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7"/>
      <c r="T138" s="238"/>
      <c r="U138" s="237"/>
      <c r="V138" s="237"/>
      <c r="W138" s="237"/>
      <c r="X138" s="237"/>
      <c r="Y138" s="237"/>
      <c r="Z138" s="238"/>
      <c r="AA138" s="237"/>
      <c r="AB138" s="238"/>
      <c r="AC138" s="238"/>
    </row>
    <row r="139" ht="18.75" customHeight="1">
      <c r="A139" s="232"/>
      <c r="B139" s="192"/>
      <c r="C139" s="193"/>
      <c r="D139" s="237"/>
      <c r="E139" s="237"/>
      <c r="F139" s="237"/>
      <c r="G139" s="237"/>
      <c r="H139" s="237"/>
      <c r="I139" s="192" t="s">
        <v>750</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7"/>
      <c r="T139" s="238"/>
      <c r="U139" s="237"/>
      <c r="V139" s="237"/>
      <c r="W139" s="237"/>
      <c r="X139" s="237"/>
      <c r="Y139" s="237"/>
      <c r="Z139" s="238"/>
      <c r="AA139" s="237"/>
      <c r="AB139" s="238"/>
      <c r="AC139" s="238"/>
    </row>
    <row r="140" ht="18.75" customHeight="1">
      <c r="A140" s="232"/>
      <c r="B140" s="192"/>
      <c r="C140" s="193"/>
      <c r="D140" s="237"/>
      <c r="E140" s="237"/>
      <c r="F140" s="237"/>
      <c r="G140" s="237"/>
      <c r="H140" s="237"/>
      <c r="I140" s="192" t="s">
        <v>750</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7"/>
      <c r="T140" s="238"/>
      <c r="U140" s="237"/>
      <c r="V140" s="237"/>
      <c r="W140" s="237"/>
      <c r="X140" s="237"/>
      <c r="Y140" s="237"/>
      <c r="Z140" s="238"/>
      <c r="AA140" s="237"/>
      <c r="AB140" s="238"/>
      <c r="AC140" s="238"/>
    </row>
    <row r="141" ht="18.75" customHeight="1">
      <c r="A141" s="232"/>
      <c r="B141" s="192"/>
      <c r="C141" s="193"/>
      <c r="D141" s="237"/>
      <c r="E141" s="237"/>
      <c r="F141" s="237"/>
      <c r="G141" s="237"/>
      <c r="H141" s="237"/>
      <c r="I141" s="192" t="s">
        <v>750</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7"/>
      <c r="T141" s="238"/>
      <c r="U141" s="237"/>
      <c r="V141" s="237"/>
      <c r="W141" s="237"/>
      <c r="X141" s="237"/>
      <c r="Y141" s="237"/>
      <c r="Z141" s="238"/>
      <c r="AA141" s="237"/>
      <c r="AB141" s="238"/>
      <c r="AC141" s="238"/>
    </row>
    <row r="142" ht="18.75" customHeight="1">
      <c r="A142" s="232"/>
      <c r="B142" s="192"/>
      <c r="C142" s="193"/>
      <c r="D142" s="237"/>
      <c r="E142" s="237"/>
      <c r="F142" s="237"/>
      <c r="G142" s="237"/>
      <c r="H142" s="237"/>
      <c r="I142" s="192" t="s">
        <v>750</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7"/>
      <c r="T142" s="238"/>
      <c r="U142" s="237"/>
      <c r="V142" s="237"/>
      <c r="W142" s="237"/>
      <c r="X142" s="237"/>
      <c r="Y142" s="237"/>
      <c r="Z142" s="238"/>
      <c r="AA142" s="237"/>
      <c r="AB142" s="238"/>
      <c r="AC142" s="238"/>
    </row>
    <row r="143" ht="18.75" customHeight="1">
      <c r="A143" s="232"/>
      <c r="B143" s="192"/>
      <c r="C143" s="193"/>
      <c r="D143" s="237"/>
      <c r="E143" s="237"/>
      <c r="F143" s="237"/>
      <c r="G143" s="237"/>
      <c r="H143" s="237"/>
      <c r="I143" s="192" t="s">
        <v>750</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7"/>
      <c r="T143" s="238"/>
      <c r="U143" s="237"/>
      <c r="V143" s="237"/>
      <c r="W143" s="237"/>
      <c r="X143" s="237"/>
      <c r="Y143" s="237"/>
      <c r="Z143" s="238"/>
      <c r="AA143" s="237"/>
      <c r="AB143" s="238"/>
      <c r="AC143" s="238"/>
    </row>
    <row r="144" ht="18.75" customHeight="1">
      <c r="A144" s="232"/>
      <c r="B144" s="192"/>
      <c r="C144" s="193"/>
      <c r="D144" s="237"/>
      <c r="E144" s="237"/>
      <c r="F144" s="237"/>
      <c r="G144" s="237"/>
      <c r="H144" s="237"/>
      <c r="I144" s="192" t="s">
        <v>750</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7"/>
      <c r="T144" s="238"/>
      <c r="U144" s="237"/>
      <c r="V144" s="237"/>
      <c r="W144" s="237"/>
      <c r="X144" s="237"/>
      <c r="Y144" s="237"/>
      <c r="Z144" s="238"/>
      <c r="AA144" s="237"/>
      <c r="AB144" s="238"/>
      <c r="AC144" s="238"/>
    </row>
    <row r="145" ht="18.75" customHeight="1">
      <c r="A145" s="232"/>
      <c r="B145" s="192"/>
      <c r="C145" s="193"/>
      <c r="D145" s="237"/>
      <c r="E145" s="237"/>
      <c r="F145" s="237"/>
      <c r="G145" s="237"/>
      <c r="H145" s="237"/>
      <c r="I145" s="192" t="s">
        <v>750</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7"/>
      <c r="T145" s="238"/>
      <c r="U145" s="237"/>
      <c r="V145" s="237"/>
      <c r="W145" s="237"/>
      <c r="X145" s="237"/>
      <c r="Y145" s="237"/>
      <c r="Z145" s="238"/>
      <c r="AA145" s="237"/>
      <c r="AB145" s="238"/>
      <c r="AC145" s="238"/>
    </row>
    <row r="146" ht="18.75" customHeight="1">
      <c r="A146" s="232"/>
      <c r="B146" s="192"/>
      <c r="C146" s="193"/>
      <c r="D146" s="237"/>
      <c r="E146" s="237"/>
      <c r="F146" s="237"/>
      <c r="G146" s="237"/>
      <c r="H146" s="237"/>
      <c r="I146" s="192" t="s">
        <v>750</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7"/>
      <c r="T146" s="238"/>
      <c r="U146" s="237"/>
      <c r="V146" s="237"/>
      <c r="W146" s="237"/>
      <c r="X146" s="237"/>
      <c r="Y146" s="237"/>
      <c r="Z146" s="238"/>
      <c r="AA146" s="237"/>
      <c r="AB146" s="238"/>
      <c r="AC146" s="238"/>
    </row>
    <row r="147" ht="18.75" customHeight="1">
      <c r="A147" s="232"/>
      <c r="B147" s="192"/>
      <c r="C147" s="193"/>
      <c r="D147" s="237"/>
      <c r="E147" s="237"/>
      <c r="F147" s="237"/>
      <c r="G147" s="237"/>
      <c r="H147" s="237"/>
      <c r="I147" s="192" t="s">
        <v>750</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7"/>
      <c r="T147" s="238"/>
      <c r="U147" s="237"/>
      <c r="V147" s="237"/>
      <c r="W147" s="237"/>
      <c r="X147" s="237"/>
      <c r="Y147" s="237"/>
      <c r="Z147" s="238"/>
      <c r="AA147" s="237"/>
      <c r="AB147" s="238"/>
      <c r="AC147" s="238"/>
    </row>
    <row r="148" ht="18.75" customHeight="1">
      <c r="A148" s="232"/>
      <c r="B148" s="192"/>
      <c r="C148" s="193"/>
      <c r="D148" s="237"/>
      <c r="E148" s="237"/>
      <c r="F148" s="237"/>
      <c r="G148" s="237"/>
      <c r="H148" s="237"/>
      <c r="I148" s="192" t="s">
        <v>750</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7"/>
      <c r="T148" s="238"/>
      <c r="U148" s="237"/>
      <c r="V148" s="237"/>
      <c r="W148" s="237"/>
      <c r="X148" s="237"/>
      <c r="Y148" s="237"/>
      <c r="Z148" s="238"/>
      <c r="AA148" s="237"/>
      <c r="AB148" s="238"/>
      <c r="AC148" s="238"/>
    </row>
    <row r="149" ht="18.75" customHeight="1">
      <c r="A149" s="232"/>
      <c r="B149" s="192"/>
      <c r="C149" s="193"/>
      <c r="D149" s="237"/>
      <c r="E149" s="237"/>
      <c r="F149" s="237"/>
      <c r="G149" s="237"/>
      <c r="H149" s="237"/>
      <c r="I149" s="192" t="s">
        <v>750</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7"/>
      <c r="T149" s="238"/>
      <c r="U149" s="237"/>
      <c r="V149" s="237"/>
      <c r="W149" s="237"/>
      <c r="X149" s="237"/>
      <c r="Y149" s="237"/>
      <c r="Z149" s="238"/>
      <c r="AA149" s="237"/>
      <c r="AB149" s="238"/>
      <c r="AC149" s="238"/>
    </row>
    <row r="150" ht="18.75" customHeight="1">
      <c r="A150" s="232"/>
      <c r="B150" s="192"/>
      <c r="C150" s="193"/>
      <c r="D150" s="237"/>
      <c r="E150" s="237"/>
      <c r="F150" s="237"/>
      <c r="G150" s="237"/>
      <c r="H150" s="237"/>
      <c r="I150" s="192" t="s">
        <v>750</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7"/>
      <c r="T150" s="238"/>
      <c r="U150" s="237"/>
      <c r="V150" s="237"/>
      <c r="W150" s="237"/>
      <c r="X150" s="237"/>
      <c r="Y150" s="237"/>
      <c r="Z150" s="238"/>
      <c r="AA150" s="237"/>
      <c r="AB150" s="238"/>
      <c r="AC150" s="238"/>
    </row>
    <row r="151" ht="18.75" customHeight="1">
      <c r="A151" s="232"/>
      <c r="B151" s="192"/>
      <c r="C151" s="193"/>
      <c r="D151" s="237"/>
      <c r="E151" s="237"/>
      <c r="F151" s="237"/>
      <c r="G151" s="237"/>
      <c r="H151" s="237"/>
      <c r="I151" s="192" t="s">
        <v>750</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7"/>
      <c r="T151" s="238"/>
      <c r="U151" s="237"/>
      <c r="V151" s="237"/>
      <c r="W151" s="237"/>
      <c r="X151" s="237"/>
      <c r="Y151" s="237"/>
      <c r="Z151" s="238"/>
      <c r="AA151" s="237"/>
      <c r="AB151" s="238"/>
      <c r="AC151" s="238"/>
    </row>
    <row r="152" ht="18.75" customHeight="1">
      <c r="A152" s="232"/>
      <c r="B152" s="192"/>
      <c r="C152" s="193"/>
      <c r="D152" s="237"/>
      <c r="E152" s="237"/>
      <c r="F152" s="237"/>
      <c r="G152" s="237"/>
      <c r="H152" s="237"/>
      <c r="I152" s="192" t="s">
        <v>750</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7"/>
      <c r="T152" s="238"/>
      <c r="U152" s="237"/>
      <c r="V152" s="237"/>
      <c r="W152" s="237"/>
      <c r="X152" s="237"/>
      <c r="Y152" s="237"/>
      <c r="Z152" s="238"/>
      <c r="AA152" s="237"/>
      <c r="AB152" s="238"/>
      <c r="AC152" s="238"/>
    </row>
    <row r="153" ht="18.75" customHeight="1">
      <c r="A153" s="232"/>
      <c r="B153" s="192"/>
      <c r="C153" s="193"/>
      <c r="D153" s="237"/>
      <c r="E153" s="237"/>
      <c r="F153" s="237"/>
      <c r="G153" s="237"/>
      <c r="H153" s="237"/>
      <c r="I153" s="192" t="s">
        <v>750</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7"/>
      <c r="T153" s="238"/>
      <c r="U153" s="237"/>
      <c r="V153" s="237"/>
      <c r="W153" s="237"/>
      <c r="X153" s="237"/>
      <c r="Y153" s="237"/>
      <c r="Z153" s="238"/>
      <c r="AA153" s="237"/>
      <c r="AB153" s="238"/>
      <c r="AC153" s="238"/>
    </row>
    <row r="154" ht="18.75" customHeight="1">
      <c r="A154" s="232"/>
      <c r="B154" s="192"/>
      <c r="C154" s="193"/>
      <c r="D154" s="237"/>
      <c r="E154" s="237"/>
      <c r="F154" s="237"/>
      <c r="G154" s="237"/>
      <c r="H154" s="237"/>
      <c r="I154" s="192" t="s">
        <v>750</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7"/>
      <c r="T154" s="238"/>
      <c r="U154" s="237"/>
      <c r="V154" s="237"/>
      <c r="W154" s="237"/>
      <c r="X154" s="237"/>
      <c r="Y154" s="237"/>
      <c r="Z154" s="238"/>
      <c r="AA154" s="237"/>
      <c r="AB154" s="238"/>
      <c r="AC154" s="238"/>
    </row>
    <row r="155" ht="18.75" customHeight="1">
      <c r="A155" s="232"/>
      <c r="B155" s="192"/>
      <c r="C155" s="193"/>
      <c r="D155" s="237"/>
      <c r="E155" s="237"/>
      <c r="F155" s="237"/>
      <c r="G155" s="237"/>
      <c r="H155" s="237"/>
      <c r="I155" s="192" t="s">
        <v>750</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7"/>
      <c r="T155" s="238"/>
      <c r="U155" s="237"/>
      <c r="V155" s="237"/>
      <c r="W155" s="237"/>
      <c r="X155" s="237"/>
      <c r="Y155" s="237"/>
      <c r="Z155" s="238"/>
      <c r="AA155" s="237"/>
      <c r="AB155" s="238"/>
      <c r="AC155" s="238"/>
    </row>
    <row r="156" ht="18.75" customHeight="1">
      <c r="A156" s="232"/>
      <c r="B156" s="192"/>
      <c r="C156" s="193"/>
      <c r="D156" s="237"/>
      <c r="E156" s="237"/>
      <c r="F156" s="237"/>
      <c r="G156" s="237"/>
      <c r="H156" s="237"/>
      <c r="I156" s="192" t="s">
        <v>750</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7"/>
      <c r="T156" s="238"/>
      <c r="U156" s="237"/>
      <c r="V156" s="237"/>
      <c r="W156" s="237"/>
      <c r="X156" s="237"/>
      <c r="Y156" s="237"/>
      <c r="Z156" s="238"/>
      <c r="AA156" s="237"/>
      <c r="AB156" s="238"/>
      <c r="AC156" s="238"/>
    </row>
    <row r="157" ht="18.75" customHeight="1">
      <c r="A157" s="232"/>
      <c r="B157" s="192"/>
      <c r="C157" s="193"/>
      <c r="D157" s="237"/>
      <c r="E157" s="237"/>
      <c r="F157" s="237"/>
      <c r="G157" s="237"/>
      <c r="H157" s="237"/>
      <c r="I157" s="192" t="s">
        <v>750</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7"/>
      <c r="T157" s="238"/>
      <c r="U157" s="237"/>
      <c r="V157" s="237"/>
      <c r="W157" s="237"/>
      <c r="X157" s="237"/>
      <c r="Y157" s="237"/>
      <c r="Z157" s="238"/>
      <c r="AA157" s="237"/>
      <c r="AB157" s="238"/>
      <c r="AC157" s="238"/>
    </row>
    <row r="158" ht="18.75" customHeight="1">
      <c r="A158" s="232"/>
      <c r="B158" s="192"/>
      <c r="C158" s="193"/>
      <c r="D158" s="237"/>
      <c r="E158" s="237"/>
      <c r="F158" s="237"/>
      <c r="G158" s="237"/>
      <c r="H158" s="237"/>
      <c r="I158" s="192" t="s">
        <v>750</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7"/>
      <c r="T158" s="238"/>
      <c r="U158" s="237"/>
      <c r="V158" s="237"/>
      <c r="W158" s="237"/>
      <c r="X158" s="237"/>
      <c r="Y158" s="237"/>
      <c r="Z158" s="238"/>
      <c r="AA158" s="237"/>
      <c r="AB158" s="238"/>
      <c r="AC158" s="238"/>
    </row>
    <row r="159" ht="18.75" customHeight="1">
      <c r="A159" s="232"/>
      <c r="B159" s="192"/>
      <c r="C159" s="193"/>
      <c r="D159" s="237"/>
      <c r="E159" s="237"/>
      <c r="F159" s="237"/>
      <c r="G159" s="237"/>
      <c r="H159" s="237"/>
      <c r="I159" s="192" t="s">
        <v>750</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7"/>
      <c r="T159" s="238"/>
      <c r="U159" s="237"/>
      <c r="V159" s="237"/>
      <c r="W159" s="237"/>
      <c r="X159" s="237"/>
      <c r="Y159" s="237"/>
      <c r="Z159" s="238"/>
      <c r="AA159" s="237"/>
      <c r="AB159" s="238"/>
      <c r="AC159" s="238"/>
    </row>
    <row r="160" ht="18.75" customHeight="1">
      <c r="A160" s="232"/>
      <c r="B160" s="192"/>
      <c r="C160" s="193"/>
      <c r="D160" s="237"/>
      <c r="E160" s="237"/>
      <c r="F160" s="237"/>
      <c r="G160" s="237"/>
      <c r="H160" s="237"/>
      <c r="I160" s="192" t="s">
        <v>750</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7"/>
      <c r="T160" s="238"/>
      <c r="U160" s="237"/>
      <c r="V160" s="237"/>
      <c r="W160" s="237"/>
      <c r="X160" s="237"/>
      <c r="Y160" s="237"/>
      <c r="Z160" s="238"/>
      <c r="AA160" s="237"/>
      <c r="AB160" s="238"/>
      <c r="AC160" s="238"/>
    </row>
    <row r="161" ht="18.75" customHeight="1">
      <c r="A161" s="232"/>
      <c r="B161" s="192"/>
      <c r="C161" s="193"/>
      <c r="D161" s="237"/>
      <c r="E161" s="237"/>
      <c r="F161" s="237"/>
      <c r="G161" s="237"/>
      <c r="H161" s="237"/>
      <c r="I161" s="192" t="s">
        <v>750</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7"/>
      <c r="T161" s="238"/>
      <c r="U161" s="237"/>
      <c r="V161" s="237"/>
      <c r="W161" s="237"/>
      <c r="X161" s="237"/>
      <c r="Y161" s="237"/>
      <c r="Z161" s="238"/>
      <c r="AA161" s="237"/>
      <c r="AB161" s="238"/>
      <c r="AC161" s="238"/>
    </row>
    <row r="162" ht="18.75" customHeight="1">
      <c r="A162" s="232"/>
      <c r="B162" s="192"/>
      <c r="C162" s="193"/>
      <c r="D162" s="237"/>
      <c r="E162" s="237"/>
      <c r="F162" s="237"/>
      <c r="G162" s="237"/>
      <c r="H162" s="237"/>
      <c r="I162" s="192" t="s">
        <v>750</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7"/>
      <c r="T162" s="238"/>
      <c r="U162" s="237"/>
      <c r="V162" s="237"/>
      <c r="W162" s="237"/>
      <c r="X162" s="237"/>
      <c r="Y162" s="237"/>
      <c r="Z162" s="238"/>
      <c r="AA162" s="237"/>
      <c r="AB162" s="238"/>
      <c r="AC162" s="238"/>
    </row>
    <row r="163" ht="18.75" customHeight="1">
      <c r="A163" s="232"/>
      <c r="B163" s="192"/>
      <c r="C163" s="193"/>
      <c r="D163" s="237"/>
      <c r="E163" s="237"/>
      <c r="F163" s="237"/>
      <c r="G163" s="237"/>
      <c r="H163" s="237"/>
      <c r="I163" s="192" t="s">
        <v>750</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7"/>
      <c r="T163" s="238"/>
      <c r="U163" s="237"/>
      <c r="V163" s="237"/>
      <c r="W163" s="237"/>
      <c r="X163" s="237"/>
      <c r="Y163" s="237"/>
      <c r="Z163" s="238"/>
      <c r="AA163" s="237"/>
      <c r="AB163" s="238"/>
      <c r="AC163" s="238"/>
    </row>
    <row r="164" ht="18.75" customHeight="1">
      <c r="A164" s="232"/>
      <c r="B164" s="192"/>
      <c r="C164" s="193"/>
      <c r="D164" s="237"/>
      <c r="E164" s="237"/>
      <c r="F164" s="237"/>
      <c r="G164" s="237"/>
      <c r="H164" s="237"/>
      <c r="I164" s="192" t="s">
        <v>750</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7"/>
      <c r="T164" s="238"/>
      <c r="U164" s="237"/>
      <c r="V164" s="237"/>
      <c r="W164" s="237"/>
      <c r="X164" s="237"/>
      <c r="Y164" s="237"/>
      <c r="Z164" s="238"/>
      <c r="AA164" s="237"/>
      <c r="AB164" s="238"/>
      <c r="AC164" s="238"/>
    </row>
    <row r="165" ht="18.75" customHeight="1">
      <c r="A165" s="232"/>
      <c r="B165" s="192"/>
      <c r="C165" s="193"/>
      <c r="D165" s="237"/>
      <c r="E165" s="237"/>
      <c r="F165" s="237"/>
      <c r="G165" s="237"/>
      <c r="H165" s="237"/>
      <c r="I165" s="192" t="s">
        <v>750</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7"/>
      <c r="T165" s="238"/>
      <c r="U165" s="237"/>
      <c r="V165" s="237"/>
      <c r="W165" s="237"/>
      <c r="X165" s="237"/>
      <c r="Y165" s="237"/>
      <c r="Z165" s="238"/>
      <c r="AA165" s="237"/>
      <c r="AB165" s="238"/>
      <c r="AC165" s="238"/>
    </row>
    <row r="166" ht="18.75" customHeight="1">
      <c r="A166" s="232"/>
      <c r="B166" s="192"/>
      <c r="C166" s="193"/>
      <c r="D166" s="237"/>
      <c r="E166" s="237"/>
      <c r="F166" s="237"/>
      <c r="G166" s="237"/>
      <c r="H166" s="237"/>
      <c r="I166" s="192" t="s">
        <v>750</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7"/>
      <c r="T166" s="238"/>
      <c r="U166" s="237"/>
      <c r="V166" s="237"/>
      <c r="W166" s="237"/>
      <c r="X166" s="237"/>
      <c r="Y166" s="237"/>
      <c r="Z166" s="238"/>
      <c r="AA166" s="237"/>
      <c r="AB166" s="238"/>
      <c r="AC166" s="238"/>
    </row>
    <row r="167" ht="18.75" customHeight="1">
      <c r="A167" s="232"/>
      <c r="B167" s="192"/>
      <c r="C167" s="193"/>
      <c r="D167" s="237"/>
      <c r="E167" s="237"/>
      <c r="F167" s="237"/>
      <c r="G167" s="237"/>
      <c r="H167" s="237"/>
      <c r="I167" s="192" t="s">
        <v>750</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7"/>
      <c r="T167" s="238"/>
      <c r="U167" s="237"/>
      <c r="V167" s="237"/>
      <c r="W167" s="237"/>
      <c r="X167" s="237"/>
      <c r="Y167" s="237"/>
      <c r="Z167" s="238"/>
      <c r="AA167" s="237"/>
      <c r="AB167" s="238"/>
      <c r="AC167" s="238"/>
    </row>
    <row r="168" ht="18.75" customHeight="1">
      <c r="A168" s="232"/>
      <c r="B168" s="192"/>
      <c r="C168" s="193"/>
      <c r="D168" s="237"/>
      <c r="E168" s="237"/>
      <c r="F168" s="237"/>
      <c r="G168" s="237"/>
      <c r="H168" s="237"/>
      <c r="I168" s="192" t="s">
        <v>750</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7"/>
      <c r="T168" s="238"/>
      <c r="U168" s="237"/>
      <c r="V168" s="237"/>
      <c r="W168" s="237"/>
      <c r="X168" s="237"/>
      <c r="Y168" s="237"/>
      <c r="Z168" s="238"/>
      <c r="AA168" s="237"/>
      <c r="AB168" s="238"/>
      <c r="AC168" s="238"/>
    </row>
    <row r="169" ht="18.75" customHeight="1">
      <c r="A169" s="232"/>
      <c r="B169" s="192"/>
      <c r="C169" s="193"/>
      <c r="D169" s="237"/>
      <c r="E169" s="237"/>
      <c r="F169" s="237"/>
      <c r="G169" s="237"/>
      <c r="H169" s="237"/>
      <c r="I169" s="192" t="s">
        <v>750</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7"/>
      <c r="T169" s="238"/>
      <c r="U169" s="237"/>
      <c r="V169" s="237"/>
      <c r="W169" s="237"/>
      <c r="X169" s="237"/>
      <c r="Y169" s="237"/>
      <c r="Z169" s="238"/>
      <c r="AA169" s="237"/>
      <c r="AB169" s="238"/>
      <c r="AC169" s="238"/>
    </row>
    <row r="170" ht="18.75" customHeight="1">
      <c r="A170" s="232"/>
      <c r="B170" s="192"/>
      <c r="C170" s="193"/>
      <c r="D170" s="237"/>
      <c r="E170" s="237"/>
      <c r="F170" s="237"/>
      <c r="G170" s="237"/>
      <c r="H170" s="237"/>
      <c r="I170" s="192" t="s">
        <v>750</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7"/>
      <c r="T170" s="238"/>
      <c r="U170" s="237"/>
      <c r="V170" s="237"/>
      <c r="W170" s="237"/>
      <c r="X170" s="237"/>
      <c r="Y170" s="237"/>
      <c r="Z170" s="238"/>
      <c r="AA170" s="237"/>
      <c r="AB170" s="238"/>
      <c r="AC170" s="238"/>
    </row>
    <row r="171" ht="18.75" customHeight="1">
      <c r="A171" s="232"/>
      <c r="B171" s="192"/>
      <c r="C171" s="193"/>
      <c r="D171" s="237"/>
      <c r="E171" s="237"/>
      <c r="F171" s="237"/>
      <c r="G171" s="237"/>
      <c r="H171" s="237"/>
      <c r="I171" s="192" t="s">
        <v>750</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7"/>
      <c r="T171" s="238"/>
      <c r="U171" s="237"/>
      <c r="V171" s="237"/>
      <c r="W171" s="237"/>
      <c r="X171" s="237"/>
      <c r="Y171" s="237"/>
      <c r="Z171" s="238"/>
      <c r="AA171" s="237"/>
      <c r="AB171" s="238"/>
      <c r="AC171" s="238"/>
    </row>
    <row r="172" ht="18.75" customHeight="1">
      <c r="A172" s="232"/>
      <c r="B172" s="192"/>
      <c r="C172" s="193"/>
      <c r="D172" s="237"/>
      <c r="E172" s="237"/>
      <c r="F172" s="237"/>
      <c r="G172" s="237"/>
      <c r="H172" s="237"/>
      <c r="I172" s="192" t="s">
        <v>750</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7"/>
      <c r="T172" s="238"/>
      <c r="U172" s="237"/>
      <c r="V172" s="237"/>
      <c r="W172" s="237"/>
      <c r="X172" s="237"/>
      <c r="Y172" s="237"/>
      <c r="Z172" s="238"/>
      <c r="AA172" s="237"/>
      <c r="AB172" s="238"/>
      <c r="AC172" s="238"/>
    </row>
    <row r="173" ht="18.75" customHeight="1">
      <c r="A173" s="232"/>
      <c r="B173" s="192"/>
      <c r="C173" s="193"/>
      <c r="D173" s="237"/>
      <c r="E173" s="237"/>
      <c r="F173" s="237"/>
      <c r="G173" s="237"/>
      <c r="H173" s="237"/>
      <c r="I173" s="192" t="s">
        <v>750</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7"/>
      <c r="T173" s="238"/>
      <c r="U173" s="237"/>
      <c r="V173" s="237"/>
      <c r="W173" s="237"/>
      <c r="X173" s="237"/>
      <c r="Y173" s="237"/>
      <c r="Z173" s="238"/>
      <c r="AA173" s="237"/>
      <c r="AB173" s="238"/>
      <c r="AC173" s="238"/>
    </row>
    <row r="174" ht="18.75" customHeight="1">
      <c r="A174" s="232"/>
      <c r="B174" s="192"/>
      <c r="C174" s="193"/>
      <c r="D174" s="237"/>
      <c r="E174" s="237"/>
      <c r="F174" s="237"/>
      <c r="G174" s="237"/>
      <c r="H174" s="237"/>
      <c r="I174" s="192" t="s">
        <v>750</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7"/>
      <c r="T174" s="238"/>
      <c r="U174" s="237"/>
      <c r="V174" s="237"/>
      <c r="W174" s="237"/>
      <c r="X174" s="237"/>
      <c r="Y174" s="237"/>
      <c r="Z174" s="238"/>
      <c r="AA174" s="237"/>
      <c r="AB174" s="238"/>
      <c r="AC174" s="238"/>
    </row>
    <row r="175" ht="18.75" customHeight="1">
      <c r="A175" s="232"/>
      <c r="B175" s="192"/>
      <c r="C175" s="193"/>
      <c r="D175" s="237"/>
      <c r="E175" s="237"/>
      <c r="F175" s="237"/>
      <c r="G175" s="237"/>
      <c r="H175" s="237"/>
      <c r="I175" s="192" t="s">
        <v>750</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7"/>
      <c r="T175" s="238"/>
      <c r="U175" s="237"/>
      <c r="V175" s="237"/>
      <c r="W175" s="237"/>
      <c r="X175" s="237"/>
      <c r="Y175" s="237"/>
      <c r="Z175" s="238"/>
      <c r="AA175" s="237"/>
      <c r="AB175" s="238"/>
      <c r="AC175" s="238"/>
    </row>
    <row r="176" ht="18.75" customHeight="1">
      <c r="A176" s="232"/>
      <c r="B176" s="192"/>
      <c r="C176" s="193"/>
      <c r="D176" s="237"/>
      <c r="E176" s="237"/>
      <c r="F176" s="237"/>
      <c r="G176" s="237"/>
      <c r="H176" s="237"/>
      <c r="I176" s="192" t="s">
        <v>750</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7"/>
      <c r="T176" s="238"/>
      <c r="U176" s="237"/>
      <c r="V176" s="237"/>
      <c r="W176" s="237"/>
      <c r="X176" s="237"/>
      <c r="Y176" s="237"/>
      <c r="Z176" s="238"/>
      <c r="AA176" s="237"/>
      <c r="AB176" s="238"/>
      <c r="AC176" s="238"/>
    </row>
    <row r="177" ht="18.75" customHeight="1">
      <c r="A177" s="232"/>
      <c r="B177" s="192"/>
      <c r="C177" s="193"/>
      <c r="D177" s="237"/>
      <c r="E177" s="237"/>
      <c r="F177" s="237"/>
      <c r="G177" s="237"/>
      <c r="H177" s="237"/>
      <c r="I177" s="192" t="s">
        <v>750</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7"/>
      <c r="T177" s="238"/>
      <c r="U177" s="237"/>
      <c r="V177" s="237"/>
      <c r="W177" s="237"/>
      <c r="X177" s="237"/>
      <c r="Y177" s="237"/>
      <c r="Z177" s="238"/>
      <c r="AA177" s="237"/>
      <c r="AB177" s="238"/>
      <c r="AC177" s="238"/>
    </row>
    <row r="178" ht="18.75" customHeight="1">
      <c r="A178" s="232"/>
      <c r="B178" s="192"/>
      <c r="C178" s="193"/>
      <c r="D178" s="237"/>
      <c r="E178" s="237"/>
      <c r="F178" s="237"/>
      <c r="G178" s="237"/>
      <c r="H178" s="237"/>
      <c r="I178" s="192" t="s">
        <v>750</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7"/>
      <c r="T178" s="238"/>
      <c r="U178" s="237"/>
      <c r="V178" s="237"/>
      <c r="W178" s="237"/>
      <c r="X178" s="237"/>
      <c r="Y178" s="237"/>
      <c r="Z178" s="238"/>
      <c r="AA178" s="237"/>
      <c r="AB178" s="238"/>
      <c r="AC178" s="238"/>
    </row>
    <row r="179" ht="18.75" customHeight="1">
      <c r="A179" s="232"/>
      <c r="B179" s="192"/>
      <c r="C179" s="193"/>
      <c r="D179" s="237"/>
      <c r="E179" s="237"/>
      <c r="F179" s="237"/>
      <c r="G179" s="237"/>
      <c r="H179" s="237"/>
      <c r="I179" s="192" t="s">
        <v>750</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7"/>
      <c r="T179" s="238"/>
      <c r="U179" s="237"/>
      <c r="V179" s="237"/>
      <c r="W179" s="237"/>
      <c r="X179" s="237"/>
      <c r="Y179" s="237"/>
      <c r="Z179" s="238"/>
      <c r="AA179" s="237"/>
      <c r="AB179" s="238"/>
      <c r="AC179" s="238"/>
    </row>
    <row r="180" ht="18.75" customHeight="1">
      <c r="A180" s="241"/>
      <c r="B180" s="192"/>
      <c r="C180" s="193"/>
      <c r="D180" s="237"/>
      <c r="E180" s="237"/>
      <c r="F180" s="237"/>
      <c r="G180" s="237"/>
      <c r="H180" s="237"/>
      <c r="I180" s="192" t="s">
        <v>750</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37"/>
      <c r="T180" s="242"/>
      <c r="U180" s="237"/>
      <c r="V180" s="237"/>
      <c r="W180" s="237"/>
      <c r="X180" s="237"/>
      <c r="Y180" s="237"/>
      <c r="Z180" s="242"/>
      <c r="AA180" s="237"/>
      <c r="AB180" s="242"/>
      <c r="AC180" s="242"/>
    </row>
    <row r="181" ht="18.75" customHeight="1">
      <c r="A181" s="241"/>
      <c r="B181" s="192"/>
      <c r="C181" s="193"/>
      <c r="D181" s="237"/>
      <c r="E181" s="237"/>
      <c r="F181" s="237"/>
      <c r="G181" s="237"/>
      <c r="H181" s="237"/>
      <c r="I181" s="192" t="s">
        <v>750</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37"/>
      <c r="T181" s="242"/>
      <c r="U181" s="237"/>
      <c r="V181" s="237"/>
      <c r="W181" s="237"/>
      <c r="X181" s="237"/>
      <c r="Y181" s="237"/>
      <c r="Z181" s="242"/>
      <c r="AA181" s="237"/>
      <c r="AB181" s="242"/>
      <c r="AC181" s="242"/>
    </row>
    <row r="182" ht="18.75" customHeight="1">
      <c r="A182" s="241"/>
      <c r="B182" s="192"/>
      <c r="C182" s="193"/>
      <c r="D182" s="237"/>
      <c r="E182" s="237"/>
      <c r="F182" s="237"/>
      <c r="G182" s="237"/>
      <c r="H182" s="237"/>
      <c r="I182" s="192" t="s">
        <v>750</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37"/>
      <c r="T182" s="242"/>
      <c r="U182" s="237"/>
      <c r="V182" s="237"/>
      <c r="W182" s="237"/>
      <c r="X182" s="237"/>
      <c r="Y182" s="237"/>
      <c r="Z182" s="242"/>
      <c r="AA182" s="237"/>
      <c r="AB182" s="242"/>
      <c r="AC182" s="242"/>
    </row>
    <row r="183" ht="18.75" customHeight="1">
      <c r="A183" s="241"/>
      <c r="B183" s="192"/>
      <c r="C183" s="193"/>
      <c r="D183" s="237"/>
      <c r="E183" s="237"/>
      <c r="F183" s="237"/>
      <c r="G183" s="237"/>
      <c r="H183" s="237"/>
      <c r="I183" s="192" t="s">
        <v>750</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37"/>
      <c r="T183" s="242"/>
      <c r="U183" s="237"/>
      <c r="V183" s="237"/>
      <c r="W183" s="237"/>
      <c r="X183" s="237"/>
      <c r="Y183" s="237"/>
      <c r="Z183" s="242"/>
      <c r="AA183" s="237"/>
      <c r="AB183" s="242"/>
      <c r="AC183" s="242"/>
    </row>
    <row r="184" ht="18.75" customHeight="1">
      <c r="A184" s="241"/>
      <c r="B184" s="192"/>
      <c r="C184" s="193"/>
      <c r="D184" s="237"/>
      <c r="E184" s="237"/>
      <c r="F184" s="237"/>
      <c r="G184" s="237"/>
      <c r="H184" s="237"/>
      <c r="I184" s="192" t="s">
        <v>750</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37"/>
      <c r="T184" s="242"/>
      <c r="U184" s="237"/>
      <c r="V184" s="237"/>
      <c r="W184" s="237"/>
      <c r="X184" s="237"/>
      <c r="Y184" s="237"/>
      <c r="Z184" s="242"/>
      <c r="AA184" s="237"/>
      <c r="AB184" s="242"/>
      <c r="AC184" s="242"/>
    </row>
    <row r="185" ht="18.75" customHeight="1">
      <c r="A185" s="241"/>
      <c r="B185" s="192"/>
      <c r="C185" s="193"/>
      <c r="D185" s="237"/>
      <c r="E185" s="237"/>
      <c r="F185" s="237"/>
      <c r="G185" s="237"/>
      <c r="H185" s="237"/>
      <c r="I185" s="192" t="s">
        <v>750</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37"/>
      <c r="T185" s="242"/>
      <c r="U185" s="237"/>
      <c r="V185" s="237"/>
      <c r="W185" s="237"/>
      <c r="X185" s="237"/>
      <c r="Y185" s="237"/>
      <c r="Z185" s="242"/>
      <c r="AA185" s="237"/>
      <c r="AB185" s="242"/>
      <c r="AC185" s="242"/>
    </row>
    <row r="186" ht="18.75" customHeight="1">
      <c r="A186" s="241"/>
      <c r="B186" s="192"/>
      <c r="C186" s="193"/>
      <c r="D186" s="237"/>
      <c r="E186" s="237"/>
      <c r="F186" s="237"/>
      <c r="G186" s="237"/>
      <c r="H186" s="237"/>
      <c r="I186" s="192" t="s">
        <v>750</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37"/>
      <c r="T186" s="242"/>
      <c r="U186" s="237"/>
      <c r="V186" s="237"/>
      <c r="W186" s="237"/>
      <c r="X186" s="237"/>
      <c r="Y186" s="237"/>
      <c r="Z186" s="242"/>
      <c r="AA186" s="237"/>
      <c r="AB186" s="242"/>
      <c r="AC186" s="242"/>
    </row>
    <row r="187" ht="18.75" customHeight="1">
      <c r="A187" s="241"/>
      <c r="B187" s="192"/>
      <c r="C187" s="193"/>
      <c r="D187" s="237"/>
      <c r="E187" s="237"/>
      <c r="F187" s="237"/>
      <c r="G187" s="237"/>
      <c r="H187" s="237"/>
      <c r="I187" s="192" t="s">
        <v>750</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37"/>
      <c r="T187" s="242"/>
      <c r="U187" s="237"/>
      <c r="V187" s="237"/>
      <c r="W187" s="237"/>
      <c r="X187" s="237"/>
      <c r="Y187" s="237"/>
      <c r="Z187" s="242"/>
      <c r="AA187" s="237"/>
      <c r="AB187" s="242"/>
      <c r="AC187" s="242"/>
    </row>
    <row r="188" ht="18.75" customHeight="1">
      <c r="A188" s="241"/>
      <c r="B188" s="192"/>
      <c r="C188" s="193"/>
      <c r="D188" s="237"/>
      <c r="E188" s="237"/>
      <c r="F188" s="237"/>
      <c r="G188" s="237"/>
      <c r="H188" s="237"/>
      <c r="I188" s="192" t="s">
        <v>750</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37"/>
      <c r="T188" s="242"/>
      <c r="U188" s="237"/>
      <c r="V188" s="237"/>
      <c r="W188" s="237"/>
      <c r="X188" s="237"/>
      <c r="Y188" s="237"/>
      <c r="Z188" s="242"/>
      <c r="AA188" s="237"/>
      <c r="AB188" s="242"/>
      <c r="AC188" s="242"/>
    </row>
    <row r="189" ht="18.75" customHeight="1">
      <c r="A189" s="241"/>
      <c r="B189" s="192"/>
      <c r="C189" s="193"/>
      <c r="D189" s="237"/>
      <c r="E189" s="237"/>
      <c r="F189" s="237"/>
      <c r="G189" s="237"/>
      <c r="H189" s="237"/>
      <c r="I189" s="192" t="s">
        <v>750</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37"/>
      <c r="T189" s="242"/>
      <c r="U189" s="237"/>
      <c r="V189" s="237"/>
      <c r="W189" s="237"/>
      <c r="X189" s="237"/>
      <c r="Y189" s="237"/>
      <c r="Z189" s="242"/>
      <c r="AA189" s="237"/>
      <c r="AB189" s="242"/>
      <c r="AC189" s="242"/>
    </row>
    <row r="190" ht="18.75" customHeight="1">
      <c r="A190" s="241"/>
      <c r="B190" s="192"/>
      <c r="C190" s="193"/>
      <c r="D190" s="237"/>
      <c r="E190" s="237"/>
      <c r="F190" s="237"/>
      <c r="G190" s="237"/>
      <c r="H190" s="237"/>
      <c r="I190" s="192" t="s">
        <v>750</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37"/>
      <c r="T190" s="242"/>
      <c r="U190" s="237"/>
      <c r="V190" s="237"/>
      <c r="W190" s="237"/>
      <c r="X190" s="237"/>
      <c r="Y190" s="237"/>
      <c r="Z190" s="242"/>
      <c r="AA190" s="237"/>
      <c r="AB190" s="242"/>
      <c r="AC190" s="242"/>
    </row>
    <row r="191" ht="18.75" customHeight="1">
      <c r="A191" s="241"/>
      <c r="B191" s="192"/>
      <c r="C191" s="193"/>
      <c r="D191" s="237"/>
      <c r="E191" s="237"/>
      <c r="F191" s="237"/>
      <c r="G191" s="237"/>
      <c r="H191" s="237"/>
      <c r="I191" s="192" t="s">
        <v>750</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37"/>
      <c r="T191" s="242"/>
      <c r="U191" s="237"/>
      <c r="V191" s="237"/>
      <c r="W191" s="237"/>
      <c r="X191" s="237"/>
      <c r="Y191" s="237"/>
      <c r="Z191" s="242"/>
      <c r="AA191" s="237"/>
      <c r="AB191" s="242"/>
      <c r="AC191" s="242"/>
    </row>
    <row r="192" ht="18.75" customHeight="1">
      <c r="A192" s="241"/>
      <c r="B192" s="192"/>
      <c r="C192" s="193"/>
      <c r="D192" s="237"/>
      <c r="E192" s="237"/>
      <c r="F192" s="237"/>
      <c r="G192" s="237"/>
      <c r="H192" s="237"/>
      <c r="I192" s="192" t="s">
        <v>750</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37"/>
      <c r="T192" s="242"/>
      <c r="U192" s="237"/>
      <c r="V192" s="237"/>
      <c r="W192" s="237"/>
      <c r="X192" s="237"/>
      <c r="Y192" s="237"/>
      <c r="Z192" s="242"/>
      <c r="AA192" s="237"/>
      <c r="AB192" s="242"/>
      <c r="AC192" s="242"/>
    </row>
    <row r="193" ht="18.75" customHeight="1">
      <c r="A193" s="241"/>
      <c r="B193" s="192"/>
      <c r="C193" s="193"/>
      <c r="D193" s="237"/>
      <c r="E193" s="237"/>
      <c r="F193" s="237"/>
      <c r="G193" s="237"/>
      <c r="H193" s="237"/>
      <c r="I193" s="192" t="s">
        <v>750</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37"/>
      <c r="T193" s="242"/>
      <c r="U193" s="237"/>
      <c r="V193" s="237"/>
      <c r="W193" s="237"/>
      <c r="X193" s="237"/>
      <c r="Y193" s="237"/>
      <c r="Z193" s="242"/>
      <c r="AA193" s="237"/>
      <c r="AB193" s="242"/>
      <c r="AC193" s="242"/>
    </row>
    <row r="194" ht="18.75" customHeight="1">
      <c r="A194" s="241"/>
      <c r="B194" s="192"/>
      <c r="C194" s="193"/>
      <c r="D194" s="237"/>
      <c r="E194" s="237"/>
      <c r="F194" s="237"/>
      <c r="G194" s="237"/>
      <c r="H194" s="237"/>
      <c r="I194" s="192" t="s">
        <v>750</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37"/>
      <c r="T194" s="242"/>
      <c r="U194" s="237"/>
      <c r="V194" s="237"/>
      <c r="W194" s="237"/>
      <c r="X194" s="237"/>
      <c r="Y194" s="237"/>
      <c r="Z194" s="242"/>
      <c r="AA194" s="237"/>
      <c r="AB194" s="242"/>
      <c r="AC194" s="242"/>
    </row>
    <row r="195" ht="18.75" customHeight="1">
      <c r="A195" s="241"/>
      <c r="B195" s="192"/>
      <c r="C195" s="193"/>
      <c r="D195" s="237"/>
      <c r="E195" s="237"/>
      <c r="F195" s="237"/>
      <c r="G195" s="237"/>
      <c r="H195" s="237"/>
      <c r="I195" s="192" t="s">
        <v>750</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37"/>
      <c r="T195" s="242"/>
      <c r="U195" s="237"/>
      <c r="V195" s="237"/>
      <c r="W195" s="237"/>
      <c r="X195" s="237"/>
      <c r="Y195" s="237"/>
      <c r="Z195" s="242"/>
      <c r="AA195" s="237"/>
      <c r="AB195" s="242"/>
      <c r="AC195" s="242"/>
    </row>
    <row r="196" ht="18.75" customHeight="1">
      <c r="A196" s="241"/>
      <c r="B196" s="192"/>
      <c r="C196" s="193"/>
      <c r="D196" s="237"/>
      <c r="E196" s="237"/>
      <c r="F196" s="237"/>
      <c r="G196" s="237"/>
      <c r="H196" s="237"/>
      <c r="I196" s="192" t="s">
        <v>750</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37"/>
      <c r="T196" s="242"/>
      <c r="U196" s="237"/>
      <c r="V196" s="237"/>
      <c r="W196" s="237"/>
      <c r="X196" s="237"/>
      <c r="Y196" s="237"/>
      <c r="Z196" s="242"/>
      <c r="AA196" s="237"/>
      <c r="AB196" s="242"/>
      <c r="AC196" s="242"/>
    </row>
    <row r="197" ht="18.75" customHeight="1">
      <c r="A197" s="241"/>
      <c r="B197" s="192"/>
      <c r="C197" s="193"/>
      <c r="D197" s="237"/>
      <c r="E197" s="237"/>
      <c r="F197" s="237"/>
      <c r="G197" s="237"/>
      <c r="H197" s="237"/>
      <c r="I197" s="192" t="s">
        <v>750</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37"/>
      <c r="T197" s="242"/>
      <c r="U197" s="237"/>
      <c r="V197" s="237"/>
      <c r="W197" s="237"/>
      <c r="X197" s="237"/>
      <c r="Y197" s="237"/>
      <c r="Z197" s="242"/>
      <c r="AA197" s="237"/>
      <c r="AB197" s="242"/>
      <c r="AC197" s="242"/>
    </row>
    <row r="198" ht="18.75" customHeight="1">
      <c r="A198" s="241"/>
      <c r="B198" s="192"/>
      <c r="C198" s="193"/>
      <c r="D198" s="237"/>
      <c r="E198" s="237"/>
      <c r="F198" s="237"/>
      <c r="G198" s="237"/>
      <c r="H198" s="237"/>
      <c r="I198" s="192" t="s">
        <v>750</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37"/>
      <c r="T198" s="242"/>
      <c r="U198" s="237"/>
      <c r="V198" s="237"/>
      <c r="W198" s="237"/>
      <c r="X198" s="237"/>
      <c r="Y198" s="237"/>
      <c r="Z198" s="242"/>
      <c r="AA198" s="237"/>
      <c r="AB198" s="242"/>
      <c r="AC198" s="242"/>
    </row>
    <row r="199" ht="18.75" customHeight="1">
      <c r="A199" s="241"/>
      <c r="B199" s="192"/>
      <c r="C199" s="193"/>
      <c r="D199" s="237"/>
      <c r="E199" s="237"/>
      <c r="F199" s="237"/>
      <c r="G199" s="237"/>
      <c r="H199" s="237"/>
      <c r="I199" s="192" t="s">
        <v>750</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37"/>
      <c r="T199" s="242"/>
      <c r="U199" s="237"/>
      <c r="V199" s="237"/>
      <c r="W199" s="237"/>
      <c r="X199" s="237"/>
      <c r="Y199" s="237"/>
      <c r="Z199" s="242"/>
      <c r="AA199" s="237"/>
      <c r="AB199" s="242"/>
      <c r="AC199" s="242"/>
    </row>
    <row r="200" ht="18.75" customHeight="1">
      <c r="A200" s="241"/>
      <c r="B200" s="192"/>
      <c r="C200" s="193"/>
      <c r="D200" s="237"/>
      <c r="E200" s="237"/>
      <c r="F200" s="237"/>
      <c r="G200" s="237"/>
      <c r="H200" s="237"/>
      <c r="I200" s="192" t="s">
        <v>750</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37"/>
      <c r="T200" s="242"/>
      <c r="U200" s="237"/>
      <c r="V200" s="237"/>
      <c r="W200" s="237"/>
      <c r="X200" s="237"/>
      <c r="Y200" s="237"/>
      <c r="Z200" s="242"/>
      <c r="AA200" s="237"/>
      <c r="AB200" s="242"/>
      <c r="AC200" s="242"/>
    </row>
    <row r="201" ht="18.75" customHeight="1">
      <c r="A201" s="241"/>
      <c r="B201" s="192"/>
      <c r="C201" s="193"/>
      <c r="D201" s="237"/>
      <c r="E201" s="237"/>
      <c r="F201" s="237"/>
      <c r="G201" s="237"/>
      <c r="H201" s="237"/>
      <c r="I201" s="192" t="s">
        <v>750</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37"/>
      <c r="T201" s="242"/>
      <c r="U201" s="237"/>
      <c r="V201" s="237"/>
      <c r="W201" s="237"/>
      <c r="X201" s="237"/>
      <c r="Y201" s="237"/>
      <c r="Z201" s="242"/>
      <c r="AA201" s="237"/>
      <c r="AB201" s="242"/>
      <c r="AC201" s="242"/>
    </row>
    <row r="202" ht="18.75" customHeight="1">
      <c r="A202" s="241"/>
      <c r="B202" s="192"/>
      <c r="C202" s="193"/>
      <c r="D202" s="237"/>
      <c r="E202" s="237"/>
      <c r="F202" s="237"/>
      <c r="G202" s="237"/>
      <c r="H202" s="237"/>
      <c r="I202" s="192" t="s">
        <v>750</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37"/>
      <c r="T202" s="242"/>
      <c r="U202" s="237"/>
      <c r="V202" s="237"/>
      <c r="W202" s="237"/>
      <c r="X202" s="237"/>
      <c r="Y202" s="237"/>
      <c r="Z202" s="242"/>
      <c r="AA202" s="237"/>
      <c r="AB202" s="242"/>
      <c r="AC202" s="242"/>
    </row>
    <row r="203" ht="18.75" customHeight="1">
      <c r="A203" s="241"/>
      <c r="B203" s="192"/>
      <c r="C203" s="193"/>
      <c r="D203" s="237"/>
      <c r="E203" s="237"/>
      <c r="F203" s="237"/>
      <c r="G203" s="237"/>
      <c r="H203" s="237"/>
      <c r="I203" s="192" t="s">
        <v>750</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37"/>
      <c r="T203" s="242"/>
      <c r="U203" s="237"/>
      <c r="V203" s="237"/>
      <c r="W203" s="237"/>
      <c r="X203" s="237"/>
      <c r="Y203" s="237"/>
      <c r="Z203" s="242"/>
      <c r="AA203" s="237"/>
      <c r="AB203" s="242"/>
      <c r="AC203" s="242"/>
    </row>
    <row r="204" ht="18.75" customHeight="1">
      <c r="A204" s="241"/>
      <c r="B204" s="192"/>
      <c r="C204" s="193"/>
      <c r="D204" s="237"/>
      <c r="E204" s="237"/>
      <c r="F204" s="237"/>
      <c r="G204" s="237"/>
      <c r="H204" s="237"/>
      <c r="I204" s="192" t="s">
        <v>750</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37"/>
      <c r="T204" s="242"/>
      <c r="U204" s="237"/>
      <c r="V204" s="237"/>
      <c r="W204" s="237"/>
      <c r="X204" s="237"/>
      <c r="Y204" s="237"/>
      <c r="Z204" s="242"/>
      <c r="AA204" s="237"/>
      <c r="AB204" s="242"/>
      <c r="AC204" s="242"/>
    </row>
    <row r="205" ht="18.75" customHeight="1">
      <c r="A205" s="241"/>
      <c r="B205" s="192"/>
      <c r="C205" s="193"/>
      <c r="D205" s="237"/>
      <c r="E205" s="237"/>
      <c r="F205" s="237"/>
      <c r="G205" s="237"/>
      <c r="H205" s="237"/>
      <c r="I205" s="192" t="s">
        <v>750</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37"/>
      <c r="T205" s="242"/>
      <c r="U205" s="237"/>
      <c r="V205" s="237"/>
      <c r="W205" s="237"/>
      <c r="X205" s="237"/>
      <c r="Y205" s="237"/>
      <c r="Z205" s="242"/>
      <c r="AA205" s="237"/>
      <c r="AB205" s="242"/>
      <c r="AC205" s="242"/>
    </row>
    <row r="206" ht="18.75" customHeight="1">
      <c r="A206" s="241"/>
      <c r="B206" s="192"/>
      <c r="C206" s="193"/>
      <c r="D206" s="237"/>
      <c r="E206" s="237"/>
      <c r="F206" s="237"/>
      <c r="G206" s="237"/>
      <c r="H206" s="237"/>
      <c r="I206" s="192" t="s">
        <v>750</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37"/>
      <c r="T206" s="242"/>
      <c r="U206" s="237"/>
      <c r="V206" s="237"/>
      <c r="W206" s="237"/>
      <c r="X206" s="237"/>
      <c r="Y206" s="237"/>
      <c r="Z206" s="242"/>
      <c r="AA206" s="237"/>
      <c r="AB206" s="242"/>
      <c r="AC206" s="242"/>
    </row>
    <row r="207" ht="18.75" customHeight="1">
      <c r="A207" s="241"/>
      <c r="B207" s="192"/>
      <c r="C207" s="193"/>
      <c r="D207" s="237"/>
      <c r="E207" s="237"/>
      <c r="F207" s="237"/>
      <c r="G207" s="237"/>
      <c r="H207" s="237"/>
      <c r="I207" s="192" t="s">
        <v>750</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37"/>
      <c r="T207" s="242"/>
      <c r="U207" s="237"/>
      <c r="V207" s="237"/>
      <c r="W207" s="237"/>
      <c r="X207" s="237"/>
      <c r="Y207" s="237"/>
      <c r="Z207" s="242"/>
      <c r="AA207" s="237"/>
      <c r="AB207" s="242"/>
      <c r="AC207" s="242"/>
    </row>
    <row r="208" ht="18.75" customHeight="1">
      <c r="A208" s="241"/>
      <c r="B208" s="192"/>
      <c r="C208" s="193"/>
      <c r="D208" s="237"/>
      <c r="E208" s="237"/>
      <c r="F208" s="237"/>
      <c r="G208" s="237"/>
      <c r="H208" s="237"/>
      <c r="I208" s="192" t="s">
        <v>750</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37"/>
      <c r="T208" s="242"/>
      <c r="U208" s="237"/>
      <c r="V208" s="237"/>
      <c r="W208" s="237"/>
      <c r="X208" s="237"/>
      <c r="Y208" s="237"/>
      <c r="Z208" s="242"/>
      <c r="AA208" s="237"/>
      <c r="AB208" s="242"/>
      <c r="AC208" s="242"/>
    </row>
    <row r="209" ht="18.75" customHeight="1">
      <c r="A209" s="241"/>
      <c r="B209" s="192"/>
      <c r="C209" s="193"/>
      <c r="D209" s="237"/>
      <c r="E209" s="237"/>
      <c r="F209" s="237"/>
      <c r="G209" s="237"/>
      <c r="H209" s="237"/>
      <c r="I209" s="192" t="s">
        <v>750</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37"/>
      <c r="T209" s="242"/>
      <c r="U209" s="237"/>
      <c r="V209" s="237"/>
      <c r="W209" s="237"/>
      <c r="X209" s="237"/>
      <c r="Y209" s="237"/>
      <c r="Z209" s="242"/>
      <c r="AA209" s="237"/>
      <c r="AB209" s="242"/>
      <c r="AC209" s="242"/>
    </row>
    <row r="210" ht="18.75" customHeight="1">
      <c r="A210" s="241"/>
      <c r="B210" s="192"/>
      <c r="C210" s="193"/>
      <c r="D210" s="237"/>
      <c r="E210" s="237"/>
      <c r="F210" s="237"/>
      <c r="G210" s="237"/>
      <c r="H210" s="237"/>
      <c r="I210" s="192" t="s">
        <v>750</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37"/>
      <c r="T210" s="242"/>
      <c r="U210" s="237"/>
      <c r="V210" s="237"/>
      <c r="W210" s="237"/>
      <c r="X210" s="237"/>
      <c r="Y210" s="237"/>
      <c r="Z210" s="242"/>
      <c r="AA210" s="237"/>
      <c r="AB210" s="242"/>
      <c r="AC210" s="242"/>
    </row>
    <row r="211" ht="18.75" customHeight="1">
      <c r="A211" s="241"/>
      <c r="B211" s="192"/>
      <c r="C211" s="193"/>
      <c r="D211" s="237"/>
      <c r="E211" s="237"/>
      <c r="F211" s="237"/>
      <c r="G211" s="237"/>
      <c r="H211" s="237"/>
      <c r="I211" s="192" t="s">
        <v>750</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37"/>
      <c r="T211" s="242"/>
      <c r="U211" s="237"/>
      <c r="V211" s="237"/>
      <c r="W211" s="237"/>
      <c r="X211" s="237"/>
      <c r="Y211" s="237"/>
      <c r="Z211" s="242"/>
      <c r="AA211" s="237"/>
      <c r="AB211" s="242"/>
      <c r="AC211" s="242"/>
    </row>
    <row r="212" ht="18.75" customHeight="1">
      <c r="A212" s="241"/>
      <c r="B212" s="192"/>
      <c r="C212" s="193"/>
      <c r="D212" s="237"/>
      <c r="E212" s="237"/>
      <c r="F212" s="237"/>
      <c r="G212" s="237"/>
      <c r="H212" s="237"/>
      <c r="I212" s="192" t="s">
        <v>750</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37"/>
      <c r="T212" s="242"/>
      <c r="U212" s="237"/>
      <c r="V212" s="237"/>
      <c r="W212" s="237"/>
      <c r="X212" s="237"/>
      <c r="Y212" s="237"/>
      <c r="Z212" s="242"/>
      <c r="AA212" s="237"/>
      <c r="AB212" s="242"/>
      <c r="AC212" s="242"/>
    </row>
    <row r="213" ht="18.75" customHeight="1">
      <c r="A213" s="241"/>
      <c r="B213" s="192"/>
      <c r="C213" s="193"/>
      <c r="D213" s="237"/>
      <c r="E213" s="237"/>
      <c r="F213" s="237"/>
      <c r="G213" s="237"/>
      <c r="H213" s="237"/>
      <c r="I213" s="192" t="s">
        <v>750</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37"/>
      <c r="T213" s="242"/>
      <c r="U213" s="237"/>
      <c r="V213" s="237"/>
      <c r="W213" s="237"/>
      <c r="X213" s="237"/>
      <c r="Y213" s="237"/>
      <c r="Z213" s="242"/>
      <c r="AA213" s="237"/>
      <c r="AB213" s="242"/>
      <c r="AC213" s="242"/>
    </row>
    <row r="214" ht="18.75" customHeight="1">
      <c r="A214" s="241"/>
      <c r="B214" s="192"/>
      <c r="C214" s="193"/>
      <c r="D214" s="237"/>
      <c r="E214" s="237"/>
      <c r="F214" s="237"/>
      <c r="G214" s="237"/>
      <c r="H214" s="237"/>
      <c r="I214" s="192" t="s">
        <v>750</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37"/>
      <c r="T214" s="242"/>
      <c r="U214" s="237"/>
      <c r="V214" s="237"/>
      <c r="W214" s="237"/>
      <c r="X214" s="237"/>
      <c r="Y214" s="237"/>
      <c r="Z214" s="242"/>
      <c r="AA214" s="237"/>
      <c r="AB214" s="242"/>
      <c r="AC214" s="242"/>
    </row>
    <row r="215" ht="18.75" customHeight="1">
      <c r="A215" s="241"/>
      <c r="B215" s="192"/>
      <c r="C215" s="193"/>
      <c r="D215" s="237"/>
      <c r="E215" s="237"/>
      <c r="F215" s="237"/>
      <c r="G215" s="237"/>
      <c r="H215" s="237"/>
      <c r="I215" s="192" t="s">
        <v>750</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37"/>
      <c r="T215" s="242"/>
      <c r="U215" s="237"/>
      <c r="V215" s="237"/>
      <c r="W215" s="237"/>
      <c r="X215" s="237"/>
      <c r="Y215" s="237"/>
      <c r="Z215" s="242"/>
      <c r="AA215" s="237"/>
      <c r="AB215" s="242"/>
      <c r="AC215" s="242"/>
    </row>
    <row r="216" ht="18.75" customHeight="1">
      <c r="A216" s="241"/>
      <c r="B216" s="192"/>
      <c r="C216" s="193"/>
      <c r="D216" s="237"/>
      <c r="E216" s="237"/>
      <c r="F216" s="237"/>
      <c r="G216" s="237"/>
      <c r="H216" s="237"/>
      <c r="I216" s="192" t="s">
        <v>750</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37"/>
      <c r="T216" s="242"/>
      <c r="U216" s="237"/>
      <c r="V216" s="237"/>
      <c r="W216" s="237"/>
      <c r="X216" s="237"/>
      <c r="Y216" s="237"/>
      <c r="Z216" s="242"/>
      <c r="AA216" s="237"/>
      <c r="AB216" s="242"/>
      <c r="AC216" s="242"/>
    </row>
    <row r="217" ht="18.75" customHeight="1">
      <c r="A217" s="241"/>
      <c r="B217" s="192"/>
      <c r="C217" s="193"/>
      <c r="D217" s="237"/>
      <c r="E217" s="237"/>
      <c r="F217" s="237"/>
      <c r="G217" s="237"/>
      <c r="H217" s="237"/>
      <c r="I217" s="192" t="s">
        <v>750</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37"/>
      <c r="T217" s="242"/>
      <c r="U217" s="237"/>
      <c r="V217" s="237"/>
      <c r="W217" s="237"/>
      <c r="X217" s="237"/>
      <c r="Y217" s="237"/>
      <c r="Z217" s="242"/>
      <c r="AA217" s="237"/>
      <c r="AB217" s="242"/>
      <c r="AC217" s="242"/>
    </row>
    <row r="218" ht="18.75" customHeight="1">
      <c r="A218" s="241"/>
      <c r="B218" s="192"/>
      <c r="C218" s="193"/>
      <c r="D218" s="237"/>
      <c r="E218" s="237"/>
      <c r="F218" s="237"/>
      <c r="G218" s="237"/>
      <c r="H218" s="237"/>
      <c r="I218" s="192" t="s">
        <v>750</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37"/>
      <c r="T218" s="242"/>
      <c r="U218" s="237"/>
      <c r="V218" s="237"/>
      <c r="W218" s="237"/>
      <c r="X218" s="237"/>
      <c r="Y218" s="237"/>
      <c r="Z218" s="242"/>
      <c r="AA218" s="237"/>
      <c r="AB218" s="242"/>
      <c r="AC218" s="242"/>
    </row>
    <row r="219" ht="18.75" customHeight="1">
      <c r="A219" s="241"/>
      <c r="B219" s="192"/>
      <c r="C219" s="193"/>
      <c r="D219" s="237"/>
      <c r="E219" s="237"/>
      <c r="F219" s="237"/>
      <c r="G219" s="237"/>
      <c r="H219" s="237"/>
      <c r="I219" s="192" t="s">
        <v>750</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37"/>
      <c r="T219" s="242"/>
      <c r="U219" s="237"/>
      <c r="V219" s="237"/>
      <c r="W219" s="237"/>
      <c r="X219" s="237"/>
      <c r="Y219" s="237"/>
      <c r="Z219" s="242"/>
      <c r="AA219" s="237"/>
      <c r="AB219" s="242"/>
      <c r="AC219" s="242"/>
    </row>
    <row r="220" ht="18.75" customHeight="1">
      <c r="A220" s="241"/>
      <c r="B220" s="192"/>
      <c r="C220" s="193"/>
      <c r="D220" s="237"/>
      <c r="E220" s="237"/>
      <c r="F220" s="237"/>
      <c r="G220" s="237"/>
      <c r="H220" s="237"/>
      <c r="I220" s="192" t="s">
        <v>750</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37"/>
      <c r="T220" s="242"/>
      <c r="U220" s="237"/>
      <c r="V220" s="237"/>
      <c r="W220" s="237"/>
      <c r="X220" s="237"/>
      <c r="Y220" s="237"/>
      <c r="Z220" s="242"/>
      <c r="AA220" s="237"/>
      <c r="AB220" s="242"/>
      <c r="AC220" s="242"/>
    </row>
    <row r="221" ht="18.75" customHeight="1">
      <c r="A221" s="241"/>
      <c r="B221" s="192"/>
      <c r="C221" s="193"/>
      <c r="D221" s="237"/>
      <c r="E221" s="237"/>
      <c r="F221" s="237"/>
      <c r="G221" s="237"/>
      <c r="H221" s="237"/>
      <c r="I221" s="192" t="s">
        <v>750</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37"/>
      <c r="T221" s="242"/>
      <c r="U221" s="237"/>
      <c r="V221" s="237"/>
      <c r="W221" s="237"/>
      <c r="X221" s="237"/>
      <c r="Y221" s="237"/>
      <c r="Z221" s="242"/>
      <c r="AA221" s="237"/>
      <c r="AB221" s="242"/>
      <c r="AC221" s="242"/>
    </row>
    <row r="222" ht="18.75" customHeight="1">
      <c r="A222" s="241"/>
      <c r="B222" s="192"/>
      <c r="C222" s="193"/>
      <c r="D222" s="237"/>
      <c r="E222" s="237"/>
      <c r="F222" s="237"/>
      <c r="G222" s="237"/>
      <c r="H222" s="237"/>
      <c r="I222" s="192" t="s">
        <v>750</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37"/>
      <c r="T222" s="242"/>
      <c r="U222" s="237"/>
      <c r="V222" s="237"/>
      <c r="W222" s="237"/>
      <c r="X222" s="237"/>
      <c r="Y222" s="237"/>
      <c r="Z222" s="242"/>
      <c r="AA222" s="237"/>
      <c r="AB222" s="242"/>
      <c r="AC222" s="242"/>
    </row>
    <row r="223" ht="18.75" customHeight="1">
      <c r="A223" s="241"/>
      <c r="B223" s="192"/>
      <c r="C223" s="193"/>
      <c r="D223" s="237"/>
      <c r="E223" s="237"/>
      <c r="F223" s="237"/>
      <c r="G223" s="237"/>
      <c r="H223" s="237"/>
      <c r="I223" s="192" t="s">
        <v>750</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37"/>
      <c r="T223" s="242"/>
      <c r="U223" s="237"/>
      <c r="V223" s="237"/>
      <c r="W223" s="237"/>
      <c r="X223" s="237"/>
      <c r="Y223" s="237"/>
      <c r="Z223" s="242"/>
      <c r="AA223" s="237"/>
      <c r="AB223" s="242"/>
      <c r="AC223" s="242"/>
    </row>
    <row r="224" ht="18.75" customHeight="1">
      <c r="A224" s="241"/>
      <c r="B224" s="192"/>
      <c r="C224" s="193"/>
      <c r="D224" s="237"/>
      <c r="E224" s="237"/>
      <c r="F224" s="237"/>
      <c r="G224" s="237"/>
      <c r="H224" s="237"/>
      <c r="I224" s="192" t="s">
        <v>750</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37"/>
      <c r="T224" s="242"/>
      <c r="U224" s="237"/>
      <c r="V224" s="237"/>
      <c r="W224" s="237"/>
      <c r="X224" s="237"/>
      <c r="Y224" s="237"/>
      <c r="Z224" s="242"/>
      <c r="AA224" s="237"/>
      <c r="AB224" s="242"/>
      <c r="AC224" s="242"/>
    </row>
    <row r="225" ht="18.75" customHeight="1">
      <c r="A225" s="241"/>
      <c r="B225" s="192"/>
      <c r="C225" s="193"/>
      <c r="D225" s="237"/>
      <c r="E225" s="237"/>
      <c r="F225" s="237"/>
      <c r="G225" s="237"/>
      <c r="H225" s="237"/>
      <c r="I225" s="192" t="s">
        <v>750</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37"/>
      <c r="T225" s="242"/>
      <c r="U225" s="237"/>
      <c r="V225" s="237"/>
      <c r="W225" s="237"/>
      <c r="X225" s="237"/>
      <c r="Y225" s="237"/>
      <c r="Z225" s="242"/>
      <c r="AA225" s="237"/>
      <c r="AB225" s="242"/>
      <c r="AC225" s="242"/>
    </row>
    <row r="226" ht="18.75" customHeight="1">
      <c r="A226" s="241"/>
      <c r="B226" s="192"/>
      <c r="C226" s="193"/>
      <c r="D226" s="237"/>
      <c r="E226" s="237"/>
      <c r="F226" s="237"/>
      <c r="G226" s="237"/>
      <c r="H226" s="237"/>
      <c r="I226" s="192" t="s">
        <v>750</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37"/>
      <c r="T226" s="242"/>
      <c r="U226" s="237"/>
      <c r="V226" s="237"/>
      <c r="W226" s="237"/>
      <c r="X226" s="237"/>
      <c r="Y226" s="237"/>
      <c r="Z226" s="242"/>
      <c r="AA226" s="237"/>
      <c r="AB226" s="242"/>
      <c r="AC226" s="242"/>
    </row>
    <row r="227" ht="18.75" customHeight="1">
      <c r="A227" s="241"/>
      <c r="B227" s="192"/>
      <c r="C227" s="193"/>
      <c r="D227" s="237"/>
      <c r="E227" s="237"/>
      <c r="F227" s="237"/>
      <c r="G227" s="237"/>
      <c r="H227" s="237"/>
      <c r="I227" s="192" t="s">
        <v>750</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37"/>
      <c r="T227" s="242"/>
      <c r="U227" s="237"/>
      <c r="V227" s="237"/>
      <c r="W227" s="237"/>
      <c r="X227" s="237"/>
      <c r="Y227" s="237"/>
      <c r="Z227" s="242"/>
      <c r="AA227" s="237"/>
      <c r="AB227" s="242"/>
      <c r="AC227" s="242"/>
    </row>
    <row r="228" ht="18.75" customHeight="1">
      <c r="A228" s="241"/>
      <c r="B228" s="192"/>
      <c r="C228" s="193"/>
      <c r="D228" s="237"/>
      <c r="E228" s="237"/>
      <c r="F228" s="237"/>
      <c r="G228" s="237"/>
      <c r="H228" s="237"/>
      <c r="I228" s="192" t="s">
        <v>750</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37"/>
      <c r="T228" s="242"/>
      <c r="U228" s="237"/>
      <c r="V228" s="237"/>
      <c r="W228" s="237"/>
      <c r="X228" s="237"/>
      <c r="Y228" s="237"/>
      <c r="Z228" s="242"/>
      <c r="AA228" s="237"/>
      <c r="AB228" s="242"/>
      <c r="AC228" s="242"/>
    </row>
    <row r="229" ht="18.75" customHeight="1">
      <c r="A229" s="241"/>
      <c r="B229" s="192"/>
      <c r="C229" s="193"/>
      <c r="D229" s="192"/>
      <c r="E229" s="192"/>
      <c r="F229" s="192"/>
      <c r="G229" s="192"/>
      <c r="H229" s="192"/>
      <c r="I229" s="192" t="s">
        <v>750</v>
      </c>
      <c r="J229" s="234" t="str">
        <f>IFERROR(__xludf.DUMMYFUNCTION("IF(
  $I229="""",
  """",
  IF(
    COLUMN()-9 &gt;
    (1 + LEN(REGEXEXTRACT($I229,""^[0-9.]+"")) - LEN(SUBSTITUTE(REGEXEXTRACT($I229,""^[0-9.]+""),""."",""""))),
    """",
    INDEX(
      BEC_openBDF!$A:$D,
      MATCH(
        $I229,
        INDEX(
     "&amp;"     BEC_openBDF!$A:$D,
          0,
          (1 + LEN(REGEXEXTRACT($I229,""^[0-9.]+"")) - LEN(SUBSTITUTE(REGEXEXTRACT($I229,""^[0-9.]+""),""."","""")))
        ),
        0
      ),
      COLUMN()-9
    )
  )
)"),"..")</f>
        <v>..</v>
      </c>
      <c r="K229" s="234" t="str">
        <f>IFERROR(__xludf.DUMMYFUNCTION("IF(
  $I229="""",
  """",
  IF(
    COLUMN()-9 &gt;
    (1 + LEN(REGEXEXTRACT($I229,""^[0-9.]+"")) - LEN(SUBSTITUTE(REGEXEXTRACT($I229,""^[0-9.]+""),""."",""""))),
    """",
    INDEX(
      BEC_openBDF!$A:$D,
      MATCH(
        $I229,
        INDEX(
     "&amp;"     BEC_openBDF!$A:$D,
          0,
          (1 + LEN(REGEXEXTRACT($I229,""^[0-9.]+"")) - LEN(SUBSTITUTE(REGEXEXTRACT($I229,""^[0-9.]+""),""."","""")))
        ),
        0
      ),
      COLUMN()-9
    )
  )
)"),"..")</f>
        <v>..</v>
      </c>
      <c r="L229" s="234" t="str">
        <f>IFERROR(__xludf.DUMMYFUNCTION("IF(
  $I229="""",
  """",
  IF(
    COLUMN()-9 &gt;
    (1 + LEN(REGEXEXTRACT($I229,""^[0-9.]+"")) - LEN(SUBSTITUTE(REGEXEXTRACT($I229,""^[0-9.]+""),""."",""""))),
    """",
    INDEX(
      BEC_openBDF!$A:$D,
      MATCH(
        $I229,
        INDEX(
     "&amp;"     BEC_openBDF!$A:$D,
          0,
          (1 + LEN(REGEXEXTRACT($I229,""^[0-9.]+"")) - LEN(SUBSTITUTE(REGEXEXTRACT($I229,""^[0-9.]+""),""."","""")))
        ),
        0
      ),
      COLUMN()-9
    )
  )
)"),"..")</f>
        <v>..</v>
      </c>
      <c r="M229" s="234" t="str">
        <f>IFERROR(__xludf.DUMMYFUNCTION("IF(
  $I229="""",
  """",
  IF(
    COLUMN()-9 &gt;
    (1 + LEN(REGEXEXTRACT($I229,""^[0-9.]+"")) - LEN(SUBSTITUTE(REGEXEXTRACT($I229,""^[0-9.]+""),""."",""""))),
    """",
    INDEX(
      BEC_openBDF!$A:$D,
      MATCH(
        $I229,
        INDEX(
     "&amp;"     BEC_openBDF!$A:$D,
          0,
          (1 + LEN(REGEXEXTRACT($I229,""^[0-9.]+"")) - LEN(SUBSTITUTE(REGEXEXTRACT($I229,""^[0-9.]+""),""."","""")))
        ),
        0
      ),
      COLUMN()-9
    )
  )
)"),"")</f>
        <v/>
      </c>
      <c r="N229" s="192"/>
      <c r="O229" s="192"/>
      <c r="P229" s="192"/>
      <c r="Q229" s="192"/>
      <c r="R229" s="192"/>
      <c r="S229" s="192"/>
      <c r="T229" s="192"/>
      <c r="U229" s="192"/>
      <c r="V229" s="192"/>
      <c r="W229" s="192"/>
      <c r="X229" s="192"/>
      <c r="Y229" s="192"/>
      <c r="Z229" s="192"/>
      <c r="AA229" s="192"/>
      <c r="AB229" s="192"/>
      <c r="AC229" s="192"/>
    </row>
    <row r="230" ht="18.75" customHeight="1">
      <c r="A230" s="241"/>
      <c r="B230" s="192"/>
      <c r="C230" s="193"/>
      <c r="D230" s="192"/>
      <c r="E230" s="192"/>
      <c r="F230" s="192"/>
      <c r="G230" s="192"/>
      <c r="H230" s="192"/>
      <c r="I230" s="192" t="s">
        <v>750</v>
      </c>
      <c r="J230" s="234" t="str">
        <f>IFERROR(__xludf.DUMMYFUNCTION("IF(
  $I230="""",
  """",
  IF(
    COLUMN()-9 &gt;
    (1 + LEN(REGEXEXTRACT($I230,""^[0-9.]+"")) - LEN(SUBSTITUTE(REGEXEXTRACT($I230,""^[0-9.]+""),""."",""""))),
    """",
    INDEX(
      BEC_openBDF!$A:$D,
      MATCH(
        $I230,
        INDEX(
     "&amp;"     BEC_openBDF!$A:$D,
          0,
          (1 + LEN(REGEXEXTRACT($I230,""^[0-9.]+"")) - LEN(SUBSTITUTE(REGEXEXTRACT($I230,""^[0-9.]+""),""."","""")))
        ),
        0
      ),
      COLUMN()-9
    )
  )
)"),"..")</f>
        <v>..</v>
      </c>
      <c r="K230" s="234" t="str">
        <f>IFERROR(__xludf.DUMMYFUNCTION("IF(
  $I230="""",
  """",
  IF(
    COLUMN()-9 &gt;
    (1 + LEN(REGEXEXTRACT($I230,""^[0-9.]+"")) - LEN(SUBSTITUTE(REGEXEXTRACT($I230,""^[0-9.]+""),""."",""""))),
    """",
    INDEX(
      BEC_openBDF!$A:$D,
      MATCH(
        $I230,
        INDEX(
     "&amp;"     BEC_openBDF!$A:$D,
          0,
          (1 + LEN(REGEXEXTRACT($I230,""^[0-9.]+"")) - LEN(SUBSTITUTE(REGEXEXTRACT($I230,""^[0-9.]+""),""."","""")))
        ),
        0
      ),
      COLUMN()-9
    )
  )
)"),"..")</f>
        <v>..</v>
      </c>
      <c r="L230" s="234" t="str">
        <f>IFERROR(__xludf.DUMMYFUNCTION("IF(
  $I230="""",
  """",
  IF(
    COLUMN()-9 &gt;
    (1 + LEN(REGEXEXTRACT($I230,""^[0-9.]+"")) - LEN(SUBSTITUTE(REGEXEXTRACT($I230,""^[0-9.]+""),""."",""""))),
    """",
    INDEX(
      BEC_openBDF!$A:$D,
      MATCH(
        $I230,
        INDEX(
     "&amp;"     BEC_openBDF!$A:$D,
          0,
          (1 + LEN(REGEXEXTRACT($I230,""^[0-9.]+"")) - LEN(SUBSTITUTE(REGEXEXTRACT($I230,""^[0-9.]+""),""."","""")))
        ),
        0
      ),
      COLUMN()-9
    )
  )
)"),"..")</f>
        <v>..</v>
      </c>
      <c r="M230" s="234" t="str">
        <f>IFERROR(__xludf.DUMMYFUNCTION("IF(
  $I230="""",
  """",
  IF(
    COLUMN()-9 &gt;
    (1 + LEN(REGEXEXTRACT($I230,""^[0-9.]+"")) - LEN(SUBSTITUTE(REGEXEXTRACT($I230,""^[0-9.]+""),""."",""""))),
    """",
    INDEX(
      BEC_openBDF!$A:$D,
      MATCH(
        $I230,
        INDEX(
     "&amp;"     BEC_openBDF!$A:$D,
          0,
          (1 + LEN(REGEXEXTRACT($I230,""^[0-9.]+"")) - LEN(SUBSTITUTE(REGEXEXTRACT($I230,""^[0-9.]+""),""."","""")))
        ),
        0
      ),
      COLUMN()-9
    )
  )
)"),"")</f>
        <v/>
      </c>
      <c r="N230" s="192"/>
      <c r="O230" s="192"/>
      <c r="P230" s="192"/>
      <c r="Q230" s="192"/>
      <c r="R230" s="192"/>
      <c r="S230" s="192"/>
      <c r="T230" s="192"/>
      <c r="U230" s="192"/>
      <c r="V230" s="192"/>
      <c r="W230" s="192"/>
      <c r="X230" s="192"/>
      <c r="Y230" s="192"/>
      <c r="Z230" s="192"/>
      <c r="AA230" s="192"/>
      <c r="AB230" s="192"/>
      <c r="AC230" s="192"/>
    </row>
    <row r="231" ht="18.75" customHeight="1">
      <c r="A231" s="241"/>
      <c r="B231" s="192"/>
      <c r="C231" s="193"/>
      <c r="D231" s="192"/>
      <c r="E231" s="192"/>
      <c r="F231" s="192"/>
      <c r="G231" s="192"/>
      <c r="H231" s="192"/>
      <c r="I231" s="192" t="s">
        <v>750</v>
      </c>
      <c r="J231" s="234" t="str">
        <f>IFERROR(__xludf.DUMMYFUNCTION("IF(
  $I231="""",
  """",
  IF(
    COLUMN()-9 &gt;
    (1 + LEN(REGEXEXTRACT($I231,""^[0-9.]+"")) - LEN(SUBSTITUTE(REGEXEXTRACT($I231,""^[0-9.]+""),""."",""""))),
    """",
    INDEX(
      BEC_openBDF!$A:$D,
      MATCH(
        $I231,
        INDEX(
     "&amp;"     BEC_openBDF!$A:$D,
          0,
          (1 + LEN(REGEXEXTRACT($I231,""^[0-9.]+"")) - LEN(SUBSTITUTE(REGEXEXTRACT($I231,""^[0-9.]+""),""."","""")))
        ),
        0
      ),
      COLUMN()-9
    )
  )
)"),"..")</f>
        <v>..</v>
      </c>
      <c r="K231" s="234" t="str">
        <f>IFERROR(__xludf.DUMMYFUNCTION("IF(
  $I231="""",
  """",
  IF(
    COLUMN()-9 &gt;
    (1 + LEN(REGEXEXTRACT($I231,""^[0-9.]+"")) - LEN(SUBSTITUTE(REGEXEXTRACT($I231,""^[0-9.]+""),""."",""""))),
    """",
    INDEX(
      BEC_openBDF!$A:$D,
      MATCH(
        $I231,
        INDEX(
     "&amp;"     BEC_openBDF!$A:$D,
          0,
          (1 + LEN(REGEXEXTRACT($I231,""^[0-9.]+"")) - LEN(SUBSTITUTE(REGEXEXTRACT($I231,""^[0-9.]+""),""."","""")))
        ),
        0
      ),
      COLUMN()-9
    )
  )
)"),"..")</f>
        <v>..</v>
      </c>
      <c r="L231" s="234" t="str">
        <f>IFERROR(__xludf.DUMMYFUNCTION("IF(
  $I231="""",
  """",
  IF(
    COLUMN()-9 &gt;
    (1 + LEN(REGEXEXTRACT($I231,""^[0-9.]+"")) - LEN(SUBSTITUTE(REGEXEXTRACT($I231,""^[0-9.]+""),""."",""""))),
    """",
    INDEX(
      BEC_openBDF!$A:$D,
      MATCH(
        $I231,
        INDEX(
     "&amp;"     BEC_openBDF!$A:$D,
          0,
          (1 + LEN(REGEXEXTRACT($I231,""^[0-9.]+"")) - LEN(SUBSTITUTE(REGEXEXTRACT($I231,""^[0-9.]+""),""."","""")))
        ),
        0
      ),
      COLUMN()-9
    )
  )
)"),"..")</f>
        <v>..</v>
      </c>
      <c r="M231" s="234" t="str">
        <f>IFERROR(__xludf.DUMMYFUNCTION("IF(
  $I231="""",
  """",
  IF(
    COLUMN()-9 &gt;
    (1 + LEN(REGEXEXTRACT($I231,""^[0-9.]+"")) - LEN(SUBSTITUTE(REGEXEXTRACT($I231,""^[0-9.]+""),""."",""""))),
    """",
    INDEX(
      BEC_openBDF!$A:$D,
      MATCH(
        $I231,
        INDEX(
     "&amp;"     BEC_openBDF!$A:$D,
          0,
          (1 + LEN(REGEXEXTRACT($I231,""^[0-9.]+"")) - LEN(SUBSTITUTE(REGEXEXTRACT($I231,""^[0-9.]+""),""."","""")))
        ),
        0
      ),
      COLUMN()-9
    )
  )
)"),"")</f>
        <v/>
      </c>
      <c r="N231" s="192"/>
      <c r="O231" s="192"/>
      <c r="P231" s="192"/>
      <c r="Q231" s="192"/>
      <c r="R231" s="192"/>
      <c r="S231" s="192"/>
      <c r="T231" s="192"/>
      <c r="U231" s="192"/>
      <c r="V231" s="192"/>
      <c r="W231" s="192"/>
      <c r="X231" s="192"/>
      <c r="Y231" s="192"/>
      <c r="Z231" s="192"/>
      <c r="AA231" s="192"/>
      <c r="AB231" s="192"/>
      <c r="AC231" s="192"/>
    </row>
    <row r="232" ht="18.75" customHeight="1">
      <c r="A232" s="241"/>
      <c r="B232" s="192"/>
      <c r="C232" s="193"/>
      <c r="D232" s="192"/>
      <c r="E232" s="192"/>
      <c r="F232" s="192"/>
      <c r="G232" s="192"/>
      <c r="H232" s="192"/>
      <c r="I232" s="192" t="s">
        <v>750</v>
      </c>
      <c r="J232" s="234" t="str">
        <f>IFERROR(__xludf.DUMMYFUNCTION("IF(
  $I232="""",
  """",
  IF(
    COLUMN()-9 &gt;
    (1 + LEN(REGEXEXTRACT($I232,""^[0-9.]+"")) - LEN(SUBSTITUTE(REGEXEXTRACT($I232,""^[0-9.]+""),""."",""""))),
    """",
    INDEX(
      BEC_openBDF!$A:$D,
      MATCH(
        $I232,
        INDEX(
     "&amp;"     BEC_openBDF!$A:$D,
          0,
          (1 + LEN(REGEXEXTRACT($I232,""^[0-9.]+"")) - LEN(SUBSTITUTE(REGEXEXTRACT($I232,""^[0-9.]+""),""."","""")))
        ),
        0
      ),
      COLUMN()-9
    )
  )
)"),"..")</f>
        <v>..</v>
      </c>
      <c r="K232" s="234" t="str">
        <f>IFERROR(__xludf.DUMMYFUNCTION("IF(
  $I232="""",
  """",
  IF(
    COLUMN()-9 &gt;
    (1 + LEN(REGEXEXTRACT($I232,""^[0-9.]+"")) - LEN(SUBSTITUTE(REGEXEXTRACT($I232,""^[0-9.]+""),""."",""""))),
    """",
    INDEX(
      BEC_openBDF!$A:$D,
      MATCH(
        $I232,
        INDEX(
     "&amp;"     BEC_openBDF!$A:$D,
          0,
          (1 + LEN(REGEXEXTRACT($I232,""^[0-9.]+"")) - LEN(SUBSTITUTE(REGEXEXTRACT($I232,""^[0-9.]+""),""."","""")))
        ),
        0
      ),
      COLUMN()-9
    )
  )
)"),"..")</f>
        <v>..</v>
      </c>
      <c r="L232" s="234" t="str">
        <f>IFERROR(__xludf.DUMMYFUNCTION("IF(
  $I232="""",
  """",
  IF(
    COLUMN()-9 &gt;
    (1 + LEN(REGEXEXTRACT($I232,""^[0-9.]+"")) - LEN(SUBSTITUTE(REGEXEXTRACT($I232,""^[0-9.]+""),""."",""""))),
    """",
    INDEX(
      BEC_openBDF!$A:$D,
      MATCH(
        $I232,
        INDEX(
     "&amp;"     BEC_openBDF!$A:$D,
          0,
          (1 + LEN(REGEXEXTRACT($I232,""^[0-9.]+"")) - LEN(SUBSTITUTE(REGEXEXTRACT($I232,""^[0-9.]+""),""."","""")))
        ),
        0
      ),
      COLUMN()-9
    )
  )
)"),"..")</f>
        <v>..</v>
      </c>
      <c r="M232" s="234" t="str">
        <f>IFERROR(__xludf.DUMMYFUNCTION("IF(
  $I232="""",
  """",
  IF(
    COLUMN()-9 &gt;
    (1 + LEN(REGEXEXTRACT($I232,""^[0-9.]+"")) - LEN(SUBSTITUTE(REGEXEXTRACT($I232,""^[0-9.]+""),""."",""""))),
    """",
    INDEX(
      BEC_openBDF!$A:$D,
      MATCH(
        $I232,
        INDEX(
     "&amp;"     BEC_openBDF!$A:$D,
          0,
          (1 + LEN(REGEXEXTRACT($I232,""^[0-9.]+"")) - LEN(SUBSTITUTE(REGEXEXTRACT($I232,""^[0-9.]+""),""."","""")))
        ),
        0
      ),
      COLUMN()-9
    )
  )
)"),"")</f>
        <v/>
      </c>
      <c r="N232" s="192"/>
      <c r="O232" s="192"/>
      <c r="P232" s="192"/>
      <c r="Q232" s="192"/>
      <c r="R232" s="192"/>
      <c r="S232" s="192"/>
      <c r="T232" s="192"/>
      <c r="U232" s="192"/>
      <c r="V232" s="192"/>
      <c r="W232" s="192"/>
      <c r="X232" s="192"/>
      <c r="Y232" s="192"/>
      <c r="Z232" s="192"/>
      <c r="AA232" s="192"/>
      <c r="AB232" s="192"/>
      <c r="AC232" s="192"/>
    </row>
    <row r="233" ht="18.75" customHeight="1">
      <c r="A233" s="241"/>
      <c r="B233" s="207" t="s">
        <v>647</v>
      </c>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07"/>
      <c r="AB233" s="207"/>
      <c r="AC233" s="207"/>
    </row>
  </sheetData>
  <autoFilter ref="$A$1:$AC$233"/>
  <conditionalFormatting sqref="B6:AC6">
    <cfRule type="expression" dxfId="9" priority="1">
      <formula>B$6="Automatic"</formula>
    </cfRule>
  </conditionalFormatting>
  <conditionalFormatting sqref="B2:AC2 B6:AC6">
    <cfRule type="expression" dxfId="8" priority="2">
      <formula>B$6="Minimum Required"</formula>
    </cfRule>
  </conditionalFormatting>
  <conditionalFormatting sqref="B6:AC6">
    <cfRule type="expression" dxfId="10" priority="3">
      <formula>B$6="Recommended"</formula>
    </cfRule>
  </conditionalFormatting>
  <conditionalFormatting sqref="B6:AC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T3 Y3:AC3">
      <formula1>Dropdowns!$AJ$4:$AJ$8</formula1>
    </dataValidation>
    <dataValidation type="list" allowBlank="1" showErrorMessage="1" sqref="U3:X3">
      <formula1>Dropdowns!$AJ$4:$AJ$8</formula1>
    </dataValidation>
    <dataValidation type="list" allowBlank="1" showInputMessage="1" prompt="Select..." sqref="AC9:AC228">
      <formula1>Dropdowns!$AE$4:$AE$21</formula1>
    </dataValidation>
    <dataValidation type="list" allowBlank="1" showInputMessage="1" prompt="Select..." sqref="AB9:AB228">
      <formula1>Dropdowns!$AD$3:$AD$30</formula1>
    </dataValidation>
    <dataValidation type="list" allowBlank="1" showErrorMessage="1" sqref="C9:C232">
      <formula1>Dropdowns!$AQ$4:$AQ$5</formula1>
    </dataValidation>
    <dataValidation type="list" allowBlank="1" showErrorMessage="1" sqref="I9:I232">
      <formula1>BEC_openBDF!$G$5:$G$154</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4" width="27.63"/>
    <col customWidth="1" min="5" max="5" width="31.88"/>
    <col customWidth="1" min="6" max="9" width="27.63"/>
    <col customWidth="1" min="10" max="13" width="15.13" outlineLevel="1"/>
    <col customWidth="1" min="14" max="17" width="27.63"/>
    <col customWidth="1" min="18" max="18" width="18.75"/>
    <col customWidth="1" min="19" max="19" width="15.13"/>
    <col customWidth="1" min="20" max="20" width="13.38"/>
    <col customWidth="1" min="21" max="21" width="12.88"/>
    <col customWidth="1" min="22" max="22" width="13.38"/>
    <col customWidth="1" min="23" max="23" width="15.75"/>
    <col customWidth="1" min="24" max="24" width="13.25"/>
    <col customWidth="1" min="25" max="25" width="15.13"/>
  </cols>
  <sheetData>
    <row r="1" ht="60.0" customHeight="1">
      <c r="A1" s="218" t="s">
        <v>587</v>
      </c>
      <c r="B1" s="209" t="s">
        <v>679</v>
      </c>
      <c r="C1" s="161" t="s">
        <v>654</v>
      </c>
      <c r="D1" s="161" t="s">
        <v>649</v>
      </c>
      <c r="E1" s="161" t="s">
        <v>650</v>
      </c>
      <c r="F1" s="161" t="s">
        <v>651</v>
      </c>
      <c r="G1" s="161" t="s">
        <v>652</v>
      </c>
      <c r="H1" s="161" t="s">
        <v>680</v>
      </c>
      <c r="I1" s="219" t="s">
        <v>681</v>
      </c>
      <c r="J1" s="220" t="s">
        <v>682</v>
      </c>
      <c r="K1" s="221" t="s">
        <v>683</v>
      </c>
      <c r="L1" s="221" t="s">
        <v>684</v>
      </c>
      <c r="M1" s="221" t="s">
        <v>685</v>
      </c>
      <c r="N1" s="161" t="s">
        <v>653</v>
      </c>
      <c r="O1" s="219" t="s">
        <v>686</v>
      </c>
      <c r="P1" s="161" t="s">
        <v>589</v>
      </c>
      <c r="Q1" s="161" t="s">
        <v>590</v>
      </c>
      <c r="R1" s="161" t="s">
        <v>591</v>
      </c>
      <c r="S1" s="161" t="s">
        <v>592</v>
      </c>
      <c r="T1" s="163" t="s">
        <v>688</v>
      </c>
      <c r="U1" s="163" t="s">
        <v>689</v>
      </c>
      <c r="V1" s="163" t="s">
        <v>690</v>
      </c>
      <c r="W1" s="163" t="s">
        <v>691</v>
      </c>
      <c r="X1" s="163" t="s">
        <v>597</v>
      </c>
      <c r="Y1" s="162" t="s">
        <v>692</v>
      </c>
    </row>
    <row r="2" ht="90.0" customHeight="1">
      <c r="A2" s="218" t="s">
        <v>85</v>
      </c>
      <c r="B2" s="85" t="s">
        <v>695</v>
      </c>
      <c r="C2" s="85" t="s">
        <v>696</v>
      </c>
      <c r="D2" s="85" t="s">
        <v>657</v>
      </c>
      <c r="E2" s="85" t="s">
        <v>658</v>
      </c>
      <c r="F2" s="85" t="s">
        <v>659</v>
      </c>
      <c r="G2" s="85" t="s">
        <v>660</v>
      </c>
      <c r="H2" s="85" t="s">
        <v>697</v>
      </c>
      <c r="I2" s="85" t="s">
        <v>698</v>
      </c>
      <c r="J2" s="85" t="s">
        <v>699</v>
      </c>
      <c r="K2" s="85" t="s">
        <v>700</v>
      </c>
      <c r="L2" s="85" t="s">
        <v>701</v>
      </c>
      <c r="M2" s="85" t="s">
        <v>702</v>
      </c>
      <c r="N2" s="85" t="s">
        <v>661</v>
      </c>
      <c r="O2" s="85" t="s">
        <v>703</v>
      </c>
      <c r="P2" s="85" t="s">
        <v>604</v>
      </c>
      <c r="Q2" s="85" t="s">
        <v>605</v>
      </c>
      <c r="R2" s="85" t="s">
        <v>606</v>
      </c>
      <c r="S2" s="85" t="s">
        <v>607</v>
      </c>
      <c r="T2" s="243" t="s">
        <v>704</v>
      </c>
      <c r="U2" s="243" t="s">
        <v>705</v>
      </c>
      <c r="V2" s="243" t="s">
        <v>706</v>
      </c>
      <c r="W2" s="243" t="s">
        <v>707</v>
      </c>
      <c r="X2" s="244" t="s">
        <v>612</v>
      </c>
      <c r="Y2" s="168" t="s">
        <v>611</v>
      </c>
    </row>
    <row r="3" ht="30.0" customHeight="1">
      <c r="A3" s="182" t="s">
        <v>618</v>
      </c>
      <c r="B3" s="224" t="s">
        <v>153</v>
      </c>
      <c r="C3" s="224" t="s">
        <v>619</v>
      </c>
      <c r="D3" s="173" t="s">
        <v>107</v>
      </c>
      <c r="E3" s="173" t="s">
        <v>107</v>
      </c>
      <c r="F3" s="173" t="s">
        <v>107</v>
      </c>
      <c r="G3" s="173" t="s">
        <v>107</v>
      </c>
      <c r="H3" s="173" t="s">
        <v>107</v>
      </c>
      <c r="I3" s="173" t="s">
        <v>619</v>
      </c>
      <c r="J3" s="178"/>
      <c r="K3" s="178"/>
      <c r="L3" s="178"/>
      <c r="M3" s="178"/>
      <c r="N3" s="173" t="s">
        <v>107</v>
      </c>
      <c r="O3" s="173" t="s">
        <v>619</v>
      </c>
      <c r="P3" s="173" t="s">
        <v>107</v>
      </c>
      <c r="Q3" s="173" t="s">
        <v>619</v>
      </c>
      <c r="R3" s="173" t="s">
        <v>107</v>
      </c>
      <c r="S3" s="173" t="s">
        <v>107</v>
      </c>
      <c r="T3" s="175" t="s">
        <v>190</v>
      </c>
      <c r="U3" s="175" t="s">
        <v>190</v>
      </c>
      <c r="V3" s="245" t="s">
        <v>190</v>
      </c>
      <c r="W3" s="245" t="s">
        <v>190</v>
      </c>
      <c r="X3" s="175" t="s">
        <v>190</v>
      </c>
      <c r="Y3" s="175" t="s">
        <v>190</v>
      </c>
    </row>
    <row r="4" ht="18.75" customHeight="1">
      <c r="A4" s="225" t="s">
        <v>87</v>
      </c>
      <c r="B4" s="177" t="s">
        <v>191</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227" t="s">
        <v>191</v>
      </c>
      <c r="U4" s="227" t="s">
        <v>191</v>
      </c>
      <c r="V4" s="246" t="s">
        <v>191</v>
      </c>
      <c r="W4" s="246" t="s">
        <v>191</v>
      </c>
      <c r="X4" s="179" t="s">
        <v>191</v>
      </c>
      <c r="Y4" s="179" t="s">
        <v>191</v>
      </c>
    </row>
    <row r="5" ht="18.75" customHeight="1">
      <c r="A5" s="171" t="s">
        <v>620</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1" t="s">
        <v>155</v>
      </c>
      <c r="U5" s="181" t="s">
        <v>155</v>
      </c>
      <c r="V5" s="247" t="s">
        <v>155</v>
      </c>
      <c r="W5" s="247" t="s">
        <v>155</v>
      </c>
      <c r="X5" s="181" t="s">
        <v>622</v>
      </c>
      <c r="Y5" s="181" t="s">
        <v>621</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41</v>
      </c>
      <c r="P6" s="184" t="s">
        <v>37</v>
      </c>
      <c r="Q6" s="184" t="s">
        <v>39</v>
      </c>
      <c r="R6" s="184" t="s">
        <v>39</v>
      </c>
      <c r="S6" s="184" t="s">
        <v>41</v>
      </c>
      <c r="T6" s="229" t="s">
        <v>39</v>
      </c>
      <c r="U6" s="229" t="s">
        <v>39</v>
      </c>
      <c r="V6" s="248" t="s">
        <v>39</v>
      </c>
      <c r="W6" s="248" t="s">
        <v>39</v>
      </c>
      <c r="X6" s="249" t="s">
        <v>37</v>
      </c>
      <c r="Y6" s="248" t="s">
        <v>39</v>
      </c>
    </row>
    <row r="7" ht="90.0" customHeight="1">
      <c r="A7" s="182" t="s">
        <v>712</v>
      </c>
      <c r="B7" s="83" t="s">
        <v>713</v>
      </c>
      <c r="C7" s="83" t="s">
        <v>669</v>
      </c>
      <c r="D7" s="83" t="s">
        <v>664</v>
      </c>
      <c r="E7" s="83" t="s">
        <v>665</v>
      </c>
      <c r="F7" s="83" t="s">
        <v>666</v>
      </c>
      <c r="G7" s="83" t="s">
        <v>667</v>
      </c>
      <c r="H7" s="83" t="s">
        <v>714</v>
      </c>
      <c r="I7" s="83" t="s">
        <v>715</v>
      </c>
      <c r="J7" s="230" t="s">
        <v>716</v>
      </c>
      <c r="K7" s="230" t="s">
        <v>717</v>
      </c>
      <c r="L7" s="230" t="s">
        <v>718</v>
      </c>
      <c r="M7" s="230" t="s">
        <v>719</v>
      </c>
      <c r="N7" s="83" t="s">
        <v>668</v>
      </c>
      <c r="O7" s="83" t="s">
        <v>720</v>
      </c>
      <c r="P7" s="83" t="s">
        <v>626</v>
      </c>
      <c r="Q7" s="83" t="s">
        <v>627</v>
      </c>
      <c r="R7" s="83" t="s">
        <v>629</v>
      </c>
      <c r="S7" s="83" t="s">
        <v>629</v>
      </c>
      <c r="T7" s="250" t="s">
        <v>722</v>
      </c>
      <c r="U7" s="250" t="s">
        <v>722</v>
      </c>
      <c r="V7" s="250" t="s">
        <v>722</v>
      </c>
      <c r="W7" s="250" t="s">
        <v>722</v>
      </c>
      <c r="X7" s="250" t="s">
        <v>723</v>
      </c>
      <c r="Y7" s="250" t="s">
        <v>724</v>
      </c>
    </row>
    <row r="8" ht="18.75" customHeight="1">
      <c r="A8" s="182" t="s">
        <v>84</v>
      </c>
      <c r="B8" s="185" t="s">
        <v>728</v>
      </c>
      <c r="C8" s="185" t="s">
        <v>729</v>
      </c>
      <c r="D8" s="185" t="s">
        <v>670</v>
      </c>
      <c r="E8" s="185" t="s">
        <v>671</v>
      </c>
      <c r="F8" s="185" t="s">
        <v>672</v>
      </c>
      <c r="G8" s="185" t="s">
        <v>673</v>
      </c>
      <c r="H8" s="185" t="s">
        <v>730</v>
      </c>
      <c r="I8" s="185" t="s">
        <v>731</v>
      </c>
      <c r="J8" s="185" t="s">
        <v>732</v>
      </c>
      <c r="K8" s="185" t="s">
        <v>733</v>
      </c>
      <c r="L8" s="185" t="s">
        <v>734</v>
      </c>
      <c r="M8" s="185" t="s">
        <v>735</v>
      </c>
      <c r="N8" s="185" t="s">
        <v>674</v>
      </c>
      <c r="O8" s="186" t="s">
        <v>736</v>
      </c>
      <c r="P8" s="186" t="s">
        <v>637</v>
      </c>
      <c r="Q8" s="186" t="s">
        <v>638</v>
      </c>
      <c r="R8" s="186" t="s">
        <v>639</v>
      </c>
      <c r="S8" s="186" t="s">
        <v>640</v>
      </c>
      <c r="T8" s="187" t="s">
        <v>740</v>
      </c>
      <c r="U8" s="187" t="s">
        <v>741</v>
      </c>
      <c r="V8" s="251" t="s">
        <v>742</v>
      </c>
      <c r="W8" s="251" t="s">
        <v>743</v>
      </c>
      <c r="X8" s="187" t="s">
        <v>744</v>
      </c>
      <c r="Y8" s="187" t="s">
        <v>641</v>
      </c>
    </row>
    <row r="9" ht="18.75" customHeight="1">
      <c r="A9" s="232"/>
      <c r="B9" s="192"/>
      <c r="C9" s="193"/>
      <c r="D9" s="193"/>
      <c r="E9" s="193"/>
      <c r="F9" s="193"/>
      <c r="G9" s="233"/>
      <c r="H9" s="233"/>
      <c r="I9" s="193"/>
      <c r="J9" s="234"/>
      <c r="K9" s="234"/>
      <c r="L9" s="234"/>
      <c r="M9" s="234"/>
      <c r="N9" s="190"/>
      <c r="O9" s="193"/>
      <c r="P9" s="190"/>
      <c r="Q9" s="236"/>
      <c r="R9" s="236"/>
      <c r="S9" s="193"/>
      <c r="T9" s="252"/>
      <c r="U9" s="252"/>
      <c r="V9" s="253"/>
      <c r="W9" s="253"/>
      <c r="X9" s="252"/>
      <c r="Y9" s="254"/>
    </row>
    <row r="10" ht="18.75" customHeight="1">
      <c r="A10" s="232"/>
      <c r="B10" s="192"/>
      <c r="C10" s="193"/>
      <c r="D10" s="192"/>
      <c r="E10" s="192"/>
      <c r="F10" s="192"/>
      <c r="G10" s="237"/>
      <c r="H10" s="237"/>
      <c r="I10" s="192"/>
      <c r="J10" s="234"/>
      <c r="K10" s="234"/>
      <c r="L10" s="234"/>
      <c r="M10" s="234"/>
      <c r="N10" s="197"/>
      <c r="O10" s="193"/>
      <c r="P10" s="197"/>
      <c r="Q10" s="255"/>
      <c r="R10" s="255"/>
      <c r="S10" s="237"/>
      <c r="T10" s="256"/>
      <c r="U10" s="256"/>
      <c r="V10" s="257"/>
      <c r="W10" s="257"/>
      <c r="X10" s="256"/>
      <c r="Y10" s="257"/>
    </row>
    <row r="11" ht="18.75" customHeight="1">
      <c r="A11" s="232"/>
      <c r="B11" s="192"/>
      <c r="C11" s="193"/>
      <c r="D11" s="192"/>
      <c r="E11" s="192"/>
      <c r="F11" s="192"/>
      <c r="G11" s="237"/>
      <c r="H11" s="237"/>
      <c r="I11" s="192"/>
      <c r="J11" s="234"/>
      <c r="K11" s="234"/>
      <c r="L11" s="234"/>
      <c r="M11" s="234"/>
      <c r="N11" s="197"/>
      <c r="O11" s="193"/>
      <c r="P11" s="197"/>
      <c r="Q11" s="255"/>
      <c r="R11" s="255"/>
      <c r="S11" s="237"/>
      <c r="T11" s="256"/>
      <c r="U11" s="256"/>
      <c r="V11" s="257"/>
      <c r="W11" s="257"/>
      <c r="X11" s="256"/>
      <c r="Y11" s="257"/>
    </row>
    <row r="12" ht="18.75" customHeight="1">
      <c r="A12" s="232"/>
      <c r="B12" s="192"/>
      <c r="C12" s="193"/>
      <c r="D12" s="192"/>
      <c r="E12" s="192"/>
      <c r="F12" s="192"/>
      <c r="G12" s="237"/>
      <c r="H12" s="237"/>
      <c r="I12" s="192"/>
      <c r="J12" s="234"/>
      <c r="K12" s="234"/>
      <c r="L12" s="234"/>
      <c r="M12" s="234"/>
      <c r="N12" s="197"/>
      <c r="O12" s="193"/>
      <c r="P12" s="197"/>
      <c r="Q12" s="255"/>
      <c r="R12" s="255"/>
      <c r="S12" s="237"/>
      <c r="T12" s="256"/>
      <c r="U12" s="256"/>
      <c r="V12" s="257"/>
      <c r="W12" s="257"/>
      <c r="X12" s="256"/>
      <c r="Y12" s="257"/>
    </row>
    <row r="13" ht="18.75" customHeight="1">
      <c r="A13" s="232"/>
      <c r="B13" s="192"/>
      <c r="C13" s="193"/>
      <c r="D13" s="192"/>
      <c r="E13" s="192"/>
      <c r="F13" s="192"/>
      <c r="G13" s="237"/>
      <c r="H13" s="237"/>
      <c r="I13" s="192"/>
      <c r="J13" s="234"/>
      <c r="K13" s="234"/>
      <c r="L13" s="234"/>
      <c r="M13" s="234"/>
      <c r="N13" s="197"/>
      <c r="O13" s="193"/>
      <c r="P13" s="197"/>
      <c r="Q13" s="255"/>
      <c r="R13" s="255"/>
      <c r="S13" s="237"/>
      <c r="T13" s="256"/>
      <c r="U13" s="256"/>
      <c r="V13" s="257"/>
      <c r="W13" s="257"/>
      <c r="X13" s="256"/>
      <c r="Y13" s="257"/>
    </row>
    <row r="14" ht="18.75" customHeight="1">
      <c r="A14" s="239"/>
      <c r="B14" s="192"/>
      <c r="C14" s="193"/>
      <c r="D14" s="192"/>
      <c r="E14" s="192"/>
      <c r="F14" s="192"/>
      <c r="G14" s="237"/>
      <c r="H14" s="237"/>
      <c r="I14" s="192"/>
      <c r="J14" s="234"/>
      <c r="K14" s="234"/>
      <c r="L14" s="234"/>
      <c r="M14" s="234"/>
      <c r="N14" s="197"/>
      <c r="O14" s="193"/>
      <c r="P14" s="201"/>
      <c r="Q14" s="255"/>
      <c r="R14" s="255"/>
      <c r="S14" s="237"/>
      <c r="T14" s="256"/>
      <c r="U14" s="256"/>
      <c r="V14" s="257"/>
      <c r="W14" s="257"/>
      <c r="X14" s="256"/>
      <c r="Y14" s="257"/>
    </row>
    <row r="15" ht="18.75" customHeight="1">
      <c r="A15" s="232"/>
      <c r="B15" s="192"/>
      <c r="C15" s="193"/>
      <c r="D15" s="192"/>
      <c r="E15" s="192"/>
      <c r="F15" s="192"/>
      <c r="G15" s="237"/>
      <c r="H15" s="237"/>
      <c r="I15" s="192"/>
      <c r="J15" s="234"/>
      <c r="K15" s="234"/>
      <c r="L15" s="234"/>
      <c r="M15" s="234"/>
      <c r="N15" s="197"/>
      <c r="O15" s="193"/>
      <c r="P15" s="201"/>
      <c r="Q15" s="255"/>
      <c r="R15" s="255"/>
      <c r="S15" s="237"/>
      <c r="T15" s="256"/>
      <c r="U15" s="256"/>
      <c r="V15" s="257"/>
      <c r="W15" s="257"/>
      <c r="X15" s="256"/>
      <c r="Y15" s="257"/>
    </row>
    <row r="16" ht="18.75" customHeight="1">
      <c r="A16" s="232"/>
      <c r="B16" s="192"/>
      <c r="C16" s="193"/>
      <c r="D16" s="192"/>
      <c r="E16" s="192"/>
      <c r="F16" s="192"/>
      <c r="G16" s="237"/>
      <c r="H16" s="237"/>
      <c r="I16" s="192"/>
      <c r="J16" s="234"/>
      <c r="K16" s="234"/>
      <c r="L16" s="234"/>
      <c r="M16" s="234"/>
      <c r="N16" s="197"/>
      <c r="O16" s="193"/>
      <c r="P16" s="197"/>
      <c r="Q16" s="255"/>
      <c r="R16" s="255"/>
      <c r="S16" s="240"/>
      <c r="T16" s="256"/>
      <c r="U16" s="256"/>
      <c r="V16" s="256"/>
      <c r="W16" s="256"/>
      <c r="X16" s="256"/>
      <c r="Y16" s="257"/>
    </row>
    <row r="17" ht="18.75" customHeight="1">
      <c r="A17" s="232"/>
      <c r="B17" s="192"/>
      <c r="C17" s="193"/>
      <c r="D17" s="192"/>
      <c r="E17" s="192"/>
      <c r="F17" s="192"/>
      <c r="G17" s="237"/>
      <c r="H17" s="237"/>
      <c r="I17" s="192"/>
      <c r="J17" s="234"/>
      <c r="K17" s="234"/>
      <c r="L17" s="234"/>
      <c r="M17" s="234"/>
      <c r="N17" s="197"/>
      <c r="O17" s="193"/>
      <c r="P17" s="197"/>
      <c r="Q17" s="255"/>
      <c r="R17" s="255"/>
      <c r="S17" s="240"/>
      <c r="T17" s="256"/>
      <c r="U17" s="256"/>
      <c r="V17" s="256"/>
      <c r="W17" s="256"/>
      <c r="X17" s="256"/>
      <c r="Y17" s="257"/>
    </row>
    <row r="18" ht="18.75" customHeight="1">
      <c r="A18" s="232"/>
      <c r="B18" s="192"/>
      <c r="C18" s="193"/>
      <c r="D18" s="192"/>
      <c r="E18" s="192"/>
      <c r="F18" s="192"/>
      <c r="G18" s="237"/>
      <c r="H18" s="237"/>
      <c r="I18" s="192"/>
      <c r="J18" s="234"/>
      <c r="K18" s="234"/>
      <c r="L18" s="234"/>
      <c r="M18" s="234"/>
      <c r="N18" s="197"/>
      <c r="O18" s="193"/>
      <c r="P18" s="197"/>
      <c r="Q18" s="255"/>
      <c r="R18" s="255"/>
      <c r="S18" s="240"/>
      <c r="T18" s="256"/>
      <c r="U18" s="256"/>
      <c r="V18" s="256"/>
      <c r="W18" s="256"/>
      <c r="X18" s="256"/>
      <c r="Y18" s="257"/>
    </row>
    <row r="19" ht="18.75" customHeight="1">
      <c r="A19" s="232"/>
      <c r="B19" s="192"/>
      <c r="C19" s="193"/>
      <c r="D19" s="192"/>
      <c r="E19" s="192"/>
      <c r="F19" s="192"/>
      <c r="G19" s="237"/>
      <c r="H19" s="237"/>
      <c r="I19" s="192"/>
      <c r="J19" s="234"/>
      <c r="K19" s="234"/>
      <c r="L19" s="234"/>
      <c r="M19" s="234"/>
      <c r="N19" s="197"/>
      <c r="O19" s="193"/>
      <c r="P19" s="197"/>
      <c r="Q19" s="255"/>
      <c r="R19" s="255"/>
      <c r="S19" s="240"/>
      <c r="T19" s="256"/>
      <c r="U19" s="256"/>
      <c r="V19" s="256"/>
      <c r="W19" s="256"/>
      <c r="X19" s="256"/>
      <c r="Y19" s="257"/>
    </row>
    <row r="20" ht="18.75" customHeight="1">
      <c r="A20" s="232"/>
      <c r="B20" s="192"/>
      <c r="C20" s="193"/>
      <c r="D20" s="192"/>
      <c r="E20" s="192"/>
      <c r="F20" s="192"/>
      <c r="G20" s="237"/>
      <c r="H20" s="237"/>
      <c r="I20" s="192"/>
      <c r="J20" s="234"/>
      <c r="K20" s="234"/>
      <c r="L20" s="234"/>
      <c r="M20" s="234"/>
      <c r="N20" s="197"/>
      <c r="O20" s="193"/>
      <c r="P20" s="197"/>
      <c r="Q20" s="255"/>
      <c r="R20" s="255"/>
      <c r="S20" s="192"/>
      <c r="T20" s="256"/>
      <c r="U20" s="256"/>
      <c r="V20" s="258"/>
      <c r="W20" s="258"/>
      <c r="X20" s="256"/>
      <c r="Y20" s="257"/>
    </row>
    <row r="21" ht="18.75" customHeight="1">
      <c r="A21" s="232"/>
      <c r="B21" s="192"/>
      <c r="C21" s="193"/>
      <c r="D21" s="192"/>
      <c r="E21" s="192"/>
      <c r="F21" s="192"/>
      <c r="G21" s="237"/>
      <c r="H21" s="237"/>
      <c r="I21" s="192"/>
      <c r="J21" s="234"/>
      <c r="K21" s="234"/>
      <c r="L21" s="234"/>
      <c r="M21" s="234"/>
      <c r="N21" s="197"/>
      <c r="O21" s="193"/>
      <c r="P21" s="197"/>
      <c r="Q21" s="255"/>
      <c r="R21" s="255"/>
      <c r="S21" s="240"/>
      <c r="T21" s="256"/>
      <c r="U21" s="256"/>
      <c r="V21" s="256"/>
      <c r="W21" s="256"/>
      <c r="X21" s="256"/>
      <c r="Y21" s="257"/>
    </row>
    <row r="22" ht="18.75" customHeight="1">
      <c r="A22" s="232"/>
      <c r="B22" s="192"/>
      <c r="C22" s="193"/>
      <c r="D22" s="192"/>
      <c r="E22" s="192"/>
      <c r="F22" s="192"/>
      <c r="G22" s="237"/>
      <c r="H22" s="237"/>
      <c r="I22" s="192"/>
      <c r="J22" s="234"/>
      <c r="K22" s="234"/>
      <c r="L22" s="234"/>
      <c r="M22" s="234"/>
      <c r="N22" s="197"/>
      <c r="O22" s="193"/>
      <c r="P22" s="197"/>
      <c r="Q22" s="255"/>
      <c r="R22" s="255"/>
      <c r="S22" s="192"/>
      <c r="T22" s="256"/>
      <c r="U22" s="256"/>
      <c r="V22" s="258"/>
      <c r="W22" s="258"/>
      <c r="X22" s="256"/>
      <c r="Y22" s="257"/>
    </row>
    <row r="23" ht="18.75" customHeight="1">
      <c r="A23" s="232"/>
      <c r="B23" s="192"/>
      <c r="C23" s="193"/>
      <c r="D23" s="192"/>
      <c r="E23" s="192"/>
      <c r="F23" s="192"/>
      <c r="G23" s="237"/>
      <c r="H23" s="237"/>
      <c r="I23" s="192"/>
      <c r="J23" s="234"/>
      <c r="K23" s="234"/>
      <c r="L23" s="234"/>
      <c r="M23" s="234"/>
      <c r="N23" s="197"/>
      <c r="O23" s="193"/>
      <c r="P23" s="197"/>
      <c r="Q23" s="255"/>
      <c r="R23" s="255"/>
      <c r="S23" s="240"/>
      <c r="T23" s="256"/>
      <c r="U23" s="256"/>
      <c r="V23" s="256"/>
      <c r="W23" s="256"/>
      <c r="X23" s="256"/>
      <c r="Y23" s="257"/>
    </row>
    <row r="24" ht="18.75" customHeight="1">
      <c r="A24" s="232"/>
      <c r="B24" s="192"/>
      <c r="C24" s="193"/>
      <c r="D24" s="192"/>
      <c r="E24" s="192"/>
      <c r="F24" s="192"/>
      <c r="G24" s="237"/>
      <c r="H24" s="237"/>
      <c r="I24" s="192"/>
      <c r="J24" s="234"/>
      <c r="K24" s="234"/>
      <c r="L24" s="234"/>
      <c r="M24" s="234"/>
      <c r="N24" s="197"/>
      <c r="O24" s="193"/>
      <c r="P24" s="197"/>
      <c r="Q24" s="255"/>
      <c r="R24" s="255"/>
      <c r="S24" s="192"/>
      <c r="T24" s="256"/>
      <c r="U24" s="256"/>
      <c r="V24" s="258"/>
      <c r="W24" s="258"/>
      <c r="X24" s="256"/>
      <c r="Y24" s="257"/>
    </row>
    <row r="25" ht="18.75" customHeight="1">
      <c r="A25" s="232"/>
      <c r="B25" s="192"/>
      <c r="C25" s="193"/>
      <c r="D25" s="192"/>
      <c r="E25" s="192"/>
      <c r="F25" s="192"/>
      <c r="G25" s="237"/>
      <c r="H25" s="237"/>
      <c r="I25" s="192"/>
      <c r="J25" s="234"/>
      <c r="K25" s="234"/>
      <c r="L25" s="234"/>
      <c r="M25" s="234"/>
      <c r="N25" s="197"/>
      <c r="O25" s="193"/>
      <c r="P25" s="197"/>
      <c r="Q25" s="255"/>
      <c r="R25" s="255"/>
      <c r="S25" s="192"/>
      <c r="T25" s="256"/>
      <c r="U25" s="256"/>
      <c r="V25" s="258"/>
      <c r="W25" s="258"/>
      <c r="X25" s="256"/>
      <c r="Y25" s="257"/>
    </row>
    <row r="26" ht="18.75" customHeight="1">
      <c r="A26" s="232"/>
      <c r="B26" s="192"/>
      <c r="C26" s="193"/>
      <c r="D26" s="192"/>
      <c r="E26" s="192"/>
      <c r="F26" s="192"/>
      <c r="G26" s="237"/>
      <c r="H26" s="237"/>
      <c r="I26" s="192"/>
      <c r="J26" s="234"/>
      <c r="K26" s="234"/>
      <c r="L26" s="234"/>
      <c r="M26" s="234"/>
      <c r="N26" s="197"/>
      <c r="O26" s="193"/>
      <c r="P26" s="197"/>
      <c r="Q26" s="255"/>
      <c r="R26" s="255"/>
      <c r="S26" s="240"/>
      <c r="T26" s="256"/>
      <c r="U26" s="256"/>
      <c r="V26" s="256"/>
      <c r="W26" s="256"/>
      <c r="X26" s="256"/>
      <c r="Y26" s="257"/>
    </row>
    <row r="27" ht="18.75" customHeight="1">
      <c r="A27" s="232"/>
      <c r="B27" s="192"/>
      <c r="C27" s="193"/>
      <c r="D27" s="192"/>
      <c r="E27" s="192"/>
      <c r="F27" s="192"/>
      <c r="G27" s="237"/>
      <c r="H27" s="237"/>
      <c r="I27" s="192"/>
      <c r="J27" s="234"/>
      <c r="K27" s="234"/>
      <c r="L27" s="234"/>
      <c r="M27" s="234"/>
      <c r="N27" s="197"/>
      <c r="O27" s="193"/>
      <c r="P27" s="197"/>
      <c r="Q27" s="255"/>
      <c r="R27" s="255"/>
      <c r="S27" s="240"/>
      <c r="T27" s="256"/>
      <c r="U27" s="256"/>
      <c r="V27" s="256"/>
      <c r="W27" s="256"/>
      <c r="X27" s="256"/>
      <c r="Y27" s="257"/>
    </row>
    <row r="28" ht="18.75" customHeight="1">
      <c r="A28" s="232"/>
      <c r="B28" s="192"/>
      <c r="C28" s="193"/>
      <c r="D28" s="192"/>
      <c r="E28" s="192"/>
      <c r="F28" s="192"/>
      <c r="G28" s="237"/>
      <c r="H28" s="237"/>
      <c r="I28" s="192"/>
      <c r="J28" s="234"/>
      <c r="K28" s="234"/>
      <c r="L28" s="234"/>
      <c r="M28" s="234"/>
      <c r="N28" s="197"/>
      <c r="O28" s="193"/>
      <c r="P28" s="197"/>
      <c r="Q28" s="255"/>
      <c r="R28" s="255"/>
      <c r="S28" s="192"/>
      <c r="T28" s="256"/>
      <c r="U28" s="256"/>
      <c r="V28" s="258"/>
      <c r="W28" s="258"/>
      <c r="X28" s="256"/>
      <c r="Y28" s="257"/>
    </row>
    <row r="29" ht="18.75" customHeight="1">
      <c r="A29" s="232"/>
      <c r="B29" s="192"/>
      <c r="C29" s="193"/>
      <c r="D29" s="192"/>
      <c r="E29" s="192"/>
      <c r="F29" s="192"/>
      <c r="G29" s="237"/>
      <c r="H29" s="237"/>
      <c r="I29" s="192"/>
      <c r="J29" s="234"/>
      <c r="K29" s="234"/>
      <c r="L29" s="234"/>
      <c r="M29" s="234"/>
      <c r="N29" s="197"/>
      <c r="O29" s="193"/>
      <c r="P29" s="197"/>
      <c r="Q29" s="255"/>
      <c r="R29" s="255"/>
      <c r="S29" s="192"/>
      <c r="T29" s="256"/>
      <c r="U29" s="256"/>
      <c r="V29" s="258"/>
      <c r="W29" s="258"/>
      <c r="X29" s="256"/>
      <c r="Y29" s="257"/>
    </row>
    <row r="30" ht="18.75" customHeight="1">
      <c r="A30" s="232"/>
      <c r="B30" s="192"/>
      <c r="C30" s="193"/>
      <c r="D30" s="192"/>
      <c r="E30" s="192"/>
      <c r="F30" s="192"/>
      <c r="G30" s="237"/>
      <c r="H30" s="237"/>
      <c r="I30" s="192"/>
      <c r="J30" s="234"/>
      <c r="K30" s="234"/>
      <c r="L30" s="234"/>
      <c r="M30" s="234"/>
      <c r="N30" s="197"/>
      <c r="O30" s="193"/>
      <c r="P30" s="197"/>
      <c r="Q30" s="255"/>
      <c r="R30" s="255"/>
      <c r="S30" s="192"/>
      <c r="T30" s="256"/>
      <c r="U30" s="256"/>
      <c r="V30" s="258"/>
      <c r="W30" s="258"/>
      <c r="X30" s="256"/>
      <c r="Y30" s="257"/>
    </row>
    <row r="31" ht="18.75" customHeight="1">
      <c r="A31" s="232"/>
      <c r="B31" s="192"/>
      <c r="C31" s="193"/>
      <c r="D31" s="192"/>
      <c r="E31" s="192"/>
      <c r="F31" s="192"/>
      <c r="G31" s="237"/>
      <c r="H31" s="237"/>
      <c r="I31" s="192"/>
      <c r="J31" s="234"/>
      <c r="K31" s="234"/>
      <c r="L31" s="234"/>
      <c r="M31" s="234"/>
      <c r="N31" s="197"/>
      <c r="O31" s="193"/>
      <c r="P31" s="197"/>
      <c r="Q31" s="255"/>
      <c r="R31" s="255"/>
      <c r="S31" s="192"/>
      <c r="T31" s="256"/>
      <c r="U31" s="256"/>
      <c r="V31" s="258"/>
      <c r="W31" s="258"/>
      <c r="X31" s="256"/>
      <c r="Y31" s="257"/>
    </row>
    <row r="32" ht="18.75" customHeight="1">
      <c r="A32" s="232"/>
      <c r="B32" s="192"/>
      <c r="C32" s="193"/>
      <c r="D32" s="192"/>
      <c r="E32" s="192"/>
      <c r="F32" s="192"/>
      <c r="G32" s="237"/>
      <c r="H32" s="237"/>
      <c r="I32" s="192"/>
      <c r="J32" s="234"/>
      <c r="K32" s="234"/>
      <c r="L32" s="234"/>
      <c r="M32" s="234"/>
      <c r="N32" s="197"/>
      <c r="O32" s="193"/>
      <c r="P32" s="197"/>
      <c r="Q32" s="255"/>
      <c r="R32" s="255"/>
      <c r="S32" s="192"/>
      <c r="T32" s="256"/>
      <c r="U32" s="256"/>
      <c r="V32" s="258"/>
      <c r="W32" s="258"/>
      <c r="X32" s="256"/>
      <c r="Y32" s="257"/>
    </row>
    <row r="33" ht="18.75" customHeight="1">
      <c r="A33" s="232"/>
      <c r="B33" s="192"/>
      <c r="C33" s="193"/>
      <c r="D33" s="192"/>
      <c r="E33" s="192"/>
      <c r="F33" s="192"/>
      <c r="G33" s="237"/>
      <c r="H33" s="237"/>
      <c r="I33" s="192"/>
      <c r="J33" s="234"/>
      <c r="K33" s="234"/>
      <c r="L33" s="234"/>
      <c r="M33" s="234"/>
      <c r="N33" s="197"/>
      <c r="O33" s="193"/>
      <c r="P33" s="197"/>
      <c r="Q33" s="255"/>
      <c r="R33" s="255"/>
      <c r="S33" s="192"/>
      <c r="T33" s="256"/>
      <c r="U33" s="256"/>
      <c r="V33" s="258"/>
      <c r="W33" s="258"/>
      <c r="X33" s="256"/>
      <c r="Y33" s="257"/>
    </row>
    <row r="34" ht="18.75" customHeight="1">
      <c r="A34" s="232"/>
      <c r="B34" s="192"/>
      <c r="C34" s="193"/>
      <c r="D34" s="192"/>
      <c r="E34" s="192"/>
      <c r="F34" s="192"/>
      <c r="G34" s="237"/>
      <c r="H34" s="237"/>
      <c r="I34" s="192"/>
      <c r="J34" s="234"/>
      <c r="K34" s="234"/>
      <c r="L34" s="234"/>
      <c r="M34" s="234"/>
      <c r="N34" s="197"/>
      <c r="O34" s="193"/>
      <c r="P34" s="197"/>
      <c r="Q34" s="255"/>
      <c r="R34" s="255"/>
      <c r="S34" s="192"/>
      <c r="T34" s="256"/>
      <c r="U34" s="256"/>
      <c r="V34" s="258"/>
      <c r="W34" s="258"/>
      <c r="X34" s="256"/>
      <c r="Y34" s="257"/>
    </row>
    <row r="35" ht="18.75" customHeight="1">
      <c r="A35" s="232"/>
      <c r="B35" s="192"/>
      <c r="C35" s="193"/>
      <c r="D35" s="192"/>
      <c r="E35" s="192"/>
      <c r="F35" s="192"/>
      <c r="G35" s="237"/>
      <c r="H35" s="237"/>
      <c r="I35" s="192"/>
      <c r="J35" s="234"/>
      <c r="K35" s="234"/>
      <c r="L35" s="234"/>
      <c r="M35" s="234"/>
      <c r="N35" s="197"/>
      <c r="O35" s="193"/>
      <c r="P35" s="197"/>
      <c r="Q35" s="255"/>
      <c r="R35" s="255"/>
      <c r="S35" s="192"/>
      <c r="T35" s="256"/>
      <c r="U35" s="256"/>
      <c r="V35" s="258"/>
      <c r="W35" s="258"/>
      <c r="X35" s="256"/>
      <c r="Y35" s="257"/>
    </row>
    <row r="36" ht="18.75" customHeight="1">
      <c r="A36" s="232"/>
      <c r="B36" s="192"/>
      <c r="C36" s="193"/>
      <c r="D36" s="192"/>
      <c r="E36" s="192"/>
      <c r="F36" s="192"/>
      <c r="G36" s="237"/>
      <c r="H36" s="237"/>
      <c r="I36" s="192"/>
      <c r="J36" s="234"/>
      <c r="K36" s="234"/>
      <c r="L36" s="234"/>
      <c r="M36" s="234"/>
      <c r="N36" s="197"/>
      <c r="O36" s="193"/>
      <c r="P36" s="197"/>
      <c r="Q36" s="255"/>
      <c r="R36" s="255"/>
      <c r="S36" s="192"/>
      <c r="T36" s="256"/>
      <c r="U36" s="256"/>
      <c r="V36" s="258"/>
      <c r="W36" s="258"/>
      <c r="X36" s="256"/>
      <c r="Y36" s="257"/>
    </row>
    <row r="37" ht="18.75" customHeight="1">
      <c r="A37" s="232"/>
      <c r="B37" s="192"/>
      <c r="C37" s="193"/>
      <c r="D37" s="192"/>
      <c r="E37" s="192"/>
      <c r="F37" s="192"/>
      <c r="G37" s="237"/>
      <c r="H37" s="237"/>
      <c r="I37" s="192"/>
      <c r="J37" s="234"/>
      <c r="K37" s="234"/>
      <c r="L37" s="234"/>
      <c r="M37" s="234"/>
      <c r="N37" s="197"/>
      <c r="O37" s="193"/>
      <c r="P37" s="197"/>
      <c r="Q37" s="255"/>
      <c r="R37" s="255"/>
      <c r="S37" s="192"/>
      <c r="T37" s="256"/>
      <c r="U37" s="256"/>
      <c r="V37" s="258"/>
      <c r="W37" s="258"/>
      <c r="X37" s="256"/>
      <c r="Y37" s="257"/>
    </row>
    <row r="38" ht="18.75" customHeight="1">
      <c r="A38" s="232"/>
      <c r="B38" s="192"/>
      <c r="C38" s="193"/>
      <c r="D38" s="192"/>
      <c r="E38" s="192"/>
      <c r="F38" s="192"/>
      <c r="G38" s="237"/>
      <c r="H38" s="237"/>
      <c r="I38" s="192"/>
      <c r="J38" s="234"/>
      <c r="K38" s="234"/>
      <c r="L38" s="234"/>
      <c r="M38" s="234"/>
      <c r="N38" s="197"/>
      <c r="O38" s="193"/>
      <c r="P38" s="197"/>
      <c r="Q38" s="255"/>
      <c r="R38" s="255"/>
      <c r="S38" s="192"/>
      <c r="T38" s="256"/>
      <c r="U38" s="256"/>
      <c r="V38" s="258"/>
      <c r="W38" s="258"/>
      <c r="X38" s="256"/>
      <c r="Y38" s="257"/>
    </row>
    <row r="39" ht="18.75" customHeight="1">
      <c r="A39" s="232"/>
      <c r="B39" s="192"/>
      <c r="C39" s="193"/>
      <c r="D39" s="192"/>
      <c r="E39" s="192"/>
      <c r="F39" s="192"/>
      <c r="G39" s="237"/>
      <c r="H39" s="237"/>
      <c r="I39" s="192"/>
      <c r="J39" s="234"/>
      <c r="K39" s="234"/>
      <c r="L39" s="234"/>
      <c r="M39" s="234"/>
      <c r="N39" s="197"/>
      <c r="O39" s="193"/>
      <c r="P39" s="197"/>
      <c r="Q39" s="255"/>
      <c r="R39" s="255"/>
      <c r="S39" s="192"/>
      <c r="T39" s="256"/>
      <c r="U39" s="256"/>
      <c r="V39" s="258"/>
      <c r="W39" s="258"/>
      <c r="X39" s="256"/>
      <c r="Y39" s="257"/>
    </row>
    <row r="40" ht="18.75" customHeight="1">
      <c r="A40" s="232"/>
      <c r="B40" s="192"/>
      <c r="C40" s="193"/>
      <c r="D40" s="192"/>
      <c r="E40" s="192"/>
      <c r="F40" s="192"/>
      <c r="G40" s="237"/>
      <c r="H40" s="237"/>
      <c r="I40" s="192"/>
      <c r="J40" s="234"/>
      <c r="K40" s="234"/>
      <c r="L40" s="234"/>
      <c r="M40" s="234"/>
      <c r="N40" s="197"/>
      <c r="O40" s="193"/>
      <c r="P40" s="197"/>
      <c r="Q40" s="255"/>
      <c r="R40" s="255"/>
      <c r="S40" s="192"/>
      <c r="T40" s="256"/>
      <c r="U40" s="256"/>
      <c r="V40" s="258"/>
      <c r="W40" s="258"/>
      <c r="X40" s="256"/>
      <c r="Y40" s="257"/>
    </row>
    <row r="41" ht="18.75" customHeight="1">
      <c r="A41" s="232"/>
      <c r="B41" s="192"/>
      <c r="C41" s="193"/>
      <c r="D41" s="192"/>
      <c r="E41" s="192"/>
      <c r="F41" s="192"/>
      <c r="G41" s="237"/>
      <c r="H41" s="237"/>
      <c r="I41" s="192"/>
      <c r="J41" s="234"/>
      <c r="K41" s="234"/>
      <c r="L41" s="234"/>
      <c r="M41" s="234"/>
      <c r="N41" s="197"/>
      <c r="O41" s="193"/>
      <c r="P41" s="197"/>
      <c r="Q41" s="255"/>
      <c r="R41" s="255"/>
      <c r="S41" s="192"/>
      <c r="T41" s="256"/>
      <c r="U41" s="256"/>
      <c r="V41" s="258"/>
      <c r="W41" s="258"/>
      <c r="X41" s="256"/>
      <c r="Y41" s="257"/>
    </row>
    <row r="42" ht="18.75" customHeight="1">
      <c r="A42" s="232"/>
      <c r="B42" s="192"/>
      <c r="C42" s="193"/>
      <c r="D42" s="192"/>
      <c r="E42" s="192"/>
      <c r="F42" s="192"/>
      <c r="G42" s="237"/>
      <c r="H42" s="237"/>
      <c r="I42" s="192"/>
      <c r="J42" s="234"/>
      <c r="K42" s="234"/>
      <c r="L42" s="234"/>
      <c r="M42" s="234"/>
      <c r="N42" s="197"/>
      <c r="O42" s="193"/>
      <c r="P42" s="197"/>
      <c r="Q42" s="255"/>
      <c r="R42" s="255"/>
      <c r="S42" s="192"/>
      <c r="T42" s="256"/>
      <c r="U42" s="256"/>
      <c r="V42" s="258"/>
      <c r="W42" s="258"/>
      <c r="X42" s="256"/>
      <c r="Y42" s="257"/>
    </row>
    <row r="43" ht="18.75" customHeight="1">
      <c r="A43" s="232"/>
      <c r="B43" s="192"/>
      <c r="C43" s="193"/>
      <c r="D43" s="192"/>
      <c r="E43" s="192"/>
      <c r="F43" s="192"/>
      <c r="G43" s="237"/>
      <c r="H43" s="237"/>
      <c r="I43" s="192"/>
      <c r="J43" s="234"/>
      <c r="K43" s="234"/>
      <c r="L43" s="234"/>
      <c r="M43" s="234"/>
      <c r="N43" s="197"/>
      <c r="O43" s="193"/>
      <c r="P43" s="197"/>
      <c r="Q43" s="255"/>
      <c r="R43" s="255"/>
      <c r="S43" s="240"/>
      <c r="T43" s="256"/>
      <c r="U43" s="256"/>
      <c r="V43" s="256"/>
      <c r="W43" s="256"/>
      <c r="X43" s="256"/>
      <c r="Y43" s="257"/>
    </row>
    <row r="44" ht="18.75" customHeight="1">
      <c r="A44" s="232"/>
      <c r="B44" s="192"/>
      <c r="C44" s="193"/>
      <c r="D44" s="192"/>
      <c r="E44" s="192"/>
      <c r="F44" s="192"/>
      <c r="G44" s="237"/>
      <c r="H44" s="237"/>
      <c r="I44" s="192"/>
      <c r="J44" s="234"/>
      <c r="K44" s="234"/>
      <c r="L44" s="234"/>
      <c r="M44" s="234"/>
      <c r="N44" s="197"/>
      <c r="O44" s="193"/>
      <c r="P44" s="197"/>
      <c r="Q44" s="255"/>
      <c r="R44" s="255"/>
      <c r="S44" s="192"/>
      <c r="T44" s="256"/>
      <c r="U44" s="256"/>
      <c r="V44" s="258"/>
      <c r="W44" s="258"/>
      <c r="X44" s="256"/>
      <c r="Y44" s="257"/>
    </row>
    <row r="45" ht="18.75" customHeight="1">
      <c r="A45" s="232"/>
      <c r="B45" s="192"/>
      <c r="C45" s="193"/>
      <c r="D45" s="192"/>
      <c r="E45" s="192"/>
      <c r="F45" s="192"/>
      <c r="G45" s="237"/>
      <c r="H45" s="237"/>
      <c r="I45" s="192"/>
      <c r="J45" s="234"/>
      <c r="K45" s="234"/>
      <c r="L45" s="234"/>
      <c r="M45" s="234"/>
      <c r="N45" s="197"/>
      <c r="O45" s="193"/>
      <c r="P45" s="197"/>
      <c r="Q45" s="255"/>
      <c r="R45" s="255"/>
      <c r="S45" s="240"/>
      <c r="T45" s="256"/>
      <c r="U45" s="256"/>
      <c r="V45" s="256"/>
      <c r="W45" s="256"/>
      <c r="X45" s="256"/>
      <c r="Y45" s="257"/>
    </row>
    <row r="46" ht="18.75" customHeight="1">
      <c r="A46" s="232"/>
      <c r="B46" s="192"/>
      <c r="C46" s="193"/>
      <c r="D46" s="192"/>
      <c r="E46" s="192"/>
      <c r="F46" s="192"/>
      <c r="G46" s="237"/>
      <c r="H46" s="237"/>
      <c r="I46" s="192"/>
      <c r="J46" s="234"/>
      <c r="K46" s="234"/>
      <c r="L46" s="234"/>
      <c r="M46" s="234"/>
      <c r="N46" s="197"/>
      <c r="O46" s="193"/>
      <c r="P46" s="197"/>
      <c r="Q46" s="255"/>
      <c r="R46" s="255"/>
      <c r="S46" s="192"/>
      <c r="T46" s="256"/>
      <c r="U46" s="256"/>
      <c r="V46" s="258"/>
      <c r="W46" s="258"/>
      <c r="X46" s="256"/>
      <c r="Y46" s="257"/>
    </row>
    <row r="47" ht="18.75" customHeight="1">
      <c r="A47" s="232"/>
      <c r="B47" s="192"/>
      <c r="C47" s="193"/>
      <c r="D47" s="192"/>
      <c r="E47" s="192"/>
      <c r="F47" s="192"/>
      <c r="G47" s="237"/>
      <c r="H47" s="237"/>
      <c r="I47" s="192"/>
      <c r="J47" s="234"/>
      <c r="K47" s="234"/>
      <c r="L47" s="234"/>
      <c r="M47" s="234"/>
      <c r="N47" s="197"/>
      <c r="O47" s="193"/>
      <c r="P47" s="197"/>
      <c r="Q47" s="255"/>
      <c r="R47" s="255"/>
      <c r="S47" s="192"/>
      <c r="T47" s="256"/>
      <c r="U47" s="256"/>
      <c r="V47" s="258"/>
      <c r="W47" s="258"/>
      <c r="X47" s="256"/>
      <c r="Y47" s="257"/>
    </row>
    <row r="48" ht="18.75" customHeight="1">
      <c r="A48" s="232"/>
      <c r="B48" s="192"/>
      <c r="C48" s="193"/>
      <c r="D48" s="192"/>
      <c r="E48" s="192"/>
      <c r="F48" s="192"/>
      <c r="G48" s="237"/>
      <c r="H48" s="237"/>
      <c r="I48" s="192"/>
      <c r="J48" s="234"/>
      <c r="K48" s="234"/>
      <c r="L48" s="234"/>
      <c r="M48" s="234"/>
      <c r="N48" s="197"/>
      <c r="O48" s="193"/>
      <c r="P48" s="197"/>
      <c r="Q48" s="255"/>
      <c r="R48" s="255"/>
      <c r="S48" s="192"/>
      <c r="T48" s="256"/>
      <c r="U48" s="256"/>
      <c r="V48" s="258"/>
      <c r="W48" s="258"/>
      <c r="X48" s="256"/>
      <c r="Y48" s="257"/>
    </row>
    <row r="49" ht="18.75" customHeight="1">
      <c r="A49" s="232"/>
      <c r="B49" s="192"/>
      <c r="C49" s="193"/>
      <c r="D49" s="192"/>
      <c r="E49" s="192"/>
      <c r="F49" s="192"/>
      <c r="G49" s="237"/>
      <c r="H49" s="237"/>
      <c r="I49" s="192"/>
      <c r="J49" s="234"/>
      <c r="K49" s="234"/>
      <c r="L49" s="234"/>
      <c r="M49" s="234"/>
      <c r="N49" s="197"/>
      <c r="O49" s="193"/>
      <c r="P49" s="197"/>
      <c r="Q49" s="255"/>
      <c r="R49" s="255"/>
      <c r="S49" s="192"/>
      <c r="T49" s="256"/>
      <c r="U49" s="256"/>
      <c r="V49" s="258"/>
      <c r="W49" s="258"/>
      <c r="X49" s="256"/>
      <c r="Y49" s="257"/>
    </row>
    <row r="50" ht="18.75" customHeight="1">
      <c r="A50" s="232"/>
      <c r="B50" s="192"/>
      <c r="C50" s="193"/>
      <c r="D50" s="192"/>
      <c r="E50" s="192"/>
      <c r="F50" s="192"/>
      <c r="G50" s="237"/>
      <c r="H50" s="237"/>
      <c r="I50" s="192"/>
      <c r="J50" s="234"/>
      <c r="K50" s="234"/>
      <c r="L50" s="234"/>
      <c r="M50" s="234"/>
      <c r="N50" s="197"/>
      <c r="O50" s="193"/>
      <c r="P50" s="197"/>
      <c r="Q50" s="255"/>
      <c r="R50" s="255"/>
      <c r="S50" s="192"/>
      <c r="T50" s="256"/>
      <c r="U50" s="256"/>
      <c r="V50" s="258"/>
      <c r="W50" s="258"/>
      <c r="X50" s="256"/>
      <c r="Y50" s="257"/>
    </row>
    <row r="51" ht="18.75" customHeight="1">
      <c r="A51" s="232"/>
      <c r="B51" s="192"/>
      <c r="C51" s="193"/>
      <c r="D51" s="192"/>
      <c r="E51" s="192"/>
      <c r="F51" s="192"/>
      <c r="G51" s="237"/>
      <c r="H51" s="237"/>
      <c r="I51" s="192"/>
      <c r="J51" s="234"/>
      <c r="K51" s="234"/>
      <c r="L51" s="234"/>
      <c r="M51" s="234"/>
      <c r="N51" s="197"/>
      <c r="O51" s="193"/>
      <c r="P51" s="197"/>
      <c r="Q51" s="255"/>
      <c r="R51" s="255"/>
      <c r="S51" s="192"/>
      <c r="T51" s="256"/>
      <c r="U51" s="256"/>
      <c r="V51" s="258"/>
      <c r="W51" s="258"/>
      <c r="X51" s="256"/>
      <c r="Y51" s="257"/>
    </row>
    <row r="52" ht="18.75" customHeight="1">
      <c r="A52" s="232"/>
      <c r="B52" s="192"/>
      <c r="C52" s="193"/>
      <c r="D52" s="192"/>
      <c r="E52" s="192"/>
      <c r="F52" s="192"/>
      <c r="G52" s="237"/>
      <c r="H52" s="237"/>
      <c r="I52" s="192"/>
      <c r="J52" s="234"/>
      <c r="K52" s="234"/>
      <c r="L52" s="234"/>
      <c r="M52" s="234"/>
      <c r="N52" s="197"/>
      <c r="O52" s="193"/>
      <c r="P52" s="197"/>
      <c r="Q52" s="255"/>
      <c r="R52" s="255"/>
      <c r="S52" s="192"/>
      <c r="T52" s="256"/>
      <c r="U52" s="256"/>
      <c r="V52" s="258"/>
      <c r="W52" s="258"/>
      <c r="X52" s="256"/>
      <c r="Y52" s="257"/>
    </row>
    <row r="53" ht="18.75" customHeight="1">
      <c r="A53" s="232"/>
      <c r="B53" s="192"/>
      <c r="C53" s="193"/>
      <c r="D53" s="192"/>
      <c r="E53" s="192"/>
      <c r="F53" s="192"/>
      <c r="G53" s="237"/>
      <c r="H53" s="237"/>
      <c r="I53" s="192"/>
      <c r="J53" s="234"/>
      <c r="K53" s="234"/>
      <c r="L53" s="234"/>
      <c r="M53" s="234"/>
      <c r="N53" s="197"/>
      <c r="O53" s="193"/>
      <c r="P53" s="197"/>
      <c r="Q53" s="255"/>
      <c r="R53" s="255"/>
      <c r="S53" s="192"/>
      <c r="T53" s="256"/>
      <c r="U53" s="256"/>
      <c r="V53" s="258"/>
      <c r="W53" s="258"/>
      <c r="X53" s="258"/>
      <c r="Y53" s="257"/>
    </row>
    <row r="54" ht="18.75" customHeight="1">
      <c r="A54" s="232"/>
      <c r="B54" s="192"/>
      <c r="C54" s="193"/>
      <c r="D54" s="192"/>
      <c r="E54" s="192"/>
      <c r="F54" s="192"/>
      <c r="G54" s="237"/>
      <c r="H54" s="237"/>
      <c r="I54" s="192"/>
      <c r="J54" s="234"/>
      <c r="K54" s="234"/>
      <c r="L54" s="234"/>
      <c r="M54" s="234"/>
      <c r="N54" s="197"/>
      <c r="O54" s="193"/>
      <c r="P54" s="197"/>
      <c r="Q54" s="255"/>
      <c r="R54" s="255"/>
      <c r="S54" s="192"/>
      <c r="T54" s="256"/>
      <c r="U54" s="256"/>
      <c r="V54" s="258"/>
      <c r="W54" s="258"/>
      <c r="X54" s="256"/>
      <c r="Y54" s="257"/>
    </row>
    <row r="55" ht="18.75" customHeight="1">
      <c r="A55" s="232"/>
      <c r="B55" s="192"/>
      <c r="C55" s="193"/>
      <c r="D55" s="192"/>
      <c r="E55" s="192"/>
      <c r="F55" s="192"/>
      <c r="G55" s="237"/>
      <c r="H55" s="237"/>
      <c r="I55" s="192"/>
      <c r="J55" s="234"/>
      <c r="K55" s="234"/>
      <c r="L55" s="234"/>
      <c r="M55" s="234"/>
      <c r="N55" s="197"/>
      <c r="O55" s="193"/>
      <c r="P55" s="197"/>
      <c r="Q55" s="255"/>
      <c r="R55" s="255"/>
      <c r="S55" s="192"/>
      <c r="T55" s="256"/>
      <c r="U55" s="256"/>
      <c r="V55" s="258"/>
      <c r="W55" s="258"/>
      <c r="X55" s="256"/>
      <c r="Y55" s="257"/>
    </row>
    <row r="56" ht="18.75" customHeight="1">
      <c r="A56" s="232"/>
      <c r="B56" s="192"/>
      <c r="C56" s="193"/>
      <c r="D56" s="192"/>
      <c r="E56" s="192"/>
      <c r="F56" s="192"/>
      <c r="G56" s="237"/>
      <c r="H56" s="237"/>
      <c r="I56" s="192"/>
      <c r="J56" s="234"/>
      <c r="K56" s="234"/>
      <c r="L56" s="234"/>
      <c r="M56" s="234"/>
      <c r="N56" s="197"/>
      <c r="O56" s="193"/>
      <c r="P56" s="197"/>
      <c r="Q56" s="255"/>
      <c r="R56" s="255"/>
      <c r="S56" s="192"/>
      <c r="T56" s="256"/>
      <c r="U56" s="256"/>
      <c r="V56" s="258"/>
      <c r="W56" s="258"/>
      <c r="X56" s="256"/>
      <c r="Y56" s="257"/>
    </row>
    <row r="57" ht="18.75" customHeight="1">
      <c r="A57" s="232"/>
      <c r="B57" s="192"/>
      <c r="C57" s="193"/>
      <c r="D57" s="192"/>
      <c r="E57" s="192"/>
      <c r="F57" s="192"/>
      <c r="G57" s="237"/>
      <c r="H57" s="237"/>
      <c r="I57" s="192"/>
      <c r="J57" s="234"/>
      <c r="K57" s="234"/>
      <c r="L57" s="234"/>
      <c r="M57" s="234"/>
      <c r="N57" s="197"/>
      <c r="O57" s="193"/>
      <c r="P57" s="197"/>
      <c r="Q57" s="255"/>
      <c r="R57" s="255"/>
      <c r="S57" s="192"/>
      <c r="T57" s="256"/>
      <c r="U57" s="256"/>
      <c r="V57" s="258"/>
      <c r="W57" s="258"/>
      <c r="X57" s="256"/>
      <c r="Y57" s="257"/>
    </row>
    <row r="58" ht="18.75" customHeight="1">
      <c r="A58" s="232"/>
      <c r="B58" s="192"/>
      <c r="C58" s="193"/>
      <c r="D58" s="192"/>
      <c r="E58" s="192"/>
      <c r="F58" s="192"/>
      <c r="G58" s="237"/>
      <c r="H58" s="237"/>
      <c r="I58" s="192"/>
      <c r="J58" s="234"/>
      <c r="K58" s="234"/>
      <c r="L58" s="234"/>
      <c r="M58" s="234"/>
      <c r="N58" s="197"/>
      <c r="O58" s="193"/>
      <c r="P58" s="197"/>
      <c r="Q58" s="255"/>
      <c r="R58" s="255"/>
      <c r="S58" s="192"/>
      <c r="T58" s="256"/>
      <c r="U58" s="256"/>
      <c r="V58" s="258"/>
      <c r="W58" s="258"/>
      <c r="X58" s="256"/>
      <c r="Y58" s="257"/>
    </row>
    <row r="59" ht="18.75" customHeight="1">
      <c r="A59" s="232"/>
      <c r="B59" s="192"/>
      <c r="C59" s="193"/>
      <c r="D59" s="192"/>
      <c r="E59" s="192"/>
      <c r="F59" s="192"/>
      <c r="G59" s="237"/>
      <c r="H59" s="237"/>
      <c r="I59" s="192"/>
      <c r="J59" s="234"/>
      <c r="K59" s="234"/>
      <c r="L59" s="234"/>
      <c r="M59" s="234"/>
      <c r="N59" s="197"/>
      <c r="O59" s="193"/>
      <c r="P59" s="197"/>
      <c r="Q59" s="255"/>
      <c r="R59" s="255"/>
      <c r="S59" s="192"/>
      <c r="T59" s="256"/>
      <c r="U59" s="256"/>
      <c r="V59" s="258"/>
      <c r="W59" s="258"/>
      <c r="X59" s="256"/>
      <c r="Y59" s="257"/>
    </row>
    <row r="60" ht="18.75" customHeight="1">
      <c r="A60" s="232"/>
      <c r="B60" s="192"/>
      <c r="C60" s="193"/>
      <c r="D60" s="192"/>
      <c r="E60" s="192"/>
      <c r="F60" s="192"/>
      <c r="G60" s="237"/>
      <c r="H60" s="237"/>
      <c r="I60" s="192"/>
      <c r="J60" s="234"/>
      <c r="K60" s="234"/>
      <c r="L60" s="234"/>
      <c r="M60" s="234"/>
      <c r="N60" s="197"/>
      <c r="O60" s="193"/>
      <c r="P60" s="197"/>
      <c r="Q60" s="255"/>
      <c r="R60" s="255"/>
      <c r="S60" s="192"/>
      <c r="T60" s="256"/>
      <c r="U60" s="256"/>
      <c r="V60" s="258"/>
      <c r="W60" s="258"/>
      <c r="X60" s="256"/>
      <c r="Y60" s="257"/>
    </row>
    <row r="61" ht="18.75" customHeight="1">
      <c r="A61" s="232"/>
      <c r="B61" s="192"/>
      <c r="C61" s="193"/>
      <c r="D61" s="192"/>
      <c r="E61" s="192"/>
      <c r="F61" s="192"/>
      <c r="G61" s="237"/>
      <c r="H61" s="237"/>
      <c r="I61" s="192"/>
      <c r="J61" s="234"/>
      <c r="K61" s="234"/>
      <c r="L61" s="234"/>
      <c r="M61" s="234"/>
      <c r="N61" s="197"/>
      <c r="O61" s="193"/>
      <c r="P61" s="197"/>
      <c r="Q61" s="255"/>
      <c r="R61" s="255"/>
      <c r="S61" s="192"/>
      <c r="T61" s="256"/>
      <c r="U61" s="256"/>
      <c r="V61" s="258"/>
      <c r="W61" s="258"/>
      <c r="X61" s="256"/>
      <c r="Y61" s="257"/>
    </row>
    <row r="62" ht="18.75" customHeight="1">
      <c r="A62" s="232"/>
      <c r="B62" s="192"/>
      <c r="C62" s="193"/>
      <c r="D62" s="192"/>
      <c r="E62" s="192"/>
      <c r="F62" s="192"/>
      <c r="G62" s="237"/>
      <c r="H62" s="237"/>
      <c r="I62" s="192"/>
      <c r="J62" s="234"/>
      <c r="K62" s="234"/>
      <c r="L62" s="234"/>
      <c r="M62" s="234"/>
      <c r="N62" s="197"/>
      <c r="O62" s="193"/>
      <c r="P62" s="197"/>
      <c r="Q62" s="255"/>
      <c r="R62" s="255"/>
      <c r="S62" s="192"/>
      <c r="T62" s="256"/>
      <c r="U62" s="256"/>
      <c r="V62" s="258"/>
      <c r="W62" s="258"/>
      <c r="X62" s="256"/>
      <c r="Y62" s="257"/>
    </row>
    <row r="63" ht="18.75" customHeight="1">
      <c r="A63" s="232"/>
      <c r="B63" s="192"/>
      <c r="C63" s="193"/>
      <c r="D63" s="192"/>
      <c r="E63" s="192"/>
      <c r="F63" s="192"/>
      <c r="G63" s="237"/>
      <c r="H63" s="237"/>
      <c r="I63" s="192"/>
      <c r="J63" s="234"/>
      <c r="K63" s="234"/>
      <c r="L63" s="234"/>
      <c r="M63" s="234"/>
      <c r="N63" s="197"/>
      <c r="O63" s="193"/>
      <c r="P63" s="197"/>
      <c r="Q63" s="255"/>
      <c r="R63" s="255"/>
      <c r="S63" s="192"/>
      <c r="T63" s="256"/>
      <c r="U63" s="256"/>
      <c r="V63" s="258"/>
      <c r="W63" s="258"/>
      <c r="X63" s="256"/>
      <c r="Y63" s="257"/>
    </row>
    <row r="64" ht="18.75" customHeight="1">
      <c r="A64" s="232"/>
      <c r="B64" s="192"/>
      <c r="C64" s="193"/>
      <c r="D64" s="192"/>
      <c r="E64" s="192"/>
      <c r="F64" s="192"/>
      <c r="G64" s="237"/>
      <c r="H64" s="237"/>
      <c r="I64" s="192"/>
      <c r="J64" s="234"/>
      <c r="K64" s="234"/>
      <c r="L64" s="234"/>
      <c r="M64" s="234"/>
      <c r="N64" s="197"/>
      <c r="O64" s="193"/>
      <c r="P64" s="197"/>
      <c r="Q64" s="255"/>
      <c r="R64" s="255"/>
      <c r="S64" s="192"/>
      <c r="T64" s="256"/>
      <c r="U64" s="256"/>
      <c r="V64" s="258"/>
      <c r="W64" s="258"/>
      <c r="X64" s="256"/>
      <c r="Y64" s="257"/>
    </row>
    <row r="65" ht="18.75" customHeight="1">
      <c r="A65" s="232"/>
      <c r="B65" s="192"/>
      <c r="C65" s="193"/>
      <c r="D65" s="192"/>
      <c r="E65" s="192"/>
      <c r="F65" s="192"/>
      <c r="G65" s="237"/>
      <c r="H65" s="237"/>
      <c r="I65" s="192"/>
      <c r="J65" s="234"/>
      <c r="K65" s="234"/>
      <c r="L65" s="234"/>
      <c r="M65" s="234"/>
      <c r="N65" s="197"/>
      <c r="O65" s="193"/>
      <c r="P65" s="197"/>
      <c r="Q65" s="255"/>
      <c r="R65" s="255"/>
      <c r="S65" s="192"/>
      <c r="T65" s="256"/>
      <c r="U65" s="256"/>
      <c r="V65" s="258"/>
      <c r="W65" s="258"/>
      <c r="X65" s="256"/>
      <c r="Y65" s="257"/>
    </row>
    <row r="66" ht="18.75" customHeight="1">
      <c r="A66" s="232"/>
      <c r="B66" s="192"/>
      <c r="C66" s="193"/>
      <c r="D66" s="192"/>
      <c r="E66" s="192"/>
      <c r="F66" s="192"/>
      <c r="G66" s="237"/>
      <c r="H66" s="237"/>
      <c r="I66" s="192"/>
      <c r="J66" s="234"/>
      <c r="K66" s="234"/>
      <c r="L66" s="234"/>
      <c r="M66" s="234"/>
      <c r="N66" s="197"/>
      <c r="O66" s="193"/>
      <c r="P66" s="197"/>
      <c r="Q66" s="255"/>
      <c r="R66" s="255"/>
      <c r="S66" s="192"/>
      <c r="T66" s="256"/>
      <c r="U66" s="256"/>
      <c r="V66" s="258"/>
      <c r="W66" s="258"/>
      <c r="X66" s="256"/>
      <c r="Y66" s="257"/>
    </row>
    <row r="67" ht="18.75" customHeight="1">
      <c r="A67" s="232"/>
      <c r="B67" s="192"/>
      <c r="C67" s="193"/>
      <c r="D67" s="192"/>
      <c r="E67" s="192"/>
      <c r="F67" s="192"/>
      <c r="G67" s="237"/>
      <c r="H67" s="237"/>
      <c r="I67" s="192"/>
      <c r="J67" s="234"/>
      <c r="K67" s="234"/>
      <c r="L67" s="234"/>
      <c r="M67" s="234"/>
      <c r="N67" s="197"/>
      <c r="O67" s="193"/>
      <c r="P67" s="201"/>
      <c r="Q67" s="255"/>
      <c r="R67" s="255"/>
      <c r="S67" s="237"/>
      <c r="T67" s="256"/>
      <c r="U67" s="256"/>
      <c r="V67" s="257"/>
      <c r="W67" s="257"/>
      <c r="X67" s="256"/>
      <c r="Y67" s="257"/>
    </row>
    <row r="68" ht="18.75" customHeight="1">
      <c r="A68" s="232"/>
      <c r="B68" s="192"/>
      <c r="C68" s="193"/>
      <c r="D68" s="192"/>
      <c r="E68" s="192"/>
      <c r="F68" s="192"/>
      <c r="G68" s="237"/>
      <c r="H68" s="237"/>
      <c r="I68" s="192"/>
      <c r="J68" s="234"/>
      <c r="K68" s="234"/>
      <c r="L68" s="234"/>
      <c r="M68" s="234"/>
      <c r="N68" s="197"/>
      <c r="O68" s="193"/>
      <c r="P68" s="201"/>
      <c r="Q68" s="255"/>
      <c r="R68" s="255"/>
      <c r="S68" s="237"/>
      <c r="T68" s="256"/>
      <c r="U68" s="256"/>
      <c r="V68" s="257"/>
      <c r="W68" s="257"/>
      <c r="X68" s="256"/>
      <c r="Y68" s="257"/>
    </row>
    <row r="69" ht="18.75" customHeight="1">
      <c r="A69" s="232"/>
      <c r="B69" s="192"/>
      <c r="C69" s="193"/>
      <c r="D69" s="192"/>
      <c r="E69" s="192"/>
      <c r="F69" s="192"/>
      <c r="G69" s="237"/>
      <c r="H69" s="237"/>
      <c r="I69" s="192"/>
      <c r="J69" s="234"/>
      <c r="K69" s="234"/>
      <c r="L69" s="234"/>
      <c r="M69" s="234"/>
      <c r="N69" s="197"/>
      <c r="O69" s="193"/>
      <c r="P69" s="201"/>
      <c r="Q69" s="255"/>
      <c r="R69" s="255"/>
      <c r="S69" s="237"/>
      <c r="T69" s="256"/>
      <c r="U69" s="258"/>
      <c r="V69" s="257"/>
      <c r="W69" s="257"/>
      <c r="X69" s="256"/>
      <c r="Y69" s="257"/>
    </row>
    <row r="70" ht="18.75" customHeight="1">
      <c r="A70" s="232"/>
      <c r="B70" s="192"/>
      <c r="C70" s="193"/>
      <c r="D70" s="192"/>
      <c r="E70" s="192"/>
      <c r="F70" s="192"/>
      <c r="G70" s="237"/>
      <c r="H70" s="237"/>
      <c r="I70" s="192"/>
      <c r="J70" s="234"/>
      <c r="K70" s="234"/>
      <c r="L70" s="234"/>
      <c r="M70" s="234"/>
      <c r="N70" s="197"/>
      <c r="O70" s="193"/>
      <c r="P70" s="201"/>
      <c r="Q70" s="255"/>
      <c r="R70" s="255"/>
      <c r="S70" s="237"/>
      <c r="T70" s="256"/>
      <c r="U70" s="258"/>
      <c r="V70" s="257"/>
      <c r="W70" s="257"/>
      <c r="X70" s="256"/>
      <c r="Y70" s="257"/>
    </row>
    <row r="71" ht="18.75" customHeight="1">
      <c r="A71" s="232"/>
      <c r="B71" s="192"/>
      <c r="C71" s="193"/>
      <c r="D71" s="192"/>
      <c r="E71" s="192"/>
      <c r="F71" s="192"/>
      <c r="G71" s="237"/>
      <c r="H71" s="237"/>
      <c r="I71" s="192"/>
      <c r="J71" s="234"/>
      <c r="K71" s="234"/>
      <c r="L71" s="234"/>
      <c r="M71" s="234"/>
      <c r="N71" s="197"/>
      <c r="O71" s="193"/>
      <c r="P71" s="201"/>
      <c r="Q71" s="255"/>
      <c r="R71" s="255"/>
      <c r="S71" s="237"/>
      <c r="T71" s="256"/>
      <c r="U71" s="258"/>
      <c r="V71" s="257"/>
      <c r="W71" s="257"/>
      <c r="X71" s="256"/>
      <c r="Y71" s="257"/>
    </row>
    <row r="72" ht="18.75" customHeight="1">
      <c r="A72" s="232"/>
      <c r="B72" s="192"/>
      <c r="C72" s="193"/>
      <c r="D72" s="192"/>
      <c r="E72" s="192"/>
      <c r="F72" s="192"/>
      <c r="G72" s="237"/>
      <c r="H72" s="237"/>
      <c r="I72" s="192"/>
      <c r="J72" s="234"/>
      <c r="K72" s="234"/>
      <c r="L72" s="234"/>
      <c r="M72" s="234"/>
      <c r="N72" s="197"/>
      <c r="O72" s="193"/>
      <c r="P72" s="201"/>
      <c r="Q72" s="255"/>
      <c r="R72" s="255"/>
      <c r="S72" s="237"/>
      <c r="T72" s="256"/>
      <c r="U72" s="258"/>
      <c r="V72" s="257"/>
      <c r="W72" s="257"/>
      <c r="X72" s="256"/>
      <c r="Y72" s="257"/>
    </row>
    <row r="73" ht="18.75" customHeight="1">
      <c r="A73" s="232"/>
      <c r="B73" s="192"/>
      <c r="C73" s="193"/>
      <c r="D73" s="192"/>
      <c r="E73" s="192"/>
      <c r="F73" s="192"/>
      <c r="G73" s="237"/>
      <c r="H73" s="237"/>
      <c r="I73" s="192"/>
      <c r="J73" s="234"/>
      <c r="K73" s="234"/>
      <c r="L73" s="234"/>
      <c r="M73" s="234"/>
      <c r="N73" s="197"/>
      <c r="O73" s="193"/>
      <c r="P73" s="201"/>
      <c r="Q73" s="255"/>
      <c r="R73" s="255"/>
      <c r="S73" s="237"/>
      <c r="T73" s="256"/>
      <c r="U73" s="258"/>
      <c r="V73" s="257"/>
      <c r="W73" s="257"/>
      <c r="X73" s="256"/>
      <c r="Y73" s="257"/>
    </row>
    <row r="74" ht="18.75" customHeight="1">
      <c r="A74" s="232"/>
      <c r="B74" s="192"/>
      <c r="C74" s="193"/>
      <c r="D74" s="192"/>
      <c r="E74" s="192"/>
      <c r="F74" s="192"/>
      <c r="G74" s="237"/>
      <c r="H74" s="237"/>
      <c r="I74" s="192"/>
      <c r="J74" s="234"/>
      <c r="K74" s="234"/>
      <c r="L74" s="234"/>
      <c r="M74" s="234"/>
      <c r="N74" s="197"/>
      <c r="O74" s="193"/>
      <c r="P74" s="201"/>
      <c r="Q74" s="255"/>
      <c r="R74" s="255"/>
      <c r="S74" s="237"/>
      <c r="T74" s="256"/>
      <c r="U74" s="258"/>
      <c r="V74" s="257"/>
      <c r="W74" s="257"/>
      <c r="X74" s="256"/>
      <c r="Y74" s="257"/>
    </row>
    <row r="75" ht="18.75" customHeight="1">
      <c r="A75" s="232"/>
      <c r="B75" s="192"/>
      <c r="C75" s="193"/>
      <c r="D75" s="192"/>
      <c r="E75" s="192"/>
      <c r="F75" s="192"/>
      <c r="G75" s="237"/>
      <c r="H75" s="237"/>
      <c r="I75" s="192"/>
      <c r="J75" s="234"/>
      <c r="K75" s="234"/>
      <c r="L75" s="234"/>
      <c r="M75" s="234"/>
      <c r="N75" s="197"/>
      <c r="O75" s="193"/>
      <c r="P75" s="201"/>
      <c r="Q75" s="255"/>
      <c r="R75" s="255"/>
      <c r="S75" s="237"/>
      <c r="T75" s="256"/>
      <c r="U75" s="258"/>
      <c r="V75" s="257"/>
      <c r="W75" s="257"/>
      <c r="X75" s="256"/>
      <c r="Y75" s="257"/>
    </row>
    <row r="76" ht="18.75" customHeight="1">
      <c r="A76" s="232"/>
      <c r="B76" s="192"/>
      <c r="C76" s="193"/>
      <c r="D76" s="192"/>
      <c r="E76" s="192"/>
      <c r="F76" s="192"/>
      <c r="G76" s="237"/>
      <c r="H76" s="237"/>
      <c r="I76" s="192"/>
      <c r="J76" s="234"/>
      <c r="K76" s="234"/>
      <c r="L76" s="234"/>
      <c r="M76" s="234"/>
      <c r="N76" s="197"/>
      <c r="O76" s="193"/>
      <c r="P76" s="201"/>
      <c r="Q76" s="255"/>
      <c r="R76" s="255"/>
      <c r="S76" s="237"/>
      <c r="T76" s="256"/>
      <c r="U76" s="258"/>
      <c r="V76" s="257"/>
      <c r="W76" s="257"/>
      <c r="X76" s="256"/>
      <c r="Y76" s="257"/>
    </row>
    <row r="77" ht="18.75" customHeight="1">
      <c r="A77" s="232"/>
      <c r="B77" s="192"/>
      <c r="C77" s="193"/>
      <c r="D77" s="192"/>
      <c r="E77" s="192"/>
      <c r="F77" s="192"/>
      <c r="G77" s="237"/>
      <c r="H77" s="237"/>
      <c r="I77" s="192"/>
      <c r="J77" s="234"/>
      <c r="K77" s="234"/>
      <c r="L77" s="234"/>
      <c r="M77" s="234"/>
      <c r="N77" s="197"/>
      <c r="O77" s="193"/>
      <c r="P77" s="201"/>
      <c r="Q77" s="255"/>
      <c r="R77" s="255"/>
      <c r="S77" s="237"/>
      <c r="T77" s="256"/>
      <c r="U77" s="258"/>
      <c r="V77" s="257"/>
      <c r="W77" s="257"/>
      <c r="X77" s="256"/>
      <c r="Y77" s="257"/>
    </row>
    <row r="78" ht="18.75" customHeight="1">
      <c r="A78" s="232"/>
      <c r="B78" s="192"/>
      <c r="C78" s="193"/>
      <c r="D78" s="192"/>
      <c r="E78" s="192"/>
      <c r="F78" s="192"/>
      <c r="G78" s="237"/>
      <c r="H78" s="237"/>
      <c r="I78" s="192"/>
      <c r="J78" s="234"/>
      <c r="K78" s="234"/>
      <c r="L78" s="234"/>
      <c r="M78" s="234"/>
      <c r="N78" s="197"/>
      <c r="O78" s="193"/>
      <c r="P78" s="201"/>
      <c r="Q78" s="255"/>
      <c r="R78" s="255"/>
      <c r="S78" s="237"/>
      <c r="T78" s="256"/>
      <c r="U78" s="258"/>
      <c r="V78" s="257"/>
      <c r="W78" s="257"/>
      <c r="X78" s="256"/>
      <c r="Y78" s="257"/>
    </row>
    <row r="79" ht="18.75" customHeight="1">
      <c r="A79" s="232"/>
      <c r="B79" s="192"/>
      <c r="C79" s="193"/>
      <c r="D79" s="192"/>
      <c r="E79" s="192"/>
      <c r="F79" s="192"/>
      <c r="G79" s="237"/>
      <c r="H79" s="237"/>
      <c r="I79" s="192"/>
      <c r="J79" s="234"/>
      <c r="K79" s="234"/>
      <c r="L79" s="234"/>
      <c r="M79" s="234"/>
      <c r="N79" s="197"/>
      <c r="O79" s="193"/>
      <c r="P79" s="201"/>
      <c r="Q79" s="255"/>
      <c r="R79" s="255"/>
      <c r="S79" s="237"/>
      <c r="T79" s="256"/>
      <c r="U79" s="258"/>
      <c r="V79" s="257"/>
      <c r="W79" s="257"/>
      <c r="X79" s="256"/>
      <c r="Y79" s="257"/>
    </row>
    <row r="80" ht="18.75" customHeight="1">
      <c r="A80" s="232"/>
      <c r="B80" s="192"/>
      <c r="C80" s="193"/>
      <c r="D80" s="192"/>
      <c r="E80" s="192"/>
      <c r="F80" s="192"/>
      <c r="G80" s="237"/>
      <c r="H80" s="237"/>
      <c r="I80" s="192"/>
      <c r="J80" s="234"/>
      <c r="K80" s="234"/>
      <c r="L80" s="234"/>
      <c r="M80" s="234"/>
      <c r="N80" s="197"/>
      <c r="O80" s="193"/>
      <c r="P80" s="201"/>
      <c r="Q80" s="255"/>
      <c r="R80" s="255"/>
      <c r="S80" s="237"/>
      <c r="T80" s="256"/>
      <c r="U80" s="258"/>
      <c r="V80" s="257"/>
      <c r="W80" s="257"/>
      <c r="X80" s="256"/>
      <c r="Y80" s="257"/>
    </row>
    <row r="81" ht="18.75" customHeight="1">
      <c r="A81" s="232"/>
      <c r="B81" s="192"/>
      <c r="C81" s="193"/>
      <c r="D81" s="192"/>
      <c r="E81" s="192"/>
      <c r="F81" s="192"/>
      <c r="G81" s="237"/>
      <c r="H81" s="237"/>
      <c r="I81" s="192"/>
      <c r="J81" s="234"/>
      <c r="K81" s="234"/>
      <c r="L81" s="234"/>
      <c r="M81" s="234"/>
      <c r="N81" s="197"/>
      <c r="O81" s="193"/>
      <c r="P81" s="201"/>
      <c r="Q81" s="255"/>
      <c r="R81" s="255"/>
      <c r="S81" s="237"/>
      <c r="T81" s="256"/>
      <c r="U81" s="258"/>
      <c r="V81" s="257"/>
      <c r="W81" s="257"/>
      <c r="X81" s="256"/>
      <c r="Y81" s="257"/>
    </row>
    <row r="82" ht="18.75" customHeight="1">
      <c r="A82" s="232"/>
      <c r="B82" s="192"/>
      <c r="C82" s="193"/>
      <c r="D82" s="192"/>
      <c r="E82" s="192"/>
      <c r="F82" s="192"/>
      <c r="G82" s="237"/>
      <c r="H82" s="237"/>
      <c r="I82" s="192"/>
      <c r="J82" s="234"/>
      <c r="K82" s="234"/>
      <c r="L82" s="234"/>
      <c r="M82" s="234"/>
      <c r="N82" s="197"/>
      <c r="O82" s="193"/>
      <c r="P82" s="201"/>
      <c r="Q82" s="255"/>
      <c r="R82" s="255"/>
      <c r="S82" s="237"/>
      <c r="T82" s="256"/>
      <c r="U82" s="256"/>
      <c r="V82" s="257"/>
      <c r="W82" s="257"/>
      <c r="X82" s="256"/>
      <c r="Y82" s="257"/>
    </row>
    <row r="83" ht="18.75" customHeight="1">
      <c r="A83" s="232"/>
      <c r="B83" s="192"/>
      <c r="C83" s="193"/>
      <c r="D83" s="192"/>
      <c r="E83" s="192"/>
      <c r="F83" s="192"/>
      <c r="G83" s="237"/>
      <c r="H83" s="237"/>
      <c r="I83" s="192"/>
      <c r="J83" s="234"/>
      <c r="K83" s="234"/>
      <c r="L83" s="234"/>
      <c r="M83" s="234"/>
      <c r="N83" s="197"/>
      <c r="O83" s="193"/>
      <c r="P83" s="201"/>
      <c r="Q83" s="255"/>
      <c r="R83" s="255"/>
      <c r="S83" s="237"/>
      <c r="T83" s="256"/>
      <c r="U83" s="256"/>
      <c r="V83" s="257"/>
      <c r="W83" s="257"/>
      <c r="X83" s="256"/>
      <c r="Y83" s="257"/>
    </row>
    <row r="84" ht="18.75" customHeight="1">
      <c r="A84" s="232"/>
      <c r="B84" s="192"/>
      <c r="C84" s="193"/>
      <c r="D84" s="192"/>
      <c r="E84" s="192"/>
      <c r="F84" s="192"/>
      <c r="G84" s="237"/>
      <c r="H84" s="237"/>
      <c r="I84" s="192"/>
      <c r="J84" s="234"/>
      <c r="K84" s="234"/>
      <c r="L84" s="234"/>
      <c r="M84" s="234"/>
      <c r="N84" s="197"/>
      <c r="O84" s="193"/>
      <c r="P84" s="201"/>
      <c r="Q84" s="255"/>
      <c r="R84" s="255"/>
      <c r="S84" s="237"/>
      <c r="T84" s="256"/>
      <c r="U84" s="256"/>
      <c r="V84" s="257"/>
      <c r="W84" s="257"/>
      <c r="X84" s="256"/>
      <c r="Y84" s="257"/>
    </row>
    <row r="85" ht="18.75" customHeight="1">
      <c r="A85" s="232"/>
      <c r="B85" s="192"/>
      <c r="C85" s="193"/>
      <c r="D85" s="192"/>
      <c r="E85" s="192"/>
      <c r="F85" s="192"/>
      <c r="G85" s="237"/>
      <c r="H85" s="237"/>
      <c r="I85" s="192"/>
      <c r="J85" s="234"/>
      <c r="K85" s="234"/>
      <c r="L85" s="234"/>
      <c r="M85" s="234"/>
      <c r="N85" s="197"/>
      <c r="O85" s="193"/>
      <c r="P85" s="201"/>
      <c r="Q85" s="255"/>
      <c r="R85" s="255"/>
      <c r="S85" s="237"/>
      <c r="T85" s="256"/>
      <c r="U85" s="256"/>
      <c r="V85" s="257"/>
      <c r="W85" s="257"/>
      <c r="X85" s="256"/>
      <c r="Y85" s="257"/>
    </row>
    <row r="86" ht="18.75" customHeight="1">
      <c r="A86" s="232"/>
      <c r="B86" s="192"/>
      <c r="C86" s="193"/>
      <c r="D86" s="192"/>
      <c r="E86" s="192"/>
      <c r="F86" s="192"/>
      <c r="G86" s="237"/>
      <c r="H86" s="237"/>
      <c r="I86" s="192"/>
      <c r="J86" s="234"/>
      <c r="K86" s="234"/>
      <c r="L86" s="234"/>
      <c r="M86" s="234"/>
      <c r="N86" s="197"/>
      <c r="O86" s="193"/>
      <c r="P86" s="201"/>
      <c r="Q86" s="255"/>
      <c r="R86" s="255"/>
      <c r="S86" s="237"/>
      <c r="T86" s="256"/>
      <c r="U86" s="256"/>
      <c r="V86" s="257"/>
      <c r="W86" s="257"/>
      <c r="X86" s="256"/>
      <c r="Y86" s="257"/>
    </row>
    <row r="87" ht="18.75" customHeight="1">
      <c r="A87" s="232"/>
      <c r="B87" s="192"/>
      <c r="C87" s="193"/>
      <c r="D87" s="192"/>
      <c r="E87" s="192"/>
      <c r="F87" s="192"/>
      <c r="G87" s="237"/>
      <c r="H87" s="237"/>
      <c r="I87" s="192"/>
      <c r="J87" s="234"/>
      <c r="K87" s="234"/>
      <c r="L87" s="234"/>
      <c r="M87" s="234"/>
      <c r="N87" s="197"/>
      <c r="O87" s="193"/>
      <c r="P87" s="201"/>
      <c r="Q87" s="255"/>
      <c r="R87" s="255"/>
      <c r="S87" s="237"/>
      <c r="T87" s="256"/>
      <c r="U87" s="256"/>
      <c r="V87" s="257"/>
      <c r="W87" s="257"/>
      <c r="X87" s="256"/>
      <c r="Y87" s="257"/>
    </row>
    <row r="88" ht="18.75" customHeight="1">
      <c r="A88" s="232"/>
      <c r="B88" s="192"/>
      <c r="C88" s="193"/>
      <c r="D88" s="192"/>
      <c r="E88" s="192"/>
      <c r="F88" s="192"/>
      <c r="G88" s="237"/>
      <c r="H88" s="237"/>
      <c r="I88" s="192"/>
      <c r="J88" s="234"/>
      <c r="K88" s="234"/>
      <c r="L88" s="234"/>
      <c r="M88" s="234"/>
      <c r="N88" s="197"/>
      <c r="O88" s="193"/>
      <c r="P88" s="201"/>
      <c r="Q88" s="255"/>
      <c r="R88" s="255"/>
      <c r="S88" s="237"/>
      <c r="T88" s="256"/>
      <c r="U88" s="256"/>
      <c r="V88" s="257"/>
      <c r="W88" s="257"/>
      <c r="X88" s="256"/>
      <c r="Y88" s="257"/>
    </row>
    <row r="89" ht="18.75" customHeight="1">
      <c r="A89" s="232"/>
      <c r="B89" s="192"/>
      <c r="C89" s="193"/>
      <c r="D89" s="192"/>
      <c r="E89" s="192"/>
      <c r="F89" s="192"/>
      <c r="G89" s="237"/>
      <c r="H89" s="237"/>
      <c r="I89" s="192"/>
      <c r="J89" s="234"/>
      <c r="K89" s="234"/>
      <c r="L89" s="234"/>
      <c r="M89" s="234"/>
      <c r="N89" s="197"/>
      <c r="O89" s="193"/>
      <c r="P89" s="201"/>
      <c r="Q89" s="255"/>
      <c r="R89" s="255"/>
      <c r="S89" s="237"/>
      <c r="T89" s="256"/>
      <c r="U89" s="256"/>
      <c r="V89" s="257"/>
      <c r="W89" s="257"/>
      <c r="X89" s="256"/>
      <c r="Y89" s="257"/>
    </row>
    <row r="90" ht="18.75" customHeight="1">
      <c r="A90" s="232"/>
      <c r="B90" s="192"/>
      <c r="C90" s="193"/>
      <c r="D90" s="192"/>
      <c r="E90" s="192"/>
      <c r="F90" s="192"/>
      <c r="G90" s="237"/>
      <c r="H90" s="237"/>
      <c r="I90" s="192"/>
      <c r="J90" s="234"/>
      <c r="K90" s="234"/>
      <c r="L90" s="234"/>
      <c r="M90" s="234"/>
      <c r="N90" s="197"/>
      <c r="O90" s="193"/>
      <c r="P90" s="201"/>
      <c r="Q90" s="255"/>
      <c r="R90" s="255"/>
      <c r="S90" s="237"/>
      <c r="T90" s="256"/>
      <c r="U90" s="256"/>
      <c r="V90" s="257"/>
      <c r="W90" s="257"/>
      <c r="X90" s="256"/>
      <c r="Y90" s="257"/>
    </row>
    <row r="91" ht="18.75" customHeight="1">
      <c r="A91" s="232"/>
      <c r="B91" s="192"/>
      <c r="C91" s="193"/>
      <c r="D91" s="192"/>
      <c r="E91" s="192"/>
      <c r="F91" s="192"/>
      <c r="G91" s="237"/>
      <c r="H91" s="237"/>
      <c r="I91" s="192"/>
      <c r="J91" s="234"/>
      <c r="K91" s="234"/>
      <c r="L91" s="234"/>
      <c r="M91" s="234"/>
      <c r="N91" s="197"/>
      <c r="O91" s="193"/>
      <c r="P91" s="201"/>
      <c r="Q91" s="255"/>
      <c r="R91" s="255"/>
      <c r="S91" s="237"/>
      <c r="T91" s="256"/>
      <c r="U91" s="256"/>
      <c r="V91" s="257"/>
      <c r="W91" s="257"/>
      <c r="X91" s="256"/>
      <c r="Y91" s="257"/>
    </row>
    <row r="92" ht="18.75" customHeight="1">
      <c r="A92" s="232"/>
      <c r="B92" s="192"/>
      <c r="C92" s="193"/>
      <c r="D92" s="192"/>
      <c r="E92" s="192"/>
      <c r="F92" s="192"/>
      <c r="G92" s="237"/>
      <c r="H92" s="237"/>
      <c r="I92" s="192"/>
      <c r="J92" s="234"/>
      <c r="K92" s="234"/>
      <c r="L92" s="234"/>
      <c r="M92" s="234"/>
      <c r="N92" s="197"/>
      <c r="O92" s="193"/>
      <c r="P92" s="201"/>
      <c r="Q92" s="255"/>
      <c r="R92" s="255"/>
      <c r="S92" s="237"/>
      <c r="T92" s="256"/>
      <c r="U92" s="256"/>
      <c r="V92" s="257"/>
      <c r="W92" s="257"/>
      <c r="X92" s="256"/>
      <c r="Y92" s="257"/>
    </row>
    <row r="93" ht="18.75" customHeight="1">
      <c r="A93" s="232"/>
      <c r="B93" s="192"/>
      <c r="C93" s="193"/>
      <c r="D93" s="192"/>
      <c r="E93" s="192"/>
      <c r="F93" s="192"/>
      <c r="G93" s="237"/>
      <c r="H93" s="237"/>
      <c r="I93" s="192"/>
      <c r="J93" s="234"/>
      <c r="K93" s="234"/>
      <c r="L93" s="234"/>
      <c r="M93" s="234"/>
      <c r="N93" s="197"/>
      <c r="O93" s="193"/>
      <c r="P93" s="201"/>
      <c r="Q93" s="255"/>
      <c r="R93" s="255"/>
      <c r="S93" s="237"/>
      <c r="T93" s="256"/>
      <c r="U93" s="256"/>
      <c r="V93" s="257"/>
      <c r="W93" s="257"/>
      <c r="X93" s="256"/>
      <c r="Y93" s="257"/>
    </row>
    <row r="94" ht="18.75" customHeight="1">
      <c r="A94" s="232"/>
      <c r="B94" s="192"/>
      <c r="C94" s="193"/>
      <c r="D94" s="192"/>
      <c r="E94" s="192"/>
      <c r="F94" s="192"/>
      <c r="G94" s="237"/>
      <c r="H94" s="237"/>
      <c r="I94" s="192"/>
      <c r="J94" s="234"/>
      <c r="K94" s="234"/>
      <c r="L94" s="234"/>
      <c r="M94" s="234"/>
      <c r="N94" s="197"/>
      <c r="O94" s="193"/>
      <c r="P94" s="201"/>
      <c r="Q94" s="255"/>
      <c r="R94" s="255"/>
      <c r="S94" s="237"/>
      <c r="T94" s="256"/>
      <c r="U94" s="256"/>
      <c r="V94" s="257"/>
      <c r="W94" s="257"/>
      <c r="X94" s="256"/>
      <c r="Y94" s="257"/>
    </row>
    <row r="95" ht="18.75" customHeight="1">
      <c r="A95" s="232"/>
      <c r="B95" s="192"/>
      <c r="C95" s="193"/>
      <c r="D95" s="192"/>
      <c r="E95" s="192"/>
      <c r="F95" s="192"/>
      <c r="G95" s="237"/>
      <c r="H95" s="237"/>
      <c r="I95" s="192"/>
      <c r="J95" s="234"/>
      <c r="K95" s="234"/>
      <c r="L95" s="234"/>
      <c r="M95" s="234"/>
      <c r="N95" s="197"/>
      <c r="O95" s="193"/>
      <c r="P95" s="201"/>
      <c r="Q95" s="255"/>
      <c r="R95" s="255"/>
      <c r="S95" s="237"/>
      <c r="T95" s="256"/>
      <c r="U95" s="256"/>
      <c r="V95" s="257"/>
      <c r="W95" s="257"/>
      <c r="X95" s="256"/>
      <c r="Y95" s="257"/>
    </row>
    <row r="96" ht="18.75" customHeight="1">
      <c r="A96" s="232"/>
      <c r="B96" s="192"/>
      <c r="C96" s="193"/>
      <c r="D96" s="192"/>
      <c r="E96" s="192"/>
      <c r="F96" s="192"/>
      <c r="G96" s="237"/>
      <c r="H96" s="237"/>
      <c r="I96" s="192" t="s">
        <v>750</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197"/>
      <c r="O96" s="193"/>
      <c r="P96" s="201"/>
      <c r="Q96" s="238"/>
      <c r="R96" s="238"/>
      <c r="S96" s="237"/>
      <c r="T96" s="257"/>
      <c r="U96" s="257"/>
      <c r="V96" s="257"/>
      <c r="W96" s="257"/>
      <c r="X96" s="257"/>
      <c r="Y96" s="257"/>
    </row>
    <row r="97" ht="18.75" customHeight="1">
      <c r="A97" s="232"/>
      <c r="B97" s="192"/>
      <c r="C97" s="193"/>
      <c r="D97" s="192"/>
      <c r="E97" s="192"/>
      <c r="F97" s="192"/>
      <c r="G97" s="237"/>
      <c r="H97" s="237"/>
      <c r="I97" s="192" t="s">
        <v>750</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197"/>
      <c r="O97" s="193"/>
      <c r="P97" s="201"/>
      <c r="Q97" s="238"/>
      <c r="R97" s="238"/>
      <c r="S97" s="237"/>
      <c r="T97" s="257"/>
      <c r="U97" s="257"/>
      <c r="V97" s="257"/>
      <c r="W97" s="257"/>
      <c r="X97" s="257"/>
      <c r="Y97" s="257"/>
    </row>
    <row r="98" ht="18.75" customHeight="1">
      <c r="A98" s="232"/>
      <c r="B98" s="192"/>
      <c r="C98" s="193"/>
      <c r="D98" s="192"/>
      <c r="E98" s="192"/>
      <c r="F98" s="192"/>
      <c r="G98" s="237"/>
      <c r="H98" s="237"/>
      <c r="I98" s="192" t="s">
        <v>750</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197"/>
      <c r="O98" s="193"/>
      <c r="P98" s="201"/>
      <c r="Q98" s="238"/>
      <c r="R98" s="238"/>
      <c r="S98" s="237"/>
      <c r="T98" s="257"/>
      <c r="U98" s="257"/>
      <c r="V98" s="257"/>
      <c r="W98" s="257"/>
      <c r="X98" s="257"/>
      <c r="Y98" s="257"/>
    </row>
    <row r="99" ht="18.75" customHeight="1">
      <c r="A99" s="232"/>
      <c r="B99" s="192"/>
      <c r="C99" s="193"/>
      <c r="D99" s="192"/>
      <c r="E99" s="192"/>
      <c r="F99" s="192"/>
      <c r="G99" s="237"/>
      <c r="H99" s="237"/>
      <c r="I99" s="192" t="s">
        <v>750</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197"/>
      <c r="O99" s="193"/>
      <c r="P99" s="201"/>
      <c r="Q99" s="238"/>
      <c r="R99" s="238"/>
      <c r="S99" s="237"/>
      <c r="T99" s="257"/>
      <c r="U99" s="257"/>
      <c r="V99" s="257"/>
      <c r="W99" s="257"/>
      <c r="X99" s="257"/>
      <c r="Y99" s="257"/>
    </row>
    <row r="100" ht="18.75" customHeight="1">
      <c r="A100" s="232"/>
      <c r="B100" s="192"/>
      <c r="C100" s="193"/>
      <c r="D100" s="192"/>
      <c r="E100" s="192"/>
      <c r="F100" s="192"/>
      <c r="G100" s="237"/>
      <c r="H100" s="237"/>
      <c r="I100" s="192" t="s">
        <v>750</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197"/>
      <c r="O100" s="193"/>
      <c r="P100" s="201"/>
      <c r="Q100" s="238"/>
      <c r="R100" s="238"/>
      <c r="S100" s="237"/>
      <c r="T100" s="257"/>
      <c r="U100" s="257"/>
      <c r="V100" s="257"/>
      <c r="W100" s="257"/>
      <c r="X100" s="257"/>
      <c r="Y100" s="257"/>
    </row>
    <row r="101" ht="18.75" customHeight="1">
      <c r="A101" s="232"/>
      <c r="B101" s="192"/>
      <c r="C101" s="193"/>
      <c r="D101" s="192"/>
      <c r="E101" s="192"/>
      <c r="F101" s="192"/>
      <c r="G101" s="237"/>
      <c r="H101" s="237"/>
      <c r="I101" s="192" t="s">
        <v>750</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197"/>
      <c r="O101" s="193"/>
      <c r="P101" s="201"/>
      <c r="Q101" s="238"/>
      <c r="R101" s="238"/>
      <c r="S101" s="237"/>
      <c r="T101" s="257"/>
      <c r="U101" s="257"/>
      <c r="V101" s="257"/>
      <c r="W101" s="257"/>
      <c r="X101" s="257"/>
      <c r="Y101" s="257"/>
    </row>
    <row r="102" ht="18.75" customHeight="1">
      <c r="A102" s="232"/>
      <c r="B102" s="192"/>
      <c r="C102" s="193"/>
      <c r="D102" s="192"/>
      <c r="E102" s="192"/>
      <c r="F102" s="192"/>
      <c r="G102" s="237"/>
      <c r="H102" s="237"/>
      <c r="I102" s="192" t="s">
        <v>750</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197"/>
      <c r="O102" s="193"/>
      <c r="P102" s="201"/>
      <c r="Q102" s="238"/>
      <c r="R102" s="238"/>
      <c r="S102" s="237"/>
      <c r="T102" s="257"/>
      <c r="U102" s="257"/>
      <c r="V102" s="257"/>
      <c r="W102" s="257"/>
      <c r="X102" s="257"/>
      <c r="Y102" s="257"/>
    </row>
    <row r="103" ht="18.75" customHeight="1">
      <c r="A103" s="232"/>
      <c r="B103" s="192"/>
      <c r="C103" s="193"/>
      <c r="D103" s="192"/>
      <c r="E103" s="192"/>
      <c r="F103" s="192"/>
      <c r="G103" s="237"/>
      <c r="H103" s="237"/>
      <c r="I103" s="192" t="s">
        <v>750</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197"/>
      <c r="O103" s="193"/>
      <c r="P103" s="201"/>
      <c r="Q103" s="238"/>
      <c r="R103" s="238"/>
      <c r="S103" s="237"/>
      <c r="T103" s="257"/>
      <c r="U103" s="257"/>
      <c r="V103" s="257"/>
      <c r="W103" s="257"/>
      <c r="X103" s="257"/>
      <c r="Y103" s="257"/>
    </row>
    <row r="104" ht="18.75" customHeight="1">
      <c r="A104" s="232"/>
      <c r="B104" s="192"/>
      <c r="C104" s="193"/>
      <c r="D104" s="192"/>
      <c r="E104" s="192"/>
      <c r="F104" s="192"/>
      <c r="G104" s="237"/>
      <c r="H104" s="237"/>
      <c r="I104" s="192" t="s">
        <v>750</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197"/>
      <c r="O104" s="193"/>
      <c r="P104" s="201"/>
      <c r="Q104" s="238"/>
      <c r="R104" s="238"/>
      <c r="S104" s="237"/>
      <c r="T104" s="257"/>
      <c r="U104" s="257"/>
      <c r="V104" s="257"/>
      <c r="W104" s="257"/>
      <c r="X104" s="257"/>
      <c r="Y104" s="257"/>
    </row>
    <row r="105" ht="18.75" customHeight="1">
      <c r="A105" s="232"/>
      <c r="B105" s="192"/>
      <c r="C105" s="193"/>
      <c r="D105" s="192"/>
      <c r="E105" s="192"/>
      <c r="F105" s="192"/>
      <c r="G105" s="237"/>
      <c r="H105" s="237"/>
      <c r="I105" s="192" t="s">
        <v>750</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7"/>
      <c r="T105" s="257"/>
      <c r="U105" s="257"/>
      <c r="V105" s="257"/>
      <c r="W105" s="257"/>
      <c r="X105" s="257"/>
      <c r="Y105" s="257"/>
    </row>
    <row r="106" ht="18.75" customHeight="1">
      <c r="A106" s="232"/>
      <c r="B106" s="192"/>
      <c r="C106" s="193"/>
      <c r="D106" s="192"/>
      <c r="E106" s="192"/>
      <c r="F106" s="192"/>
      <c r="G106" s="237"/>
      <c r="H106" s="237"/>
      <c r="I106" s="192" t="s">
        <v>750</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7"/>
      <c r="T106" s="257"/>
      <c r="U106" s="257"/>
      <c r="V106" s="257"/>
      <c r="W106" s="257"/>
      <c r="X106" s="257"/>
      <c r="Y106" s="257"/>
    </row>
    <row r="107" ht="18.75" customHeight="1">
      <c r="A107" s="232"/>
      <c r="B107" s="192"/>
      <c r="C107" s="193"/>
      <c r="D107" s="192"/>
      <c r="E107" s="192"/>
      <c r="F107" s="192"/>
      <c r="G107" s="237"/>
      <c r="H107" s="237"/>
      <c r="I107" s="192" t="s">
        <v>750</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7"/>
      <c r="T107" s="257"/>
      <c r="U107" s="257"/>
      <c r="V107" s="257"/>
      <c r="W107" s="257"/>
      <c r="X107" s="257"/>
      <c r="Y107" s="257"/>
    </row>
    <row r="108" ht="18.75" customHeight="1">
      <c r="A108" s="232"/>
      <c r="B108" s="192"/>
      <c r="C108" s="193"/>
      <c r="D108" s="192"/>
      <c r="E108" s="192"/>
      <c r="F108" s="192"/>
      <c r="G108" s="237"/>
      <c r="H108" s="237"/>
      <c r="I108" s="192" t="s">
        <v>750</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7"/>
      <c r="T108" s="257"/>
      <c r="U108" s="257"/>
      <c r="V108" s="257"/>
      <c r="W108" s="257"/>
      <c r="X108" s="257"/>
      <c r="Y108" s="257"/>
    </row>
    <row r="109" ht="18.75" customHeight="1">
      <c r="A109" s="232"/>
      <c r="B109" s="192"/>
      <c r="C109" s="193"/>
      <c r="D109" s="192"/>
      <c r="E109" s="192"/>
      <c r="F109" s="192"/>
      <c r="G109" s="237"/>
      <c r="H109" s="237"/>
      <c r="I109" s="192" t="s">
        <v>750</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7"/>
      <c r="T109" s="257"/>
      <c r="U109" s="257"/>
      <c r="V109" s="257"/>
      <c r="W109" s="257"/>
      <c r="X109" s="257"/>
      <c r="Y109" s="257"/>
    </row>
    <row r="110" ht="18.75" customHeight="1">
      <c r="A110" s="232"/>
      <c r="B110" s="192"/>
      <c r="C110" s="193"/>
      <c r="D110" s="192"/>
      <c r="E110" s="192"/>
      <c r="F110" s="192"/>
      <c r="G110" s="237"/>
      <c r="H110" s="237"/>
      <c r="I110" s="192" t="s">
        <v>750</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7"/>
      <c r="T110" s="257"/>
      <c r="U110" s="257"/>
      <c r="V110" s="257"/>
      <c r="W110" s="257"/>
      <c r="X110" s="257"/>
      <c r="Y110" s="257"/>
    </row>
    <row r="111" ht="18.75" customHeight="1">
      <c r="A111" s="232"/>
      <c r="B111" s="192"/>
      <c r="C111" s="193"/>
      <c r="D111" s="192"/>
      <c r="E111" s="192"/>
      <c r="F111" s="192"/>
      <c r="G111" s="237"/>
      <c r="H111" s="237"/>
      <c r="I111" s="192" t="s">
        <v>750</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7"/>
      <c r="T111" s="257"/>
      <c r="U111" s="257"/>
      <c r="V111" s="257"/>
      <c r="W111" s="257"/>
      <c r="X111" s="257"/>
      <c r="Y111" s="257"/>
    </row>
    <row r="112" ht="18.75" customHeight="1">
      <c r="A112" s="232"/>
      <c r="B112" s="192"/>
      <c r="C112" s="193"/>
      <c r="D112" s="237"/>
      <c r="E112" s="237"/>
      <c r="F112" s="237"/>
      <c r="G112" s="237"/>
      <c r="H112" s="237"/>
      <c r="I112" s="192" t="s">
        <v>750</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7"/>
      <c r="T112" s="257"/>
      <c r="U112" s="257"/>
      <c r="V112" s="257"/>
      <c r="W112" s="257"/>
      <c r="X112" s="257"/>
      <c r="Y112" s="257"/>
    </row>
    <row r="113" ht="18.75" customHeight="1">
      <c r="A113" s="232"/>
      <c r="B113" s="192"/>
      <c r="C113" s="193"/>
      <c r="D113" s="237"/>
      <c r="E113" s="237"/>
      <c r="F113" s="237"/>
      <c r="G113" s="237"/>
      <c r="H113" s="237"/>
      <c r="I113" s="192" t="s">
        <v>750</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7"/>
      <c r="T113" s="257"/>
      <c r="U113" s="257"/>
      <c r="V113" s="257"/>
      <c r="W113" s="257"/>
      <c r="X113" s="257"/>
      <c r="Y113" s="257"/>
    </row>
    <row r="114" ht="18.75" customHeight="1">
      <c r="A114" s="232"/>
      <c r="B114" s="192"/>
      <c r="C114" s="193"/>
      <c r="D114" s="237"/>
      <c r="E114" s="237"/>
      <c r="F114" s="237"/>
      <c r="G114" s="237"/>
      <c r="H114" s="237"/>
      <c r="I114" s="192" t="s">
        <v>750</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7"/>
      <c r="T114" s="257"/>
      <c r="U114" s="257"/>
      <c r="V114" s="257"/>
      <c r="W114" s="257"/>
      <c r="X114" s="257"/>
      <c r="Y114" s="257"/>
    </row>
    <row r="115" ht="18.75" customHeight="1">
      <c r="A115" s="232"/>
      <c r="B115" s="192"/>
      <c r="C115" s="193"/>
      <c r="D115" s="237"/>
      <c r="E115" s="237"/>
      <c r="F115" s="237"/>
      <c r="G115" s="237"/>
      <c r="H115" s="237"/>
      <c r="I115" s="192" t="s">
        <v>750</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7"/>
      <c r="T115" s="257"/>
      <c r="U115" s="257"/>
      <c r="V115" s="257"/>
      <c r="W115" s="257"/>
      <c r="X115" s="257"/>
      <c r="Y115" s="257"/>
    </row>
    <row r="116" ht="18.75" customHeight="1">
      <c r="A116" s="232"/>
      <c r="B116" s="192"/>
      <c r="C116" s="193"/>
      <c r="D116" s="237"/>
      <c r="E116" s="237"/>
      <c r="F116" s="237"/>
      <c r="G116" s="237"/>
      <c r="H116" s="237"/>
      <c r="I116" s="192" t="s">
        <v>750</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7"/>
      <c r="T116" s="257"/>
      <c r="U116" s="257"/>
      <c r="V116" s="257"/>
      <c r="W116" s="257"/>
      <c r="X116" s="257"/>
      <c r="Y116" s="257"/>
    </row>
    <row r="117" ht="18.75" customHeight="1">
      <c r="A117" s="232"/>
      <c r="B117" s="192"/>
      <c r="C117" s="193"/>
      <c r="D117" s="237"/>
      <c r="E117" s="237"/>
      <c r="F117" s="237"/>
      <c r="G117" s="237"/>
      <c r="H117" s="237"/>
      <c r="I117" s="192" t="s">
        <v>750</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7"/>
      <c r="T117" s="257"/>
      <c r="U117" s="257"/>
      <c r="V117" s="257"/>
      <c r="W117" s="257"/>
      <c r="X117" s="257"/>
      <c r="Y117" s="257"/>
    </row>
    <row r="118" ht="18.75" customHeight="1">
      <c r="A118" s="232"/>
      <c r="B118" s="192"/>
      <c r="C118" s="193"/>
      <c r="D118" s="237"/>
      <c r="E118" s="237"/>
      <c r="F118" s="237"/>
      <c r="G118" s="237"/>
      <c r="H118" s="237"/>
      <c r="I118" s="192" t="s">
        <v>750</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7"/>
      <c r="T118" s="257"/>
      <c r="U118" s="257"/>
      <c r="V118" s="257"/>
      <c r="W118" s="257"/>
      <c r="X118" s="257"/>
      <c r="Y118" s="257"/>
    </row>
    <row r="119" ht="18.75" customHeight="1">
      <c r="A119" s="232"/>
      <c r="B119" s="192"/>
      <c r="C119" s="193"/>
      <c r="D119" s="237"/>
      <c r="E119" s="237"/>
      <c r="F119" s="237"/>
      <c r="G119" s="237"/>
      <c r="H119" s="237"/>
      <c r="I119" s="192" t="s">
        <v>750</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7"/>
      <c r="T119" s="257"/>
      <c r="U119" s="257"/>
      <c r="V119" s="257"/>
      <c r="W119" s="257"/>
      <c r="X119" s="257"/>
      <c r="Y119" s="257"/>
    </row>
    <row r="120" ht="18.75" customHeight="1">
      <c r="A120" s="232"/>
      <c r="B120" s="192"/>
      <c r="C120" s="193"/>
      <c r="D120" s="237"/>
      <c r="E120" s="237"/>
      <c r="F120" s="237"/>
      <c r="G120" s="237"/>
      <c r="H120" s="237"/>
      <c r="I120" s="192" t="s">
        <v>750</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7"/>
      <c r="T120" s="257"/>
      <c r="U120" s="257"/>
      <c r="V120" s="257"/>
      <c r="W120" s="257"/>
      <c r="X120" s="257"/>
      <c r="Y120" s="257"/>
    </row>
    <row r="121" ht="18.75" customHeight="1">
      <c r="A121" s="232"/>
      <c r="B121" s="192"/>
      <c r="C121" s="193"/>
      <c r="D121" s="237"/>
      <c r="E121" s="237"/>
      <c r="F121" s="237"/>
      <c r="G121" s="237"/>
      <c r="H121" s="237"/>
      <c r="I121" s="192" t="s">
        <v>750</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7"/>
      <c r="T121" s="257"/>
      <c r="U121" s="257"/>
      <c r="V121" s="257"/>
      <c r="W121" s="257"/>
      <c r="X121" s="257"/>
      <c r="Y121" s="257"/>
    </row>
    <row r="122" ht="18.75" customHeight="1">
      <c r="A122" s="232"/>
      <c r="B122" s="192"/>
      <c r="C122" s="193"/>
      <c r="D122" s="237"/>
      <c r="E122" s="237"/>
      <c r="F122" s="237"/>
      <c r="G122" s="237"/>
      <c r="H122" s="237"/>
      <c r="I122" s="192" t="s">
        <v>750</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7"/>
      <c r="T122" s="257"/>
      <c r="U122" s="257"/>
      <c r="V122" s="257"/>
      <c r="W122" s="257"/>
      <c r="X122" s="257"/>
      <c r="Y122" s="257"/>
    </row>
    <row r="123" ht="18.75" customHeight="1">
      <c r="A123" s="232"/>
      <c r="B123" s="192"/>
      <c r="C123" s="193"/>
      <c r="D123" s="237"/>
      <c r="E123" s="237"/>
      <c r="F123" s="237"/>
      <c r="G123" s="237"/>
      <c r="H123" s="237"/>
      <c r="I123" s="192" t="s">
        <v>750</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7"/>
      <c r="T123" s="257"/>
      <c r="U123" s="257"/>
      <c r="V123" s="257"/>
      <c r="W123" s="257"/>
      <c r="X123" s="257"/>
      <c r="Y123" s="257"/>
    </row>
    <row r="124" ht="18.75" customHeight="1">
      <c r="A124" s="232"/>
      <c r="B124" s="192"/>
      <c r="C124" s="193"/>
      <c r="D124" s="237"/>
      <c r="E124" s="237"/>
      <c r="F124" s="237"/>
      <c r="G124" s="237"/>
      <c r="H124" s="237"/>
      <c r="I124" s="192" t="s">
        <v>750</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7"/>
      <c r="T124" s="257"/>
      <c r="U124" s="257"/>
      <c r="V124" s="257"/>
      <c r="W124" s="257"/>
      <c r="X124" s="257"/>
      <c r="Y124" s="257"/>
    </row>
    <row r="125" ht="18.75" customHeight="1">
      <c r="A125" s="232"/>
      <c r="B125" s="192"/>
      <c r="C125" s="193"/>
      <c r="D125" s="237"/>
      <c r="E125" s="237"/>
      <c r="F125" s="237"/>
      <c r="G125" s="237"/>
      <c r="H125" s="237"/>
      <c r="I125" s="192" t="s">
        <v>750</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7"/>
      <c r="T125" s="257"/>
      <c r="U125" s="257"/>
      <c r="V125" s="257"/>
      <c r="W125" s="257"/>
      <c r="X125" s="257"/>
      <c r="Y125" s="257"/>
    </row>
    <row r="126" ht="18.75" customHeight="1">
      <c r="A126" s="232"/>
      <c r="B126" s="192"/>
      <c r="C126" s="193"/>
      <c r="D126" s="237"/>
      <c r="E126" s="237"/>
      <c r="F126" s="237"/>
      <c r="G126" s="237"/>
      <c r="H126" s="237"/>
      <c r="I126" s="192" t="s">
        <v>750</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7"/>
      <c r="T126" s="257"/>
      <c r="U126" s="257"/>
      <c r="V126" s="257"/>
      <c r="W126" s="257"/>
      <c r="X126" s="257"/>
      <c r="Y126" s="257"/>
    </row>
    <row r="127" ht="18.75" customHeight="1">
      <c r="A127" s="232"/>
      <c r="B127" s="192"/>
      <c r="C127" s="193"/>
      <c r="D127" s="237"/>
      <c r="E127" s="237"/>
      <c r="F127" s="237"/>
      <c r="G127" s="237"/>
      <c r="H127" s="237"/>
      <c r="I127" s="192" t="s">
        <v>750</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7"/>
      <c r="T127" s="257"/>
      <c r="U127" s="257"/>
      <c r="V127" s="257"/>
      <c r="W127" s="257"/>
      <c r="X127" s="257"/>
      <c r="Y127" s="257"/>
    </row>
    <row r="128" ht="18.75" customHeight="1">
      <c r="A128" s="232"/>
      <c r="B128" s="192"/>
      <c r="C128" s="193"/>
      <c r="D128" s="237"/>
      <c r="E128" s="237"/>
      <c r="F128" s="237"/>
      <c r="G128" s="237"/>
      <c r="H128" s="237"/>
      <c r="I128" s="192" t="s">
        <v>750</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7"/>
      <c r="T128" s="257"/>
      <c r="U128" s="257"/>
      <c r="V128" s="257"/>
      <c r="W128" s="257"/>
      <c r="X128" s="257"/>
      <c r="Y128" s="257"/>
    </row>
    <row r="129" ht="18.75" customHeight="1">
      <c r="A129" s="232"/>
      <c r="B129" s="192"/>
      <c r="C129" s="193"/>
      <c r="D129" s="237"/>
      <c r="E129" s="237"/>
      <c r="F129" s="237"/>
      <c r="G129" s="237"/>
      <c r="H129" s="237"/>
      <c r="I129" s="192" t="s">
        <v>750</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7"/>
      <c r="T129" s="257"/>
      <c r="U129" s="257"/>
      <c r="V129" s="257"/>
      <c r="W129" s="257"/>
      <c r="X129" s="257"/>
      <c r="Y129" s="257"/>
    </row>
    <row r="130" ht="18.75" customHeight="1">
      <c r="A130" s="232"/>
      <c r="B130" s="192"/>
      <c r="C130" s="193"/>
      <c r="D130" s="237"/>
      <c r="E130" s="237"/>
      <c r="F130" s="237"/>
      <c r="G130" s="237"/>
      <c r="H130" s="237"/>
      <c r="I130" s="192" t="s">
        <v>750</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7"/>
      <c r="T130" s="257"/>
      <c r="U130" s="257"/>
      <c r="V130" s="257"/>
      <c r="W130" s="257"/>
      <c r="X130" s="257"/>
      <c r="Y130" s="257"/>
    </row>
    <row r="131" ht="18.75" customHeight="1">
      <c r="A131" s="232"/>
      <c r="B131" s="192"/>
      <c r="C131" s="193"/>
      <c r="D131" s="237"/>
      <c r="E131" s="237"/>
      <c r="F131" s="237"/>
      <c r="G131" s="237"/>
      <c r="H131" s="237"/>
      <c r="I131" s="192" t="s">
        <v>750</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7"/>
      <c r="T131" s="257"/>
      <c r="U131" s="257"/>
      <c r="V131" s="257"/>
      <c r="W131" s="257"/>
      <c r="X131" s="257"/>
      <c r="Y131" s="257"/>
    </row>
    <row r="132" ht="18.75" customHeight="1">
      <c r="A132" s="232"/>
      <c r="B132" s="192"/>
      <c r="C132" s="193"/>
      <c r="D132" s="237"/>
      <c r="E132" s="237"/>
      <c r="F132" s="237"/>
      <c r="G132" s="237"/>
      <c r="H132" s="237"/>
      <c r="I132" s="192" t="s">
        <v>750</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7"/>
      <c r="T132" s="257"/>
      <c r="U132" s="257"/>
      <c r="V132" s="257"/>
      <c r="W132" s="257"/>
      <c r="X132" s="257"/>
      <c r="Y132" s="257"/>
    </row>
    <row r="133" ht="18.75" customHeight="1">
      <c r="A133" s="232"/>
      <c r="B133" s="192"/>
      <c r="C133" s="193"/>
      <c r="D133" s="237"/>
      <c r="E133" s="237"/>
      <c r="F133" s="237"/>
      <c r="G133" s="237"/>
      <c r="H133" s="237"/>
      <c r="I133" s="192" t="s">
        <v>750</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7"/>
      <c r="T133" s="257"/>
      <c r="U133" s="257"/>
      <c r="V133" s="257"/>
      <c r="W133" s="257"/>
      <c r="X133" s="257"/>
      <c r="Y133" s="257"/>
    </row>
    <row r="134" ht="18.75" customHeight="1">
      <c r="A134" s="232"/>
      <c r="B134" s="192"/>
      <c r="C134" s="193"/>
      <c r="D134" s="237"/>
      <c r="E134" s="237"/>
      <c r="F134" s="237"/>
      <c r="G134" s="237"/>
      <c r="H134" s="237"/>
      <c r="I134" s="192" t="s">
        <v>750</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7"/>
      <c r="T134" s="257"/>
      <c r="U134" s="257"/>
      <c r="V134" s="257"/>
      <c r="W134" s="257"/>
      <c r="X134" s="257"/>
      <c r="Y134" s="257"/>
    </row>
    <row r="135" ht="18.75" customHeight="1">
      <c r="A135" s="232"/>
      <c r="B135" s="192"/>
      <c r="C135" s="193"/>
      <c r="D135" s="237"/>
      <c r="E135" s="237"/>
      <c r="F135" s="237"/>
      <c r="G135" s="237"/>
      <c r="H135" s="237"/>
      <c r="I135" s="192" t="s">
        <v>750</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7"/>
      <c r="T135" s="257"/>
      <c r="U135" s="257"/>
      <c r="V135" s="257"/>
      <c r="W135" s="257"/>
      <c r="X135" s="257"/>
      <c r="Y135" s="257"/>
    </row>
    <row r="136" ht="18.75" customHeight="1">
      <c r="A136" s="232"/>
      <c r="B136" s="192"/>
      <c r="C136" s="193"/>
      <c r="D136" s="237"/>
      <c r="E136" s="237"/>
      <c r="F136" s="237"/>
      <c r="G136" s="237"/>
      <c r="H136" s="237"/>
      <c r="I136" s="192" t="s">
        <v>750</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7"/>
      <c r="T136" s="257"/>
      <c r="U136" s="257"/>
      <c r="V136" s="257"/>
      <c r="W136" s="257"/>
      <c r="X136" s="257"/>
      <c r="Y136" s="257"/>
    </row>
    <row r="137" ht="18.75" customHeight="1">
      <c r="A137" s="232"/>
      <c r="B137" s="192"/>
      <c r="C137" s="193"/>
      <c r="D137" s="237"/>
      <c r="E137" s="237"/>
      <c r="F137" s="237"/>
      <c r="G137" s="237"/>
      <c r="H137" s="237"/>
      <c r="I137" s="192" t="s">
        <v>750</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7"/>
      <c r="T137" s="257"/>
      <c r="U137" s="257"/>
      <c r="V137" s="257"/>
      <c r="W137" s="257"/>
      <c r="X137" s="257"/>
      <c r="Y137" s="257"/>
    </row>
    <row r="138" ht="18.75" customHeight="1">
      <c r="A138" s="232"/>
      <c r="B138" s="192"/>
      <c r="C138" s="193"/>
      <c r="D138" s="237"/>
      <c r="E138" s="237"/>
      <c r="F138" s="237"/>
      <c r="G138" s="237"/>
      <c r="H138" s="237"/>
      <c r="I138" s="192" t="s">
        <v>750</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7"/>
      <c r="T138" s="257"/>
      <c r="U138" s="257"/>
      <c r="V138" s="257"/>
      <c r="W138" s="257"/>
      <c r="X138" s="257"/>
      <c r="Y138" s="257"/>
    </row>
    <row r="139" ht="18.75" customHeight="1">
      <c r="A139" s="232"/>
      <c r="B139" s="192"/>
      <c r="C139" s="193"/>
      <c r="D139" s="237"/>
      <c r="E139" s="237"/>
      <c r="F139" s="237"/>
      <c r="G139" s="237"/>
      <c r="H139" s="237"/>
      <c r="I139" s="192" t="s">
        <v>750</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7"/>
      <c r="T139" s="257"/>
      <c r="U139" s="257"/>
      <c r="V139" s="257"/>
      <c r="W139" s="257"/>
      <c r="X139" s="257"/>
      <c r="Y139" s="257"/>
    </row>
    <row r="140" ht="18.75" customHeight="1">
      <c r="A140" s="232"/>
      <c r="B140" s="192"/>
      <c r="C140" s="193"/>
      <c r="D140" s="237"/>
      <c r="E140" s="237"/>
      <c r="F140" s="237"/>
      <c r="G140" s="237"/>
      <c r="H140" s="237"/>
      <c r="I140" s="192" t="s">
        <v>750</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7"/>
      <c r="T140" s="257"/>
      <c r="U140" s="257"/>
      <c r="V140" s="257"/>
      <c r="W140" s="257"/>
      <c r="X140" s="257"/>
      <c r="Y140" s="257"/>
    </row>
    <row r="141" ht="18.75" customHeight="1">
      <c r="A141" s="232"/>
      <c r="B141" s="192"/>
      <c r="C141" s="193"/>
      <c r="D141" s="237"/>
      <c r="E141" s="237"/>
      <c r="F141" s="237"/>
      <c r="G141" s="237"/>
      <c r="H141" s="237"/>
      <c r="I141" s="192" t="s">
        <v>750</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7"/>
      <c r="T141" s="257"/>
      <c r="U141" s="257"/>
      <c r="V141" s="257"/>
      <c r="W141" s="257"/>
      <c r="X141" s="257"/>
      <c r="Y141" s="257"/>
    </row>
    <row r="142" ht="18.75" customHeight="1">
      <c r="A142" s="232"/>
      <c r="B142" s="192"/>
      <c r="C142" s="193"/>
      <c r="D142" s="237"/>
      <c r="E142" s="237"/>
      <c r="F142" s="237"/>
      <c r="G142" s="237"/>
      <c r="H142" s="237"/>
      <c r="I142" s="192" t="s">
        <v>750</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7"/>
      <c r="T142" s="257"/>
      <c r="U142" s="257"/>
      <c r="V142" s="257"/>
      <c r="W142" s="257"/>
      <c r="X142" s="257"/>
      <c r="Y142" s="257"/>
    </row>
    <row r="143" ht="18.75" customHeight="1">
      <c r="A143" s="232"/>
      <c r="B143" s="192"/>
      <c r="C143" s="193"/>
      <c r="D143" s="237"/>
      <c r="E143" s="237"/>
      <c r="F143" s="237"/>
      <c r="G143" s="237"/>
      <c r="H143" s="237"/>
      <c r="I143" s="192" t="s">
        <v>750</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7"/>
      <c r="T143" s="257"/>
      <c r="U143" s="257"/>
      <c r="V143" s="257"/>
      <c r="W143" s="257"/>
      <c r="X143" s="257"/>
      <c r="Y143" s="257"/>
    </row>
    <row r="144" ht="18.75" customHeight="1">
      <c r="A144" s="232"/>
      <c r="B144" s="192"/>
      <c r="C144" s="193"/>
      <c r="D144" s="237"/>
      <c r="E144" s="237"/>
      <c r="F144" s="237"/>
      <c r="G144" s="237"/>
      <c r="H144" s="237"/>
      <c r="I144" s="192" t="s">
        <v>750</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7"/>
      <c r="T144" s="257"/>
      <c r="U144" s="257"/>
      <c r="V144" s="257"/>
      <c r="W144" s="257"/>
      <c r="X144" s="257"/>
      <c r="Y144" s="257"/>
    </row>
    <row r="145" ht="18.75" customHeight="1">
      <c r="A145" s="232"/>
      <c r="B145" s="192"/>
      <c r="C145" s="193"/>
      <c r="D145" s="237"/>
      <c r="E145" s="237"/>
      <c r="F145" s="237"/>
      <c r="G145" s="237"/>
      <c r="H145" s="237"/>
      <c r="I145" s="192" t="s">
        <v>750</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7"/>
      <c r="T145" s="257"/>
      <c r="U145" s="257"/>
      <c r="V145" s="257"/>
      <c r="W145" s="257"/>
      <c r="X145" s="257"/>
      <c r="Y145" s="257"/>
    </row>
    <row r="146" ht="18.75" customHeight="1">
      <c r="A146" s="232"/>
      <c r="B146" s="192"/>
      <c r="C146" s="193"/>
      <c r="D146" s="237"/>
      <c r="E146" s="237"/>
      <c r="F146" s="237"/>
      <c r="G146" s="237"/>
      <c r="H146" s="237"/>
      <c r="I146" s="192" t="s">
        <v>750</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7"/>
      <c r="T146" s="257"/>
      <c r="U146" s="257"/>
      <c r="V146" s="257"/>
      <c r="W146" s="257"/>
      <c r="X146" s="257"/>
      <c r="Y146" s="257"/>
    </row>
    <row r="147" ht="18.75" customHeight="1">
      <c r="A147" s="232"/>
      <c r="B147" s="192"/>
      <c r="C147" s="193"/>
      <c r="D147" s="237"/>
      <c r="E147" s="237"/>
      <c r="F147" s="237"/>
      <c r="G147" s="237"/>
      <c r="H147" s="237"/>
      <c r="I147" s="192" t="s">
        <v>750</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7"/>
      <c r="T147" s="257"/>
      <c r="U147" s="257"/>
      <c r="V147" s="257"/>
      <c r="W147" s="257"/>
      <c r="X147" s="257"/>
      <c r="Y147" s="257"/>
    </row>
    <row r="148" ht="18.75" customHeight="1">
      <c r="A148" s="232"/>
      <c r="B148" s="192"/>
      <c r="C148" s="193"/>
      <c r="D148" s="237"/>
      <c r="E148" s="237"/>
      <c r="F148" s="237"/>
      <c r="G148" s="237"/>
      <c r="H148" s="237"/>
      <c r="I148" s="192" t="s">
        <v>750</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7"/>
      <c r="T148" s="257"/>
      <c r="U148" s="257"/>
      <c r="V148" s="257"/>
      <c r="W148" s="257"/>
      <c r="X148" s="257"/>
      <c r="Y148" s="257"/>
    </row>
    <row r="149" ht="18.75" customHeight="1">
      <c r="A149" s="232"/>
      <c r="B149" s="192"/>
      <c r="C149" s="193"/>
      <c r="D149" s="237"/>
      <c r="E149" s="237"/>
      <c r="F149" s="237"/>
      <c r="G149" s="237"/>
      <c r="H149" s="237"/>
      <c r="I149" s="192" t="s">
        <v>750</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7"/>
      <c r="T149" s="257"/>
      <c r="U149" s="257"/>
      <c r="V149" s="257"/>
      <c r="W149" s="257"/>
      <c r="X149" s="257"/>
      <c r="Y149" s="257"/>
    </row>
    <row r="150" ht="18.75" customHeight="1">
      <c r="A150" s="232"/>
      <c r="B150" s="192"/>
      <c r="C150" s="193"/>
      <c r="D150" s="237"/>
      <c r="E150" s="237"/>
      <c r="F150" s="237"/>
      <c r="G150" s="237"/>
      <c r="H150" s="237"/>
      <c r="I150" s="192" t="s">
        <v>750</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7"/>
      <c r="T150" s="257"/>
      <c r="U150" s="257"/>
      <c r="V150" s="257"/>
      <c r="W150" s="257"/>
      <c r="X150" s="257"/>
      <c r="Y150" s="257"/>
    </row>
    <row r="151" ht="18.75" customHeight="1">
      <c r="A151" s="232"/>
      <c r="B151" s="192"/>
      <c r="C151" s="193"/>
      <c r="D151" s="237"/>
      <c r="E151" s="237"/>
      <c r="F151" s="237"/>
      <c r="G151" s="237"/>
      <c r="H151" s="237"/>
      <c r="I151" s="192" t="s">
        <v>750</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7"/>
      <c r="T151" s="257"/>
      <c r="U151" s="257"/>
      <c r="V151" s="257"/>
      <c r="W151" s="257"/>
      <c r="X151" s="257"/>
      <c r="Y151" s="257"/>
    </row>
    <row r="152" ht="18.75" customHeight="1">
      <c r="A152" s="232"/>
      <c r="B152" s="192"/>
      <c r="C152" s="193"/>
      <c r="D152" s="237"/>
      <c r="E152" s="237"/>
      <c r="F152" s="237"/>
      <c r="G152" s="237"/>
      <c r="H152" s="237"/>
      <c r="I152" s="192" t="s">
        <v>750</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7"/>
      <c r="T152" s="257"/>
      <c r="U152" s="257"/>
      <c r="V152" s="257"/>
      <c r="W152" s="257"/>
      <c r="X152" s="257"/>
      <c r="Y152" s="257"/>
    </row>
    <row r="153" ht="18.75" customHeight="1">
      <c r="A153" s="232"/>
      <c r="B153" s="192"/>
      <c r="C153" s="193"/>
      <c r="D153" s="237"/>
      <c r="E153" s="237"/>
      <c r="F153" s="237"/>
      <c r="G153" s="237"/>
      <c r="H153" s="237"/>
      <c r="I153" s="192" t="s">
        <v>750</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7"/>
      <c r="T153" s="257"/>
      <c r="U153" s="257"/>
      <c r="V153" s="257"/>
      <c r="W153" s="257"/>
      <c r="X153" s="257"/>
      <c r="Y153" s="257"/>
    </row>
    <row r="154" ht="18.75" customHeight="1">
      <c r="A154" s="232"/>
      <c r="B154" s="192"/>
      <c r="C154" s="193"/>
      <c r="D154" s="237"/>
      <c r="E154" s="237"/>
      <c r="F154" s="237"/>
      <c r="G154" s="237"/>
      <c r="H154" s="237"/>
      <c r="I154" s="192" t="s">
        <v>750</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7"/>
      <c r="T154" s="257"/>
      <c r="U154" s="257"/>
      <c r="V154" s="257"/>
      <c r="W154" s="257"/>
      <c r="X154" s="257"/>
      <c r="Y154" s="257"/>
    </row>
    <row r="155" ht="18.75" customHeight="1">
      <c r="A155" s="232"/>
      <c r="B155" s="192"/>
      <c r="C155" s="193"/>
      <c r="D155" s="237"/>
      <c r="E155" s="237"/>
      <c r="F155" s="237"/>
      <c r="G155" s="237"/>
      <c r="H155" s="237"/>
      <c r="I155" s="192" t="s">
        <v>750</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7"/>
      <c r="T155" s="257"/>
      <c r="U155" s="257"/>
      <c r="V155" s="257"/>
      <c r="W155" s="257"/>
      <c r="X155" s="257"/>
      <c r="Y155" s="257"/>
    </row>
    <row r="156" ht="18.75" customHeight="1">
      <c r="A156" s="232"/>
      <c r="B156" s="192"/>
      <c r="C156" s="193"/>
      <c r="D156" s="237"/>
      <c r="E156" s="237"/>
      <c r="F156" s="237"/>
      <c r="G156" s="237"/>
      <c r="H156" s="237"/>
      <c r="I156" s="192" t="s">
        <v>750</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7"/>
      <c r="T156" s="257"/>
      <c r="U156" s="257"/>
      <c r="V156" s="257"/>
      <c r="W156" s="257"/>
      <c r="X156" s="257"/>
      <c r="Y156" s="257"/>
    </row>
    <row r="157" ht="18.75" customHeight="1">
      <c r="A157" s="232"/>
      <c r="B157" s="192"/>
      <c r="C157" s="193"/>
      <c r="D157" s="237"/>
      <c r="E157" s="237"/>
      <c r="F157" s="237"/>
      <c r="G157" s="237"/>
      <c r="H157" s="237"/>
      <c r="I157" s="192" t="s">
        <v>750</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7"/>
      <c r="T157" s="257"/>
      <c r="U157" s="257"/>
      <c r="V157" s="257"/>
      <c r="W157" s="257"/>
      <c r="X157" s="257"/>
      <c r="Y157" s="257"/>
    </row>
    <row r="158" ht="18.75" customHeight="1">
      <c r="A158" s="232"/>
      <c r="B158" s="192"/>
      <c r="C158" s="193"/>
      <c r="D158" s="237"/>
      <c r="E158" s="237"/>
      <c r="F158" s="237"/>
      <c r="G158" s="237"/>
      <c r="H158" s="237"/>
      <c r="I158" s="192" t="s">
        <v>750</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7"/>
      <c r="T158" s="257"/>
      <c r="U158" s="257"/>
      <c r="V158" s="257"/>
      <c r="W158" s="257"/>
      <c r="X158" s="257"/>
      <c r="Y158" s="257"/>
    </row>
    <row r="159" ht="18.75" customHeight="1">
      <c r="A159" s="232"/>
      <c r="B159" s="192"/>
      <c r="C159" s="193"/>
      <c r="D159" s="237"/>
      <c r="E159" s="237"/>
      <c r="F159" s="237"/>
      <c r="G159" s="237"/>
      <c r="H159" s="237"/>
      <c r="I159" s="192" t="s">
        <v>750</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7"/>
      <c r="T159" s="257"/>
      <c r="U159" s="257"/>
      <c r="V159" s="257"/>
      <c r="W159" s="257"/>
      <c r="X159" s="257"/>
      <c r="Y159" s="257"/>
    </row>
    <row r="160" ht="18.75" customHeight="1">
      <c r="A160" s="232"/>
      <c r="B160" s="192"/>
      <c r="C160" s="193"/>
      <c r="D160" s="237"/>
      <c r="E160" s="237"/>
      <c r="F160" s="237"/>
      <c r="G160" s="237"/>
      <c r="H160" s="237"/>
      <c r="I160" s="192" t="s">
        <v>750</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7"/>
      <c r="T160" s="257"/>
      <c r="U160" s="257"/>
      <c r="V160" s="257"/>
      <c r="W160" s="257"/>
      <c r="X160" s="257"/>
      <c r="Y160" s="257"/>
    </row>
    <row r="161" ht="18.75" customHeight="1">
      <c r="A161" s="232"/>
      <c r="B161" s="192"/>
      <c r="C161" s="193"/>
      <c r="D161" s="237"/>
      <c r="E161" s="237"/>
      <c r="F161" s="237"/>
      <c r="G161" s="237"/>
      <c r="H161" s="237"/>
      <c r="I161" s="192" t="s">
        <v>750</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7"/>
      <c r="T161" s="257"/>
      <c r="U161" s="257"/>
      <c r="V161" s="257"/>
      <c r="W161" s="257"/>
      <c r="X161" s="257"/>
      <c r="Y161" s="257"/>
    </row>
    <row r="162" ht="18.75" customHeight="1">
      <c r="A162" s="232"/>
      <c r="B162" s="192"/>
      <c r="C162" s="193"/>
      <c r="D162" s="237"/>
      <c r="E162" s="237"/>
      <c r="F162" s="237"/>
      <c r="G162" s="237"/>
      <c r="H162" s="237"/>
      <c r="I162" s="192" t="s">
        <v>750</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7"/>
      <c r="T162" s="257"/>
      <c r="U162" s="257"/>
      <c r="V162" s="257"/>
      <c r="W162" s="257"/>
      <c r="X162" s="257"/>
      <c r="Y162" s="257"/>
    </row>
    <row r="163" ht="18.75" customHeight="1">
      <c r="A163" s="232"/>
      <c r="B163" s="192"/>
      <c r="C163" s="193"/>
      <c r="D163" s="237"/>
      <c r="E163" s="237"/>
      <c r="F163" s="237"/>
      <c r="G163" s="237"/>
      <c r="H163" s="237"/>
      <c r="I163" s="192" t="s">
        <v>750</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7"/>
      <c r="T163" s="257"/>
      <c r="U163" s="257"/>
      <c r="V163" s="257"/>
      <c r="W163" s="257"/>
      <c r="X163" s="257"/>
      <c r="Y163" s="257"/>
    </row>
    <row r="164" ht="18.75" customHeight="1">
      <c r="A164" s="232"/>
      <c r="B164" s="192"/>
      <c r="C164" s="193"/>
      <c r="D164" s="237"/>
      <c r="E164" s="237"/>
      <c r="F164" s="237"/>
      <c r="G164" s="237"/>
      <c r="H164" s="237"/>
      <c r="I164" s="192" t="s">
        <v>750</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7"/>
      <c r="T164" s="257"/>
      <c r="U164" s="257"/>
      <c r="V164" s="257"/>
      <c r="W164" s="257"/>
      <c r="X164" s="257"/>
      <c r="Y164" s="257"/>
    </row>
    <row r="165" ht="18.75" customHeight="1">
      <c r="A165" s="232"/>
      <c r="B165" s="192"/>
      <c r="C165" s="193"/>
      <c r="D165" s="237"/>
      <c r="E165" s="237"/>
      <c r="F165" s="237"/>
      <c r="G165" s="237"/>
      <c r="H165" s="237"/>
      <c r="I165" s="192" t="s">
        <v>750</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7"/>
      <c r="T165" s="257"/>
      <c r="U165" s="257"/>
      <c r="V165" s="257"/>
      <c r="W165" s="257"/>
      <c r="X165" s="257"/>
      <c r="Y165" s="257"/>
    </row>
    <row r="166" ht="18.75" customHeight="1">
      <c r="A166" s="232"/>
      <c r="B166" s="192"/>
      <c r="C166" s="193"/>
      <c r="D166" s="237"/>
      <c r="E166" s="237"/>
      <c r="F166" s="237"/>
      <c r="G166" s="237"/>
      <c r="H166" s="237"/>
      <c r="I166" s="192" t="s">
        <v>750</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7"/>
      <c r="T166" s="257"/>
      <c r="U166" s="257"/>
      <c r="V166" s="257"/>
      <c r="W166" s="257"/>
      <c r="X166" s="257"/>
      <c r="Y166" s="257"/>
    </row>
    <row r="167" ht="18.75" customHeight="1">
      <c r="A167" s="232"/>
      <c r="B167" s="192"/>
      <c r="C167" s="193"/>
      <c r="D167" s="237"/>
      <c r="E167" s="237"/>
      <c r="F167" s="237"/>
      <c r="G167" s="237"/>
      <c r="H167" s="237"/>
      <c r="I167" s="192" t="s">
        <v>750</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7"/>
      <c r="T167" s="257"/>
      <c r="U167" s="257"/>
      <c r="V167" s="257"/>
      <c r="W167" s="257"/>
      <c r="X167" s="257"/>
      <c r="Y167" s="257"/>
    </row>
    <row r="168" ht="18.75" customHeight="1">
      <c r="A168" s="232"/>
      <c r="B168" s="192"/>
      <c r="C168" s="193"/>
      <c r="D168" s="237"/>
      <c r="E168" s="237"/>
      <c r="F168" s="237"/>
      <c r="G168" s="237"/>
      <c r="H168" s="237"/>
      <c r="I168" s="192" t="s">
        <v>750</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7"/>
      <c r="T168" s="257"/>
      <c r="U168" s="257"/>
      <c r="V168" s="257"/>
      <c r="W168" s="257"/>
      <c r="X168" s="257"/>
      <c r="Y168" s="257"/>
    </row>
    <row r="169" ht="18.75" customHeight="1">
      <c r="A169" s="232"/>
      <c r="B169" s="192"/>
      <c r="C169" s="193"/>
      <c r="D169" s="237"/>
      <c r="E169" s="237"/>
      <c r="F169" s="237"/>
      <c r="G169" s="237"/>
      <c r="H169" s="237"/>
      <c r="I169" s="192" t="s">
        <v>750</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7"/>
      <c r="T169" s="257"/>
      <c r="U169" s="257"/>
      <c r="V169" s="257"/>
      <c r="W169" s="257"/>
      <c r="X169" s="257"/>
      <c r="Y169" s="257"/>
    </row>
    <row r="170" ht="18.75" customHeight="1">
      <c r="A170" s="232"/>
      <c r="B170" s="192"/>
      <c r="C170" s="193"/>
      <c r="D170" s="237"/>
      <c r="E170" s="237"/>
      <c r="F170" s="237"/>
      <c r="G170" s="237"/>
      <c r="H170" s="237"/>
      <c r="I170" s="192" t="s">
        <v>750</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7"/>
      <c r="T170" s="257"/>
      <c r="U170" s="257"/>
      <c r="V170" s="257"/>
      <c r="W170" s="257"/>
      <c r="X170" s="257"/>
      <c r="Y170" s="257"/>
    </row>
    <row r="171" ht="18.75" customHeight="1">
      <c r="A171" s="232"/>
      <c r="B171" s="192"/>
      <c r="C171" s="193"/>
      <c r="D171" s="237"/>
      <c r="E171" s="237"/>
      <c r="F171" s="237"/>
      <c r="G171" s="237"/>
      <c r="H171" s="237"/>
      <c r="I171" s="192" t="s">
        <v>750</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7"/>
      <c r="T171" s="257"/>
      <c r="U171" s="257"/>
      <c r="V171" s="257"/>
      <c r="W171" s="257"/>
      <c r="X171" s="257"/>
      <c r="Y171" s="257"/>
    </row>
    <row r="172" ht="18.75" customHeight="1">
      <c r="A172" s="232"/>
      <c r="B172" s="192"/>
      <c r="C172" s="193"/>
      <c r="D172" s="237"/>
      <c r="E172" s="237"/>
      <c r="F172" s="237"/>
      <c r="G172" s="237"/>
      <c r="H172" s="237"/>
      <c r="I172" s="192" t="s">
        <v>750</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7"/>
      <c r="T172" s="257"/>
      <c r="U172" s="257"/>
      <c r="V172" s="257"/>
      <c r="W172" s="257"/>
      <c r="X172" s="257"/>
      <c r="Y172" s="257"/>
    </row>
    <row r="173" ht="18.75" customHeight="1">
      <c r="A173" s="232"/>
      <c r="B173" s="192"/>
      <c r="C173" s="193"/>
      <c r="D173" s="237"/>
      <c r="E173" s="237"/>
      <c r="F173" s="237"/>
      <c r="G173" s="237"/>
      <c r="H173" s="237"/>
      <c r="I173" s="192" t="s">
        <v>750</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7"/>
      <c r="T173" s="257"/>
      <c r="U173" s="257"/>
      <c r="V173" s="257"/>
      <c r="W173" s="257"/>
      <c r="X173" s="257"/>
      <c r="Y173" s="257"/>
    </row>
    <row r="174" ht="18.75" customHeight="1">
      <c r="A174" s="232"/>
      <c r="B174" s="192"/>
      <c r="C174" s="193"/>
      <c r="D174" s="237"/>
      <c r="E174" s="237"/>
      <c r="F174" s="237"/>
      <c r="G174" s="237"/>
      <c r="H174" s="237"/>
      <c r="I174" s="192" t="s">
        <v>750</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7"/>
      <c r="T174" s="257"/>
      <c r="U174" s="257"/>
      <c r="V174" s="257"/>
      <c r="W174" s="257"/>
      <c r="X174" s="257"/>
      <c r="Y174" s="257"/>
    </row>
    <row r="175" ht="18.75" customHeight="1">
      <c r="A175" s="232"/>
      <c r="B175" s="192"/>
      <c r="C175" s="193"/>
      <c r="D175" s="237"/>
      <c r="E175" s="237"/>
      <c r="F175" s="237"/>
      <c r="G175" s="237"/>
      <c r="H175" s="237"/>
      <c r="I175" s="192" t="s">
        <v>750</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7"/>
      <c r="T175" s="257"/>
      <c r="U175" s="257"/>
      <c r="V175" s="257"/>
      <c r="W175" s="257"/>
      <c r="X175" s="257"/>
      <c r="Y175" s="257"/>
    </row>
    <row r="176" ht="18.75" customHeight="1">
      <c r="A176" s="232"/>
      <c r="B176" s="192"/>
      <c r="C176" s="193"/>
      <c r="D176" s="237"/>
      <c r="E176" s="237"/>
      <c r="F176" s="237"/>
      <c r="G176" s="237"/>
      <c r="H176" s="237"/>
      <c r="I176" s="192" t="s">
        <v>750</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7"/>
      <c r="T176" s="257"/>
      <c r="U176" s="257"/>
      <c r="V176" s="257"/>
      <c r="W176" s="257"/>
      <c r="X176" s="257"/>
      <c r="Y176" s="257"/>
    </row>
    <row r="177" ht="18.75" customHeight="1">
      <c r="A177" s="232"/>
      <c r="B177" s="192"/>
      <c r="C177" s="193"/>
      <c r="D177" s="237"/>
      <c r="E177" s="237"/>
      <c r="F177" s="237"/>
      <c r="G177" s="237"/>
      <c r="H177" s="237"/>
      <c r="I177" s="192" t="s">
        <v>750</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7"/>
      <c r="T177" s="257"/>
      <c r="U177" s="257"/>
      <c r="V177" s="257"/>
      <c r="W177" s="257"/>
      <c r="X177" s="257"/>
      <c r="Y177" s="257"/>
    </row>
    <row r="178" ht="18.75" customHeight="1">
      <c r="A178" s="232"/>
      <c r="B178" s="192"/>
      <c r="C178" s="193"/>
      <c r="D178" s="237"/>
      <c r="E178" s="237"/>
      <c r="F178" s="237"/>
      <c r="G178" s="237"/>
      <c r="H178" s="237"/>
      <c r="I178" s="192" t="s">
        <v>750</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7"/>
      <c r="T178" s="257"/>
      <c r="U178" s="257"/>
      <c r="V178" s="257"/>
      <c r="W178" s="257"/>
      <c r="X178" s="257"/>
      <c r="Y178" s="257"/>
    </row>
    <row r="179" ht="18.75" customHeight="1">
      <c r="A179" s="232"/>
      <c r="B179" s="192"/>
      <c r="C179" s="193"/>
      <c r="D179" s="237"/>
      <c r="E179" s="237"/>
      <c r="F179" s="237"/>
      <c r="G179" s="237"/>
      <c r="H179" s="237"/>
      <c r="I179" s="192" t="s">
        <v>750</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7"/>
      <c r="T179" s="257"/>
      <c r="U179" s="257"/>
      <c r="V179" s="257"/>
      <c r="W179" s="257"/>
      <c r="X179" s="257"/>
      <c r="Y179" s="257"/>
    </row>
    <row r="180" ht="18.75" customHeight="1">
      <c r="A180" s="241"/>
      <c r="B180" s="192"/>
      <c r="C180" s="193"/>
      <c r="D180" s="237"/>
      <c r="E180" s="237"/>
      <c r="F180" s="237"/>
      <c r="G180" s="237"/>
      <c r="H180" s="237"/>
      <c r="I180" s="192" t="s">
        <v>750</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37"/>
      <c r="T180" s="257"/>
      <c r="U180" s="257"/>
      <c r="V180" s="257"/>
      <c r="W180" s="257"/>
      <c r="X180" s="257"/>
      <c r="Y180" s="257"/>
    </row>
    <row r="181" ht="18.75" customHeight="1">
      <c r="A181" s="241"/>
      <c r="B181" s="192"/>
      <c r="C181" s="193"/>
      <c r="D181" s="237"/>
      <c r="E181" s="237"/>
      <c r="F181" s="237"/>
      <c r="G181" s="237"/>
      <c r="H181" s="237"/>
      <c r="I181" s="192" t="s">
        <v>750</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37"/>
      <c r="T181" s="257"/>
      <c r="U181" s="257"/>
      <c r="V181" s="257"/>
      <c r="W181" s="257"/>
      <c r="X181" s="257"/>
      <c r="Y181" s="257"/>
    </row>
    <row r="182" ht="18.75" customHeight="1">
      <c r="A182" s="241"/>
      <c r="B182" s="192"/>
      <c r="C182" s="193"/>
      <c r="D182" s="237"/>
      <c r="E182" s="237"/>
      <c r="F182" s="237"/>
      <c r="G182" s="237"/>
      <c r="H182" s="237"/>
      <c r="I182" s="192" t="s">
        <v>750</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37"/>
      <c r="T182" s="257"/>
      <c r="U182" s="257"/>
      <c r="V182" s="257"/>
      <c r="W182" s="257"/>
      <c r="X182" s="257"/>
      <c r="Y182" s="257"/>
    </row>
    <row r="183" ht="18.75" customHeight="1">
      <c r="A183" s="241"/>
      <c r="B183" s="192"/>
      <c r="C183" s="193"/>
      <c r="D183" s="237"/>
      <c r="E183" s="237"/>
      <c r="F183" s="237"/>
      <c r="G183" s="237"/>
      <c r="H183" s="237"/>
      <c r="I183" s="192" t="s">
        <v>750</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37"/>
      <c r="T183" s="257"/>
      <c r="U183" s="257"/>
      <c r="V183" s="257"/>
      <c r="W183" s="257"/>
      <c r="X183" s="257"/>
      <c r="Y183" s="257"/>
    </row>
    <row r="184" ht="18.75" customHeight="1">
      <c r="A184" s="241"/>
      <c r="B184" s="192"/>
      <c r="C184" s="193"/>
      <c r="D184" s="237"/>
      <c r="E184" s="237"/>
      <c r="F184" s="237"/>
      <c r="G184" s="237"/>
      <c r="H184" s="237"/>
      <c r="I184" s="192" t="s">
        <v>750</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37"/>
      <c r="T184" s="257"/>
      <c r="U184" s="257"/>
      <c r="V184" s="257"/>
      <c r="W184" s="257"/>
      <c r="X184" s="257"/>
      <c r="Y184" s="257"/>
    </row>
    <row r="185" ht="18.75" customHeight="1">
      <c r="A185" s="241"/>
      <c r="B185" s="192"/>
      <c r="C185" s="193"/>
      <c r="D185" s="237"/>
      <c r="E185" s="237"/>
      <c r="F185" s="237"/>
      <c r="G185" s="237"/>
      <c r="H185" s="237"/>
      <c r="I185" s="192" t="s">
        <v>750</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37"/>
      <c r="T185" s="257"/>
      <c r="U185" s="257"/>
      <c r="V185" s="257"/>
      <c r="W185" s="257"/>
      <c r="X185" s="257"/>
      <c r="Y185" s="257"/>
    </row>
    <row r="186" ht="18.75" customHeight="1">
      <c r="A186" s="241"/>
      <c r="B186" s="192"/>
      <c r="C186" s="193"/>
      <c r="D186" s="237"/>
      <c r="E186" s="237"/>
      <c r="F186" s="237"/>
      <c r="G186" s="237"/>
      <c r="H186" s="237"/>
      <c r="I186" s="192" t="s">
        <v>750</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37"/>
      <c r="T186" s="257"/>
      <c r="U186" s="257"/>
      <c r="V186" s="257"/>
      <c r="W186" s="257"/>
      <c r="X186" s="257"/>
      <c r="Y186" s="257"/>
    </row>
    <row r="187" ht="18.75" customHeight="1">
      <c r="A187" s="241"/>
      <c r="B187" s="192"/>
      <c r="C187" s="193"/>
      <c r="D187" s="237"/>
      <c r="E187" s="237"/>
      <c r="F187" s="237"/>
      <c r="G187" s="237"/>
      <c r="H187" s="237"/>
      <c r="I187" s="192" t="s">
        <v>750</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37"/>
      <c r="T187" s="257"/>
      <c r="U187" s="257"/>
      <c r="V187" s="257"/>
      <c r="W187" s="257"/>
      <c r="X187" s="257"/>
      <c r="Y187" s="257"/>
    </row>
    <row r="188" ht="18.75" customHeight="1">
      <c r="A188" s="241"/>
      <c r="B188" s="192"/>
      <c r="C188" s="193"/>
      <c r="D188" s="237"/>
      <c r="E188" s="237"/>
      <c r="F188" s="237"/>
      <c r="G188" s="237"/>
      <c r="H188" s="237"/>
      <c r="I188" s="192" t="s">
        <v>750</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37"/>
      <c r="T188" s="257"/>
      <c r="U188" s="257"/>
      <c r="V188" s="257"/>
      <c r="W188" s="257"/>
      <c r="X188" s="257"/>
      <c r="Y188" s="257"/>
    </row>
    <row r="189" ht="18.75" customHeight="1">
      <c r="A189" s="241"/>
      <c r="B189" s="192"/>
      <c r="C189" s="193"/>
      <c r="D189" s="237"/>
      <c r="E189" s="237"/>
      <c r="F189" s="237"/>
      <c r="G189" s="237"/>
      <c r="H189" s="237"/>
      <c r="I189" s="192" t="s">
        <v>750</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37"/>
      <c r="T189" s="257"/>
      <c r="U189" s="257"/>
      <c r="V189" s="257"/>
      <c r="W189" s="257"/>
      <c r="X189" s="257"/>
      <c r="Y189" s="257"/>
    </row>
    <row r="190" ht="18.75" customHeight="1">
      <c r="A190" s="241"/>
      <c r="B190" s="192"/>
      <c r="C190" s="193"/>
      <c r="D190" s="237"/>
      <c r="E190" s="237"/>
      <c r="F190" s="237"/>
      <c r="G190" s="237"/>
      <c r="H190" s="237"/>
      <c r="I190" s="192" t="s">
        <v>750</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37"/>
      <c r="T190" s="257"/>
      <c r="U190" s="257"/>
      <c r="V190" s="257"/>
      <c r="W190" s="257"/>
      <c r="X190" s="257"/>
      <c r="Y190" s="257"/>
    </row>
    <row r="191" ht="18.75" customHeight="1">
      <c r="A191" s="241"/>
      <c r="B191" s="192"/>
      <c r="C191" s="193"/>
      <c r="D191" s="237"/>
      <c r="E191" s="237"/>
      <c r="F191" s="237"/>
      <c r="G191" s="237"/>
      <c r="H191" s="237"/>
      <c r="I191" s="192" t="s">
        <v>750</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37"/>
      <c r="T191" s="257"/>
      <c r="U191" s="257"/>
      <c r="V191" s="257"/>
      <c r="W191" s="257"/>
      <c r="X191" s="257"/>
      <c r="Y191" s="257"/>
    </row>
    <row r="192" ht="18.75" customHeight="1">
      <c r="A192" s="241"/>
      <c r="B192" s="192"/>
      <c r="C192" s="193"/>
      <c r="D192" s="237"/>
      <c r="E192" s="237"/>
      <c r="F192" s="237"/>
      <c r="G192" s="237"/>
      <c r="H192" s="237"/>
      <c r="I192" s="192" t="s">
        <v>750</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37"/>
      <c r="T192" s="257"/>
      <c r="U192" s="257"/>
      <c r="V192" s="257"/>
      <c r="W192" s="257"/>
      <c r="X192" s="257"/>
      <c r="Y192" s="257"/>
    </row>
    <row r="193" ht="18.75" customHeight="1">
      <c r="A193" s="241"/>
      <c r="B193" s="192"/>
      <c r="C193" s="193"/>
      <c r="D193" s="237"/>
      <c r="E193" s="237"/>
      <c r="F193" s="237"/>
      <c r="G193" s="237"/>
      <c r="H193" s="237"/>
      <c r="I193" s="192" t="s">
        <v>750</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37"/>
      <c r="T193" s="257"/>
      <c r="U193" s="257"/>
      <c r="V193" s="257"/>
      <c r="W193" s="257"/>
      <c r="X193" s="257"/>
      <c r="Y193" s="257"/>
    </row>
    <row r="194" ht="18.75" customHeight="1">
      <c r="A194" s="241"/>
      <c r="B194" s="192"/>
      <c r="C194" s="193"/>
      <c r="D194" s="237"/>
      <c r="E194" s="237"/>
      <c r="F194" s="237"/>
      <c r="G194" s="237"/>
      <c r="H194" s="237"/>
      <c r="I194" s="192" t="s">
        <v>750</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37"/>
      <c r="T194" s="257"/>
      <c r="U194" s="257"/>
      <c r="V194" s="257"/>
      <c r="W194" s="257"/>
      <c r="X194" s="257"/>
      <c r="Y194" s="257"/>
    </row>
    <row r="195" ht="18.75" customHeight="1">
      <c r="A195" s="241"/>
      <c r="B195" s="192"/>
      <c r="C195" s="193"/>
      <c r="D195" s="237"/>
      <c r="E195" s="237"/>
      <c r="F195" s="237"/>
      <c r="G195" s="237"/>
      <c r="H195" s="237"/>
      <c r="I195" s="192" t="s">
        <v>750</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37"/>
      <c r="T195" s="257"/>
      <c r="U195" s="257"/>
      <c r="V195" s="257"/>
      <c r="W195" s="257"/>
      <c r="X195" s="257"/>
      <c r="Y195" s="257"/>
    </row>
    <row r="196" ht="18.75" customHeight="1">
      <c r="A196" s="241"/>
      <c r="B196" s="192"/>
      <c r="C196" s="193"/>
      <c r="D196" s="237"/>
      <c r="E196" s="237"/>
      <c r="F196" s="237"/>
      <c r="G196" s="237"/>
      <c r="H196" s="237"/>
      <c r="I196" s="192" t="s">
        <v>750</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37"/>
      <c r="T196" s="257"/>
      <c r="U196" s="257"/>
      <c r="V196" s="257"/>
      <c r="W196" s="257"/>
      <c r="X196" s="257"/>
      <c r="Y196" s="257"/>
    </row>
    <row r="197" ht="18.75" customHeight="1">
      <c r="A197" s="241"/>
      <c r="B197" s="192"/>
      <c r="C197" s="193"/>
      <c r="D197" s="237"/>
      <c r="E197" s="237"/>
      <c r="F197" s="237"/>
      <c r="G197" s="237"/>
      <c r="H197" s="237"/>
      <c r="I197" s="192" t="s">
        <v>750</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37"/>
      <c r="T197" s="257"/>
      <c r="U197" s="257"/>
      <c r="V197" s="257"/>
      <c r="W197" s="257"/>
      <c r="X197" s="257"/>
      <c r="Y197" s="257"/>
    </row>
    <row r="198" ht="18.75" customHeight="1">
      <c r="A198" s="241"/>
      <c r="B198" s="192"/>
      <c r="C198" s="193"/>
      <c r="D198" s="237"/>
      <c r="E198" s="237"/>
      <c r="F198" s="237"/>
      <c r="G198" s="237"/>
      <c r="H198" s="237"/>
      <c r="I198" s="192" t="s">
        <v>750</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37"/>
      <c r="T198" s="257"/>
      <c r="U198" s="257"/>
      <c r="V198" s="257"/>
      <c r="W198" s="257"/>
      <c r="X198" s="257"/>
      <c r="Y198" s="257"/>
    </row>
    <row r="199" ht="18.75" customHeight="1">
      <c r="A199" s="241"/>
      <c r="B199" s="192"/>
      <c r="C199" s="193"/>
      <c r="D199" s="237"/>
      <c r="E199" s="237"/>
      <c r="F199" s="237"/>
      <c r="G199" s="237"/>
      <c r="H199" s="237"/>
      <c r="I199" s="192" t="s">
        <v>750</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37"/>
      <c r="T199" s="257"/>
      <c r="U199" s="257"/>
      <c r="V199" s="257"/>
      <c r="W199" s="257"/>
      <c r="X199" s="257"/>
      <c r="Y199" s="257"/>
    </row>
    <row r="200" ht="18.75" customHeight="1">
      <c r="A200" s="241"/>
      <c r="B200" s="192"/>
      <c r="C200" s="193"/>
      <c r="D200" s="237"/>
      <c r="E200" s="237"/>
      <c r="F200" s="237"/>
      <c r="G200" s="237"/>
      <c r="H200" s="237"/>
      <c r="I200" s="192" t="s">
        <v>750</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37"/>
      <c r="T200" s="257"/>
      <c r="U200" s="257"/>
      <c r="V200" s="257"/>
      <c r="W200" s="257"/>
      <c r="X200" s="257"/>
      <c r="Y200" s="257"/>
    </row>
    <row r="201" ht="18.75" customHeight="1">
      <c r="A201" s="241"/>
      <c r="B201" s="192"/>
      <c r="C201" s="193"/>
      <c r="D201" s="237"/>
      <c r="E201" s="237"/>
      <c r="F201" s="237"/>
      <c r="G201" s="237"/>
      <c r="H201" s="237"/>
      <c r="I201" s="192" t="s">
        <v>750</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37"/>
      <c r="T201" s="257"/>
      <c r="U201" s="257"/>
      <c r="V201" s="257"/>
      <c r="W201" s="257"/>
      <c r="X201" s="257"/>
      <c r="Y201" s="257"/>
    </row>
    <row r="202" ht="18.75" customHeight="1">
      <c r="A202" s="241"/>
      <c r="B202" s="192"/>
      <c r="C202" s="193"/>
      <c r="D202" s="237"/>
      <c r="E202" s="237"/>
      <c r="F202" s="237"/>
      <c r="G202" s="237"/>
      <c r="H202" s="237"/>
      <c r="I202" s="192" t="s">
        <v>750</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37"/>
      <c r="T202" s="257"/>
      <c r="U202" s="257"/>
      <c r="V202" s="257"/>
      <c r="W202" s="257"/>
      <c r="X202" s="257"/>
      <c r="Y202" s="257"/>
    </row>
    <row r="203" ht="18.75" customHeight="1">
      <c r="A203" s="241"/>
      <c r="B203" s="192"/>
      <c r="C203" s="193"/>
      <c r="D203" s="237"/>
      <c r="E203" s="237"/>
      <c r="F203" s="237"/>
      <c r="G203" s="237"/>
      <c r="H203" s="237"/>
      <c r="I203" s="192" t="s">
        <v>750</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37"/>
      <c r="T203" s="257"/>
      <c r="U203" s="257"/>
      <c r="V203" s="257"/>
      <c r="W203" s="257"/>
      <c r="X203" s="257"/>
      <c r="Y203" s="257"/>
    </row>
    <row r="204" ht="18.75" customHeight="1">
      <c r="A204" s="241"/>
      <c r="B204" s="192"/>
      <c r="C204" s="193"/>
      <c r="D204" s="237"/>
      <c r="E204" s="237"/>
      <c r="F204" s="237"/>
      <c r="G204" s="237"/>
      <c r="H204" s="237"/>
      <c r="I204" s="192" t="s">
        <v>750</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37"/>
      <c r="T204" s="257"/>
      <c r="U204" s="257"/>
      <c r="V204" s="257"/>
      <c r="W204" s="257"/>
      <c r="X204" s="257"/>
      <c r="Y204" s="257"/>
    </row>
    <row r="205" ht="18.75" customHeight="1">
      <c r="A205" s="241"/>
      <c r="B205" s="192"/>
      <c r="C205" s="193"/>
      <c r="D205" s="237"/>
      <c r="E205" s="237"/>
      <c r="F205" s="237"/>
      <c r="G205" s="237"/>
      <c r="H205" s="237"/>
      <c r="I205" s="192" t="s">
        <v>750</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37"/>
      <c r="T205" s="257"/>
      <c r="U205" s="257"/>
      <c r="V205" s="257"/>
      <c r="W205" s="257"/>
      <c r="X205" s="257"/>
      <c r="Y205" s="257"/>
    </row>
    <row r="206" ht="18.75" customHeight="1">
      <c r="A206" s="241"/>
      <c r="B206" s="192"/>
      <c r="C206" s="193"/>
      <c r="D206" s="237"/>
      <c r="E206" s="237"/>
      <c r="F206" s="237"/>
      <c r="G206" s="237"/>
      <c r="H206" s="237"/>
      <c r="I206" s="192" t="s">
        <v>750</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37"/>
      <c r="T206" s="257"/>
      <c r="U206" s="257"/>
      <c r="V206" s="257"/>
      <c r="W206" s="257"/>
      <c r="X206" s="257"/>
      <c r="Y206" s="257"/>
    </row>
    <row r="207" ht="18.75" customHeight="1">
      <c r="A207" s="241"/>
      <c r="B207" s="192"/>
      <c r="C207" s="193"/>
      <c r="D207" s="237"/>
      <c r="E207" s="237"/>
      <c r="F207" s="237"/>
      <c r="G207" s="237"/>
      <c r="H207" s="237"/>
      <c r="I207" s="192" t="s">
        <v>750</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37"/>
      <c r="T207" s="257"/>
      <c r="U207" s="257"/>
      <c r="V207" s="257"/>
      <c r="W207" s="257"/>
      <c r="X207" s="257"/>
      <c r="Y207" s="257"/>
    </row>
    <row r="208" ht="18.75" customHeight="1">
      <c r="A208" s="241"/>
      <c r="B208" s="192"/>
      <c r="C208" s="193"/>
      <c r="D208" s="237"/>
      <c r="E208" s="237"/>
      <c r="F208" s="237"/>
      <c r="G208" s="237"/>
      <c r="H208" s="237"/>
      <c r="I208" s="192" t="s">
        <v>750</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37"/>
      <c r="T208" s="257"/>
      <c r="U208" s="257"/>
      <c r="V208" s="257"/>
      <c r="W208" s="257"/>
      <c r="X208" s="257"/>
      <c r="Y208" s="257"/>
    </row>
    <row r="209" ht="18.75" customHeight="1">
      <c r="A209" s="241"/>
      <c r="B209" s="192"/>
      <c r="C209" s="193"/>
      <c r="D209" s="237"/>
      <c r="E209" s="237"/>
      <c r="F209" s="237"/>
      <c r="G209" s="237"/>
      <c r="H209" s="237"/>
      <c r="I209" s="192" t="s">
        <v>750</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37"/>
      <c r="T209" s="257"/>
      <c r="U209" s="257"/>
      <c r="V209" s="257"/>
      <c r="W209" s="257"/>
      <c r="X209" s="257"/>
      <c r="Y209" s="257"/>
    </row>
    <row r="210" ht="18.75" customHeight="1">
      <c r="A210" s="241"/>
      <c r="B210" s="192"/>
      <c r="C210" s="193"/>
      <c r="D210" s="237"/>
      <c r="E210" s="237"/>
      <c r="F210" s="237"/>
      <c r="G210" s="237"/>
      <c r="H210" s="237"/>
      <c r="I210" s="192" t="s">
        <v>750</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37"/>
      <c r="T210" s="257"/>
      <c r="U210" s="257"/>
      <c r="V210" s="257"/>
      <c r="W210" s="257"/>
      <c r="X210" s="257"/>
      <c r="Y210" s="257"/>
    </row>
    <row r="211" ht="18.75" customHeight="1">
      <c r="A211" s="241"/>
      <c r="B211" s="192"/>
      <c r="C211" s="193"/>
      <c r="D211" s="237"/>
      <c r="E211" s="237"/>
      <c r="F211" s="237"/>
      <c r="G211" s="237"/>
      <c r="H211" s="237"/>
      <c r="I211" s="192" t="s">
        <v>750</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37"/>
      <c r="T211" s="257"/>
      <c r="U211" s="257"/>
      <c r="V211" s="257"/>
      <c r="W211" s="257"/>
      <c r="X211" s="257"/>
      <c r="Y211" s="257"/>
    </row>
    <row r="212" ht="18.75" customHeight="1">
      <c r="A212" s="241"/>
      <c r="B212" s="192"/>
      <c r="C212" s="193"/>
      <c r="D212" s="237"/>
      <c r="E212" s="237"/>
      <c r="F212" s="237"/>
      <c r="G212" s="237"/>
      <c r="H212" s="237"/>
      <c r="I212" s="192" t="s">
        <v>750</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37"/>
      <c r="T212" s="257"/>
      <c r="U212" s="257"/>
      <c r="V212" s="257"/>
      <c r="W212" s="257"/>
      <c r="X212" s="257"/>
      <c r="Y212" s="257"/>
    </row>
    <row r="213" ht="18.75" customHeight="1">
      <c r="A213" s="241"/>
      <c r="B213" s="192"/>
      <c r="C213" s="193"/>
      <c r="D213" s="237"/>
      <c r="E213" s="237"/>
      <c r="F213" s="237"/>
      <c r="G213" s="237"/>
      <c r="H213" s="237"/>
      <c r="I213" s="192" t="s">
        <v>750</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37"/>
      <c r="T213" s="257"/>
      <c r="U213" s="257"/>
      <c r="V213" s="257"/>
      <c r="W213" s="257"/>
      <c r="X213" s="257"/>
      <c r="Y213" s="257"/>
    </row>
    <row r="214" ht="18.75" customHeight="1">
      <c r="A214" s="241"/>
      <c r="B214" s="192"/>
      <c r="C214" s="193"/>
      <c r="D214" s="237"/>
      <c r="E214" s="237"/>
      <c r="F214" s="237"/>
      <c r="G214" s="237"/>
      <c r="H214" s="237"/>
      <c r="I214" s="192" t="s">
        <v>750</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37"/>
      <c r="T214" s="257"/>
      <c r="U214" s="257"/>
      <c r="V214" s="257"/>
      <c r="W214" s="257"/>
      <c r="X214" s="257"/>
      <c r="Y214" s="257"/>
    </row>
    <row r="215" ht="18.75" customHeight="1">
      <c r="A215" s="241"/>
      <c r="B215" s="192"/>
      <c r="C215" s="193"/>
      <c r="D215" s="237"/>
      <c r="E215" s="237"/>
      <c r="F215" s="237"/>
      <c r="G215" s="237"/>
      <c r="H215" s="237"/>
      <c r="I215" s="192" t="s">
        <v>750</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37"/>
      <c r="T215" s="257"/>
      <c r="U215" s="257"/>
      <c r="V215" s="257"/>
      <c r="W215" s="257"/>
      <c r="X215" s="257"/>
      <c r="Y215" s="257"/>
    </row>
    <row r="216" ht="18.75" customHeight="1">
      <c r="A216" s="241"/>
      <c r="B216" s="192"/>
      <c r="C216" s="193"/>
      <c r="D216" s="237"/>
      <c r="E216" s="237"/>
      <c r="F216" s="237"/>
      <c r="G216" s="237"/>
      <c r="H216" s="237"/>
      <c r="I216" s="192" t="s">
        <v>750</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37"/>
      <c r="T216" s="257"/>
      <c r="U216" s="257"/>
      <c r="V216" s="257"/>
      <c r="W216" s="257"/>
      <c r="X216" s="257"/>
      <c r="Y216" s="257"/>
    </row>
    <row r="217" ht="18.75" customHeight="1">
      <c r="A217" s="241"/>
      <c r="B217" s="192"/>
      <c r="C217" s="193"/>
      <c r="D217" s="237"/>
      <c r="E217" s="237"/>
      <c r="F217" s="237"/>
      <c r="G217" s="237"/>
      <c r="H217" s="237"/>
      <c r="I217" s="192" t="s">
        <v>750</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37"/>
      <c r="T217" s="257"/>
      <c r="U217" s="257"/>
      <c r="V217" s="257"/>
      <c r="W217" s="257"/>
      <c r="X217" s="257"/>
      <c r="Y217" s="257"/>
    </row>
    <row r="218" ht="18.75" customHeight="1">
      <c r="A218" s="241"/>
      <c r="B218" s="192"/>
      <c r="C218" s="193"/>
      <c r="D218" s="237"/>
      <c r="E218" s="237"/>
      <c r="F218" s="237"/>
      <c r="G218" s="237"/>
      <c r="H218" s="237"/>
      <c r="I218" s="192" t="s">
        <v>750</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37"/>
      <c r="T218" s="257"/>
      <c r="U218" s="257"/>
      <c r="V218" s="257"/>
      <c r="W218" s="257"/>
      <c r="X218" s="257"/>
      <c r="Y218" s="257"/>
    </row>
    <row r="219" ht="18.75" customHeight="1">
      <c r="A219" s="241"/>
      <c r="B219" s="192"/>
      <c r="C219" s="193"/>
      <c r="D219" s="237"/>
      <c r="E219" s="237"/>
      <c r="F219" s="237"/>
      <c r="G219" s="237"/>
      <c r="H219" s="237"/>
      <c r="I219" s="192" t="s">
        <v>750</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37"/>
      <c r="T219" s="257"/>
      <c r="U219" s="257"/>
      <c r="V219" s="257"/>
      <c r="W219" s="257"/>
      <c r="X219" s="257"/>
      <c r="Y219" s="257"/>
    </row>
    <row r="220" ht="18.75" customHeight="1">
      <c r="A220" s="241"/>
      <c r="B220" s="192"/>
      <c r="C220" s="193"/>
      <c r="D220" s="237"/>
      <c r="E220" s="237"/>
      <c r="F220" s="237"/>
      <c r="G220" s="237"/>
      <c r="H220" s="237"/>
      <c r="I220" s="192" t="s">
        <v>750</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37"/>
      <c r="T220" s="257"/>
      <c r="U220" s="257"/>
      <c r="V220" s="257"/>
      <c r="W220" s="257"/>
      <c r="X220" s="257"/>
      <c r="Y220" s="257"/>
    </row>
    <row r="221" ht="18.75" customHeight="1">
      <c r="A221" s="241"/>
      <c r="B221" s="192"/>
      <c r="C221" s="193"/>
      <c r="D221" s="237"/>
      <c r="E221" s="237"/>
      <c r="F221" s="237"/>
      <c r="G221" s="237"/>
      <c r="H221" s="237"/>
      <c r="I221" s="192" t="s">
        <v>750</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37"/>
      <c r="T221" s="257"/>
      <c r="U221" s="257"/>
      <c r="V221" s="257"/>
      <c r="W221" s="257"/>
      <c r="X221" s="257"/>
      <c r="Y221" s="257"/>
    </row>
    <row r="222" ht="18.75" customHeight="1">
      <c r="A222" s="241"/>
      <c r="B222" s="192"/>
      <c r="C222" s="193"/>
      <c r="D222" s="237"/>
      <c r="E222" s="237"/>
      <c r="F222" s="237"/>
      <c r="G222" s="237"/>
      <c r="H222" s="237"/>
      <c r="I222" s="192" t="s">
        <v>750</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37"/>
      <c r="T222" s="257"/>
      <c r="U222" s="257"/>
      <c r="V222" s="257"/>
      <c r="W222" s="257"/>
      <c r="X222" s="257"/>
      <c r="Y222" s="257"/>
    </row>
    <row r="223" ht="18.75" customHeight="1">
      <c r="A223" s="241"/>
      <c r="B223" s="192"/>
      <c r="C223" s="193"/>
      <c r="D223" s="237"/>
      <c r="E223" s="237"/>
      <c r="F223" s="237"/>
      <c r="G223" s="237"/>
      <c r="H223" s="237"/>
      <c r="I223" s="192" t="s">
        <v>750</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37"/>
      <c r="T223" s="257"/>
      <c r="U223" s="257"/>
      <c r="V223" s="257"/>
      <c r="W223" s="257"/>
      <c r="X223" s="257"/>
      <c r="Y223" s="257"/>
    </row>
    <row r="224" ht="18.75" customHeight="1">
      <c r="A224" s="241"/>
      <c r="B224" s="192"/>
      <c r="C224" s="193"/>
      <c r="D224" s="237"/>
      <c r="E224" s="237"/>
      <c r="F224" s="237"/>
      <c r="G224" s="237"/>
      <c r="H224" s="237"/>
      <c r="I224" s="192" t="s">
        <v>750</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37"/>
      <c r="T224" s="257"/>
      <c r="U224" s="257"/>
      <c r="V224" s="257"/>
      <c r="W224" s="257"/>
      <c r="X224" s="257"/>
      <c r="Y224" s="257"/>
    </row>
    <row r="225" ht="18.75" customHeight="1">
      <c r="A225" s="241"/>
      <c r="B225" s="192"/>
      <c r="C225" s="193"/>
      <c r="D225" s="237"/>
      <c r="E225" s="237"/>
      <c r="F225" s="237"/>
      <c r="G225" s="237"/>
      <c r="H225" s="237"/>
      <c r="I225" s="192" t="s">
        <v>750</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37"/>
      <c r="T225" s="257"/>
      <c r="U225" s="257"/>
      <c r="V225" s="257"/>
      <c r="W225" s="257"/>
      <c r="X225" s="257"/>
      <c r="Y225" s="257"/>
    </row>
    <row r="226" ht="18.75" customHeight="1">
      <c r="A226" s="241"/>
      <c r="B226" s="192"/>
      <c r="C226" s="193"/>
      <c r="D226" s="237"/>
      <c r="E226" s="237"/>
      <c r="F226" s="237"/>
      <c r="G226" s="237"/>
      <c r="H226" s="237"/>
      <c r="I226" s="192" t="s">
        <v>750</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37"/>
      <c r="T226" s="257"/>
      <c r="U226" s="257"/>
      <c r="V226" s="257"/>
      <c r="W226" s="257"/>
      <c r="X226" s="257"/>
      <c r="Y226" s="257"/>
    </row>
    <row r="227" ht="18.75" customHeight="1">
      <c r="A227" s="241"/>
      <c r="B227" s="192"/>
      <c r="C227" s="193"/>
      <c r="D227" s="237"/>
      <c r="E227" s="237"/>
      <c r="F227" s="237"/>
      <c r="G227" s="237"/>
      <c r="H227" s="237"/>
      <c r="I227" s="192" t="s">
        <v>750</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37"/>
      <c r="T227" s="257"/>
      <c r="U227" s="257"/>
      <c r="V227" s="257"/>
      <c r="W227" s="257"/>
      <c r="X227" s="257"/>
      <c r="Y227" s="257"/>
    </row>
    <row r="228" ht="18.75" customHeight="1">
      <c r="A228" s="241"/>
      <c r="B228" s="192"/>
      <c r="C228" s="193"/>
      <c r="D228" s="237"/>
      <c r="E228" s="237"/>
      <c r="F228" s="237"/>
      <c r="G228" s="237"/>
      <c r="H228" s="237"/>
      <c r="I228" s="192" t="s">
        <v>750</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37"/>
      <c r="T228" s="257"/>
      <c r="U228" s="257"/>
      <c r="V228" s="257"/>
      <c r="W228" s="257"/>
      <c r="X228" s="257"/>
      <c r="Y228" s="257"/>
    </row>
    <row r="229" ht="18.75" customHeight="1">
      <c r="A229" s="241"/>
      <c r="B229" s="207" t="s">
        <v>647</v>
      </c>
      <c r="C229" s="207"/>
      <c r="D229" s="207"/>
      <c r="E229" s="207"/>
      <c r="F229" s="207"/>
      <c r="G229" s="207"/>
      <c r="H229" s="207"/>
      <c r="I229" s="207"/>
      <c r="J229" s="207"/>
      <c r="K229" s="207"/>
      <c r="L229" s="207"/>
      <c r="M229" s="207"/>
      <c r="N229" s="207"/>
      <c r="O229" s="207"/>
      <c r="P229" s="207"/>
      <c r="Q229" s="207"/>
      <c r="R229" s="207"/>
      <c r="S229" s="207"/>
      <c r="T229" s="259"/>
      <c r="U229" s="259"/>
      <c r="V229" s="259"/>
      <c r="W229" s="259"/>
      <c r="X229" s="259"/>
      <c r="Y229" s="259"/>
    </row>
  </sheetData>
  <autoFilter ref="$A$1:$V$229"/>
  <conditionalFormatting sqref="B6:Y6">
    <cfRule type="expression" dxfId="9" priority="1">
      <formula>B$6="Automatic"</formula>
    </cfRule>
  </conditionalFormatting>
  <conditionalFormatting sqref="B2:Y2 B6:Y6">
    <cfRule type="expression" dxfId="8" priority="2">
      <formula>B$6="Minimum Required"</formula>
    </cfRule>
  </conditionalFormatting>
  <conditionalFormatting sqref="B6:Y6">
    <cfRule type="expression" dxfId="10" priority="3">
      <formula>B$6="Recommended"</formula>
    </cfRule>
  </conditionalFormatting>
  <conditionalFormatting sqref="B6:Y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S3 X3:Y3">
      <formula1>Dropdowns!$AJ$4:$AJ$8</formula1>
    </dataValidation>
    <dataValidation type="list" allowBlank="1" showErrorMessage="1" sqref="T3:W3">
      <formula1>Dropdowns!$AJ$4:$AJ$8</formula1>
    </dataValidation>
    <dataValidation type="list" allowBlank="1" showErrorMessage="1" sqref="C9:C228">
      <formula1>Dropdowns!$AQ$4:$AQ$5</formula1>
    </dataValidation>
    <dataValidation type="list" allowBlank="1" showErrorMessage="1" sqref="I9:I228">
      <formula1>BEC_openBDF!$G$5:$G$154</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DAC9"/>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9" width="27.63"/>
    <col customWidth="1" min="10" max="13" width="15.13" outlineLevel="1"/>
    <col customWidth="1" min="14" max="17" width="27.63"/>
    <col customWidth="1" min="18" max="19" width="20.75"/>
    <col customWidth="1" min="20" max="20" width="13.38"/>
    <col customWidth="1" min="21" max="21" width="12.88"/>
    <col customWidth="1" min="22" max="22" width="13.38"/>
    <col customWidth="1" min="23" max="23" width="15.75"/>
    <col customWidth="1" min="24" max="24" width="12.5"/>
    <col customWidth="1" min="25" max="25" width="15.13"/>
  </cols>
  <sheetData>
    <row r="1" ht="60.0" customHeight="1">
      <c r="A1" s="218" t="s">
        <v>587</v>
      </c>
      <c r="B1" s="209" t="s">
        <v>679</v>
      </c>
      <c r="C1" s="161" t="s">
        <v>654</v>
      </c>
      <c r="D1" s="161" t="s">
        <v>649</v>
      </c>
      <c r="E1" s="161" t="s">
        <v>650</v>
      </c>
      <c r="F1" s="161" t="s">
        <v>651</v>
      </c>
      <c r="G1" s="161" t="s">
        <v>652</v>
      </c>
      <c r="H1" s="161" t="s">
        <v>680</v>
      </c>
      <c r="I1" s="219" t="s">
        <v>681</v>
      </c>
      <c r="J1" s="220" t="s">
        <v>682</v>
      </c>
      <c r="K1" s="221" t="s">
        <v>683</v>
      </c>
      <c r="L1" s="221" t="s">
        <v>684</v>
      </c>
      <c r="M1" s="221" t="s">
        <v>685</v>
      </c>
      <c r="N1" s="161" t="s">
        <v>653</v>
      </c>
      <c r="O1" s="219" t="s">
        <v>686</v>
      </c>
      <c r="P1" s="161" t="s">
        <v>589</v>
      </c>
      <c r="Q1" s="161" t="s">
        <v>590</v>
      </c>
      <c r="R1" s="161" t="s">
        <v>591</v>
      </c>
      <c r="S1" s="161" t="s">
        <v>592</v>
      </c>
      <c r="T1" s="162" t="s">
        <v>752</v>
      </c>
      <c r="U1" s="162" t="s">
        <v>753</v>
      </c>
      <c r="V1" s="164" t="s">
        <v>754</v>
      </c>
      <c r="W1" s="164" t="s">
        <v>755</v>
      </c>
      <c r="X1" s="162" t="s">
        <v>597</v>
      </c>
      <c r="Y1" s="162" t="s">
        <v>756</v>
      </c>
    </row>
    <row r="2" ht="90.0" customHeight="1">
      <c r="A2" s="218" t="s">
        <v>85</v>
      </c>
      <c r="B2" s="85" t="s">
        <v>695</v>
      </c>
      <c r="C2" s="85" t="s">
        <v>696</v>
      </c>
      <c r="D2" s="85" t="s">
        <v>657</v>
      </c>
      <c r="E2" s="85" t="s">
        <v>658</v>
      </c>
      <c r="F2" s="85" t="s">
        <v>659</v>
      </c>
      <c r="G2" s="85" t="s">
        <v>660</v>
      </c>
      <c r="H2" s="85" t="s">
        <v>697</v>
      </c>
      <c r="I2" s="85" t="s">
        <v>698</v>
      </c>
      <c r="J2" s="85" t="s">
        <v>699</v>
      </c>
      <c r="K2" s="85" t="s">
        <v>700</v>
      </c>
      <c r="L2" s="85" t="s">
        <v>701</v>
      </c>
      <c r="M2" s="85" t="s">
        <v>702</v>
      </c>
      <c r="N2" s="85" t="s">
        <v>661</v>
      </c>
      <c r="O2" s="85" t="s">
        <v>703</v>
      </c>
      <c r="P2" s="85" t="s">
        <v>604</v>
      </c>
      <c r="Q2" s="85" t="s">
        <v>605</v>
      </c>
      <c r="R2" s="85" t="s">
        <v>606</v>
      </c>
      <c r="S2" s="85" t="s">
        <v>607</v>
      </c>
      <c r="T2" s="223" t="s">
        <v>704</v>
      </c>
      <c r="U2" s="223" t="s">
        <v>705</v>
      </c>
      <c r="V2" s="223" t="s">
        <v>706</v>
      </c>
      <c r="W2" s="223" t="s">
        <v>707</v>
      </c>
      <c r="X2" s="85" t="s">
        <v>612</v>
      </c>
      <c r="Y2" s="85" t="s">
        <v>611</v>
      </c>
    </row>
    <row r="3" ht="30.0" customHeight="1">
      <c r="A3" s="182" t="s">
        <v>618</v>
      </c>
      <c r="B3" s="224" t="s">
        <v>153</v>
      </c>
      <c r="C3" s="224" t="s">
        <v>619</v>
      </c>
      <c r="D3" s="173" t="s">
        <v>107</v>
      </c>
      <c r="E3" s="173" t="s">
        <v>107</v>
      </c>
      <c r="F3" s="173" t="s">
        <v>107</v>
      </c>
      <c r="G3" s="173" t="s">
        <v>107</v>
      </c>
      <c r="H3" s="173" t="s">
        <v>107</v>
      </c>
      <c r="I3" s="173" t="s">
        <v>619</v>
      </c>
      <c r="J3" s="178"/>
      <c r="K3" s="178"/>
      <c r="L3" s="178"/>
      <c r="M3" s="178"/>
      <c r="N3" s="173" t="s">
        <v>107</v>
      </c>
      <c r="O3" s="173" t="s">
        <v>619</v>
      </c>
      <c r="P3" s="173" t="s">
        <v>107</v>
      </c>
      <c r="Q3" s="173" t="s">
        <v>619</v>
      </c>
      <c r="R3" s="173" t="s">
        <v>107</v>
      </c>
      <c r="S3" s="173" t="s">
        <v>107</v>
      </c>
      <c r="T3" s="173" t="s">
        <v>190</v>
      </c>
      <c r="U3" s="173" t="s">
        <v>190</v>
      </c>
      <c r="V3" s="175" t="s">
        <v>190</v>
      </c>
      <c r="W3" s="175" t="s">
        <v>190</v>
      </c>
      <c r="X3" s="173" t="s">
        <v>190</v>
      </c>
      <c r="Y3" s="173" t="s">
        <v>190</v>
      </c>
    </row>
    <row r="4" ht="18.75" customHeight="1">
      <c r="A4" s="225" t="s">
        <v>87</v>
      </c>
      <c r="B4" s="177" t="s">
        <v>191</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178" t="s">
        <v>191</v>
      </c>
      <c r="U4" s="178" t="s">
        <v>191</v>
      </c>
      <c r="V4" s="227" t="s">
        <v>191</v>
      </c>
      <c r="W4" s="227" t="s">
        <v>191</v>
      </c>
      <c r="X4" s="177" t="s">
        <v>191</v>
      </c>
      <c r="Y4" s="177" t="s">
        <v>191</v>
      </c>
    </row>
    <row r="5" ht="18.75" customHeight="1">
      <c r="A5" s="171" t="s">
        <v>620</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0" t="s">
        <v>155</v>
      </c>
      <c r="U5" s="180" t="s">
        <v>155</v>
      </c>
      <c r="V5" s="181" t="s">
        <v>155</v>
      </c>
      <c r="W5" s="181" t="s">
        <v>155</v>
      </c>
      <c r="X5" s="180" t="s">
        <v>622</v>
      </c>
      <c r="Y5" s="180" t="s">
        <v>621</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41</v>
      </c>
      <c r="P6" s="184" t="s">
        <v>37</v>
      </c>
      <c r="Q6" s="184" t="s">
        <v>39</v>
      </c>
      <c r="R6" s="184" t="s">
        <v>39</v>
      </c>
      <c r="S6" s="184" t="s">
        <v>41</v>
      </c>
      <c r="T6" s="184" t="s">
        <v>39</v>
      </c>
      <c r="U6" s="184" t="s">
        <v>39</v>
      </c>
      <c r="V6" s="229" t="s">
        <v>39</v>
      </c>
      <c r="W6" s="229" t="s">
        <v>39</v>
      </c>
      <c r="X6" s="184" t="s">
        <v>37</v>
      </c>
      <c r="Y6" s="229" t="s">
        <v>39</v>
      </c>
    </row>
    <row r="7" ht="90.0" customHeight="1">
      <c r="A7" s="182" t="s">
        <v>712</v>
      </c>
      <c r="B7" s="83" t="s">
        <v>713</v>
      </c>
      <c r="C7" s="83" t="s">
        <v>669</v>
      </c>
      <c r="D7" s="83" t="s">
        <v>664</v>
      </c>
      <c r="E7" s="83" t="s">
        <v>665</v>
      </c>
      <c r="F7" s="83" t="s">
        <v>666</v>
      </c>
      <c r="G7" s="83" t="s">
        <v>667</v>
      </c>
      <c r="H7" s="83" t="s">
        <v>757</v>
      </c>
      <c r="I7" s="83" t="s">
        <v>715</v>
      </c>
      <c r="J7" s="230" t="s">
        <v>716</v>
      </c>
      <c r="K7" s="230" t="s">
        <v>717</v>
      </c>
      <c r="L7" s="230" t="s">
        <v>718</v>
      </c>
      <c r="M7" s="230" t="s">
        <v>719</v>
      </c>
      <c r="N7" s="83" t="s">
        <v>668</v>
      </c>
      <c r="O7" s="83" t="s">
        <v>720</v>
      </c>
      <c r="P7" s="83" t="s">
        <v>626</v>
      </c>
      <c r="Q7" s="83" t="s">
        <v>627</v>
      </c>
      <c r="R7" s="83" t="s">
        <v>629</v>
      </c>
      <c r="S7" s="83" t="s">
        <v>629</v>
      </c>
      <c r="T7" s="83" t="s">
        <v>722</v>
      </c>
      <c r="U7" s="83" t="s">
        <v>722</v>
      </c>
      <c r="V7" s="83" t="s">
        <v>722</v>
      </c>
      <c r="W7" s="83" t="s">
        <v>722</v>
      </c>
      <c r="X7" s="83" t="s">
        <v>723</v>
      </c>
      <c r="Y7" s="83" t="s">
        <v>724</v>
      </c>
    </row>
    <row r="8" ht="18.75" customHeight="1">
      <c r="A8" s="182" t="s">
        <v>84</v>
      </c>
      <c r="B8" s="185" t="s">
        <v>728</v>
      </c>
      <c r="C8" s="185" t="s">
        <v>729</v>
      </c>
      <c r="D8" s="185" t="s">
        <v>670</v>
      </c>
      <c r="E8" s="185" t="s">
        <v>671</v>
      </c>
      <c r="F8" s="185" t="s">
        <v>672</v>
      </c>
      <c r="G8" s="185" t="s">
        <v>673</v>
      </c>
      <c r="H8" s="185" t="s">
        <v>730</v>
      </c>
      <c r="I8" s="185" t="s">
        <v>731</v>
      </c>
      <c r="J8" s="185" t="s">
        <v>732</v>
      </c>
      <c r="K8" s="185" t="s">
        <v>733</v>
      </c>
      <c r="L8" s="185" t="s">
        <v>734</v>
      </c>
      <c r="M8" s="185" t="s">
        <v>735</v>
      </c>
      <c r="N8" s="185" t="s">
        <v>674</v>
      </c>
      <c r="O8" s="186" t="s">
        <v>736</v>
      </c>
      <c r="P8" s="186" t="s">
        <v>637</v>
      </c>
      <c r="Q8" s="186" t="s">
        <v>638</v>
      </c>
      <c r="R8" s="186" t="s">
        <v>737</v>
      </c>
      <c r="S8" s="186" t="s">
        <v>737</v>
      </c>
      <c r="T8" s="186" t="s">
        <v>740</v>
      </c>
      <c r="U8" s="186" t="s">
        <v>741</v>
      </c>
      <c r="V8" s="231" t="s">
        <v>742</v>
      </c>
      <c r="W8" s="231" t="s">
        <v>743</v>
      </c>
      <c r="X8" s="186" t="s">
        <v>744</v>
      </c>
      <c r="Y8" s="186" t="s">
        <v>641</v>
      </c>
    </row>
    <row r="9" ht="18.75" customHeight="1">
      <c r="A9" s="232"/>
      <c r="B9" s="192"/>
      <c r="C9" s="193" t="s">
        <v>758</v>
      </c>
      <c r="D9" s="193" t="s">
        <v>759</v>
      </c>
      <c r="E9" s="193" t="s">
        <v>760</v>
      </c>
      <c r="F9" s="193" t="s">
        <v>761</v>
      </c>
      <c r="G9" s="233"/>
      <c r="H9" s="233"/>
      <c r="I9" s="193" t="s">
        <v>676</v>
      </c>
      <c r="J9" s="234" t="str">
        <f>IFERROR(__xludf.DUMMYFUNCTION("IF(
  $I9="""",
  """",
  IF(
    COLUMN()-9 &gt;
    (1 + LEN(REGEXEXTRACT($I9,""^[0-9.]+"")) - LEN(SUBSTITUTE(REGEXEXTRACT($I9,""^[0-9.]+""),""."",""""))),
    """",
    INDEX(
      BEC_openBDF!$A:$D,
      MATCH(
        $I9,
        INDEX(
          BEC"&amp;"_openBDF!$A:$D,
          0,
          (1 + LEN(REGEXEXTRACT($I9,""^[0-9.]+"")) - LEN(SUBSTITUTE(REGEXEXTRACT($I9,""^[0-9.]+""),""."","""")))
        ),
        0
      ),
      COLUMN()-9
    )
  )
)"),"1 Sub-structure")</f>
        <v>1 Sub-structure</v>
      </c>
      <c r="K9" s="234" t="str">
        <f>IFERROR(__xludf.DUMMYFUNCTION("IF(
  $I9="""",
  """",
  IF(
    COLUMN()-9 &gt;
    (1 + LEN(REGEXEXTRACT($I9,""^[0-9.]+"")) - LEN(SUBSTITUTE(REGEXEXTRACT($I9,""^[0-9.]+""),""."",""""))),
    """",
    INDEX(
      BEC_openBDF!$A:$D,
      MATCH(
        $I9,
        INDEX(
          BEC"&amp;"_openBDF!$A:$D,
          0,
          (1 + LEN(REGEXEXTRACT($I9,""^[0-9.]+"")) - LEN(SUBSTITUTE(REGEXEXTRACT($I9,""^[0-9.]+""),""."","""")))
        ),
        0
      ),
      COLUMN()-9
    )
  )
)"),"1.1 Foundations and piling")</f>
        <v>1.1 Foundations and piling</v>
      </c>
      <c r="L9" s="234" t="str">
        <f>IFERROR(__xludf.DUMMYFUNCTION("IF(
  $I9="""",
  """",
  IF(
    COLUMN()-9 &gt;
    (1 + LEN(REGEXEXTRACT($I9,""^[0-9.]+"")) - LEN(SUBSTITUTE(REGEXEXTRACT($I9,""^[0-9.]+""),""."",""""))),
    """",
    INDEX(
      BEC_openBDF!$A:$D,
      MATCH(
        $I9,
        INDEX(
          BEC"&amp;"_openBDF!$A:$D,
          0,
          (1 + LEN(REGEXEXTRACT($I9,""^[0-9.]+"")) - LEN(SUBSTITUTE(REGEXEXTRACT($I9,""^[0-9.]+""),""."","""")))
        ),
        0
      ),
      COLUMN()-9
    )
  )
)"),"")</f>
        <v/>
      </c>
      <c r="M9" s="234" t="str">
        <f>IFERROR(__xludf.DUMMYFUNCTION("IF(
  $I9="""",
  """",
  IF(
    COLUMN()-9 &gt;
    (1 + LEN(REGEXEXTRACT($I9,""^[0-9.]+"")) - LEN(SUBSTITUTE(REGEXEXTRACT($I9,""^[0-9.]+""),""."",""""))),
    """",
    INDEX(
      BEC_openBDF!$A:$D,
      MATCH(
        $I9,
        INDEX(
          BEC"&amp;"_openBDF!$A:$D,
          0,
          (1 + LEN(REGEXEXTRACT($I9,""^[0-9.]+"")) - LEN(SUBSTITUTE(REGEXEXTRACT($I9,""^[0-9.]+""),""."","""")))
        ),
        0
      ),
      COLUMN()-9
    )
  )
)"),"")</f>
        <v/>
      </c>
      <c r="N9" s="190" t="s">
        <v>762</v>
      </c>
      <c r="O9" s="193"/>
      <c r="P9" s="190" t="s">
        <v>763</v>
      </c>
      <c r="Q9" s="236" t="s">
        <v>764</v>
      </c>
      <c r="R9" s="236" t="s">
        <v>765</v>
      </c>
      <c r="S9" s="260" t="s">
        <v>766</v>
      </c>
      <c r="T9" s="261">
        <v>9.992558759E9</v>
      </c>
      <c r="U9" s="261">
        <v>3.33085292E8</v>
      </c>
      <c r="V9" s="262"/>
      <c r="W9" s="262"/>
      <c r="X9" s="261">
        <v>1.66542646E8</v>
      </c>
      <c r="Y9" s="235"/>
    </row>
    <row r="10" ht="18.75" customHeight="1">
      <c r="A10" s="232"/>
      <c r="B10" s="192"/>
      <c r="C10" s="193" t="s">
        <v>758</v>
      </c>
      <c r="D10" s="192" t="s">
        <v>759</v>
      </c>
      <c r="E10" s="192" t="s">
        <v>760</v>
      </c>
      <c r="F10" s="192" t="s">
        <v>761</v>
      </c>
      <c r="G10" s="237"/>
      <c r="H10" s="237"/>
      <c r="I10" s="193" t="s">
        <v>676</v>
      </c>
      <c r="J10" s="234" t="str">
        <f>IFERROR(__xludf.DUMMYFUNCTION("IF(
  $I10="""",
  """",
  IF(
    COLUMN()-9 &gt;
    (1 + LEN(REGEXEXTRACT($I10,""^[0-9.]+"")) - LEN(SUBSTITUTE(REGEXEXTRACT($I10,""^[0-9.]+""),""."",""""))),
    """",
    INDEX(
      BEC_openBDF!$A:$D,
      MATCH(
        $I10,
        INDEX(
         "&amp;" BEC_openBDF!$A:$D,
          0,
          (1 + LEN(REGEXEXTRACT($I10,""^[0-9.]+"")) - LEN(SUBSTITUTE(REGEXEXTRACT($I10,""^[0-9.]+""),""."","""")))
        ),
        0
      ),
      COLUMN()-9
    )
  )
)"),"1 Sub-structure")</f>
        <v>1 Sub-structure</v>
      </c>
      <c r="K10" s="234" t="str">
        <f>IFERROR(__xludf.DUMMYFUNCTION("IF(
  $I10="""",
  """",
  IF(
    COLUMN()-9 &gt;
    (1 + LEN(REGEXEXTRACT($I10,""^[0-9.]+"")) - LEN(SUBSTITUTE(REGEXEXTRACT($I10,""^[0-9.]+""),""."",""""))),
    """",
    INDEX(
      BEC_openBDF!$A:$D,
      MATCH(
        $I10,
        INDEX(
         "&amp;" BEC_openBDF!$A:$D,
          0,
          (1 + LEN(REGEXEXTRACT($I10,""^[0-9.]+"")) - LEN(SUBSTITUTE(REGEXEXTRACT($I10,""^[0-9.]+""),""."","""")))
        ),
        0
      ),
      COLUMN()-9
    )
  )
)"),"1.1 Foundations and piling")</f>
        <v>1.1 Foundations and piling</v>
      </c>
      <c r="L10" s="234" t="str">
        <f>IFERROR(__xludf.DUMMYFUNCTION("IF(
  $I10="""",
  """",
  IF(
    COLUMN()-9 &gt;
    (1 + LEN(REGEXEXTRACT($I10,""^[0-9.]+"")) - LEN(SUBSTITUTE(REGEXEXTRACT($I10,""^[0-9.]+""),""."",""""))),
    """",
    INDEX(
      BEC_openBDF!$A:$D,
      MATCH(
        $I10,
        INDEX(
         "&amp;" BEC_openBDF!$A:$D,
          0,
          (1 + LEN(REGEXEXTRACT($I10,""^[0-9.]+"")) - LEN(SUBSTITUTE(REGEXEXTRACT($I10,""^[0-9.]+""),""."","""")))
        ),
        0
      ),
      COLUMN()-9
    )
  )
)"),"")</f>
        <v/>
      </c>
      <c r="M10" s="234" t="str">
        <f>IFERROR(__xludf.DUMMYFUNCTION("IF(
  $I10="""",
  """",
  IF(
    COLUMN()-9 &gt;
    (1 + LEN(REGEXEXTRACT($I10,""^[0-9.]+"")) - LEN(SUBSTITUTE(REGEXEXTRACT($I10,""^[0-9.]+""),""."",""""))),
    """",
    INDEX(
      BEC_openBDF!$A:$D,
      MATCH(
        $I10,
        INDEX(
         "&amp;" BEC_openBDF!$A:$D,
          0,
          (1 + LEN(REGEXEXTRACT($I10,""^[0-9.]+"")) - LEN(SUBSTITUTE(REGEXEXTRACT($I10,""^[0-9.]+""),""."","""")))
        ),
        0
      ),
      COLUMN()-9
    )
  )
)"),"")</f>
        <v/>
      </c>
      <c r="N10" s="197" t="s">
        <v>762</v>
      </c>
      <c r="O10" s="193"/>
      <c r="P10" s="197" t="s">
        <v>767</v>
      </c>
      <c r="Q10" s="255" t="s">
        <v>768</v>
      </c>
      <c r="R10" s="255" t="s">
        <v>765</v>
      </c>
      <c r="S10" s="263" t="s">
        <v>769</v>
      </c>
      <c r="T10" s="240">
        <v>3.33085292E8</v>
      </c>
      <c r="U10" s="240">
        <v>3.33085292E8</v>
      </c>
      <c r="V10" s="257"/>
      <c r="W10" s="257"/>
      <c r="X10" s="240">
        <v>5.44034801E8</v>
      </c>
      <c r="Y10" s="238"/>
    </row>
    <row r="11" ht="18.75" customHeight="1">
      <c r="A11" s="232"/>
      <c r="B11" s="192"/>
      <c r="C11" s="193" t="s">
        <v>758</v>
      </c>
      <c r="D11" s="192" t="s">
        <v>759</v>
      </c>
      <c r="E11" s="192" t="s">
        <v>760</v>
      </c>
      <c r="F11" s="192" t="s">
        <v>761</v>
      </c>
      <c r="G11" s="237"/>
      <c r="H11" s="237"/>
      <c r="I11" s="193" t="s">
        <v>676</v>
      </c>
      <c r="J11" s="234" t="str">
        <f>IFERROR(__xludf.DUMMYFUNCTION("IF(
  $I11="""",
  """",
  IF(
    COLUMN()-9 &gt;
    (1 + LEN(REGEXEXTRACT($I11,""^[0-9.]+"")) - LEN(SUBSTITUTE(REGEXEXTRACT($I11,""^[0-9.]+""),""."",""""))),
    """",
    INDEX(
      BEC_openBDF!$A:$D,
      MATCH(
        $I11,
        INDEX(
         "&amp;" BEC_openBDF!$A:$D,
          0,
          (1 + LEN(REGEXEXTRACT($I11,""^[0-9.]+"")) - LEN(SUBSTITUTE(REGEXEXTRACT($I11,""^[0-9.]+""),""."","""")))
        ),
        0
      ),
      COLUMN()-9
    )
  )
)"),"1 Sub-structure")</f>
        <v>1 Sub-structure</v>
      </c>
      <c r="K11" s="234" t="str">
        <f>IFERROR(__xludf.DUMMYFUNCTION("IF(
  $I11="""",
  """",
  IF(
    COLUMN()-9 &gt;
    (1 + LEN(REGEXEXTRACT($I11,""^[0-9.]+"")) - LEN(SUBSTITUTE(REGEXEXTRACT($I11,""^[0-9.]+""),""."",""""))),
    """",
    INDEX(
      BEC_openBDF!$A:$D,
      MATCH(
        $I11,
        INDEX(
         "&amp;" BEC_openBDF!$A:$D,
          0,
          (1 + LEN(REGEXEXTRACT($I11,""^[0-9.]+"")) - LEN(SUBSTITUTE(REGEXEXTRACT($I11,""^[0-9.]+""),""."","""")))
        ),
        0
      ),
      COLUMN()-9
    )
  )
)"),"1.1 Foundations and piling")</f>
        <v>1.1 Foundations and piling</v>
      </c>
      <c r="L11" s="234" t="str">
        <f>IFERROR(__xludf.DUMMYFUNCTION("IF(
  $I11="""",
  """",
  IF(
    COLUMN()-9 &gt;
    (1 + LEN(REGEXEXTRACT($I11,""^[0-9.]+"")) - LEN(SUBSTITUTE(REGEXEXTRACT($I11,""^[0-9.]+""),""."",""""))),
    """",
    INDEX(
      BEC_openBDF!$A:$D,
      MATCH(
        $I11,
        INDEX(
         "&amp;" BEC_openBDF!$A:$D,
          0,
          (1 + LEN(REGEXEXTRACT($I11,""^[0-9.]+"")) - LEN(SUBSTITUTE(REGEXEXTRACT($I11,""^[0-9.]+""),""."","""")))
        ),
        0
      ),
      COLUMN()-9
    )
  )
)"),"")</f>
        <v/>
      </c>
      <c r="M11" s="234" t="str">
        <f>IFERROR(__xludf.DUMMYFUNCTION("IF(
  $I11="""",
  """",
  IF(
    COLUMN()-9 &gt;
    (1 + LEN(REGEXEXTRACT($I11,""^[0-9.]+"")) - LEN(SUBSTITUTE(REGEXEXTRACT($I11,""^[0-9.]+""),""."",""""))),
    """",
    INDEX(
      BEC_openBDF!$A:$D,
      MATCH(
        $I11,
        INDEX(
         "&amp;" BEC_openBDF!$A:$D,
          0,
          (1 + LEN(REGEXEXTRACT($I11,""^[0-9.]+"")) - LEN(SUBSTITUTE(REGEXEXTRACT($I11,""^[0-9.]+""),""."","""")))
        ),
        0
      ),
      COLUMN()-9
    )
  )
)"),"")</f>
        <v/>
      </c>
      <c r="N11" s="197" t="s">
        <v>762</v>
      </c>
      <c r="O11" s="193"/>
      <c r="P11" s="197" t="s">
        <v>770</v>
      </c>
      <c r="Q11" s="255" t="s">
        <v>771</v>
      </c>
      <c r="R11" s="255" t="s">
        <v>765</v>
      </c>
      <c r="S11" s="263" t="s">
        <v>772</v>
      </c>
      <c r="T11" s="240">
        <v>3.33085292E8</v>
      </c>
      <c r="U11" s="240">
        <v>3.33085292E8</v>
      </c>
      <c r="V11" s="257"/>
      <c r="W11" s="257"/>
      <c r="X11" s="240">
        <v>5.579844113E9</v>
      </c>
      <c r="Y11" s="238"/>
    </row>
    <row r="12" ht="18.75" customHeight="1">
      <c r="A12" s="232"/>
      <c r="B12" s="192"/>
      <c r="C12" s="193" t="s">
        <v>758</v>
      </c>
      <c r="D12" s="192" t="s">
        <v>759</v>
      </c>
      <c r="E12" s="192" t="s">
        <v>760</v>
      </c>
      <c r="F12" s="192" t="s">
        <v>761</v>
      </c>
      <c r="G12" s="237"/>
      <c r="H12" s="237"/>
      <c r="I12" s="193" t="s">
        <v>676</v>
      </c>
      <c r="J12" s="234" t="str">
        <f>IFERROR(__xludf.DUMMYFUNCTION("IF(
  $I12="""",
  """",
  IF(
    COLUMN()-9 &gt;
    (1 + LEN(REGEXEXTRACT($I12,""^[0-9.]+"")) - LEN(SUBSTITUTE(REGEXEXTRACT($I12,""^[0-9.]+""),""."",""""))),
    """",
    INDEX(
      BEC_openBDF!$A:$D,
      MATCH(
        $I12,
        INDEX(
         "&amp;" BEC_openBDF!$A:$D,
          0,
          (1 + LEN(REGEXEXTRACT($I12,""^[0-9.]+"")) - LEN(SUBSTITUTE(REGEXEXTRACT($I12,""^[0-9.]+""),""."","""")))
        ),
        0
      ),
      COLUMN()-9
    )
  )
)"),"1 Sub-structure")</f>
        <v>1 Sub-structure</v>
      </c>
      <c r="K12" s="234" t="str">
        <f>IFERROR(__xludf.DUMMYFUNCTION("IF(
  $I12="""",
  """",
  IF(
    COLUMN()-9 &gt;
    (1 + LEN(REGEXEXTRACT($I12,""^[0-9.]+"")) - LEN(SUBSTITUTE(REGEXEXTRACT($I12,""^[0-9.]+""),""."",""""))),
    """",
    INDEX(
      BEC_openBDF!$A:$D,
      MATCH(
        $I12,
        INDEX(
         "&amp;" BEC_openBDF!$A:$D,
          0,
          (1 + LEN(REGEXEXTRACT($I12,""^[0-9.]+"")) - LEN(SUBSTITUTE(REGEXEXTRACT($I12,""^[0-9.]+""),""."","""")))
        ),
        0
      ),
      COLUMN()-9
    )
  )
)"),"1.1 Foundations and piling")</f>
        <v>1.1 Foundations and piling</v>
      </c>
      <c r="L12" s="234" t="str">
        <f>IFERROR(__xludf.DUMMYFUNCTION("IF(
  $I12="""",
  """",
  IF(
    COLUMN()-9 &gt;
    (1 + LEN(REGEXEXTRACT($I12,""^[0-9.]+"")) - LEN(SUBSTITUTE(REGEXEXTRACT($I12,""^[0-9.]+""),""."",""""))),
    """",
    INDEX(
      BEC_openBDF!$A:$D,
      MATCH(
        $I12,
        INDEX(
         "&amp;" BEC_openBDF!$A:$D,
          0,
          (1 + LEN(REGEXEXTRACT($I12,""^[0-9.]+"")) - LEN(SUBSTITUTE(REGEXEXTRACT($I12,""^[0-9.]+""),""."","""")))
        ),
        0
      ),
      COLUMN()-9
    )
  )
)"),"")</f>
        <v/>
      </c>
      <c r="M12" s="234" t="str">
        <f>IFERROR(__xludf.DUMMYFUNCTION("IF(
  $I12="""",
  """",
  IF(
    COLUMN()-9 &gt;
    (1 + LEN(REGEXEXTRACT($I12,""^[0-9.]+"")) - LEN(SUBSTITUTE(REGEXEXTRACT($I12,""^[0-9.]+""),""."",""""))),
    """",
    INDEX(
      BEC_openBDF!$A:$D,
      MATCH(
        $I12,
        INDEX(
         "&amp;" BEC_openBDF!$A:$D,
          0,
          (1 + LEN(REGEXEXTRACT($I12,""^[0-9.]+"")) - LEN(SUBSTITUTE(REGEXEXTRACT($I12,""^[0-9.]+""),""."","""")))
        ),
        0
      ),
      COLUMN()-9
    )
  )
)"),"")</f>
        <v/>
      </c>
      <c r="N12" s="197" t="s">
        <v>762</v>
      </c>
      <c r="O12" s="193"/>
      <c r="P12" s="197" t="s">
        <v>773</v>
      </c>
      <c r="Q12" s="255" t="s">
        <v>774</v>
      </c>
      <c r="R12" s="255" t="s">
        <v>765</v>
      </c>
      <c r="S12" s="263" t="s">
        <v>775</v>
      </c>
      <c r="T12" s="240">
        <v>3.997023504E9</v>
      </c>
      <c r="U12" s="240">
        <v>3.33085292E8</v>
      </c>
      <c r="V12" s="257"/>
      <c r="W12" s="257"/>
      <c r="X12" s="240">
        <v>8.493648383E9</v>
      </c>
      <c r="Y12" s="238"/>
    </row>
    <row r="13" ht="18.75" customHeight="1">
      <c r="A13" s="232"/>
      <c r="B13" s="192"/>
      <c r="C13" s="193" t="s">
        <v>758</v>
      </c>
      <c r="D13" s="192" t="s">
        <v>759</v>
      </c>
      <c r="E13" s="192" t="s">
        <v>760</v>
      </c>
      <c r="F13" s="192" t="s">
        <v>761</v>
      </c>
      <c r="G13" s="237"/>
      <c r="H13" s="237"/>
      <c r="I13" s="193" t="s">
        <v>676</v>
      </c>
      <c r="J13" s="234" t="str">
        <f>IFERROR(__xludf.DUMMYFUNCTION("IF(
  $I13="""",
  """",
  IF(
    COLUMN()-9 &gt;
    (1 + LEN(REGEXEXTRACT($I13,""^[0-9.]+"")) - LEN(SUBSTITUTE(REGEXEXTRACT($I13,""^[0-9.]+""),""."",""""))),
    """",
    INDEX(
      BEC_openBDF!$A:$D,
      MATCH(
        $I13,
        INDEX(
         "&amp;" BEC_openBDF!$A:$D,
          0,
          (1 + LEN(REGEXEXTRACT($I13,""^[0-9.]+"")) - LEN(SUBSTITUTE(REGEXEXTRACT($I13,""^[0-9.]+""),""."","""")))
        ),
        0
      ),
      COLUMN()-9
    )
  )
)"),"1 Sub-structure")</f>
        <v>1 Sub-structure</v>
      </c>
      <c r="K13" s="234" t="str">
        <f>IFERROR(__xludf.DUMMYFUNCTION("IF(
  $I13="""",
  """",
  IF(
    COLUMN()-9 &gt;
    (1 + LEN(REGEXEXTRACT($I13,""^[0-9.]+"")) - LEN(SUBSTITUTE(REGEXEXTRACT($I13,""^[0-9.]+""),""."",""""))),
    """",
    INDEX(
      BEC_openBDF!$A:$D,
      MATCH(
        $I13,
        INDEX(
         "&amp;" BEC_openBDF!$A:$D,
          0,
          (1 + LEN(REGEXEXTRACT($I13,""^[0-9.]+"")) - LEN(SUBSTITUTE(REGEXEXTRACT($I13,""^[0-9.]+""),""."","""")))
        ),
        0
      ),
      COLUMN()-9
    )
  )
)"),"1.1 Foundations and piling")</f>
        <v>1.1 Foundations and piling</v>
      </c>
      <c r="L13" s="234" t="str">
        <f>IFERROR(__xludf.DUMMYFUNCTION("IF(
  $I13="""",
  """",
  IF(
    COLUMN()-9 &gt;
    (1 + LEN(REGEXEXTRACT($I13,""^[0-9.]+"")) - LEN(SUBSTITUTE(REGEXEXTRACT($I13,""^[0-9.]+""),""."",""""))),
    """",
    INDEX(
      BEC_openBDF!$A:$D,
      MATCH(
        $I13,
        INDEX(
         "&amp;" BEC_openBDF!$A:$D,
          0,
          (1 + LEN(REGEXEXTRACT($I13,""^[0-9.]+"")) - LEN(SUBSTITUTE(REGEXEXTRACT($I13,""^[0-9.]+""),""."","""")))
        ),
        0
      ),
      COLUMN()-9
    )
  )
)"),"")</f>
        <v/>
      </c>
      <c r="M13" s="234" t="str">
        <f>IFERROR(__xludf.DUMMYFUNCTION("IF(
  $I13="""",
  """",
  IF(
    COLUMN()-9 &gt;
    (1 + LEN(REGEXEXTRACT($I13,""^[0-9.]+"")) - LEN(SUBSTITUTE(REGEXEXTRACT($I13,""^[0-9.]+""),""."",""""))),
    """",
    INDEX(
      BEC_openBDF!$A:$D,
      MATCH(
        $I13,
        INDEX(
         "&amp;" BEC_openBDF!$A:$D,
          0,
          (1 + LEN(REGEXEXTRACT($I13,""^[0-9.]+"")) - LEN(SUBSTITUTE(REGEXEXTRACT($I13,""^[0-9.]+""),""."","""")))
        ),
        0
      ),
      COLUMN()-9
    )
  )
)"),"")</f>
        <v/>
      </c>
      <c r="N13" s="197" t="s">
        <v>762</v>
      </c>
      <c r="O13" s="193"/>
      <c r="P13" s="197" t="s">
        <v>776</v>
      </c>
      <c r="Q13" s="255" t="s">
        <v>777</v>
      </c>
      <c r="R13" s="255" t="s">
        <v>765</v>
      </c>
      <c r="S13" s="263" t="s">
        <v>778</v>
      </c>
      <c r="T13" s="240">
        <v>1.958541517E9</v>
      </c>
      <c r="U13" s="240">
        <v>3.33085292E8</v>
      </c>
      <c r="V13" s="257"/>
      <c r="W13" s="257"/>
      <c r="X13" s="240">
        <v>5.595815405E9</v>
      </c>
      <c r="Y13" s="238"/>
    </row>
    <row r="14" ht="18.75" customHeight="1">
      <c r="A14" s="239"/>
      <c r="B14" s="192"/>
      <c r="C14" s="193" t="s">
        <v>758</v>
      </c>
      <c r="D14" s="192" t="s">
        <v>759</v>
      </c>
      <c r="E14" s="192" t="s">
        <v>760</v>
      </c>
      <c r="F14" s="192" t="s">
        <v>761</v>
      </c>
      <c r="G14" s="237"/>
      <c r="H14" s="237"/>
      <c r="I14" s="193" t="s">
        <v>676</v>
      </c>
      <c r="J14" s="234" t="str">
        <f>IFERROR(__xludf.DUMMYFUNCTION("IF(
  $I14="""",
  """",
  IF(
    COLUMN()-9 &gt;
    (1 + LEN(REGEXEXTRACT($I14,""^[0-9.]+"")) - LEN(SUBSTITUTE(REGEXEXTRACT($I14,""^[0-9.]+""),""."",""""))),
    """",
    INDEX(
      BEC_openBDF!$A:$D,
      MATCH(
        $I14,
        INDEX(
         "&amp;" BEC_openBDF!$A:$D,
          0,
          (1 + LEN(REGEXEXTRACT($I14,""^[0-9.]+"")) - LEN(SUBSTITUTE(REGEXEXTRACT($I14,""^[0-9.]+""),""."","""")))
        ),
        0
      ),
      COLUMN()-9
    )
  )
)"),"1 Sub-structure")</f>
        <v>1 Sub-structure</v>
      </c>
      <c r="K14" s="234" t="str">
        <f>IFERROR(__xludf.DUMMYFUNCTION("IF(
  $I14="""",
  """",
  IF(
    COLUMN()-9 &gt;
    (1 + LEN(REGEXEXTRACT($I14,""^[0-9.]+"")) - LEN(SUBSTITUTE(REGEXEXTRACT($I14,""^[0-9.]+""),""."",""""))),
    """",
    INDEX(
      BEC_openBDF!$A:$D,
      MATCH(
        $I14,
        INDEX(
         "&amp;" BEC_openBDF!$A:$D,
          0,
          (1 + LEN(REGEXEXTRACT($I14,""^[0-9.]+"")) - LEN(SUBSTITUTE(REGEXEXTRACT($I14,""^[0-9.]+""),""."","""")))
        ),
        0
      ),
      COLUMN()-9
    )
  )
)"),"1.1 Foundations and piling")</f>
        <v>1.1 Foundations and piling</v>
      </c>
      <c r="L14" s="234" t="str">
        <f>IFERROR(__xludf.DUMMYFUNCTION("IF(
  $I14="""",
  """",
  IF(
    COLUMN()-9 &gt;
    (1 + LEN(REGEXEXTRACT($I14,""^[0-9.]+"")) - LEN(SUBSTITUTE(REGEXEXTRACT($I14,""^[0-9.]+""),""."",""""))),
    """",
    INDEX(
      BEC_openBDF!$A:$D,
      MATCH(
        $I14,
        INDEX(
         "&amp;" BEC_openBDF!$A:$D,
          0,
          (1 + LEN(REGEXEXTRACT($I14,""^[0-9.]+"")) - LEN(SUBSTITUTE(REGEXEXTRACT($I14,""^[0-9.]+""),""."","""")))
        ),
        0
      ),
      COLUMN()-9
    )
  )
)"),"")</f>
        <v/>
      </c>
      <c r="M14" s="234" t="str">
        <f>IFERROR(__xludf.DUMMYFUNCTION("IF(
  $I14="""",
  """",
  IF(
    COLUMN()-9 &gt;
    (1 + LEN(REGEXEXTRACT($I14,""^[0-9.]+"")) - LEN(SUBSTITUTE(REGEXEXTRACT($I14,""^[0-9.]+""),""."",""""))),
    """",
    INDEX(
      BEC_openBDF!$A:$D,
      MATCH(
        $I14,
        INDEX(
         "&amp;" BEC_openBDF!$A:$D,
          0,
          (1 + LEN(REGEXEXTRACT($I14,""^[0-9.]+"")) - LEN(SUBSTITUTE(REGEXEXTRACT($I14,""^[0-9.]+""),""."","""")))
        ),
        0
      ),
      COLUMN()-9
    )
  )
)"),"")</f>
        <v/>
      </c>
      <c r="N14" s="197" t="s">
        <v>762</v>
      </c>
      <c r="O14" s="193"/>
      <c r="P14" s="197" t="s">
        <v>779</v>
      </c>
      <c r="Q14" s="255" t="s">
        <v>780</v>
      </c>
      <c r="R14" s="255" t="s">
        <v>765</v>
      </c>
      <c r="S14" s="263" t="s">
        <v>781</v>
      </c>
      <c r="T14" s="240">
        <v>2.997767628E9</v>
      </c>
      <c r="U14" s="240">
        <v>3.33085292E8</v>
      </c>
      <c r="V14" s="257"/>
      <c r="W14" s="257"/>
      <c r="X14" s="240">
        <v>3.10343243E8</v>
      </c>
      <c r="Y14" s="238"/>
    </row>
    <row r="15" ht="18.75" customHeight="1">
      <c r="A15" s="232"/>
      <c r="B15" s="192"/>
      <c r="C15" s="193" t="s">
        <v>758</v>
      </c>
      <c r="D15" s="192" t="s">
        <v>759</v>
      </c>
      <c r="E15" s="192" t="s">
        <v>760</v>
      </c>
      <c r="F15" s="192" t="s">
        <v>761</v>
      </c>
      <c r="G15" s="237"/>
      <c r="H15" s="237"/>
      <c r="I15" s="193" t="s">
        <v>676</v>
      </c>
      <c r="J15" s="234" t="str">
        <f>IFERROR(__xludf.DUMMYFUNCTION("IF(
  $I15="""",
  """",
  IF(
    COLUMN()-9 &gt;
    (1 + LEN(REGEXEXTRACT($I15,""^[0-9.]+"")) - LEN(SUBSTITUTE(REGEXEXTRACT($I15,""^[0-9.]+""),""."",""""))),
    """",
    INDEX(
      BEC_openBDF!$A:$D,
      MATCH(
        $I15,
        INDEX(
         "&amp;" BEC_openBDF!$A:$D,
          0,
          (1 + LEN(REGEXEXTRACT($I15,""^[0-9.]+"")) - LEN(SUBSTITUTE(REGEXEXTRACT($I15,""^[0-9.]+""),""."","""")))
        ),
        0
      ),
      COLUMN()-9
    )
  )
)"),"1 Sub-structure")</f>
        <v>1 Sub-structure</v>
      </c>
      <c r="K15" s="234" t="str">
        <f>IFERROR(__xludf.DUMMYFUNCTION("IF(
  $I15="""",
  """",
  IF(
    COLUMN()-9 &gt;
    (1 + LEN(REGEXEXTRACT($I15,""^[0-9.]+"")) - LEN(SUBSTITUTE(REGEXEXTRACT($I15,""^[0-9.]+""),""."",""""))),
    """",
    INDEX(
      BEC_openBDF!$A:$D,
      MATCH(
        $I15,
        INDEX(
         "&amp;" BEC_openBDF!$A:$D,
          0,
          (1 + LEN(REGEXEXTRACT($I15,""^[0-9.]+"")) - LEN(SUBSTITUTE(REGEXEXTRACT($I15,""^[0-9.]+""),""."","""")))
        ),
        0
      ),
      COLUMN()-9
    )
  )
)"),"1.1 Foundations and piling")</f>
        <v>1.1 Foundations and piling</v>
      </c>
      <c r="L15" s="234" t="str">
        <f>IFERROR(__xludf.DUMMYFUNCTION("IF(
  $I15="""",
  """",
  IF(
    COLUMN()-9 &gt;
    (1 + LEN(REGEXEXTRACT($I15,""^[0-9.]+"")) - LEN(SUBSTITUTE(REGEXEXTRACT($I15,""^[0-9.]+""),""."",""""))),
    """",
    INDEX(
      BEC_openBDF!$A:$D,
      MATCH(
        $I15,
        INDEX(
         "&amp;" BEC_openBDF!$A:$D,
          0,
          (1 + LEN(REGEXEXTRACT($I15,""^[0-9.]+"")) - LEN(SUBSTITUTE(REGEXEXTRACT($I15,""^[0-9.]+""),""."","""")))
        ),
        0
      ),
      COLUMN()-9
    )
  )
)"),"")</f>
        <v/>
      </c>
      <c r="M15" s="234" t="str">
        <f>IFERROR(__xludf.DUMMYFUNCTION("IF(
  $I15="""",
  """",
  IF(
    COLUMN()-9 &gt;
    (1 + LEN(REGEXEXTRACT($I15,""^[0-9.]+"")) - LEN(SUBSTITUTE(REGEXEXTRACT($I15,""^[0-9.]+""),""."",""""))),
    """",
    INDEX(
      BEC_openBDF!$A:$D,
      MATCH(
        $I15,
        INDEX(
         "&amp;" BEC_openBDF!$A:$D,
          0,
          (1 + LEN(REGEXEXTRACT($I15,""^[0-9.]+"")) - LEN(SUBSTITUTE(REGEXEXTRACT($I15,""^[0-9.]+""),""."","""")))
        ),
        0
      ),
      COLUMN()-9
    )
  )
)"),"")</f>
        <v/>
      </c>
      <c r="N15" s="197" t="s">
        <v>762</v>
      </c>
      <c r="O15" s="193"/>
      <c r="P15" s="197" t="s">
        <v>782</v>
      </c>
      <c r="Q15" s="255" t="s">
        <v>783</v>
      </c>
      <c r="R15" s="255" t="s">
        <v>765</v>
      </c>
      <c r="S15" s="263" t="s">
        <v>784</v>
      </c>
      <c r="T15" s="240">
        <v>2.598064952E9</v>
      </c>
      <c r="U15" s="240">
        <v>3.330852503E9</v>
      </c>
      <c r="V15" s="257"/>
      <c r="W15" s="257"/>
      <c r="X15" s="240">
        <v>1.342024835E9</v>
      </c>
      <c r="Y15" s="238"/>
    </row>
    <row r="16" ht="18.75" customHeight="1">
      <c r="A16" s="232"/>
      <c r="B16" s="192"/>
      <c r="C16" s="193" t="s">
        <v>758</v>
      </c>
      <c r="D16" s="192" t="s">
        <v>759</v>
      </c>
      <c r="E16" s="192" t="s">
        <v>760</v>
      </c>
      <c r="F16" s="192" t="s">
        <v>761</v>
      </c>
      <c r="G16" s="237"/>
      <c r="H16" s="237"/>
      <c r="I16" s="193" t="s">
        <v>676</v>
      </c>
      <c r="J16" s="234" t="str">
        <f>IFERROR(__xludf.DUMMYFUNCTION("IF(
  $I16="""",
  """",
  IF(
    COLUMN()-9 &gt;
    (1 + LEN(REGEXEXTRACT($I16,""^[0-9.]+"")) - LEN(SUBSTITUTE(REGEXEXTRACT($I16,""^[0-9.]+""),""."",""""))),
    """",
    INDEX(
      BEC_openBDF!$A:$D,
      MATCH(
        $I16,
        INDEX(
         "&amp;" BEC_openBDF!$A:$D,
          0,
          (1 + LEN(REGEXEXTRACT($I16,""^[0-9.]+"")) - LEN(SUBSTITUTE(REGEXEXTRACT($I16,""^[0-9.]+""),""."","""")))
        ),
        0
      ),
      COLUMN()-9
    )
  )
)"),"1 Sub-structure")</f>
        <v>1 Sub-structure</v>
      </c>
      <c r="K16" s="234" t="str">
        <f>IFERROR(__xludf.DUMMYFUNCTION("IF(
  $I16="""",
  """",
  IF(
    COLUMN()-9 &gt;
    (1 + LEN(REGEXEXTRACT($I16,""^[0-9.]+"")) - LEN(SUBSTITUTE(REGEXEXTRACT($I16,""^[0-9.]+""),""."",""""))),
    """",
    INDEX(
      BEC_openBDF!$A:$D,
      MATCH(
        $I16,
        INDEX(
         "&amp;" BEC_openBDF!$A:$D,
          0,
          (1 + LEN(REGEXEXTRACT($I16,""^[0-9.]+"")) - LEN(SUBSTITUTE(REGEXEXTRACT($I16,""^[0-9.]+""),""."","""")))
        ),
        0
      ),
      COLUMN()-9
    )
  )
)"),"1.1 Foundations and piling")</f>
        <v>1.1 Foundations and piling</v>
      </c>
      <c r="L16" s="234" t="str">
        <f>IFERROR(__xludf.DUMMYFUNCTION("IF(
  $I16="""",
  """",
  IF(
    COLUMN()-9 &gt;
    (1 + LEN(REGEXEXTRACT($I16,""^[0-9.]+"")) - LEN(SUBSTITUTE(REGEXEXTRACT($I16,""^[0-9.]+""),""."",""""))),
    """",
    INDEX(
      BEC_openBDF!$A:$D,
      MATCH(
        $I16,
        INDEX(
         "&amp;" BEC_openBDF!$A:$D,
          0,
          (1 + LEN(REGEXEXTRACT($I16,""^[0-9.]+"")) - LEN(SUBSTITUTE(REGEXEXTRACT($I16,""^[0-9.]+""),""."","""")))
        ),
        0
      ),
      COLUMN()-9
    )
  )
)"),"")</f>
        <v/>
      </c>
      <c r="M16" s="234" t="str">
        <f>IFERROR(__xludf.DUMMYFUNCTION("IF(
  $I16="""",
  """",
  IF(
    COLUMN()-9 &gt;
    (1 + LEN(REGEXEXTRACT($I16,""^[0-9.]+"")) - LEN(SUBSTITUTE(REGEXEXTRACT($I16,""^[0-9.]+""),""."",""""))),
    """",
    INDEX(
      BEC_openBDF!$A:$D,
      MATCH(
        $I16,
        INDEX(
         "&amp;" BEC_openBDF!$A:$D,
          0,
          (1 + LEN(REGEXEXTRACT($I16,""^[0-9.]+"")) - LEN(SUBSTITUTE(REGEXEXTRACT($I16,""^[0-9.]+""),""."","""")))
        ),
        0
      ),
      COLUMN()-9
    )
  )
)"),"")</f>
        <v/>
      </c>
      <c r="N16" s="197" t="s">
        <v>762</v>
      </c>
      <c r="O16" s="193"/>
      <c r="P16" s="197" t="s">
        <v>782</v>
      </c>
      <c r="Q16" s="255" t="s">
        <v>783</v>
      </c>
      <c r="R16" s="255" t="s">
        <v>765</v>
      </c>
      <c r="S16" s="263" t="s">
        <v>784</v>
      </c>
      <c r="T16" s="240">
        <v>2.664682003E9</v>
      </c>
      <c r="U16" s="240">
        <v>3.330852503E9</v>
      </c>
      <c r="V16" s="256"/>
      <c r="W16" s="256"/>
      <c r="X16" s="240">
        <v>4.938232009E9</v>
      </c>
      <c r="Y16" s="238"/>
    </row>
    <row r="17" ht="18.75" customHeight="1">
      <c r="A17" s="232"/>
      <c r="B17" s="192"/>
      <c r="C17" s="193" t="s">
        <v>758</v>
      </c>
      <c r="D17" s="192" t="s">
        <v>759</v>
      </c>
      <c r="E17" s="192" t="s">
        <v>760</v>
      </c>
      <c r="F17" s="192" t="s">
        <v>761</v>
      </c>
      <c r="G17" s="237"/>
      <c r="H17" s="237"/>
      <c r="I17" s="193" t="s">
        <v>676</v>
      </c>
      <c r="J17" s="234" t="str">
        <f>IFERROR(__xludf.DUMMYFUNCTION("IF(
  $I17="""",
  """",
  IF(
    COLUMN()-9 &gt;
    (1 + LEN(REGEXEXTRACT($I17,""^[0-9.]+"")) - LEN(SUBSTITUTE(REGEXEXTRACT($I17,""^[0-9.]+""),""."",""""))),
    """",
    INDEX(
      BEC_openBDF!$A:$D,
      MATCH(
        $I17,
        INDEX(
         "&amp;" BEC_openBDF!$A:$D,
          0,
          (1 + LEN(REGEXEXTRACT($I17,""^[0-9.]+"")) - LEN(SUBSTITUTE(REGEXEXTRACT($I17,""^[0-9.]+""),""."","""")))
        ),
        0
      ),
      COLUMN()-9
    )
  )
)"),"1 Sub-structure")</f>
        <v>1 Sub-structure</v>
      </c>
      <c r="K17" s="234" t="str">
        <f>IFERROR(__xludf.DUMMYFUNCTION("IF(
  $I17="""",
  """",
  IF(
    COLUMN()-9 &gt;
    (1 + LEN(REGEXEXTRACT($I17,""^[0-9.]+"")) - LEN(SUBSTITUTE(REGEXEXTRACT($I17,""^[0-9.]+""),""."",""""))),
    """",
    INDEX(
      BEC_openBDF!$A:$D,
      MATCH(
        $I17,
        INDEX(
         "&amp;" BEC_openBDF!$A:$D,
          0,
          (1 + LEN(REGEXEXTRACT($I17,""^[0-9.]+"")) - LEN(SUBSTITUTE(REGEXEXTRACT($I17,""^[0-9.]+""),""."","""")))
        ),
        0
      ),
      COLUMN()-9
    )
  )
)"),"1.1 Foundations and piling")</f>
        <v>1.1 Foundations and piling</v>
      </c>
      <c r="L17" s="234" t="str">
        <f>IFERROR(__xludf.DUMMYFUNCTION("IF(
  $I17="""",
  """",
  IF(
    COLUMN()-9 &gt;
    (1 + LEN(REGEXEXTRACT($I17,""^[0-9.]+"")) - LEN(SUBSTITUTE(REGEXEXTRACT($I17,""^[0-9.]+""),""."",""""))),
    """",
    INDEX(
      BEC_openBDF!$A:$D,
      MATCH(
        $I17,
        INDEX(
         "&amp;" BEC_openBDF!$A:$D,
          0,
          (1 + LEN(REGEXEXTRACT($I17,""^[0-9.]+"")) - LEN(SUBSTITUTE(REGEXEXTRACT($I17,""^[0-9.]+""),""."","""")))
        ),
        0
      ),
      COLUMN()-9
    )
  )
)"),"")</f>
        <v/>
      </c>
      <c r="M17" s="234" t="str">
        <f>IFERROR(__xludf.DUMMYFUNCTION("IF(
  $I17="""",
  """",
  IF(
    COLUMN()-9 &gt;
    (1 + LEN(REGEXEXTRACT($I17,""^[0-9.]+"")) - LEN(SUBSTITUTE(REGEXEXTRACT($I17,""^[0-9.]+""),""."",""""))),
    """",
    INDEX(
      BEC_openBDF!$A:$D,
      MATCH(
        $I17,
        INDEX(
         "&amp;" BEC_openBDF!$A:$D,
          0,
          (1 + LEN(REGEXEXTRACT($I17,""^[0-9.]+"")) - LEN(SUBSTITUTE(REGEXEXTRACT($I17,""^[0-9.]+""),""."","""")))
        ),
        0
      ),
      COLUMN()-9
    )
  )
)"),"")</f>
        <v/>
      </c>
      <c r="N17" s="197" t="s">
        <v>762</v>
      </c>
      <c r="O17" s="193"/>
      <c r="P17" s="197" t="s">
        <v>785</v>
      </c>
      <c r="Q17" s="255" t="s">
        <v>786</v>
      </c>
      <c r="R17" s="255" t="s">
        <v>765</v>
      </c>
      <c r="S17" s="263" t="s">
        <v>787</v>
      </c>
      <c r="T17" s="240">
        <v>9.99252751E8</v>
      </c>
      <c r="U17" s="240">
        <v>3.330842503E9</v>
      </c>
      <c r="V17" s="256"/>
      <c r="W17" s="256"/>
      <c r="X17" s="240">
        <v>7.397911901E9</v>
      </c>
      <c r="Y17" s="238"/>
    </row>
    <row r="18" ht="18.75" customHeight="1">
      <c r="A18" s="232"/>
      <c r="B18" s="192"/>
      <c r="C18" s="193" t="s">
        <v>758</v>
      </c>
      <c r="D18" s="192" t="s">
        <v>759</v>
      </c>
      <c r="E18" s="192" t="s">
        <v>760</v>
      </c>
      <c r="F18" s="192" t="s">
        <v>761</v>
      </c>
      <c r="G18" s="237"/>
      <c r="H18" s="237"/>
      <c r="I18" s="193" t="s">
        <v>677</v>
      </c>
      <c r="J18" s="234" t="str">
        <f>IFERROR(__xludf.DUMMYFUNCTION("IF(
  $I18="""",
  """",
  IF(
    COLUMN()-9 &gt;
    (1 + LEN(REGEXEXTRACT($I18,""^[0-9.]+"")) - LEN(SUBSTITUTE(REGEXEXTRACT($I18,""^[0-9.]+""),""."",""""))),
    """",
    INDEX(
      BEC_openBDF!$A:$D,
      MATCH(
        $I18,
        INDEX(
         "&amp;" BEC_openBDF!$A:$D,
          0,
          (1 + LEN(REGEXEXTRACT($I18,""^[0-9.]+"")) - LEN(SUBSTITUTE(REGEXEXTRACT($I18,""^[0-9.]+""),""."","""")))
        ),
        0
      ),
      COLUMN()-9
    )
  )
)"),"1 Sub-structure")</f>
        <v>1 Sub-structure</v>
      </c>
      <c r="K18" s="234" t="str">
        <f>IFERROR(__xludf.DUMMYFUNCTION("IF(
  $I18="""",
  """",
  IF(
    COLUMN()-9 &gt;
    (1 + LEN(REGEXEXTRACT($I18,""^[0-9.]+"")) - LEN(SUBSTITUTE(REGEXEXTRACT($I18,""^[0-9.]+""),""."",""""))),
    """",
    INDEX(
      BEC_openBDF!$A:$D,
      MATCH(
        $I18,
        INDEX(
         "&amp;" BEC_openBDF!$A:$D,
          0,
          (1 + LEN(REGEXEXTRACT($I18,""^[0-9.]+"")) - LEN(SUBSTITUTE(REGEXEXTRACT($I18,""^[0-9.]+""),""."","""")))
        ),
        0
      ),
      COLUMN()-9
    )
  )
)"),"1.1 Foundations and piling")</f>
        <v>1.1 Foundations and piling</v>
      </c>
      <c r="L18" s="234" t="str">
        <f>IFERROR(__xludf.DUMMYFUNCTION("IF(
  $I18="""",
  """",
  IF(
    COLUMN()-9 &gt;
    (1 + LEN(REGEXEXTRACT($I18,""^[0-9.]+"")) - LEN(SUBSTITUTE(REGEXEXTRACT($I18,""^[0-9.]+""),""."",""""))),
    """",
    INDEX(
      BEC_openBDF!$A:$D,
      MATCH(
        $I18,
        INDEX(
         "&amp;" BEC_openBDF!$A:$D,
          0,
          (1 + LEN(REGEXEXTRACT($I18,""^[0-9.]+"")) - LEN(SUBSTITUTE(REGEXEXTRACT($I18,""^[0-9.]+""),""."","""")))
        ),
        0
      ),
      COLUMN()-9
    )
  )
)"),"1.1.1 Foundations and piling")</f>
        <v>1.1.1 Foundations and piling</v>
      </c>
      <c r="M18" s="234" t="str">
        <f>IFERROR(__xludf.DUMMYFUNCTION("IF(
  $I18="""",
  """",
  IF(
    COLUMN()-9 &gt;
    (1 + LEN(REGEXEXTRACT($I18,""^[0-9.]+"")) - LEN(SUBSTITUTE(REGEXEXTRACT($I18,""^[0-9.]+""),""."",""""))),
    """",
    INDEX(
      BEC_openBDF!$A:$D,
      MATCH(
        $I18,
        INDEX(
         "&amp;" BEC_openBDF!$A:$D,
          0,
          (1 + LEN(REGEXEXTRACT($I18,""^[0-9.]+"")) - LEN(SUBSTITUTE(REGEXEXTRACT($I18,""^[0-9.]+""),""."","""")))
        ),
        0
      ),
      COLUMN()-9
    )
  )
)"),"")</f>
        <v/>
      </c>
      <c r="N18" s="197" t="s">
        <v>762</v>
      </c>
      <c r="O18" s="193"/>
      <c r="P18" s="197" t="s">
        <v>788</v>
      </c>
      <c r="Q18" s="255" t="s">
        <v>789</v>
      </c>
      <c r="R18" s="255" t="s">
        <v>765</v>
      </c>
      <c r="S18" s="263" t="s">
        <v>790</v>
      </c>
      <c r="T18" s="240">
        <v>2.331589752E9</v>
      </c>
      <c r="U18" s="240">
        <v>3.330842503E9</v>
      </c>
      <c r="V18" s="256"/>
      <c r="W18" s="256"/>
      <c r="X18" s="240">
        <v>2.795885072E9</v>
      </c>
      <c r="Y18" s="238"/>
    </row>
    <row r="19" ht="18.75" customHeight="1">
      <c r="A19" s="232"/>
      <c r="B19" s="192"/>
      <c r="C19" s="193" t="s">
        <v>758</v>
      </c>
      <c r="D19" s="192" t="s">
        <v>759</v>
      </c>
      <c r="E19" s="192" t="s">
        <v>760</v>
      </c>
      <c r="F19" s="192" t="s">
        <v>761</v>
      </c>
      <c r="G19" s="237"/>
      <c r="H19" s="237"/>
      <c r="I19" s="193" t="s">
        <v>677</v>
      </c>
      <c r="J19" s="234" t="str">
        <f>IFERROR(__xludf.DUMMYFUNCTION("IF(
  $I19="""",
  """",
  IF(
    COLUMN()-9 &gt;
    (1 + LEN(REGEXEXTRACT($I19,""^[0-9.]+"")) - LEN(SUBSTITUTE(REGEXEXTRACT($I19,""^[0-9.]+""),""."",""""))),
    """",
    INDEX(
      BEC_openBDF!$A:$D,
      MATCH(
        $I19,
        INDEX(
         "&amp;" BEC_openBDF!$A:$D,
          0,
          (1 + LEN(REGEXEXTRACT($I19,""^[0-9.]+"")) - LEN(SUBSTITUTE(REGEXEXTRACT($I19,""^[0-9.]+""),""."","""")))
        ),
        0
      ),
      COLUMN()-9
    )
  )
)"),"1 Sub-structure")</f>
        <v>1 Sub-structure</v>
      </c>
      <c r="K19" s="234" t="str">
        <f>IFERROR(__xludf.DUMMYFUNCTION("IF(
  $I19="""",
  """",
  IF(
    COLUMN()-9 &gt;
    (1 + LEN(REGEXEXTRACT($I19,""^[0-9.]+"")) - LEN(SUBSTITUTE(REGEXEXTRACT($I19,""^[0-9.]+""),""."",""""))),
    """",
    INDEX(
      BEC_openBDF!$A:$D,
      MATCH(
        $I19,
        INDEX(
         "&amp;" BEC_openBDF!$A:$D,
          0,
          (1 + LEN(REGEXEXTRACT($I19,""^[0-9.]+"")) - LEN(SUBSTITUTE(REGEXEXTRACT($I19,""^[0-9.]+""),""."","""")))
        ),
        0
      ),
      COLUMN()-9
    )
  )
)"),"1.1 Foundations and piling")</f>
        <v>1.1 Foundations and piling</v>
      </c>
      <c r="L19" s="234" t="str">
        <f>IFERROR(__xludf.DUMMYFUNCTION("IF(
  $I19="""",
  """",
  IF(
    COLUMN()-9 &gt;
    (1 + LEN(REGEXEXTRACT($I19,""^[0-9.]+"")) - LEN(SUBSTITUTE(REGEXEXTRACT($I19,""^[0-9.]+""),""."",""""))),
    """",
    INDEX(
      BEC_openBDF!$A:$D,
      MATCH(
        $I19,
        INDEX(
         "&amp;" BEC_openBDF!$A:$D,
          0,
          (1 + LEN(REGEXEXTRACT($I19,""^[0-9.]+"")) - LEN(SUBSTITUTE(REGEXEXTRACT($I19,""^[0-9.]+""),""."","""")))
        ),
        0
      ),
      COLUMN()-9
    )
  )
)"),"1.1.1 Foundations and piling")</f>
        <v>1.1.1 Foundations and piling</v>
      </c>
      <c r="M19" s="234" t="str">
        <f>IFERROR(__xludf.DUMMYFUNCTION("IF(
  $I19="""",
  """",
  IF(
    COLUMN()-9 &gt;
    (1 + LEN(REGEXEXTRACT($I19,""^[0-9.]+"")) - LEN(SUBSTITUTE(REGEXEXTRACT($I19,""^[0-9.]+""),""."",""""))),
    """",
    INDEX(
      BEC_openBDF!$A:$D,
      MATCH(
        $I19,
        INDEX(
         "&amp;" BEC_openBDF!$A:$D,
          0,
          (1 + LEN(REGEXEXTRACT($I19,""^[0-9.]+"")) - LEN(SUBSTITUTE(REGEXEXTRACT($I19,""^[0-9.]+""),""."","""")))
        ),
        0
      ),
      COLUMN()-9
    )
  )
)"),"")</f>
        <v/>
      </c>
      <c r="N19" s="197" t="s">
        <v>791</v>
      </c>
      <c r="O19" s="193"/>
      <c r="P19" s="197" t="s">
        <v>763</v>
      </c>
      <c r="Q19" s="255" t="s">
        <v>764</v>
      </c>
      <c r="R19" s="255" t="s">
        <v>765</v>
      </c>
      <c r="S19" s="263" t="s">
        <v>766</v>
      </c>
      <c r="T19" s="240">
        <v>1.677531043E9</v>
      </c>
      <c r="U19" s="240">
        <v>5.591770144E9</v>
      </c>
      <c r="V19" s="256"/>
      <c r="W19" s="256"/>
      <c r="X19" s="240">
        <v>1.755112326E9</v>
      </c>
      <c r="Y19" s="238"/>
    </row>
    <row r="20" ht="18.75" customHeight="1">
      <c r="A20" s="232"/>
      <c r="B20" s="192"/>
      <c r="C20" s="193" t="s">
        <v>758</v>
      </c>
      <c r="D20" s="192" t="s">
        <v>759</v>
      </c>
      <c r="E20" s="192" t="s">
        <v>760</v>
      </c>
      <c r="F20" s="192" t="s">
        <v>761</v>
      </c>
      <c r="G20" s="237"/>
      <c r="H20" s="237"/>
      <c r="I20" s="193" t="s">
        <v>677</v>
      </c>
      <c r="J20" s="234" t="str">
        <f>IFERROR(__xludf.DUMMYFUNCTION("IF(
  $I20="""",
  """",
  IF(
    COLUMN()-9 &gt;
    (1 + LEN(REGEXEXTRACT($I20,""^[0-9.]+"")) - LEN(SUBSTITUTE(REGEXEXTRACT($I20,""^[0-9.]+""),""."",""""))),
    """",
    INDEX(
      BEC_openBDF!$A:$D,
      MATCH(
        $I20,
        INDEX(
         "&amp;" BEC_openBDF!$A:$D,
          0,
          (1 + LEN(REGEXEXTRACT($I20,""^[0-9.]+"")) - LEN(SUBSTITUTE(REGEXEXTRACT($I20,""^[0-9.]+""),""."","""")))
        ),
        0
      ),
      COLUMN()-9
    )
  )
)"),"1 Sub-structure")</f>
        <v>1 Sub-structure</v>
      </c>
      <c r="K20" s="234" t="str">
        <f>IFERROR(__xludf.DUMMYFUNCTION("IF(
  $I20="""",
  """",
  IF(
    COLUMN()-9 &gt;
    (1 + LEN(REGEXEXTRACT($I20,""^[0-9.]+"")) - LEN(SUBSTITUTE(REGEXEXTRACT($I20,""^[0-9.]+""),""."",""""))),
    """",
    INDEX(
      BEC_openBDF!$A:$D,
      MATCH(
        $I20,
        INDEX(
         "&amp;" BEC_openBDF!$A:$D,
          0,
          (1 + LEN(REGEXEXTRACT($I20,""^[0-9.]+"")) - LEN(SUBSTITUTE(REGEXEXTRACT($I20,""^[0-9.]+""),""."","""")))
        ),
        0
      ),
      COLUMN()-9
    )
  )
)"),"1.1 Foundations and piling")</f>
        <v>1.1 Foundations and piling</v>
      </c>
      <c r="L20" s="234" t="str">
        <f>IFERROR(__xludf.DUMMYFUNCTION("IF(
  $I20="""",
  """",
  IF(
    COLUMN()-9 &gt;
    (1 + LEN(REGEXEXTRACT($I20,""^[0-9.]+"")) - LEN(SUBSTITUTE(REGEXEXTRACT($I20,""^[0-9.]+""),""."",""""))),
    """",
    INDEX(
      BEC_openBDF!$A:$D,
      MATCH(
        $I20,
        INDEX(
         "&amp;" BEC_openBDF!$A:$D,
          0,
          (1 + LEN(REGEXEXTRACT($I20,""^[0-9.]+"")) - LEN(SUBSTITUTE(REGEXEXTRACT($I20,""^[0-9.]+""),""."","""")))
        ),
        0
      ),
      COLUMN()-9
    )
  )
)"),"1.1.1 Foundations and piling")</f>
        <v>1.1.1 Foundations and piling</v>
      </c>
      <c r="M20" s="234" t="str">
        <f>IFERROR(__xludf.DUMMYFUNCTION("IF(
  $I20="""",
  """",
  IF(
    COLUMN()-9 &gt;
    (1 + LEN(REGEXEXTRACT($I20,""^[0-9.]+"")) - LEN(SUBSTITUTE(REGEXEXTRACT($I20,""^[0-9.]+""),""."",""""))),
    """",
    INDEX(
      BEC_openBDF!$A:$D,
      MATCH(
        $I20,
        INDEX(
         "&amp;" BEC_openBDF!$A:$D,
          0,
          (1 + LEN(REGEXEXTRACT($I20,""^[0-9.]+"")) - LEN(SUBSTITUTE(REGEXEXTRACT($I20,""^[0-9.]+""),""."","""")))
        ),
        0
      ),
      COLUMN()-9
    )
  )
)"),"")</f>
        <v/>
      </c>
      <c r="N20" s="197" t="s">
        <v>791</v>
      </c>
      <c r="O20" s="193"/>
      <c r="P20" s="197" t="s">
        <v>767</v>
      </c>
      <c r="Q20" s="255" t="s">
        <v>768</v>
      </c>
      <c r="R20" s="255" t="s">
        <v>765</v>
      </c>
      <c r="S20" s="263" t="s">
        <v>769</v>
      </c>
      <c r="T20" s="240">
        <v>5.591770144E9</v>
      </c>
      <c r="U20" s="240">
        <v>5.591770144E9</v>
      </c>
      <c r="V20" s="258"/>
      <c r="W20" s="258"/>
      <c r="X20" s="240">
        <v>4.692813705E9</v>
      </c>
      <c r="Y20" s="238"/>
    </row>
    <row r="21" ht="18.75" customHeight="1">
      <c r="A21" s="232"/>
      <c r="B21" s="192"/>
      <c r="C21" s="193" t="s">
        <v>758</v>
      </c>
      <c r="D21" s="192" t="s">
        <v>759</v>
      </c>
      <c r="E21" s="192" t="s">
        <v>760</v>
      </c>
      <c r="F21" s="192" t="s">
        <v>761</v>
      </c>
      <c r="G21" s="237"/>
      <c r="H21" s="237"/>
      <c r="I21" s="193" t="s">
        <v>677</v>
      </c>
      <c r="J21" s="234" t="str">
        <f>IFERROR(__xludf.DUMMYFUNCTION("IF(
  $I21="""",
  """",
  IF(
    COLUMN()-9 &gt;
    (1 + LEN(REGEXEXTRACT($I21,""^[0-9.]+"")) - LEN(SUBSTITUTE(REGEXEXTRACT($I21,""^[0-9.]+""),""."",""""))),
    """",
    INDEX(
      BEC_openBDF!$A:$D,
      MATCH(
        $I21,
        INDEX(
         "&amp;" BEC_openBDF!$A:$D,
          0,
          (1 + LEN(REGEXEXTRACT($I21,""^[0-9.]+"")) - LEN(SUBSTITUTE(REGEXEXTRACT($I21,""^[0-9.]+""),""."","""")))
        ),
        0
      ),
      COLUMN()-9
    )
  )
)"),"1 Sub-structure")</f>
        <v>1 Sub-structure</v>
      </c>
      <c r="K21" s="234" t="str">
        <f>IFERROR(__xludf.DUMMYFUNCTION("IF(
  $I21="""",
  """",
  IF(
    COLUMN()-9 &gt;
    (1 + LEN(REGEXEXTRACT($I21,""^[0-9.]+"")) - LEN(SUBSTITUTE(REGEXEXTRACT($I21,""^[0-9.]+""),""."",""""))),
    """",
    INDEX(
      BEC_openBDF!$A:$D,
      MATCH(
        $I21,
        INDEX(
         "&amp;" BEC_openBDF!$A:$D,
          0,
          (1 + LEN(REGEXEXTRACT($I21,""^[0-9.]+"")) - LEN(SUBSTITUTE(REGEXEXTRACT($I21,""^[0-9.]+""),""."","""")))
        ),
        0
      ),
      COLUMN()-9
    )
  )
)"),"1.1 Foundations and piling")</f>
        <v>1.1 Foundations and piling</v>
      </c>
      <c r="L21" s="234" t="str">
        <f>IFERROR(__xludf.DUMMYFUNCTION("IF(
  $I21="""",
  """",
  IF(
    COLUMN()-9 &gt;
    (1 + LEN(REGEXEXTRACT($I21,""^[0-9.]+"")) - LEN(SUBSTITUTE(REGEXEXTRACT($I21,""^[0-9.]+""),""."",""""))),
    """",
    INDEX(
      BEC_openBDF!$A:$D,
      MATCH(
        $I21,
        INDEX(
         "&amp;" BEC_openBDF!$A:$D,
          0,
          (1 + LEN(REGEXEXTRACT($I21,""^[0-9.]+"")) - LEN(SUBSTITUTE(REGEXEXTRACT($I21,""^[0-9.]+""),""."","""")))
        ),
        0
      ),
      COLUMN()-9
    )
  )
)"),"1.1.1 Foundations and piling")</f>
        <v>1.1.1 Foundations and piling</v>
      </c>
      <c r="M21" s="234" t="str">
        <f>IFERROR(__xludf.DUMMYFUNCTION("IF(
  $I21="""",
  """",
  IF(
    COLUMN()-9 &gt;
    (1 + LEN(REGEXEXTRACT($I21,""^[0-9.]+"")) - LEN(SUBSTITUTE(REGEXEXTRACT($I21,""^[0-9.]+""),""."",""""))),
    """",
    INDEX(
      BEC_openBDF!$A:$D,
      MATCH(
        $I21,
        INDEX(
         "&amp;" BEC_openBDF!$A:$D,
          0,
          (1 + LEN(REGEXEXTRACT($I21,""^[0-9.]+"")) - LEN(SUBSTITUTE(REGEXEXTRACT($I21,""^[0-9.]+""),""."","""")))
        ),
        0
      ),
      COLUMN()-9
    )
  )
)"),"")</f>
        <v/>
      </c>
      <c r="N21" s="197" t="s">
        <v>791</v>
      </c>
      <c r="O21" s="193"/>
      <c r="P21" s="197" t="s">
        <v>773</v>
      </c>
      <c r="Q21" s="255" t="s">
        <v>774</v>
      </c>
      <c r="R21" s="255" t="s">
        <v>765</v>
      </c>
      <c r="S21" s="263" t="s">
        <v>775</v>
      </c>
      <c r="T21" s="240">
        <v>6.290741412E9</v>
      </c>
      <c r="U21" s="240">
        <v>5.591770144E9</v>
      </c>
      <c r="V21" s="256"/>
      <c r="W21" s="256"/>
      <c r="X21" s="240">
        <v>4.870379629E9</v>
      </c>
      <c r="Y21" s="238"/>
    </row>
    <row r="22" ht="18.75" customHeight="1">
      <c r="A22" s="232"/>
      <c r="B22" s="192"/>
      <c r="C22" s="193" t="s">
        <v>758</v>
      </c>
      <c r="D22" s="192" t="s">
        <v>759</v>
      </c>
      <c r="E22" s="192" t="s">
        <v>760</v>
      </c>
      <c r="F22" s="192" t="s">
        <v>761</v>
      </c>
      <c r="G22" s="237"/>
      <c r="H22" s="237"/>
      <c r="I22" s="193" t="s">
        <v>677</v>
      </c>
      <c r="J22" s="234" t="str">
        <f>IFERROR(__xludf.DUMMYFUNCTION("IF(
  $I22="""",
  """",
  IF(
    COLUMN()-9 &gt;
    (1 + LEN(REGEXEXTRACT($I22,""^[0-9.]+"")) - LEN(SUBSTITUTE(REGEXEXTRACT($I22,""^[0-9.]+""),""."",""""))),
    """",
    INDEX(
      BEC_openBDF!$A:$D,
      MATCH(
        $I22,
        INDEX(
         "&amp;" BEC_openBDF!$A:$D,
          0,
          (1 + LEN(REGEXEXTRACT($I22,""^[0-9.]+"")) - LEN(SUBSTITUTE(REGEXEXTRACT($I22,""^[0-9.]+""),""."","""")))
        ),
        0
      ),
      COLUMN()-9
    )
  )
)"),"1 Sub-structure")</f>
        <v>1 Sub-structure</v>
      </c>
      <c r="K22" s="234" t="str">
        <f>IFERROR(__xludf.DUMMYFUNCTION("IF(
  $I22="""",
  """",
  IF(
    COLUMN()-9 &gt;
    (1 + LEN(REGEXEXTRACT($I22,""^[0-9.]+"")) - LEN(SUBSTITUTE(REGEXEXTRACT($I22,""^[0-9.]+""),""."",""""))),
    """",
    INDEX(
      BEC_openBDF!$A:$D,
      MATCH(
        $I22,
        INDEX(
         "&amp;" BEC_openBDF!$A:$D,
          0,
          (1 + LEN(REGEXEXTRACT($I22,""^[0-9.]+"")) - LEN(SUBSTITUTE(REGEXEXTRACT($I22,""^[0-9.]+""),""."","""")))
        ),
        0
      ),
      COLUMN()-9
    )
  )
)"),"1.1 Foundations and piling")</f>
        <v>1.1 Foundations and piling</v>
      </c>
      <c r="L22" s="234" t="str">
        <f>IFERROR(__xludf.DUMMYFUNCTION("IF(
  $I22="""",
  """",
  IF(
    COLUMN()-9 &gt;
    (1 + LEN(REGEXEXTRACT($I22,""^[0-9.]+"")) - LEN(SUBSTITUTE(REGEXEXTRACT($I22,""^[0-9.]+""),""."",""""))),
    """",
    INDEX(
      BEC_openBDF!$A:$D,
      MATCH(
        $I22,
        INDEX(
         "&amp;" BEC_openBDF!$A:$D,
          0,
          (1 + LEN(REGEXEXTRACT($I22,""^[0-9.]+"")) - LEN(SUBSTITUTE(REGEXEXTRACT($I22,""^[0-9.]+""),""."","""")))
        ),
        0
      ),
      COLUMN()-9
    )
  )
)"),"1.1.1 Foundations and piling")</f>
        <v>1.1.1 Foundations and piling</v>
      </c>
      <c r="M22" s="234" t="str">
        <f>IFERROR(__xludf.DUMMYFUNCTION("IF(
  $I22="""",
  """",
  IF(
    COLUMN()-9 &gt;
    (1 + LEN(REGEXEXTRACT($I22,""^[0-9.]+"")) - LEN(SUBSTITUTE(REGEXEXTRACT($I22,""^[0-9.]+""),""."",""""))),
    """",
    INDEX(
      BEC_openBDF!$A:$D,
      MATCH(
        $I22,
        INDEX(
         "&amp;" BEC_openBDF!$A:$D,
          0,
          (1 + LEN(REGEXEXTRACT($I22,""^[0-9.]+"")) - LEN(SUBSTITUTE(REGEXEXTRACT($I22,""^[0-9.]+""),""."","""")))
        ),
        0
      ),
      COLUMN()-9
    )
  )
)"),"")</f>
        <v/>
      </c>
      <c r="N22" s="197" t="s">
        <v>791</v>
      </c>
      <c r="O22" s="193"/>
      <c r="P22" s="197" t="s">
        <v>776</v>
      </c>
      <c r="Q22" s="255" t="s">
        <v>777</v>
      </c>
      <c r="R22" s="255" t="s">
        <v>765</v>
      </c>
      <c r="S22" s="263" t="s">
        <v>778</v>
      </c>
      <c r="T22" s="240">
        <v>3.082463292E9</v>
      </c>
      <c r="U22" s="240">
        <v>5.591770144E9</v>
      </c>
      <c r="V22" s="258"/>
      <c r="W22" s="258"/>
      <c r="X22" s="240">
        <v>3.102021747E9</v>
      </c>
      <c r="Y22" s="238"/>
    </row>
    <row r="23" ht="18.75" customHeight="1">
      <c r="A23" s="232"/>
      <c r="B23" s="192"/>
      <c r="C23" s="193" t="s">
        <v>758</v>
      </c>
      <c r="D23" s="192" t="s">
        <v>759</v>
      </c>
      <c r="E23" s="192" t="s">
        <v>760</v>
      </c>
      <c r="F23" s="192" t="s">
        <v>761</v>
      </c>
      <c r="G23" s="237"/>
      <c r="H23" s="237"/>
      <c r="I23" s="193" t="s">
        <v>677</v>
      </c>
      <c r="J23" s="234" t="str">
        <f>IFERROR(__xludf.DUMMYFUNCTION("IF(
  $I23="""",
  """",
  IF(
    COLUMN()-9 &gt;
    (1 + LEN(REGEXEXTRACT($I23,""^[0-9.]+"")) - LEN(SUBSTITUTE(REGEXEXTRACT($I23,""^[0-9.]+""),""."",""""))),
    """",
    INDEX(
      BEC_openBDF!$A:$D,
      MATCH(
        $I23,
        INDEX(
         "&amp;" BEC_openBDF!$A:$D,
          0,
          (1 + LEN(REGEXEXTRACT($I23,""^[0-9.]+"")) - LEN(SUBSTITUTE(REGEXEXTRACT($I23,""^[0-9.]+""),""."","""")))
        ),
        0
      ),
      COLUMN()-9
    )
  )
)"),"1 Sub-structure")</f>
        <v>1 Sub-structure</v>
      </c>
      <c r="K23" s="234" t="str">
        <f>IFERROR(__xludf.DUMMYFUNCTION("IF(
  $I23="""",
  """",
  IF(
    COLUMN()-9 &gt;
    (1 + LEN(REGEXEXTRACT($I23,""^[0-9.]+"")) - LEN(SUBSTITUTE(REGEXEXTRACT($I23,""^[0-9.]+""),""."",""""))),
    """",
    INDEX(
      BEC_openBDF!$A:$D,
      MATCH(
        $I23,
        INDEX(
         "&amp;" BEC_openBDF!$A:$D,
          0,
          (1 + LEN(REGEXEXTRACT($I23,""^[0-9.]+"")) - LEN(SUBSTITUTE(REGEXEXTRACT($I23,""^[0-9.]+""),""."","""")))
        ),
        0
      ),
      COLUMN()-9
    )
  )
)"),"1.1 Foundations and piling")</f>
        <v>1.1 Foundations and piling</v>
      </c>
      <c r="L23" s="234" t="str">
        <f>IFERROR(__xludf.DUMMYFUNCTION("IF(
  $I23="""",
  """",
  IF(
    COLUMN()-9 &gt;
    (1 + LEN(REGEXEXTRACT($I23,""^[0-9.]+"")) - LEN(SUBSTITUTE(REGEXEXTRACT($I23,""^[0-9.]+""),""."",""""))),
    """",
    INDEX(
      BEC_openBDF!$A:$D,
      MATCH(
        $I23,
        INDEX(
         "&amp;" BEC_openBDF!$A:$D,
          0,
          (1 + LEN(REGEXEXTRACT($I23,""^[0-9.]+"")) - LEN(SUBSTITUTE(REGEXEXTRACT($I23,""^[0-9.]+""),""."","""")))
        ),
        0
      ),
      COLUMN()-9
    )
  )
)"),"1.1.1 Foundations and piling")</f>
        <v>1.1.1 Foundations and piling</v>
      </c>
      <c r="M23" s="234" t="str">
        <f>IFERROR(__xludf.DUMMYFUNCTION("IF(
  $I23="""",
  """",
  IF(
    COLUMN()-9 &gt;
    (1 + LEN(REGEXEXTRACT($I23,""^[0-9.]+"")) - LEN(SUBSTITUTE(REGEXEXTRACT($I23,""^[0-9.]+""),""."",""""))),
    """",
    INDEX(
      BEC_openBDF!$A:$D,
      MATCH(
        $I23,
        INDEX(
         "&amp;" BEC_openBDF!$A:$D,
          0,
          (1 + LEN(REGEXEXTRACT($I23,""^[0-9.]+"")) - LEN(SUBSTITUTE(REGEXEXTRACT($I23,""^[0-9.]+""),""."","""")))
        ),
        0
      ),
      COLUMN()-9
    )
  )
)"),"")</f>
        <v/>
      </c>
      <c r="N23" s="197" t="s">
        <v>791</v>
      </c>
      <c r="O23" s="193"/>
      <c r="P23" s="197" t="s">
        <v>779</v>
      </c>
      <c r="Q23" s="255" t="s">
        <v>780</v>
      </c>
      <c r="R23" s="255" t="s">
        <v>765</v>
      </c>
      <c r="S23" s="263" t="s">
        <v>781</v>
      </c>
      <c r="T23" s="240">
        <v>1.034477477E9</v>
      </c>
      <c r="U23" s="240">
        <v>5.591770144E9</v>
      </c>
      <c r="V23" s="256"/>
      <c r="W23" s="256"/>
      <c r="X23" s="240">
        <v>1.34141481E8</v>
      </c>
      <c r="Y23" s="238"/>
    </row>
    <row r="24" ht="18.75" customHeight="1">
      <c r="A24" s="232"/>
      <c r="B24" s="192"/>
      <c r="C24" s="193" t="s">
        <v>758</v>
      </c>
      <c r="D24" s="192" t="s">
        <v>759</v>
      </c>
      <c r="E24" s="192" t="s">
        <v>760</v>
      </c>
      <c r="F24" s="192" t="s">
        <v>761</v>
      </c>
      <c r="G24" s="237"/>
      <c r="H24" s="237"/>
      <c r="I24" s="193" t="s">
        <v>677</v>
      </c>
      <c r="J24" s="234" t="str">
        <f>IFERROR(__xludf.DUMMYFUNCTION("IF(
  $I24="""",
  """",
  IF(
    COLUMN()-9 &gt;
    (1 + LEN(REGEXEXTRACT($I24,""^[0-9.]+"")) - LEN(SUBSTITUTE(REGEXEXTRACT($I24,""^[0-9.]+""),""."",""""))),
    """",
    INDEX(
      BEC_openBDF!$A:$D,
      MATCH(
        $I24,
        INDEX(
         "&amp;" BEC_openBDF!$A:$D,
          0,
          (1 + LEN(REGEXEXTRACT($I24,""^[0-9.]+"")) - LEN(SUBSTITUTE(REGEXEXTRACT($I24,""^[0-9.]+""),""."","""")))
        ),
        0
      ),
      COLUMN()-9
    )
  )
)"),"1 Sub-structure")</f>
        <v>1 Sub-structure</v>
      </c>
      <c r="K24" s="234" t="str">
        <f>IFERROR(__xludf.DUMMYFUNCTION("IF(
  $I24="""",
  """",
  IF(
    COLUMN()-9 &gt;
    (1 + LEN(REGEXEXTRACT($I24,""^[0-9.]+"")) - LEN(SUBSTITUTE(REGEXEXTRACT($I24,""^[0-9.]+""),""."",""""))),
    """",
    INDEX(
      BEC_openBDF!$A:$D,
      MATCH(
        $I24,
        INDEX(
         "&amp;" BEC_openBDF!$A:$D,
          0,
          (1 + LEN(REGEXEXTRACT($I24,""^[0-9.]+"")) - LEN(SUBSTITUTE(REGEXEXTRACT($I24,""^[0-9.]+""),""."","""")))
        ),
        0
      ),
      COLUMN()-9
    )
  )
)"),"1.1 Foundations and piling")</f>
        <v>1.1 Foundations and piling</v>
      </c>
      <c r="L24" s="234" t="str">
        <f>IFERROR(__xludf.DUMMYFUNCTION("IF(
  $I24="""",
  """",
  IF(
    COLUMN()-9 &gt;
    (1 + LEN(REGEXEXTRACT($I24,""^[0-9.]+"")) - LEN(SUBSTITUTE(REGEXEXTRACT($I24,""^[0-9.]+""),""."",""""))),
    """",
    INDEX(
      BEC_openBDF!$A:$D,
      MATCH(
        $I24,
        INDEX(
         "&amp;" BEC_openBDF!$A:$D,
          0,
          (1 + LEN(REGEXEXTRACT($I24,""^[0-9.]+"")) - LEN(SUBSTITUTE(REGEXEXTRACT($I24,""^[0-9.]+""),""."","""")))
        ),
        0
      ),
      COLUMN()-9
    )
  )
)"),"1.1.1 Foundations and piling")</f>
        <v>1.1.1 Foundations and piling</v>
      </c>
      <c r="M24" s="234" t="str">
        <f>IFERROR(__xludf.DUMMYFUNCTION("IF(
  $I24="""",
  """",
  IF(
    COLUMN()-9 &gt;
    (1 + LEN(REGEXEXTRACT($I24,""^[0-9.]+"")) - LEN(SUBSTITUTE(REGEXEXTRACT($I24,""^[0-9.]+""),""."",""""))),
    """",
    INDEX(
      BEC_openBDF!$A:$D,
      MATCH(
        $I24,
        INDEX(
         "&amp;" BEC_openBDF!$A:$D,
          0,
          (1 + LEN(REGEXEXTRACT($I24,""^[0-9.]+"")) - LEN(SUBSTITUTE(REGEXEXTRACT($I24,""^[0-9.]+""),""."","""")))
        ),
        0
      ),
      COLUMN()-9
    )
  )
)"),"")</f>
        <v/>
      </c>
      <c r="N24" s="197" t="s">
        <v>791</v>
      </c>
      <c r="O24" s="193"/>
      <c r="P24" s="197" t="s">
        <v>763</v>
      </c>
      <c r="Q24" s="255" t="s">
        <v>764</v>
      </c>
      <c r="R24" s="255" t="s">
        <v>765</v>
      </c>
      <c r="S24" s="263" t="s">
        <v>766</v>
      </c>
      <c r="T24" s="240">
        <v>9.487093653E9</v>
      </c>
      <c r="U24" s="240">
        <v>5.073312114E9</v>
      </c>
      <c r="V24" s="258"/>
      <c r="W24" s="258"/>
      <c r="X24" s="240">
        <v>4.672734651E9</v>
      </c>
      <c r="Y24" s="238"/>
    </row>
    <row r="25" ht="18.75" customHeight="1">
      <c r="A25" s="232"/>
      <c r="B25" s="192"/>
      <c r="C25" s="193" t="s">
        <v>758</v>
      </c>
      <c r="D25" s="192" t="s">
        <v>759</v>
      </c>
      <c r="E25" s="192" t="s">
        <v>760</v>
      </c>
      <c r="F25" s="192" t="s">
        <v>761</v>
      </c>
      <c r="G25" s="237"/>
      <c r="H25" s="237"/>
      <c r="I25" s="193" t="s">
        <v>677</v>
      </c>
      <c r="J25" s="234" t="str">
        <f>IFERROR(__xludf.DUMMYFUNCTION("IF(
  $I25="""",
  """",
  IF(
    COLUMN()-9 &gt;
    (1 + LEN(REGEXEXTRACT($I25,""^[0-9.]+"")) - LEN(SUBSTITUTE(REGEXEXTRACT($I25,""^[0-9.]+""),""."",""""))),
    """",
    INDEX(
      BEC_openBDF!$A:$D,
      MATCH(
        $I25,
        INDEX(
         "&amp;" BEC_openBDF!$A:$D,
          0,
          (1 + LEN(REGEXEXTRACT($I25,""^[0-9.]+"")) - LEN(SUBSTITUTE(REGEXEXTRACT($I25,""^[0-9.]+""),""."","""")))
        ),
        0
      ),
      COLUMN()-9
    )
  )
)"),"1 Sub-structure")</f>
        <v>1 Sub-structure</v>
      </c>
      <c r="K25" s="234" t="str">
        <f>IFERROR(__xludf.DUMMYFUNCTION("IF(
  $I25="""",
  """",
  IF(
    COLUMN()-9 &gt;
    (1 + LEN(REGEXEXTRACT($I25,""^[0-9.]+"")) - LEN(SUBSTITUTE(REGEXEXTRACT($I25,""^[0-9.]+""),""."",""""))),
    """",
    INDEX(
      BEC_openBDF!$A:$D,
      MATCH(
        $I25,
        INDEX(
         "&amp;" BEC_openBDF!$A:$D,
          0,
          (1 + LEN(REGEXEXTRACT($I25,""^[0-9.]+"")) - LEN(SUBSTITUTE(REGEXEXTRACT($I25,""^[0-9.]+""),""."","""")))
        ),
        0
      ),
      COLUMN()-9
    )
  )
)"),"1.1 Foundations and piling")</f>
        <v>1.1 Foundations and piling</v>
      </c>
      <c r="L25" s="234" t="str">
        <f>IFERROR(__xludf.DUMMYFUNCTION("IF(
  $I25="""",
  """",
  IF(
    COLUMN()-9 &gt;
    (1 + LEN(REGEXEXTRACT($I25,""^[0-9.]+"")) - LEN(SUBSTITUTE(REGEXEXTRACT($I25,""^[0-9.]+""),""."",""""))),
    """",
    INDEX(
      BEC_openBDF!$A:$D,
      MATCH(
        $I25,
        INDEX(
         "&amp;" BEC_openBDF!$A:$D,
          0,
          (1 + LEN(REGEXEXTRACT($I25,""^[0-9.]+"")) - LEN(SUBSTITUTE(REGEXEXTRACT($I25,""^[0-9.]+""),""."","""")))
        ),
        0
      ),
      COLUMN()-9
    )
  )
)"),"1.1.1 Foundations and piling")</f>
        <v>1.1.1 Foundations and piling</v>
      </c>
      <c r="M25" s="234" t="str">
        <f>IFERROR(__xludf.DUMMYFUNCTION("IF(
  $I25="""",
  """",
  IF(
    COLUMN()-9 &gt;
    (1 + LEN(REGEXEXTRACT($I25,""^[0-9.]+"")) - LEN(SUBSTITUTE(REGEXEXTRACT($I25,""^[0-9.]+""),""."",""""))),
    """",
    INDEX(
      BEC_openBDF!$A:$D,
      MATCH(
        $I25,
        INDEX(
         "&amp;" BEC_openBDF!$A:$D,
          0,
          (1 + LEN(REGEXEXTRACT($I25,""^[0-9.]+"")) - LEN(SUBSTITUTE(REGEXEXTRACT($I25,""^[0-9.]+""),""."","""")))
        ),
        0
      ),
      COLUMN()-9
    )
  )
)"),"")</f>
        <v/>
      </c>
      <c r="N25" s="197" t="s">
        <v>791</v>
      </c>
      <c r="O25" s="193"/>
      <c r="P25" s="197" t="s">
        <v>763</v>
      </c>
      <c r="Q25" s="255" t="s">
        <v>764</v>
      </c>
      <c r="R25" s="255" t="s">
        <v>765</v>
      </c>
      <c r="S25" s="263" t="s">
        <v>766</v>
      </c>
      <c r="T25" s="240">
        <v>2.536656057E9</v>
      </c>
      <c r="U25" s="240">
        <v>5.073312114E9</v>
      </c>
      <c r="V25" s="258"/>
      <c r="W25" s="258"/>
      <c r="X25" s="240">
        <v>7.000173184E9</v>
      </c>
      <c r="Y25" s="238"/>
    </row>
    <row r="26" ht="18.75" customHeight="1">
      <c r="A26" s="232"/>
      <c r="B26" s="192"/>
      <c r="C26" s="193" t="s">
        <v>758</v>
      </c>
      <c r="D26" s="192" t="s">
        <v>759</v>
      </c>
      <c r="E26" s="192" t="s">
        <v>760</v>
      </c>
      <c r="F26" s="192" t="s">
        <v>761</v>
      </c>
      <c r="G26" s="237"/>
      <c r="H26" s="237"/>
      <c r="I26" s="193" t="s">
        <v>677</v>
      </c>
      <c r="J26" s="234" t="str">
        <f>IFERROR(__xludf.DUMMYFUNCTION("IF(
  $I26="""",
  """",
  IF(
    COLUMN()-9 &gt;
    (1 + LEN(REGEXEXTRACT($I26,""^[0-9.]+"")) - LEN(SUBSTITUTE(REGEXEXTRACT($I26,""^[0-9.]+""),""."",""""))),
    """",
    INDEX(
      BEC_openBDF!$A:$D,
      MATCH(
        $I26,
        INDEX(
         "&amp;" BEC_openBDF!$A:$D,
          0,
          (1 + LEN(REGEXEXTRACT($I26,""^[0-9.]+"")) - LEN(SUBSTITUTE(REGEXEXTRACT($I26,""^[0-9.]+""),""."","""")))
        ),
        0
      ),
      COLUMN()-9
    )
  )
)"),"1 Sub-structure")</f>
        <v>1 Sub-structure</v>
      </c>
      <c r="K26" s="234" t="str">
        <f>IFERROR(__xludf.DUMMYFUNCTION("IF(
  $I26="""",
  """",
  IF(
    COLUMN()-9 &gt;
    (1 + LEN(REGEXEXTRACT($I26,""^[0-9.]+"")) - LEN(SUBSTITUTE(REGEXEXTRACT($I26,""^[0-9.]+""),""."",""""))),
    """",
    INDEX(
      BEC_openBDF!$A:$D,
      MATCH(
        $I26,
        INDEX(
         "&amp;" BEC_openBDF!$A:$D,
          0,
          (1 + LEN(REGEXEXTRACT($I26,""^[0-9.]+"")) - LEN(SUBSTITUTE(REGEXEXTRACT($I26,""^[0-9.]+""),""."","""")))
        ),
        0
      ),
      COLUMN()-9
    )
  )
)"),"1.1 Foundations and piling")</f>
        <v>1.1 Foundations and piling</v>
      </c>
      <c r="L26" s="234" t="str">
        <f>IFERROR(__xludf.DUMMYFUNCTION("IF(
  $I26="""",
  """",
  IF(
    COLUMN()-9 &gt;
    (1 + LEN(REGEXEXTRACT($I26,""^[0-9.]+"")) - LEN(SUBSTITUTE(REGEXEXTRACT($I26,""^[0-9.]+""),""."",""""))),
    """",
    INDEX(
      BEC_openBDF!$A:$D,
      MATCH(
        $I26,
        INDEX(
         "&amp;" BEC_openBDF!$A:$D,
          0,
          (1 + LEN(REGEXEXTRACT($I26,""^[0-9.]+"")) - LEN(SUBSTITUTE(REGEXEXTRACT($I26,""^[0-9.]+""),""."","""")))
        ),
        0
      ),
      COLUMN()-9
    )
  )
)"),"1.1.1 Foundations and piling")</f>
        <v>1.1.1 Foundations and piling</v>
      </c>
      <c r="M26" s="234" t="str">
        <f>IFERROR(__xludf.DUMMYFUNCTION("IF(
  $I26="""",
  """",
  IF(
    COLUMN()-9 &gt;
    (1 + LEN(REGEXEXTRACT($I26,""^[0-9.]+"")) - LEN(SUBSTITUTE(REGEXEXTRACT($I26,""^[0-9.]+""),""."",""""))),
    """",
    INDEX(
      BEC_openBDF!$A:$D,
      MATCH(
        $I26,
        INDEX(
         "&amp;" BEC_openBDF!$A:$D,
          0,
          (1 + LEN(REGEXEXTRACT($I26,""^[0-9.]+"")) - LEN(SUBSTITUTE(REGEXEXTRACT($I26,""^[0-9.]+""),""."","""")))
        ),
        0
      ),
      COLUMN()-9
    )
  )
)"),"")</f>
        <v/>
      </c>
      <c r="N26" s="197" t="s">
        <v>791</v>
      </c>
      <c r="O26" s="193"/>
      <c r="P26" s="197" t="s">
        <v>792</v>
      </c>
      <c r="Q26" s="255" t="s">
        <v>777</v>
      </c>
      <c r="R26" s="255" t="s">
        <v>765</v>
      </c>
      <c r="S26" s="263" t="s">
        <v>778</v>
      </c>
      <c r="T26" s="240">
        <v>2.029324845E9</v>
      </c>
      <c r="U26" s="240">
        <v>5.073312114E9</v>
      </c>
      <c r="V26" s="256"/>
      <c r="W26" s="256"/>
      <c r="X26" s="240">
        <v>2.794614187E9</v>
      </c>
      <c r="Y26" s="238"/>
    </row>
    <row r="27" ht="18.75" customHeight="1">
      <c r="A27" s="232"/>
      <c r="B27" s="192"/>
      <c r="C27" s="193" t="s">
        <v>758</v>
      </c>
      <c r="D27" s="192" t="s">
        <v>759</v>
      </c>
      <c r="E27" s="192" t="s">
        <v>760</v>
      </c>
      <c r="F27" s="192" t="s">
        <v>761</v>
      </c>
      <c r="G27" s="237"/>
      <c r="H27" s="237"/>
      <c r="I27" s="193" t="s">
        <v>677</v>
      </c>
      <c r="J27" s="234" t="str">
        <f>IFERROR(__xludf.DUMMYFUNCTION("IF(
  $I27="""",
  """",
  IF(
    COLUMN()-9 &gt;
    (1 + LEN(REGEXEXTRACT($I27,""^[0-9.]+"")) - LEN(SUBSTITUTE(REGEXEXTRACT($I27,""^[0-9.]+""),""."",""""))),
    """",
    INDEX(
      BEC_openBDF!$A:$D,
      MATCH(
        $I27,
        INDEX(
         "&amp;" BEC_openBDF!$A:$D,
          0,
          (1 + LEN(REGEXEXTRACT($I27,""^[0-9.]+"")) - LEN(SUBSTITUTE(REGEXEXTRACT($I27,""^[0-9.]+""),""."","""")))
        ),
        0
      ),
      COLUMN()-9
    )
  )
)"),"1 Sub-structure")</f>
        <v>1 Sub-structure</v>
      </c>
      <c r="K27" s="234" t="str">
        <f>IFERROR(__xludf.DUMMYFUNCTION("IF(
  $I27="""",
  """",
  IF(
    COLUMN()-9 &gt;
    (1 + LEN(REGEXEXTRACT($I27,""^[0-9.]+"")) - LEN(SUBSTITUTE(REGEXEXTRACT($I27,""^[0-9.]+""),""."",""""))),
    """",
    INDEX(
      BEC_openBDF!$A:$D,
      MATCH(
        $I27,
        INDEX(
         "&amp;" BEC_openBDF!$A:$D,
          0,
          (1 + LEN(REGEXEXTRACT($I27,""^[0-9.]+"")) - LEN(SUBSTITUTE(REGEXEXTRACT($I27,""^[0-9.]+""),""."","""")))
        ),
        0
      ),
      COLUMN()-9
    )
  )
)"),"1.1 Foundations and piling")</f>
        <v>1.1 Foundations and piling</v>
      </c>
      <c r="L27" s="234" t="str">
        <f>IFERROR(__xludf.DUMMYFUNCTION("IF(
  $I27="""",
  """",
  IF(
    COLUMN()-9 &gt;
    (1 + LEN(REGEXEXTRACT($I27,""^[0-9.]+"")) - LEN(SUBSTITUTE(REGEXEXTRACT($I27,""^[0-9.]+""),""."",""""))),
    """",
    INDEX(
      BEC_openBDF!$A:$D,
      MATCH(
        $I27,
        INDEX(
         "&amp;" BEC_openBDF!$A:$D,
          0,
          (1 + LEN(REGEXEXTRACT($I27,""^[0-9.]+"")) - LEN(SUBSTITUTE(REGEXEXTRACT($I27,""^[0-9.]+""),""."","""")))
        ),
        0
      ),
      COLUMN()-9
    )
  )
)"),"1.1.1 Foundations and piling")</f>
        <v>1.1.1 Foundations and piling</v>
      </c>
      <c r="M27" s="234" t="str">
        <f>IFERROR(__xludf.DUMMYFUNCTION("IF(
  $I27="""",
  """",
  IF(
    COLUMN()-9 &gt;
    (1 + LEN(REGEXEXTRACT($I27,""^[0-9.]+"")) - LEN(SUBSTITUTE(REGEXEXTRACT($I27,""^[0-9.]+""),""."",""""))),
    """",
    INDEX(
      BEC_openBDF!$A:$D,
      MATCH(
        $I27,
        INDEX(
         "&amp;" BEC_openBDF!$A:$D,
          0,
          (1 + LEN(REGEXEXTRACT($I27,""^[0-9.]+"")) - LEN(SUBSTITUTE(REGEXEXTRACT($I27,""^[0-9.]+""),""."","""")))
        ),
        0
      ),
      COLUMN()-9
    )
  )
)"),"")</f>
        <v/>
      </c>
      <c r="N27" s="197" t="s">
        <v>793</v>
      </c>
      <c r="O27" s="193"/>
      <c r="P27" s="197" t="s">
        <v>763</v>
      </c>
      <c r="Q27" s="255" t="s">
        <v>764</v>
      </c>
      <c r="R27" s="255" t="s">
        <v>765</v>
      </c>
      <c r="S27" s="263" t="s">
        <v>766</v>
      </c>
      <c r="T27" s="240">
        <v>1.676768512E9</v>
      </c>
      <c r="U27" s="240">
        <v>5.589228373E9</v>
      </c>
      <c r="V27" s="256"/>
      <c r="W27" s="256"/>
      <c r="X27" s="240">
        <v>1.726792106E9</v>
      </c>
      <c r="Y27" s="238"/>
    </row>
    <row r="28" ht="18.75" customHeight="1">
      <c r="A28" s="232"/>
      <c r="B28" s="192"/>
      <c r="C28" s="193" t="s">
        <v>758</v>
      </c>
      <c r="D28" s="192" t="s">
        <v>759</v>
      </c>
      <c r="E28" s="192" t="s">
        <v>760</v>
      </c>
      <c r="F28" s="192" t="s">
        <v>761</v>
      </c>
      <c r="G28" s="237"/>
      <c r="H28" s="237"/>
      <c r="I28" s="193" t="s">
        <v>677</v>
      </c>
      <c r="J28" s="234" t="str">
        <f>IFERROR(__xludf.DUMMYFUNCTION("IF(
  $I28="""",
  """",
  IF(
    COLUMN()-9 &gt;
    (1 + LEN(REGEXEXTRACT($I28,""^[0-9.]+"")) - LEN(SUBSTITUTE(REGEXEXTRACT($I28,""^[0-9.]+""),""."",""""))),
    """",
    INDEX(
      BEC_openBDF!$A:$D,
      MATCH(
        $I28,
        INDEX(
         "&amp;" BEC_openBDF!$A:$D,
          0,
          (1 + LEN(REGEXEXTRACT($I28,""^[0-9.]+"")) - LEN(SUBSTITUTE(REGEXEXTRACT($I28,""^[0-9.]+""),""."","""")))
        ),
        0
      ),
      COLUMN()-9
    )
  )
)"),"1 Sub-structure")</f>
        <v>1 Sub-structure</v>
      </c>
      <c r="K28" s="234" t="str">
        <f>IFERROR(__xludf.DUMMYFUNCTION("IF(
  $I28="""",
  """",
  IF(
    COLUMN()-9 &gt;
    (1 + LEN(REGEXEXTRACT($I28,""^[0-9.]+"")) - LEN(SUBSTITUTE(REGEXEXTRACT($I28,""^[0-9.]+""),""."",""""))),
    """",
    INDEX(
      BEC_openBDF!$A:$D,
      MATCH(
        $I28,
        INDEX(
         "&amp;" BEC_openBDF!$A:$D,
          0,
          (1 + LEN(REGEXEXTRACT($I28,""^[0-9.]+"")) - LEN(SUBSTITUTE(REGEXEXTRACT($I28,""^[0-9.]+""),""."","""")))
        ),
        0
      ),
      COLUMN()-9
    )
  )
)"),"1.1 Foundations and piling")</f>
        <v>1.1 Foundations and piling</v>
      </c>
      <c r="L28" s="234" t="str">
        <f>IFERROR(__xludf.DUMMYFUNCTION("IF(
  $I28="""",
  """",
  IF(
    COLUMN()-9 &gt;
    (1 + LEN(REGEXEXTRACT($I28,""^[0-9.]+"")) - LEN(SUBSTITUTE(REGEXEXTRACT($I28,""^[0-9.]+""),""."",""""))),
    """",
    INDEX(
      BEC_openBDF!$A:$D,
      MATCH(
        $I28,
        INDEX(
         "&amp;" BEC_openBDF!$A:$D,
          0,
          (1 + LEN(REGEXEXTRACT($I28,""^[0-9.]+"")) - LEN(SUBSTITUTE(REGEXEXTRACT($I28,""^[0-9.]+""),""."","""")))
        ),
        0
      ),
      COLUMN()-9
    )
  )
)"),"1.1.1 Foundations and piling")</f>
        <v>1.1.1 Foundations and piling</v>
      </c>
      <c r="M28" s="234" t="str">
        <f>IFERROR(__xludf.DUMMYFUNCTION("IF(
  $I28="""",
  """",
  IF(
    COLUMN()-9 &gt;
    (1 + LEN(REGEXEXTRACT($I28,""^[0-9.]+"")) - LEN(SUBSTITUTE(REGEXEXTRACT($I28,""^[0-9.]+""),""."",""""))),
    """",
    INDEX(
      BEC_openBDF!$A:$D,
      MATCH(
        $I28,
        INDEX(
         "&amp;" BEC_openBDF!$A:$D,
          0,
          (1 + LEN(REGEXEXTRACT($I28,""^[0-9.]+"")) - LEN(SUBSTITUTE(REGEXEXTRACT($I28,""^[0-9.]+""),""."","""")))
        ),
        0
      ),
      COLUMN()-9
    )
  )
)"),"")</f>
        <v/>
      </c>
      <c r="N28" s="197" t="s">
        <v>793</v>
      </c>
      <c r="O28" s="193"/>
      <c r="P28" s="197" t="s">
        <v>767</v>
      </c>
      <c r="Q28" s="255" t="s">
        <v>768</v>
      </c>
      <c r="R28" s="255" t="s">
        <v>765</v>
      </c>
      <c r="S28" s="263" t="s">
        <v>769</v>
      </c>
      <c r="T28" s="240">
        <v>5.589228373E9</v>
      </c>
      <c r="U28" s="240">
        <v>5.589228373E9</v>
      </c>
      <c r="V28" s="258"/>
      <c r="W28" s="258"/>
      <c r="X28" s="240">
        <v>6.204043494E9</v>
      </c>
      <c r="Y28" s="238"/>
    </row>
    <row r="29" ht="18.75" customHeight="1">
      <c r="A29" s="232"/>
      <c r="B29" s="192"/>
      <c r="C29" s="193" t="s">
        <v>758</v>
      </c>
      <c r="D29" s="192" t="s">
        <v>759</v>
      </c>
      <c r="E29" s="192" t="s">
        <v>760</v>
      </c>
      <c r="F29" s="192" t="s">
        <v>761</v>
      </c>
      <c r="G29" s="237"/>
      <c r="H29" s="237"/>
      <c r="I29" s="193" t="s">
        <v>677</v>
      </c>
      <c r="J29" s="234" t="str">
        <f>IFERROR(__xludf.DUMMYFUNCTION("IF(
  $I29="""",
  """",
  IF(
    COLUMN()-9 &gt;
    (1 + LEN(REGEXEXTRACT($I29,""^[0-9.]+"")) - LEN(SUBSTITUTE(REGEXEXTRACT($I29,""^[0-9.]+""),""."",""""))),
    """",
    INDEX(
      BEC_openBDF!$A:$D,
      MATCH(
        $I29,
        INDEX(
         "&amp;" BEC_openBDF!$A:$D,
          0,
          (1 + LEN(REGEXEXTRACT($I29,""^[0-9.]+"")) - LEN(SUBSTITUTE(REGEXEXTRACT($I29,""^[0-9.]+""),""."","""")))
        ),
        0
      ),
      COLUMN()-9
    )
  )
)"),"1 Sub-structure")</f>
        <v>1 Sub-structure</v>
      </c>
      <c r="K29" s="234" t="str">
        <f>IFERROR(__xludf.DUMMYFUNCTION("IF(
  $I29="""",
  """",
  IF(
    COLUMN()-9 &gt;
    (1 + LEN(REGEXEXTRACT($I29,""^[0-9.]+"")) - LEN(SUBSTITUTE(REGEXEXTRACT($I29,""^[0-9.]+""),""."",""""))),
    """",
    INDEX(
      BEC_openBDF!$A:$D,
      MATCH(
        $I29,
        INDEX(
         "&amp;" BEC_openBDF!$A:$D,
          0,
          (1 + LEN(REGEXEXTRACT($I29,""^[0-9.]+"")) - LEN(SUBSTITUTE(REGEXEXTRACT($I29,""^[0-9.]+""),""."","""")))
        ),
        0
      ),
      COLUMN()-9
    )
  )
)"),"1.1 Foundations and piling")</f>
        <v>1.1 Foundations and piling</v>
      </c>
      <c r="L29" s="234" t="str">
        <f>IFERROR(__xludf.DUMMYFUNCTION("IF(
  $I29="""",
  """",
  IF(
    COLUMN()-9 &gt;
    (1 + LEN(REGEXEXTRACT($I29,""^[0-9.]+"")) - LEN(SUBSTITUTE(REGEXEXTRACT($I29,""^[0-9.]+""),""."",""""))),
    """",
    INDEX(
      BEC_openBDF!$A:$D,
      MATCH(
        $I29,
        INDEX(
         "&amp;" BEC_openBDF!$A:$D,
          0,
          (1 + LEN(REGEXEXTRACT($I29,""^[0-9.]+"")) - LEN(SUBSTITUTE(REGEXEXTRACT($I29,""^[0-9.]+""),""."","""")))
        ),
        0
      ),
      COLUMN()-9
    )
  )
)"),"1.1.1 Foundations and piling")</f>
        <v>1.1.1 Foundations and piling</v>
      </c>
      <c r="M29" s="234" t="str">
        <f>IFERROR(__xludf.DUMMYFUNCTION("IF(
  $I29="""",
  """",
  IF(
    COLUMN()-9 &gt;
    (1 + LEN(REGEXEXTRACT($I29,""^[0-9.]+"")) - LEN(SUBSTITUTE(REGEXEXTRACT($I29,""^[0-9.]+""),""."",""""))),
    """",
    INDEX(
      BEC_openBDF!$A:$D,
      MATCH(
        $I29,
        INDEX(
         "&amp;" BEC_openBDF!$A:$D,
          0,
          (1 + LEN(REGEXEXTRACT($I29,""^[0-9.]+"")) - LEN(SUBSTITUTE(REGEXEXTRACT($I29,""^[0-9.]+""),""."","""")))
        ),
        0
      ),
      COLUMN()-9
    )
  )
)"),"")</f>
        <v/>
      </c>
      <c r="N29" s="197" t="s">
        <v>793</v>
      </c>
      <c r="O29" s="193"/>
      <c r="P29" s="197" t="s">
        <v>773</v>
      </c>
      <c r="Q29" s="255" t="s">
        <v>774</v>
      </c>
      <c r="R29" s="255" t="s">
        <v>765</v>
      </c>
      <c r="S29" s="263" t="s">
        <v>775</v>
      </c>
      <c r="T29" s="240">
        <v>5.952528218E9</v>
      </c>
      <c r="U29" s="240">
        <v>5.589228373E9</v>
      </c>
      <c r="V29" s="258"/>
      <c r="W29" s="258"/>
      <c r="X29" s="240">
        <v>1.846681055E9</v>
      </c>
      <c r="Y29" s="238"/>
    </row>
    <row r="30" ht="18.75" customHeight="1">
      <c r="A30" s="232"/>
      <c r="B30" s="192"/>
      <c r="C30" s="193" t="s">
        <v>758</v>
      </c>
      <c r="D30" s="192" t="s">
        <v>759</v>
      </c>
      <c r="E30" s="192" t="s">
        <v>760</v>
      </c>
      <c r="F30" s="192" t="s">
        <v>761</v>
      </c>
      <c r="G30" s="237"/>
      <c r="H30" s="237"/>
      <c r="I30" s="193" t="s">
        <v>677</v>
      </c>
      <c r="J30" s="234" t="str">
        <f>IFERROR(__xludf.DUMMYFUNCTION("IF(
  $I30="""",
  """",
  IF(
    COLUMN()-9 &gt;
    (1 + LEN(REGEXEXTRACT($I30,""^[0-9.]+"")) - LEN(SUBSTITUTE(REGEXEXTRACT($I30,""^[0-9.]+""),""."",""""))),
    """",
    INDEX(
      BEC_openBDF!$A:$D,
      MATCH(
        $I30,
        INDEX(
         "&amp;" BEC_openBDF!$A:$D,
          0,
          (1 + LEN(REGEXEXTRACT($I30,""^[0-9.]+"")) - LEN(SUBSTITUTE(REGEXEXTRACT($I30,""^[0-9.]+""),""."","""")))
        ),
        0
      ),
      COLUMN()-9
    )
  )
)"),"1 Sub-structure")</f>
        <v>1 Sub-structure</v>
      </c>
      <c r="K30" s="234" t="str">
        <f>IFERROR(__xludf.DUMMYFUNCTION("IF(
  $I30="""",
  """",
  IF(
    COLUMN()-9 &gt;
    (1 + LEN(REGEXEXTRACT($I30,""^[0-9.]+"")) - LEN(SUBSTITUTE(REGEXEXTRACT($I30,""^[0-9.]+""),""."",""""))),
    """",
    INDEX(
      BEC_openBDF!$A:$D,
      MATCH(
        $I30,
        INDEX(
         "&amp;" BEC_openBDF!$A:$D,
          0,
          (1 + LEN(REGEXEXTRACT($I30,""^[0-9.]+"")) - LEN(SUBSTITUTE(REGEXEXTRACT($I30,""^[0-9.]+""),""."","""")))
        ),
        0
      ),
      COLUMN()-9
    )
  )
)"),"1.1 Foundations and piling")</f>
        <v>1.1 Foundations and piling</v>
      </c>
      <c r="L30" s="234" t="str">
        <f>IFERROR(__xludf.DUMMYFUNCTION("IF(
  $I30="""",
  """",
  IF(
    COLUMN()-9 &gt;
    (1 + LEN(REGEXEXTRACT($I30,""^[0-9.]+"")) - LEN(SUBSTITUTE(REGEXEXTRACT($I30,""^[0-9.]+""),""."",""""))),
    """",
    INDEX(
      BEC_openBDF!$A:$D,
      MATCH(
        $I30,
        INDEX(
         "&amp;" BEC_openBDF!$A:$D,
          0,
          (1 + LEN(REGEXEXTRACT($I30,""^[0-9.]+"")) - LEN(SUBSTITUTE(REGEXEXTRACT($I30,""^[0-9.]+""),""."","""")))
        ),
        0
      ),
      COLUMN()-9
    )
  )
)"),"1.1.1 Foundations and piling")</f>
        <v>1.1.1 Foundations and piling</v>
      </c>
      <c r="M30" s="234" t="str">
        <f>IFERROR(__xludf.DUMMYFUNCTION("IF(
  $I30="""",
  """",
  IF(
    COLUMN()-9 &gt;
    (1 + LEN(REGEXEXTRACT($I30,""^[0-9.]+"")) - LEN(SUBSTITUTE(REGEXEXTRACT($I30,""^[0-9.]+""),""."",""""))),
    """",
    INDEX(
      BEC_openBDF!$A:$D,
      MATCH(
        $I30,
        INDEX(
         "&amp;" BEC_openBDF!$A:$D,
          0,
          (1 + LEN(REGEXEXTRACT($I30,""^[0-9.]+"")) - LEN(SUBSTITUTE(REGEXEXTRACT($I30,""^[0-9.]+""),""."","""")))
        ),
        0
      ),
      COLUMN()-9
    )
  )
)"),"")</f>
        <v/>
      </c>
      <c r="N30" s="197" t="s">
        <v>793</v>
      </c>
      <c r="O30" s="193"/>
      <c r="P30" s="197" t="s">
        <v>776</v>
      </c>
      <c r="Q30" s="255" t="s">
        <v>777</v>
      </c>
      <c r="R30" s="255" t="s">
        <v>765</v>
      </c>
      <c r="S30" s="263" t="s">
        <v>778</v>
      </c>
      <c r="T30" s="240">
        <v>2.916738827E9</v>
      </c>
      <c r="U30" s="240">
        <v>5.589228373E9</v>
      </c>
      <c r="V30" s="258"/>
      <c r="W30" s="258"/>
      <c r="X30" s="240">
        <v>8.265127349E9</v>
      </c>
      <c r="Y30" s="238"/>
    </row>
    <row r="31" ht="18.75" customHeight="1">
      <c r="A31" s="232"/>
      <c r="B31" s="192"/>
      <c r="C31" s="193" t="s">
        <v>758</v>
      </c>
      <c r="D31" s="192" t="s">
        <v>759</v>
      </c>
      <c r="E31" s="192" t="s">
        <v>760</v>
      </c>
      <c r="F31" s="192" t="s">
        <v>761</v>
      </c>
      <c r="G31" s="237"/>
      <c r="H31" s="237"/>
      <c r="I31" s="193" t="s">
        <v>677</v>
      </c>
      <c r="J31" s="234" t="str">
        <f>IFERROR(__xludf.DUMMYFUNCTION("IF(
  $I31="""",
  """",
  IF(
    COLUMN()-9 &gt;
    (1 + LEN(REGEXEXTRACT($I31,""^[0-9.]+"")) - LEN(SUBSTITUTE(REGEXEXTRACT($I31,""^[0-9.]+""),""."",""""))),
    """",
    INDEX(
      BEC_openBDF!$A:$D,
      MATCH(
        $I31,
        INDEX(
         "&amp;" BEC_openBDF!$A:$D,
          0,
          (1 + LEN(REGEXEXTRACT($I31,""^[0-9.]+"")) - LEN(SUBSTITUTE(REGEXEXTRACT($I31,""^[0-9.]+""),""."","""")))
        ),
        0
      ),
      COLUMN()-9
    )
  )
)"),"1 Sub-structure")</f>
        <v>1 Sub-structure</v>
      </c>
      <c r="K31" s="234" t="str">
        <f>IFERROR(__xludf.DUMMYFUNCTION("IF(
  $I31="""",
  """",
  IF(
    COLUMN()-9 &gt;
    (1 + LEN(REGEXEXTRACT($I31,""^[0-9.]+"")) - LEN(SUBSTITUTE(REGEXEXTRACT($I31,""^[0-9.]+""),""."",""""))),
    """",
    INDEX(
      BEC_openBDF!$A:$D,
      MATCH(
        $I31,
        INDEX(
         "&amp;" BEC_openBDF!$A:$D,
          0,
          (1 + LEN(REGEXEXTRACT($I31,""^[0-9.]+"")) - LEN(SUBSTITUTE(REGEXEXTRACT($I31,""^[0-9.]+""),""."","""")))
        ),
        0
      ),
      COLUMN()-9
    )
  )
)"),"1.1 Foundations and piling")</f>
        <v>1.1 Foundations and piling</v>
      </c>
      <c r="L31" s="234" t="str">
        <f>IFERROR(__xludf.DUMMYFUNCTION("IF(
  $I31="""",
  """",
  IF(
    COLUMN()-9 &gt;
    (1 + LEN(REGEXEXTRACT($I31,""^[0-9.]+"")) - LEN(SUBSTITUTE(REGEXEXTRACT($I31,""^[0-9.]+""),""."",""""))),
    """",
    INDEX(
      BEC_openBDF!$A:$D,
      MATCH(
        $I31,
        INDEX(
         "&amp;" BEC_openBDF!$A:$D,
          0,
          (1 + LEN(REGEXEXTRACT($I31,""^[0-9.]+"")) - LEN(SUBSTITUTE(REGEXEXTRACT($I31,""^[0-9.]+""),""."","""")))
        ),
        0
      ),
      COLUMN()-9
    )
  )
)"),"1.1.1 Foundations and piling")</f>
        <v>1.1.1 Foundations and piling</v>
      </c>
      <c r="M31" s="234" t="str">
        <f>IFERROR(__xludf.DUMMYFUNCTION("IF(
  $I31="""",
  """",
  IF(
    COLUMN()-9 &gt;
    (1 + LEN(REGEXEXTRACT($I31,""^[0-9.]+"")) - LEN(SUBSTITUTE(REGEXEXTRACT($I31,""^[0-9.]+""),""."",""""))),
    """",
    INDEX(
      BEC_openBDF!$A:$D,
      MATCH(
        $I31,
        INDEX(
         "&amp;" BEC_openBDF!$A:$D,
          0,
          (1 + LEN(REGEXEXTRACT($I31,""^[0-9.]+"")) - LEN(SUBSTITUTE(REGEXEXTRACT($I31,""^[0-9.]+""),""."","""")))
        ),
        0
      ),
      COLUMN()-9
    )
  )
)"),"")</f>
        <v/>
      </c>
      <c r="N31" s="197" t="s">
        <v>793</v>
      </c>
      <c r="O31" s="193"/>
      <c r="P31" s="197" t="s">
        <v>779</v>
      </c>
      <c r="Q31" s="255" t="s">
        <v>780</v>
      </c>
      <c r="R31" s="255" t="s">
        <v>765</v>
      </c>
      <c r="S31" s="263" t="s">
        <v>781</v>
      </c>
      <c r="T31" s="240">
        <v>1.034007249E9</v>
      </c>
      <c r="U31" s="240">
        <v>5.589228373E9</v>
      </c>
      <c r="V31" s="258"/>
      <c r="W31" s="258"/>
      <c r="X31" s="240">
        <v>8.685770664E9</v>
      </c>
      <c r="Y31" s="238"/>
    </row>
    <row r="32" ht="18.75" customHeight="1">
      <c r="A32" s="232"/>
      <c r="B32" s="192"/>
      <c r="C32" s="193" t="s">
        <v>758</v>
      </c>
      <c r="D32" s="192" t="s">
        <v>759</v>
      </c>
      <c r="E32" s="192" t="s">
        <v>760</v>
      </c>
      <c r="F32" s="192" t="s">
        <v>761</v>
      </c>
      <c r="G32" s="237"/>
      <c r="H32" s="237"/>
      <c r="I32" s="193" t="s">
        <v>677</v>
      </c>
      <c r="J32" s="234" t="str">
        <f>IFERROR(__xludf.DUMMYFUNCTION("IF(
  $I32="""",
  """",
  IF(
    COLUMN()-9 &gt;
    (1 + LEN(REGEXEXTRACT($I32,""^[0-9.]+"")) - LEN(SUBSTITUTE(REGEXEXTRACT($I32,""^[0-9.]+""),""."",""""))),
    """",
    INDEX(
      BEC_openBDF!$A:$D,
      MATCH(
        $I32,
        INDEX(
         "&amp;" BEC_openBDF!$A:$D,
          0,
          (1 + LEN(REGEXEXTRACT($I32,""^[0-9.]+"")) - LEN(SUBSTITUTE(REGEXEXTRACT($I32,""^[0-9.]+""),""."","""")))
        ),
        0
      ),
      COLUMN()-9
    )
  )
)"),"1 Sub-structure")</f>
        <v>1 Sub-structure</v>
      </c>
      <c r="K32" s="234" t="str">
        <f>IFERROR(__xludf.DUMMYFUNCTION("IF(
  $I32="""",
  """",
  IF(
    COLUMN()-9 &gt;
    (1 + LEN(REGEXEXTRACT($I32,""^[0-9.]+"")) - LEN(SUBSTITUTE(REGEXEXTRACT($I32,""^[0-9.]+""),""."",""""))),
    """",
    INDEX(
      BEC_openBDF!$A:$D,
      MATCH(
        $I32,
        INDEX(
         "&amp;" BEC_openBDF!$A:$D,
          0,
          (1 + LEN(REGEXEXTRACT($I32,""^[0-9.]+"")) - LEN(SUBSTITUTE(REGEXEXTRACT($I32,""^[0-9.]+""),""."","""")))
        ),
        0
      ),
      COLUMN()-9
    )
  )
)"),"1.1 Foundations and piling")</f>
        <v>1.1 Foundations and piling</v>
      </c>
      <c r="L32" s="234" t="str">
        <f>IFERROR(__xludf.DUMMYFUNCTION("IF(
  $I32="""",
  """",
  IF(
    COLUMN()-9 &gt;
    (1 + LEN(REGEXEXTRACT($I32,""^[0-9.]+"")) - LEN(SUBSTITUTE(REGEXEXTRACT($I32,""^[0-9.]+""),""."",""""))),
    """",
    INDEX(
      BEC_openBDF!$A:$D,
      MATCH(
        $I32,
        INDEX(
         "&amp;" BEC_openBDF!$A:$D,
          0,
          (1 + LEN(REGEXEXTRACT($I32,""^[0-9.]+"")) - LEN(SUBSTITUTE(REGEXEXTRACT($I32,""^[0-9.]+""),""."","""")))
        ),
        0
      ),
      COLUMN()-9
    )
  )
)"),"1.1.1 Foundations and piling")</f>
        <v>1.1.1 Foundations and piling</v>
      </c>
      <c r="M32" s="234" t="str">
        <f>IFERROR(__xludf.DUMMYFUNCTION("IF(
  $I32="""",
  """",
  IF(
    COLUMN()-9 &gt;
    (1 + LEN(REGEXEXTRACT($I32,""^[0-9.]+"")) - LEN(SUBSTITUTE(REGEXEXTRACT($I32,""^[0-9.]+""),""."",""""))),
    """",
    INDEX(
      BEC_openBDF!$A:$D,
      MATCH(
        $I32,
        INDEX(
         "&amp;" BEC_openBDF!$A:$D,
          0,
          (1 + LEN(REGEXEXTRACT($I32,""^[0-9.]+"")) - LEN(SUBSTITUTE(REGEXEXTRACT($I32,""^[0-9.]+""),""."","""")))
        ),
        0
      ),
      COLUMN()-9
    )
  )
)"),"")</f>
        <v/>
      </c>
      <c r="N32" s="197" t="s">
        <v>793</v>
      </c>
      <c r="O32" s="193"/>
      <c r="P32" s="197" t="s">
        <v>763</v>
      </c>
      <c r="Q32" s="255" t="s">
        <v>764</v>
      </c>
      <c r="R32" s="255" t="s">
        <v>765</v>
      </c>
      <c r="S32" s="263" t="s">
        <v>766</v>
      </c>
      <c r="T32" s="240">
        <v>9.334011384E9</v>
      </c>
      <c r="U32" s="240">
        <v>5.589228373E9</v>
      </c>
      <c r="V32" s="258"/>
      <c r="W32" s="258"/>
      <c r="X32" s="240">
        <v>3.756008936E9</v>
      </c>
      <c r="Y32" s="238"/>
    </row>
    <row r="33" ht="18.75" customHeight="1">
      <c r="A33" s="232"/>
      <c r="B33" s="192"/>
      <c r="C33" s="193" t="s">
        <v>758</v>
      </c>
      <c r="D33" s="192" t="s">
        <v>759</v>
      </c>
      <c r="E33" s="192" t="s">
        <v>760</v>
      </c>
      <c r="F33" s="192" t="s">
        <v>761</v>
      </c>
      <c r="G33" s="237"/>
      <c r="H33" s="237"/>
      <c r="I33" s="193" t="s">
        <v>677</v>
      </c>
      <c r="J33" s="234" t="str">
        <f>IFERROR(__xludf.DUMMYFUNCTION("IF(
  $I33="""",
  """",
  IF(
    COLUMN()-9 &gt;
    (1 + LEN(REGEXEXTRACT($I33,""^[0-9.]+"")) - LEN(SUBSTITUTE(REGEXEXTRACT($I33,""^[0-9.]+""),""."",""""))),
    """",
    INDEX(
      BEC_openBDF!$A:$D,
      MATCH(
        $I33,
        INDEX(
         "&amp;" BEC_openBDF!$A:$D,
          0,
          (1 + LEN(REGEXEXTRACT($I33,""^[0-9.]+"")) - LEN(SUBSTITUTE(REGEXEXTRACT($I33,""^[0-9.]+""),""."","""")))
        ),
        0
      ),
      COLUMN()-9
    )
  )
)"),"1 Sub-structure")</f>
        <v>1 Sub-structure</v>
      </c>
      <c r="K33" s="234" t="str">
        <f>IFERROR(__xludf.DUMMYFUNCTION("IF(
  $I33="""",
  """",
  IF(
    COLUMN()-9 &gt;
    (1 + LEN(REGEXEXTRACT($I33,""^[0-9.]+"")) - LEN(SUBSTITUTE(REGEXEXTRACT($I33,""^[0-9.]+""),""."",""""))),
    """",
    INDEX(
      BEC_openBDF!$A:$D,
      MATCH(
        $I33,
        INDEX(
         "&amp;" BEC_openBDF!$A:$D,
          0,
          (1 + LEN(REGEXEXTRACT($I33,""^[0-9.]+"")) - LEN(SUBSTITUTE(REGEXEXTRACT($I33,""^[0-9.]+""),""."","""")))
        ),
        0
      ),
      COLUMN()-9
    )
  )
)"),"1.1 Foundations and piling")</f>
        <v>1.1 Foundations and piling</v>
      </c>
      <c r="L33" s="234" t="str">
        <f>IFERROR(__xludf.DUMMYFUNCTION("IF(
  $I33="""",
  """",
  IF(
    COLUMN()-9 &gt;
    (1 + LEN(REGEXEXTRACT($I33,""^[0-9.]+"")) - LEN(SUBSTITUTE(REGEXEXTRACT($I33,""^[0-9.]+""),""."",""""))),
    """",
    INDEX(
      BEC_openBDF!$A:$D,
      MATCH(
        $I33,
        INDEX(
         "&amp;" BEC_openBDF!$A:$D,
          0,
          (1 + LEN(REGEXEXTRACT($I33,""^[0-9.]+"")) - LEN(SUBSTITUTE(REGEXEXTRACT($I33,""^[0-9.]+""),""."","""")))
        ),
        0
      ),
      COLUMN()-9
    )
  )
)"),"1.1.1 Foundations and piling")</f>
        <v>1.1.1 Foundations and piling</v>
      </c>
      <c r="M33" s="234" t="str">
        <f>IFERROR(__xludf.DUMMYFUNCTION("IF(
  $I33="""",
  """",
  IF(
    COLUMN()-9 &gt;
    (1 + LEN(REGEXEXTRACT($I33,""^[0-9.]+"")) - LEN(SUBSTITUTE(REGEXEXTRACT($I33,""^[0-9.]+""),""."",""""))),
    """",
    INDEX(
      BEC_openBDF!$A:$D,
      MATCH(
        $I33,
        INDEX(
         "&amp;" BEC_openBDF!$A:$D,
          0,
          (1 + LEN(REGEXEXTRACT($I33,""^[0-9.]+"")) - LEN(SUBSTITUTE(REGEXEXTRACT($I33,""^[0-9.]+""),""."","""")))
        ),
        0
      ),
      COLUMN()-9
    )
  )
)"),"")</f>
        <v/>
      </c>
      <c r="N33" s="197" t="s">
        <v>793</v>
      </c>
      <c r="O33" s="193"/>
      <c r="P33" s="197" t="s">
        <v>763</v>
      </c>
      <c r="Q33" s="255" t="s">
        <v>764</v>
      </c>
      <c r="R33" s="255" t="s">
        <v>765</v>
      </c>
      <c r="S33" s="263" t="s">
        <v>766</v>
      </c>
      <c r="T33" s="240">
        <v>3.353537024E9</v>
      </c>
      <c r="U33" s="240">
        <v>5.589228373E9</v>
      </c>
      <c r="V33" s="258"/>
      <c r="W33" s="258"/>
      <c r="X33" s="240">
        <v>5.008011914E9</v>
      </c>
      <c r="Y33" s="238"/>
    </row>
    <row r="34" ht="18.75" customHeight="1">
      <c r="A34" s="232"/>
      <c r="B34" s="192"/>
      <c r="C34" s="193" t="s">
        <v>678</v>
      </c>
      <c r="D34" s="192" t="s">
        <v>759</v>
      </c>
      <c r="E34" s="192" t="s">
        <v>760</v>
      </c>
      <c r="F34" s="192" t="s">
        <v>761</v>
      </c>
      <c r="G34" s="237"/>
      <c r="H34" s="237"/>
      <c r="I34" s="193" t="s">
        <v>677</v>
      </c>
      <c r="J34" s="234" t="str">
        <f>IFERROR(__xludf.DUMMYFUNCTION("IF(
  $I34="""",
  """",
  IF(
    COLUMN()-9 &gt;
    (1 + LEN(REGEXEXTRACT($I34,""^[0-9.]+"")) - LEN(SUBSTITUTE(REGEXEXTRACT($I34,""^[0-9.]+""),""."",""""))),
    """",
    INDEX(
      BEC_openBDF!$A:$D,
      MATCH(
        $I34,
        INDEX(
         "&amp;" BEC_openBDF!$A:$D,
          0,
          (1 + LEN(REGEXEXTRACT($I34,""^[0-9.]+"")) - LEN(SUBSTITUTE(REGEXEXTRACT($I34,""^[0-9.]+""),""."","""")))
        ),
        0
      ),
      COLUMN()-9
    )
  )
)"),"1 Sub-structure")</f>
        <v>1 Sub-structure</v>
      </c>
      <c r="K34" s="234" t="str">
        <f>IFERROR(__xludf.DUMMYFUNCTION("IF(
  $I34="""",
  """",
  IF(
    COLUMN()-9 &gt;
    (1 + LEN(REGEXEXTRACT($I34,""^[0-9.]+"")) - LEN(SUBSTITUTE(REGEXEXTRACT($I34,""^[0-9.]+""),""."",""""))),
    """",
    INDEX(
      BEC_openBDF!$A:$D,
      MATCH(
        $I34,
        INDEX(
         "&amp;" BEC_openBDF!$A:$D,
          0,
          (1 + LEN(REGEXEXTRACT($I34,""^[0-9.]+"")) - LEN(SUBSTITUTE(REGEXEXTRACT($I34,""^[0-9.]+""),""."","""")))
        ),
        0
      ),
      COLUMN()-9
    )
  )
)"),"1.1 Foundations and piling")</f>
        <v>1.1 Foundations and piling</v>
      </c>
      <c r="L34" s="234" t="str">
        <f>IFERROR(__xludf.DUMMYFUNCTION("IF(
  $I34="""",
  """",
  IF(
    COLUMN()-9 &gt;
    (1 + LEN(REGEXEXTRACT($I34,""^[0-9.]+"")) - LEN(SUBSTITUTE(REGEXEXTRACT($I34,""^[0-9.]+""),""."",""""))),
    """",
    INDEX(
      BEC_openBDF!$A:$D,
      MATCH(
        $I34,
        INDEX(
         "&amp;" BEC_openBDF!$A:$D,
          0,
          (1 + LEN(REGEXEXTRACT($I34,""^[0-9.]+"")) - LEN(SUBSTITUTE(REGEXEXTRACT($I34,""^[0-9.]+""),""."","""")))
        ),
        0
      ),
      COLUMN()-9
    )
  )
)"),"1.1.1 Foundations and piling")</f>
        <v>1.1.1 Foundations and piling</v>
      </c>
      <c r="M34" s="234" t="str">
        <f>IFERROR(__xludf.DUMMYFUNCTION("IF(
  $I34="""",
  """",
  IF(
    COLUMN()-9 &gt;
    (1 + LEN(REGEXEXTRACT($I34,""^[0-9.]+"")) - LEN(SUBSTITUTE(REGEXEXTRACT($I34,""^[0-9.]+""),""."",""""))),
    """",
    INDEX(
      BEC_openBDF!$A:$D,
      MATCH(
        $I34,
        INDEX(
         "&amp;" BEC_openBDF!$A:$D,
          0,
          (1 + LEN(REGEXEXTRACT($I34,""^[0-9.]+"")) - LEN(SUBSTITUTE(REGEXEXTRACT($I34,""^[0-9.]+""),""."","""")))
        ),
        0
      ),
      COLUMN()-9
    )
  )
)"),"")</f>
        <v/>
      </c>
      <c r="N34" s="197" t="s">
        <v>793</v>
      </c>
      <c r="O34" s="193"/>
      <c r="P34" s="197" t="s">
        <v>794</v>
      </c>
      <c r="Q34" s="255" t="s">
        <v>795</v>
      </c>
      <c r="R34" s="255" t="s">
        <v>796</v>
      </c>
      <c r="S34" s="263" t="s">
        <v>797</v>
      </c>
      <c r="T34" s="240">
        <v>2.794614187E9</v>
      </c>
      <c r="U34" s="240">
        <v>5.589228373E9</v>
      </c>
      <c r="V34" s="258"/>
      <c r="W34" s="258"/>
      <c r="X34" s="240">
        <v>1.474233507E9</v>
      </c>
      <c r="Y34" s="238"/>
    </row>
    <row r="35" ht="18.75" customHeight="1">
      <c r="A35" s="232"/>
      <c r="B35" s="192"/>
      <c r="C35" s="193" t="s">
        <v>678</v>
      </c>
      <c r="D35" s="192" t="s">
        <v>759</v>
      </c>
      <c r="E35" s="192" t="s">
        <v>760</v>
      </c>
      <c r="F35" s="192" t="s">
        <v>761</v>
      </c>
      <c r="G35" s="237"/>
      <c r="H35" s="237"/>
      <c r="I35" s="193" t="s">
        <v>677</v>
      </c>
      <c r="J35" s="234" t="str">
        <f>IFERROR(__xludf.DUMMYFUNCTION("IF(
  $I35="""",
  """",
  IF(
    COLUMN()-9 &gt;
    (1 + LEN(REGEXEXTRACT($I35,""^[0-9.]+"")) - LEN(SUBSTITUTE(REGEXEXTRACT($I35,""^[0-9.]+""),""."",""""))),
    """",
    INDEX(
      BEC_openBDF!$A:$D,
      MATCH(
        $I35,
        INDEX(
         "&amp;" BEC_openBDF!$A:$D,
          0,
          (1 + LEN(REGEXEXTRACT($I35,""^[0-9.]+"")) - LEN(SUBSTITUTE(REGEXEXTRACT($I35,""^[0-9.]+""),""."","""")))
        ),
        0
      ),
      COLUMN()-9
    )
  )
)"),"1 Sub-structure")</f>
        <v>1 Sub-structure</v>
      </c>
      <c r="K35" s="234" t="str">
        <f>IFERROR(__xludf.DUMMYFUNCTION("IF(
  $I35="""",
  """",
  IF(
    COLUMN()-9 &gt;
    (1 + LEN(REGEXEXTRACT($I35,""^[0-9.]+"")) - LEN(SUBSTITUTE(REGEXEXTRACT($I35,""^[0-9.]+""),""."",""""))),
    """",
    INDEX(
      BEC_openBDF!$A:$D,
      MATCH(
        $I35,
        INDEX(
         "&amp;" BEC_openBDF!$A:$D,
          0,
          (1 + LEN(REGEXEXTRACT($I35,""^[0-9.]+"")) - LEN(SUBSTITUTE(REGEXEXTRACT($I35,""^[0-9.]+""),""."","""")))
        ),
        0
      ),
      COLUMN()-9
    )
  )
)"),"1.1 Foundations and piling")</f>
        <v>1.1 Foundations and piling</v>
      </c>
      <c r="L35" s="234" t="str">
        <f>IFERROR(__xludf.DUMMYFUNCTION("IF(
  $I35="""",
  """",
  IF(
    COLUMN()-9 &gt;
    (1 + LEN(REGEXEXTRACT($I35,""^[0-9.]+"")) - LEN(SUBSTITUTE(REGEXEXTRACT($I35,""^[0-9.]+""),""."",""""))),
    """",
    INDEX(
      BEC_openBDF!$A:$D,
      MATCH(
        $I35,
        INDEX(
         "&amp;" BEC_openBDF!$A:$D,
          0,
          (1 + LEN(REGEXEXTRACT($I35,""^[0-9.]+"")) - LEN(SUBSTITUTE(REGEXEXTRACT($I35,""^[0-9.]+""),""."","""")))
        ),
        0
      ),
      COLUMN()-9
    )
  )
)"),"1.1.1 Foundations and piling")</f>
        <v>1.1.1 Foundations and piling</v>
      </c>
      <c r="M35" s="234" t="str">
        <f>IFERROR(__xludf.DUMMYFUNCTION("IF(
  $I35="""",
  """",
  IF(
    COLUMN()-9 &gt;
    (1 + LEN(REGEXEXTRACT($I35,""^[0-9.]+"")) - LEN(SUBSTITUTE(REGEXEXTRACT($I35,""^[0-9.]+""),""."",""""))),
    """",
    INDEX(
      BEC_openBDF!$A:$D,
      MATCH(
        $I35,
        INDEX(
         "&amp;" BEC_openBDF!$A:$D,
          0,
          (1 + LEN(REGEXEXTRACT($I35,""^[0-9.]+"")) - LEN(SUBSTITUTE(REGEXEXTRACT($I35,""^[0-9.]+""),""."","""")))
        ),
        0
      ),
      COLUMN()-9
    )
  )
)"),"")</f>
        <v/>
      </c>
      <c r="N35" s="197" t="s">
        <v>793</v>
      </c>
      <c r="O35" s="193"/>
      <c r="P35" s="197" t="s">
        <v>798</v>
      </c>
      <c r="Q35" s="255" t="s">
        <v>799</v>
      </c>
      <c r="R35" s="255" t="s">
        <v>765</v>
      </c>
      <c r="S35" s="263" t="s">
        <v>800</v>
      </c>
      <c r="T35" s="240">
        <v>1.676768512E9</v>
      </c>
      <c r="U35" s="240">
        <v>5.589228373E9</v>
      </c>
      <c r="V35" s="258"/>
      <c r="W35" s="258"/>
      <c r="X35" s="240">
        <v>2.208533254E9</v>
      </c>
      <c r="Y35" s="238"/>
    </row>
    <row r="36" ht="18.75" customHeight="1">
      <c r="A36" s="232"/>
      <c r="B36" s="192"/>
      <c r="C36" s="193" t="s">
        <v>678</v>
      </c>
      <c r="D36" s="192" t="s">
        <v>759</v>
      </c>
      <c r="E36" s="192" t="s">
        <v>760</v>
      </c>
      <c r="F36" s="192" t="s">
        <v>761</v>
      </c>
      <c r="G36" s="237"/>
      <c r="H36" s="237"/>
      <c r="I36" s="193" t="s">
        <v>677</v>
      </c>
      <c r="J36" s="234" t="str">
        <f>IFERROR(__xludf.DUMMYFUNCTION("IF(
  $I36="""",
  """",
  IF(
    COLUMN()-9 &gt;
    (1 + LEN(REGEXEXTRACT($I36,""^[0-9.]+"")) - LEN(SUBSTITUTE(REGEXEXTRACT($I36,""^[0-9.]+""),""."",""""))),
    """",
    INDEX(
      BEC_openBDF!$A:$D,
      MATCH(
        $I36,
        INDEX(
         "&amp;" BEC_openBDF!$A:$D,
          0,
          (1 + LEN(REGEXEXTRACT($I36,""^[0-9.]+"")) - LEN(SUBSTITUTE(REGEXEXTRACT($I36,""^[0-9.]+""),""."","""")))
        ),
        0
      ),
      COLUMN()-9
    )
  )
)"),"1 Sub-structure")</f>
        <v>1 Sub-structure</v>
      </c>
      <c r="K36" s="234" t="str">
        <f>IFERROR(__xludf.DUMMYFUNCTION("IF(
  $I36="""",
  """",
  IF(
    COLUMN()-9 &gt;
    (1 + LEN(REGEXEXTRACT($I36,""^[0-9.]+"")) - LEN(SUBSTITUTE(REGEXEXTRACT($I36,""^[0-9.]+""),""."",""""))),
    """",
    INDEX(
      BEC_openBDF!$A:$D,
      MATCH(
        $I36,
        INDEX(
         "&amp;" BEC_openBDF!$A:$D,
          0,
          (1 + LEN(REGEXEXTRACT($I36,""^[0-9.]+"")) - LEN(SUBSTITUTE(REGEXEXTRACT($I36,""^[0-9.]+""),""."","""")))
        ),
        0
      ),
      COLUMN()-9
    )
  )
)"),"1.1 Foundations and piling")</f>
        <v>1.1 Foundations and piling</v>
      </c>
      <c r="L36" s="234" t="str">
        <f>IFERROR(__xludf.DUMMYFUNCTION("IF(
  $I36="""",
  """",
  IF(
    COLUMN()-9 &gt;
    (1 + LEN(REGEXEXTRACT($I36,""^[0-9.]+"")) - LEN(SUBSTITUTE(REGEXEXTRACT($I36,""^[0-9.]+""),""."",""""))),
    """",
    INDEX(
      BEC_openBDF!$A:$D,
      MATCH(
        $I36,
        INDEX(
         "&amp;" BEC_openBDF!$A:$D,
          0,
          (1 + LEN(REGEXEXTRACT($I36,""^[0-9.]+"")) - LEN(SUBSTITUTE(REGEXEXTRACT($I36,""^[0-9.]+""),""."","""")))
        ),
        0
      ),
      COLUMN()-9
    )
  )
)"),"1.1.1 Foundations and piling")</f>
        <v>1.1.1 Foundations and piling</v>
      </c>
      <c r="M36" s="234" t="str">
        <f>IFERROR(__xludf.DUMMYFUNCTION("IF(
  $I36="""",
  """",
  IF(
    COLUMN()-9 &gt;
    (1 + LEN(REGEXEXTRACT($I36,""^[0-9.]+"")) - LEN(SUBSTITUTE(REGEXEXTRACT($I36,""^[0-9.]+""),""."",""""))),
    """",
    INDEX(
      BEC_openBDF!$A:$D,
      MATCH(
        $I36,
        INDEX(
         "&amp;" BEC_openBDF!$A:$D,
          0,
          (1 + LEN(REGEXEXTRACT($I36,""^[0-9.]+"")) - LEN(SUBSTITUTE(REGEXEXTRACT($I36,""^[0-9.]+""),""."","""")))
        ),
        0
      ),
      COLUMN()-9
    )
  )
)"),"")</f>
        <v/>
      </c>
      <c r="N36" s="197" t="s">
        <v>801</v>
      </c>
      <c r="O36" s="193"/>
      <c r="P36" s="197" t="s">
        <v>763</v>
      </c>
      <c r="Q36" s="255" t="s">
        <v>764</v>
      </c>
      <c r="R36" s="255" t="s">
        <v>765</v>
      </c>
      <c r="S36" s="263" t="s">
        <v>766</v>
      </c>
      <c r="T36" s="240">
        <v>4.695011169E9</v>
      </c>
      <c r="U36" s="240">
        <v>1.565003723E9</v>
      </c>
      <c r="V36" s="258"/>
      <c r="W36" s="258"/>
      <c r="X36" s="240">
        <v>7.825018616E9</v>
      </c>
      <c r="Y36" s="238"/>
    </row>
    <row r="37" ht="18.75" customHeight="1">
      <c r="A37" s="232"/>
      <c r="B37" s="192"/>
      <c r="C37" s="193" t="s">
        <v>678</v>
      </c>
      <c r="D37" s="192" t="s">
        <v>759</v>
      </c>
      <c r="E37" s="192" t="s">
        <v>760</v>
      </c>
      <c r="F37" s="192" t="s">
        <v>761</v>
      </c>
      <c r="G37" s="237"/>
      <c r="H37" s="237"/>
      <c r="I37" s="193" t="s">
        <v>677</v>
      </c>
      <c r="J37" s="234" t="str">
        <f>IFERROR(__xludf.DUMMYFUNCTION("IF(
  $I37="""",
  """",
  IF(
    COLUMN()-9 &gt;
    (1 + LEN(REGEXEXTRACT($I37,""^[0-9.]+"")) - LEN(SUBSTITUTE(REGEXEXTRACT($I37,""^[0-9.]+""),""."",""""))),
    """",
    INDEX(
      BEC_openBDF!$A:$D,
      MATCH(
        $I37,
        INDEX(
         "&amp;" BEC_openBDF!$A:$D,
          0,
          (1 + LEN(REGEXEXTRACT($I37,""^[0-9.]+"")) - LEN(SUBSTITUTE(REGEXEXTRACT($I37,""^[0-9.]+""),""."","""")))
        ),
        0
      ),
      COLUMN()-9
    )
  )
)"),"1 Sub-structure")</f>
        <v>1 Sub-structure</v>
      </c>
      <c r="K37" s="234" t="str">
        <f>IFERROR(__xludf.DUMMYFUNCTION("IF(
  $I37="""",
  """",
  IF(
    COLUMN()-9 &gt;
    (1 + LEN(REGEXEXTRACT($I37,""^[0-9.]+"")) - LEN(SUBSTITUTE(REGEXEXTRACT($I37,""^[0-9.]+""),""."",""""))),
    """",
    INDEX(
      BEC_openBDF!$A:$D,
      MATCH(
        $I37,
        INDEX(
         "&amp;" BEC_openBDF!$A:$D,
          0,
          (1 + LEN(REGEXEXTRACT($I37,""^[0-9.]+"")) - LEN(SUBSTITUTE(REGEXEXTRACT($I37,""^[0-9.]+""),""."","""")))
        ),
        0
      ),
      COLUMN()-9
    )
  )
)"),"1.1 Foundations and piling")</f>
        <v>1.1 Foundations and piling</v>
      </c>
      <c r="L37" s="234" t="str">
        <f>IFERROR(__xludf.DUMMYFUNCTION("IF(
  $I37="""",
  """",
  IF(
    COLUMN()-9 &gt;
    (1 + LEN(REGEXEXTRACT($I37,""^[0-9.]+"")) - LEN(SUBSTITUTE(REGEXEXTRACT($I37,""^[0-9.]+""),""."",""""))),
    """",
    INDEX(
      BEC_openBDF!$A:$D,
      MATCH(
        $I37,
        INDEX(
         "&amp;" BEC_openBDF!$A:$D,
          0,
          (1 + LEN(REGEXEXTRACT($I37,""^[0-9.]+"")) - LEN(SUBSTITUTE(REGEXEXTRACT($I37,""^[0-9.]+""),""."","""")))
        ),
        0
      ),
      COLUMN()-9
    )
  )
)"),"1.1.1 Foundations and piling")</f>
        <v>1.1.1 Foundations and piling</v>
      </c>
      <c r="M37" s="234" t="str">
        <f>IFERROR(__xludf.DUMMYFUNCTION("IF(
  $I37="""",
  """",
  IF(
    COLUMN()-9 &gt;
    (1 + LEN(REGEXEXTRACT($I37,""^[0-9.]+"")) - LEN(SUBSTITUTE(REGEXEXTRACT($I37,""^[0-9.]+""),""."",""""))),
    """",
    INDEX(
      BEC_openBDF!$A:$D,
      MATCH(
        $I37,
        INDEX(
         "&amp;" BEC_openBDF!$A:$D,
          0,
          (1 + LEN(REGEXEXTRACT($I37,""^[0-9.]+"")) - LEN(SUBSTITUTE(REGEXEXTRACT($I37,""^[0-9.]+""),""."","""")))
        ),
        0
      ),
      COLUMN()-9
    )
  )
)"),"")</f>
        <v/>
      </c>
      <c r="N37" s="197" t="s">
        <v>801</v>
      </c>
      <c r="O37" s="193"/>
      <c r="P37" s="197" t="s">
        <v>767</v>
      </c>
      <c r="Q37" s="255" t="s">
        <v>768</v>
      </c>
      <c r="R37" s="255" t="s">
        <v>765</v>
      </c>
      <c r="S37" s="263" t="s">
        <v>769</v>
      </c>
      <c r="T37" s="240">
        <v>1.565003723E9</v>
      </c>
      <c r="U37" s="240">
        <v>1.565003723E9</v>
      </c>
      <c r="V37" s="258"/>
      <c r="W37" s="258"/>
      <c r="X37" s="240">
        <v>5.832662121E9</v>
      </c>
      <c r="Y37" s="238"/>
    </row>
    <row r="38" ht="18.75" customHeight="1">
      <c r="A38" s="232"/>
      <c r="B38" s="192"/>
      <c r="C38" s="193" t="s">
        <v>678</v>
      </c>
      <c r="D38" s="192" t="s">
        <v>759</v>
      </c>
      <c r="E38" s="192" t="s">
        <v>760</v>
      </c>
      <c r="F38" s="192" t="s">
        <v>761</v>
      </c>
      <c r="G38" s="237"/>
      <c r="H38" s="237"/>
      <c r="I38" s="193" t="s">
        <v>677</v>
      </c>
      <c r="J38" s="234" t="str">
        <f>IFERROR(__xludf.DUMMYFUNCTION("IF(
  $I38="""",
  """",
  IF(
    COLUMN()-9 &gt;
    (1 + LEN(REGEXEXTRACT($I38,""^[0-9.]+"")) - LEN(SUBSTITUTE(REGEXEXTRACT($I38,""^[0-9.]+""),""."",""""))),
    """",
    INDEX(
      BEC_openBDF!$A:$D,
      MATCH(
        $I38,
        INDEX(
         "&amp;" BEC_openBDF!$A:$D,
          0,
          (1 + LEN(REGEXEXTRACT($I38,""^[0-9.]+"")) - LEN(SUBSTITUTE(REGEXEXTRACT($I38,""^[0-9.]+""),""."","""")))
        ),
        0
      ),
      COLUMN()-9
    )
  )
)"),"1 Sub-structure")</f>
        <v>1 Sub-structure</v>
      </c>
      <c r="K38" s="234" t="str">
        <f>IFERROR(__xludf.DUMMYFUNCTION("IF(
  $I38="""",
  """",
  IF(
    COLUMN()-9 &gt;
    (1 + LEN(REGEXEXTRACT($I38,""^[0-9.]+"")) - LEN(SUBSTITUTE(REGEXEXTRACT($I38,""^[0-9.]+""),""."",""""))),
    """",
    INDEX(
      BEC_openBDF!$A:$D,
      MATCH(
        $I38,
        INDEX(
         "&amp;" BEC_openBDF!$A:$D,
          0,
          (1 + LEN(REGEXEXTRACT($I38,""^[0-9.]+"")) - LEN(SUBSTITUTE(REGEXEXTRACT($I38,""^[0-9.]+""),""."","""")))
        ),
        0
      ),
      COLUMN()-9
    )
  )
)"),"1.1 Foundations and piling")</f>
        <v>1.1 Foundations and piling</v>
      </c>
      <c r="L38" s="234" t="str">
        <f>IFERROR(__xludf.DUMMYFUNCTION("IF(
  $I38="""",
  """",
  IF(
    COLUMN()-9 &gt;
    (1 + LEN(REGEXEXTRACT($I38,""^[0-9.]+"")) - LEN(SUBSTITUTE(REGEXEXTRACT($I38,""^[0-9.]+""),""."",""""))),
    """",
    INDEX(
      BEC_openBDF!$A:$D,
      MATCH(
        $I38,
        INDEX(
         "&amp;" BEC_openBDF!$A:$D,
          0,
          (1 + LEN(REGEXEXTRACT($I38,""^[0-9.]+"")) - LEN(SUBSTITUTE(REGEXEXTRACT($I38,""^[0-9.]+""),""."","""")))
        ),
        0
      ),
      COLUMN()-9
    )
  )
)"),"1.1.1 Foundations and piling")</f>
        <v>1.1.1 Foundations and piling</v>
      </c>
      <c r="M38" s="234" t="str">
        <f>IFERROR(__xludf.DUMMYFUNCTION("IF(
  $I38="""",
  """",
  IF(
    COLUMN()-9 &gt;
    (1 + LEN(REGEXEXTRACT($I38,""^[0-9.]+"")) - LEN(SUBSTITUTE(REGEXEXTRACT($I38,""^[0-9.]+""),""."",""""))),
    """",
    INDEX(
      BEC_openBDF!$A:$D,
      MATCH(
        $I38,
        INDEX(
         "&amp;" BEC_openBDF!$A:$D,
          0,
          (1 + LEN(REGEXEXTRACT($I38,""^[0-9.]+"")) - LEN(SUBSTITUTE(REGEXEXTRACT($I38,""^[0-9.]+""),""."","""")))
        ),
        0
      ),
      COLUMN()-9
    )
  )
)"),"")</f>
        <v/>
      </c>
      <c r="N38" s="197" t="s">
        <v>801</v>
      </c>
      <c r="O38" s="193"/>
      <c r="P38" s="197" t="s">
        <v>770</v>
      </c>
      <c r="Q38" s="255" t="s">
        <v>771</v>
      </c>
      <c r="R38" s="255" t="s">
        <v>765</v>
      </c>
      <c r="S38" s="263" t="s">
        <v>772</v>
      </c>
      <c r="T38" s="240">
        <v>1.565003723E9</v>
      </c>
      <c r="U38" s="240">
        <v>1.565003723E9</v>
      </c>
      <c r="V38" s="258"/>
      <c r="W38" s="258"/>
      <c r="X38" s="240">
        <v>3.989274119E9</v>
      </c>
      <c r="Y38" s="238"/>
    </row>
    <row r="39" ht="18.75" customHeight="1">
      <c r="A39" s="232"/>
      <c r="B39" s="192"/>
      <c r="C39" s="193" t="s">
        <v>678</v>
      </c>
      <c r="D39" s="192" t="s">
        <v>759</v>
      </c>
      <c r="E39" s="192" t="s">
        <v>760</v>
      </c>
      <c r="F39" s="192" t="s">
        <v>761</v>
      </c>
      <c r="G39" s="237"/>
      <c r="H39" s="237"/>
      <c r="I39" s="193" t="s">
        <v>677</v>
      </c>
      <c r="J39" s="234" t="str">
        <f>IFERROR(__xludf.DUMMYFUNCTION("IF(
  $I39="""",
  """",
  IF(
    COLUMN()-9 &gt;
    (1 + LEN(REGEXEXTRACT($I39,""^[0-9.]+"")) - LEN(SUBSTITUTE(REGEXEXTRACT($I39,""^[0-9.]+""),""."",""""))),
    """",
    INDEX(
      BEC_openBDF!$A:$D,
      MATCH(
        $I39,
        INDEX(
         "&amp;" BEC_openBDF!$A:$D,
          0,
          (1 + LEN(REGEXEXTRACT($I39,""^[0-9.]+"")) - LEN(SUBSTITUTE(REGEXEXTRACT($I39,""^[0-9.]+""),""."","""")))
        ),
        0
      ),
      COLUMN()-9
    )
  )
)"),"1 Sub-structure")</f>
        <v>1 Sub-structure</v>
      </c>
      <c r="K39" s="234" t="str">
        <f>IFERROR(__xludf.DUMMYFUNCTION("IF(
  $I39="""",
  """",
  IF(
    COLUMN()-9 &gt;
    (1 + LEN(REGEXEXTRACT($I39,""^[0-9.]+"")) - LEN(SUBSTITUTE(REGEXEXTRACT($I39,""^[0-9.]+""),""."",""""))),
    """",
    INDEX(
      BEC_openBDF!$A:$D,
      MATCH(
        $I39,
        INDEX(
         "&amp;" BEC_openBDF!$A:$D,
          0,
          (1 + LEN(REGEXEXTRACT($I39,""^[0-9.]+"")) - LEN(SUBSTITUTE(REGEXEXTRACT($I39,""^[0-9.]+""),""."","""")))
        ),
        0
      ),
      COLUMN()-9
    )
  )
)"),"1.1 Foundations and piling")</f>
        <v>1.1 Foundations and piling</v>
      </c>
      <c r="L39" s="234" t="str">
        <f>IFERROR(__xludf.DUMMYFUNCTION("IF(
  $I39="""",
  """",
  IF(
    COLUMN()-9 &gt;
    (1 + LEN(REGEXEXTRACT($I39,""^[0-9.]+"")) - LEN(SUBSTITUTE(REGEXEXTRACT($I39,""^[0-9.]+""),""."",""""))),
    """",
    INDEX(
      BEC_openBDF!$A:$D,
      MATCH(
        $I39,
        INDEX(
         "&amp;" BEC_openBDF!$A:$D,
          0,
          (1 + LEN(REGEXEXTRACT($I39,""^[0-9.]+"")) - LEN(SUBSTITUTE(REGEXEXTRACT($I39,""^[0-9.]+""),""."","""")))
        ),
        0
      ),
      COLUMN()-9
    )
  )
)"),"1.1.1 Foundations and piling")</f>
        <v>1.1.1 Foundations and piling</v>
      </c>
      <c r="M39" s="234" t="str">
        <f>IFERROR(__xludf.DUMMYFUNCTION("IF(
  $I39="""",
  """",
  IF(
    COLUMN()-9 &gt;
    (1 + LEN(REGEXEXTRACT($I39,""^[0-9.]+"")) - LEN(SUBSTITUTE(REGEXEXTRACT($I39,""^[0-9.]+""),""."",""""))),
    """",
    INDEX(
      BEC_openBDF!$A:$D,
      MATCH(
        $I39,
        INDEX(
         "&amp;" BEC_openBDF!$A:$D,
          0,
          (1 + LEN(REGEXEXTRACT($I39,""^[0-9.]+"")) - LEN(SUBSTITUTE(REGEXEXTRACT($I39,""^[0-9.]+""),""."","""")))
        ),
        0
      ),
      COLUMN()-9
    )
  )
)"),"")</f>
        <v/>
      </c>
      <c r="N39" s="197" t="s">
        <v>801</v>
      </c>
      <c r="O39" s="193"/>
      <c r="P39" s="197" t="s">
        <v>773</v>
      </c>
      <c r="Q39" s="255" t="s">
        <v>774</v>
      </c>
      <c r="R39" s="255" t="s">
        <v>765</v>
      </c>
      <c r="S39" s="263" t="s">
        <v>775</v>
      </c>
      <c r="T39" s="240">
        <v>1.878004468E9</v>
      </c>
      <c r="U39" s="240">
        <v>1.565003723E9</v>
      </c>
      <c r="V39" s="258"/>
      <c r="W39" s="258"/>
      <c r="X39" s="240">
        <v>2.440497108E9</v>
      </c>
      <c r="Y39" s="238"/>
    </row>
    <row r="40" ht="18.75" customHeight="1">
      <c r="A40" s="232"/>
      <c r="B40" s="192"/>
      <c r="C40" s="193" t="s">
        <v>678</v>
      </c>
      <c r="D40" s="192" t="s">
        <v>759</v>
      </c>
      <c r="E40" s="192" t="s">
        <v>760</v>
      </c>
      <c r="F40" s="192" t="s">
        <v>761</v>
      </c>
      <c r="G40" s="237"/>
      <c r="H40" s="237"/>
      <c r="I40" s="193" t="s">
        <v>677</v>
      </c>
      <c r="J40" s="234" t="str">
        <f>IFERROR(__xludf.DUMMYFUNCTION("IF(
  $I40="""",
  """",
  IF(
    COLUMN()-9 &gt;
    (1 + LEN(REGEXEXTRACT($I40,""^[0-9.]+"")) - LEN(SUBSTITUTE(REGEXEXTRACT($I40,""^[0-9.]+""),""."",""""))),
    """",
    INDEX(
      BEC_openBDF!$A:$D,
      MATCH(
        $I40,
        INDEX(
         "&amp;" BEC_openBDF!$A:$D,
          0,
          (1 + LEN(REGEXEXTRACT($I40,""^[0-9.]+"")) - LEN(SUBSTITUTE(REGEXEXTRACT($I40,""^[0-9.]+""),""."","""")))
        ),
        0
      ),
      COLUMN()-9
    )
  )
)"),"1 Sub-structure")</f>
        <v>1 Sub-structure</v>
      </c>
      <c r="K40" s="234" t="str">
        <f>IFERROR(__xludf.DUMMYFUNCTION("IF(
  $I40="""",
  """",
  IF(
    COLUMN()-9 &gt;
    (1 + LEN(REGEXEXTRACT($I40,""^[0-9.]+"")) - LEN(SUBSTITUTE(REGEXEXTRACT($I40,""^[0-9.]+""),""."",""""))),
    """",
    INDEX(
      BEC_openBDF!$A:$D,
      MATCH(
        $I40,
        INDEX(
         "&amp;" BEC_openBDF!$A:$D,
          0,
          (1 + LEN(REGEXEXTRACT($I40,""^[0-9.]+"")) - LEN(SUBSTITUTE(REGEXEXTRACT($I40,""^[0-9.]+""),""."","""")))
        ),
        0
      ),
      COLUMN()-9
    )
  )
)"),"1.1 Foundations and piling")</f>
        <v>1.1 Foundations and piling</v>
      </c>
      <c r="L40" s="234" t="str">
        <f>IFERROR(__xludf.DUMMYFUNCTION("IF(
  $I40="""",
  """",
  IF(
    COLUMN()-9 &gt;
    (1 + LEN(REGEXEXTRACT($I40,""^[0-9.]+"")) - LEN(SUBSTITUTE(REGEXEXTRACT($I40,""^[0-9.]+""),""."",""""))),
    """",
    INDEX(
      BEC_openBDF!$A:$D,
      MATCH(
        $I40,
        INDEX(
         "&amp;" BEC_openBDF!$A:$D,
          0,
          (1 + LEN(REGEXEXTRACT($I40,""^[0-9.]+"")) - LEN(SUBSTITUTE(REGEXEXTRACT($I40,""^[0-9.]+""),""."","""")))
        ),
        0
      ),
      COLUMN()-9
    )
  )
)"),"1.1.1 Foundations and piling")</f>
        <v>1.1.1 Foundations and piling</v>
      </c>
      <c r="M40" s="234" t="str">
        <f>IFERROR(__xludf.DUMMYFUNCTION("IF(
  $I40="""",
  """",
  IF(
    COLUMN()-9 &gt;
    (1 + LEN(REGEXEXTRACT($I40,""^[0-9.]+"")) - LEN(SUBSTITUTE(REGEXEXTRACT($I40,""^[0-9.]+""),""."",""""))),
    """",
    INDEX(
      BEC_openBDF!$A:$D,
      MATCH(
        $I40,
        INDEX(
         "&amp;" BEC_openBDF!$A:$D,
          0,
          (1 + LEN(REGEXEXTRACT($I40,""^[0-9.]+"")) - LEN(SUBSTITUTE(REGEXEXTRACT($I40,""^[0-9.]+""),""."","""")))
        ),
        0
      ),
      COLUMN()-9
    )
  )
)"),"")</f>
        <v/>
      </c>
      <c r="N40" s="197" t="s">
        <v>801</v>
      </c>
      <c r="O40" s="193"/>
      <c r="P40" s="197" t="s">
        <v>776</v>
      </c>
      <c r="Q40" s="255" t="s">
        <v>777</v>
      </c>
      <c r="R40" s="255" t="s">
        <v>765</v>
      </c>
      <c r="S40" s="263" t="s">
        <v>778</v>
      </c>
      <c r="T40" s="240">
        <v>9.202221892E9</v>
      </c>
      <c r="U40" s="240">
        <v>1.565003723E9</v>
      </c>
      <c r="V40" s="258"/>
      <c r="W40" s="258"/>
      <c r="X40" s="240">
        <v>8.209837509E9</v>
      </c>
      <c r="Y40" s="238"/>
    </row>
    <row r="41" ht="18.75" customHeight="1">
      <c r="A41" s="232"/>
      <c r="B41" s="192"/>
      <c r="C41" s="193" t="s">
        <v>678</v>
      </c>
      <c r="D41" s="192" t="s">
        <v>759</v>
      </c>
      <c r="E41" s="192" t="s">
        <v>760</v>
      </c>
      <c r="F41" s="192" t="s">
        <v>761</v>
      </c>
      <c r="G41" s="237"/>
      <c r="H41" s="237"/>
      <c r="I41" s="193" t="s">
        <v>677</v>
      </c>
      <c r="J41" s="234" t="str">
        <f>IFERROR(__xludf.DUMMYFUNCTION("IF(
  $I41="""",
  """",
  IF(
    COLUMN()-9 &gt;
    (1 + LEN(REGEXEXTRACT($I41,""^[0-9.]+"")) - LEN(SUBSTITUTE(REGEXEXTRACT($I41,""^[0-9.]+""),""."",""""))),
    """",
    INDEX(
      BEC_openBDF!$A:$D,
      MATCH(
        $I41,
        INDEX(
         "&amp;" BEC_openBDF!$A:$D,
          0,
          (1 + LEN(REGEXEXTRACT($I41,""^[0-9.]+"")) - LEN(SUBSTITUTE(REGEXEXTRACT($I41,""^[0-9.]+""),""."","""")))
        ),
        0
      ),
      COLUMN()-9
    )
  )
)"),"1 Sub-structure")</f>
        <v>1 Sub-structure</v>
      </c>
      <c r="K41" s="234" t="str">
        <f>IFERROR(__xludf.DUMMYFUNCTION("IF(
  $I41="""",
  """",
  IF(
    COLUMN()-9 &gt;
    (1 + LEN(REGEXEXTRACT($I41,""^[0-9.]+"")) - LEN(SUBSTITUTE(REGEXEXTRACT($I41,""^[0-9.]+""),""."",""""))),
    """",
    INDEX(
      BEC_openBDF!$A:$D,
      MATCH(
        $I41,
        INDEX(
         "&amp;" BEC_openBDF!$A:$D,
          0,
          (1 + LEN(REGEXEXTRACT($I41,""^[0-9.]+"")) - LEN(SUBSTITUTE(REGEXEXTRACT($I41,""^[0-9.]+""),""."","""")))
        ),
        0
      ),
      COLUMN()-9
    )
  )
)"),"1.1 Foundations and piling")</f>
        <v>1.1 Foundations and piling</v>
      </c>
      <c r="L41" s="234" t="str">
        <f>IFERROR(__xludf.DUMMYFUNCTION("IF(
  $I41="""",
  """",
  IF(
    COLUMN()-9 &gt;
    (1 + LEN(REGEXEXTRACT($I41,""^[0-9.]+"")) - LEN(SUBSTITUTE(REGEXEXTRACT($I41,""^[0-9.]+""),""."",""""))),
    """",
    INDEX(
      BEC_openBDF!$A:$D,
      MATCH(
        $I41,
        INDEX(
         "&amp;" BEC_openBDF!$A:$D,
          0,
          (1 + LEN(REGEXEXTRACT($I41,""^[0-9.]+"")) - LEN(SUBSTITUTE(REGEXEXTRACT($I41,""^[0-9.]+""),""."","""")))
        ),
        0
      ),
      COLUMN()-9
    )
  )
)"),"1.1.1 Foundations and piling")</f>
        <v>1.1.1 Foundations and piling</v>
      </c>
      <c r="M41" s="234" t="str">
        <f>IFERROR(__xludf.DUMMYFUNCTION("IF(
  $I41="""",
  """",
  IF(
    COLUMN()-9 &gt;
    (1 + LEN(REGEXEXTRACT($I41,""^[0-9.]+"")) - LEN(SUBSTITUTE(REGEXEXTRACT($I41,""^[0-9.]+""),""."",""""))),
    """",
    INDEX(
      BEC_openBDF!$A:$D,
      MATCH(
        $I41,
        INDEX(
         "&amp;" BEC_openBDF!$A:$D,
          0,
          (1 + LEN(REGEXEXTRACT($I41,""^[0-9.]+"")) - LEN(SUBSTITUTE(REGEXEXTRACT($I41,""^[0-9.]+""),""."","""")))
        ),
        0
      ),
      COLUMN()-9
    )
  )
)"),"")</f>
        <v/>
      </c>
      <c r="N41" s="197" t="s">
        <v>801</v>
      </c>
      <c r="O41" s="193"/>
      <c r="P41" s="197" t="s">
        <v>779</v>
      </c>
      <c r="Q41" s="255" t="s">
        <v>780</v>
      </c>
      <c r="R41" s="255" t="s">
        <v>765</v>
      </c>
      <c r="S41" s="263" t="s">
        <v>781</v>
      </c>
      <c r="T41" s="240">
        <v>1.408503351E9</v>
      </c>
      <c r="U41" s="240">
        <v>1.565003723E9</v>
      </c>
      <c r="V41" s="258"/>
      <c r="W41" s="258"/>
      <c r="X41" s="240">
        <v>3.550200004E9</v>
      </c>
      <c r="Y41" s="238"/>
    </row>
    <row r="42" ht="18.75" customHeight="1">
      <c r="A42" s="232"/>
      <c r="B42" s="192"/>
      <c r="C42" s="193" t="s">
        <v>678</v>
      </c>
      <c r="D42" s="192" t="s">
        <v>759</v>
      </c>
      <c r="E42" s="192" t="s">
        <v>760</v>
      </c>
      <c r="F42" s="192" t="s">
        <v>761</v>
      </c>
      <c r="G42" s="237"/>
      <c r="H42" s="237"/>
      <c r="I42" s="193" t="s">
        <v>677</v>
      </c>
      <c r="J42" s="234" t="str">
        <f>IFERROR(__xludf.DUMMYFUNCTION("IF(
  $I42="""",
  """",
  IF(
    COLUMN()-9 &gt;
    (1 + LEN(REGEXEXTRACT($I42,""^[0-9.]+"")) - LEN(SUBSTITUTE(REGEXEXTRACT($I42,""^[0-9.]+""),""."",""""))),
    """",
    INDEX(
      BEC_openBDF!$A:$D,
      MATCH(
        $I42,
        INDEX(
         "&amp;" BEC_openBDF!$A:$D,
          0,
          (1 + LEN(REGEXEXTRACT($I42,""^[0-9.]+"")) - LEN(SUBSTITUTE(REGEXEXTRACT($I42,""^[0-9.]+""),""."","""")))
        ),
        0
      ),
      COLUMN()-9
    )
  )
)"),"1 Sub-structure")</f>
        <v>1 Sub-structure</v>
      </c>
      <c r="K42" s="234" t="str">
        <f>IFERROR(__xludf.DUMMYFUNCTION("IF(
  $I42="""",
  """",
  IF(
    COLUMN()-9 &gt;
    (1 + LEN(REGEXEXTRACT($I42,""^[0-9.]+"")) - LEN(SUBSTITUTE(REGEXEXTRACT($I42,""^[0-9.]+""),""."",""""))),
    """",
    INDEX(
      BEC_openBDF!$A:$D,
      MATCH(
        $I42,
        INDEX(
         "&amp;" BEC_openBDF!$A:$D,
          0,
          (1 + LEN(REGEXEXTRACT($I42,""^[0-9.]+"")) - LEN(SUBSTITUTE(REGEXEXTRACT($I42,""^[0-9.]+""),""."","""")))
        ),
        0
      ),
      COLUMN()-9
    )
  )
)"),"1.1 Foundations and piling")</f>
        <v>1.1 Foundations and piling</v>
      </c>
      <c r="L42" s="234" t="str">
        <f>IFERROR(__xludf.DUMMYFUNCTION("IF(
  $I42="""",
  """",
  IF(
    COLUMN()-9 &gt;
    (1 + LEN(REGEXEXTRACT($I42,""^[0-9.]+"")) - LEN(SUBSTITUTE(REGEXEXTRACT($I42,""^[0-9.]+""),""."",""""))),
    """",
    INDEX(
      BEC_openBDF!$A:$D,
      MATCH(
        $I42,
        INDEX(
         "&amp;" BEC_openBDF!$A:$D,
          0,
          (1 + LEN(REGEXEXTRACT($I42,""^[0-9.]+"")) - LEN(SUBSTITUTE(REGEXEXTRACT($I42,""^[0-9.]+""),""."","""")))
        ),
        0
      ),
      COLUMN()-9
    )
  )
)"),"1.1.1 Foundations and piling")</f>
        <v>1.1.1 Foundations and piling</v>
      </c>
      <c r="M42" s="234" t="str">
        <f>IFERROR(__xludf.DUMMYFUNCTION("IF(
  $I42="""",
  """",
  IF(
    COLUMN()-9 &gt;
    (1 + LEN(REGEXEXTRACT($I42,""^[0-9.]+"")) - LEN(SUBSTITUTE(REGEXEXTRACT($I42,""^[0-9.]+""),""."",""""))),
    """",
    INDEX(
      BEC_openBDF!$A:$D,
      MATCH(
        $I42,
        INDEX(
         "&amp;" BEC_openBDF!$A:$D,
          0,
          (1 + LEN(REGEXEXTRACT($I42,""^[0-9.]+"")) - LEN(SUBSTITUTE(REGEXEXTRACT($I42,""^[0-9.]+""),""."","""")))
        ),
        0
      ),
      COLUMN()-9
    )
  )
)"),"")</f>
        <v/>
      </c>
      <c r="N42" s="197" t="s">
        <v>801</v>
      </c>
      <c r="O42" s="193"/>
      <c r="P42" s="197" t="s">
        <v>782</v>
      </c>
      <c r="Q42" s="255" t="s">
        <v>783</v>
      </c>
      <c r="R42" s="255" t="s">
        <v>765</v>
      </c>
      <c r="S42" s="263" t="s">
        <v>784</v>
      </c>
      <c r="T42" s="240">
        <v>2.785416485E9</v>
      </c>
      <c r="U42" s="240">
        <v>1.564840722E9</v>
      </c>
      <c r="V42" s="258"/>
      <c r="W42" s="258"/>
      <c r="X42" s="240">
        <v>4.733600005E9</v>
      </c>
      <c r="Y42" s="238"/>
    </row>
    <row r="43" ht="18.75" customHeight="1">
      <c r="A43" s="232"/>
      <c r="B43" s="192"/>
      <c r="C43" s="193" t="s">
        <v>678</v>
      </c>
      <c r="D43" s="192" t="s">
        <v>759</v>
      </c>
      <c r="E43" s="192" t="s">
        <v>760</v>
      </c>
      <c r="F43" s="192" t="s">
        <v>761</v>
      </c>
      <c r="G43" s="237"/>
      <c r="H43" s="237"/>
      <c r="I43" s="193" t="s">
        <v>677</v>
      </c>
      <c r="J43" s="234" t="str">
        <f>IFERROR(__xludf.DUMMYFUNCTION("IF(
  $I43="""",
  """",
  IF(
    COLUMN()-9 &gt;
    (1 + LEN(REGEXEXTRACT($I43,""^[0-9.]+"")) - LEN(SUBSTITUTE(REGEXEXTRACT($I43,""^[0-9.]+""),""."",""""))),
    """",
    INDEX(
      BEC_openBDF!$A:$D,
      MATCH(
        $I43,
        INDEX(
         "&amp;" BEC_openBDF!$A:$D,
          0,
          (1 + LEN(REGEXEXTRACT($I43,""^[0-9.]+"")) - LEN(SUBSTITUTE(REGEXEXTRACT($I43,""^[0-9.]+""),""."","""")))
        ),
        0
      ),
      COLUMN()-9
    )
  )
)"),"1 Sub-structure")</f>
        <v>1 Sub-structure</v>
      </c>
      <c r="K43" s="234" t="str">
        <f>IFERROR(__xludf.DUMMYFUNCTION("IF(
  $I43="""",
  """",
  IF(
    COLUMN()-9 &gt;
    (1 + LEN(REGEXEXTRACT($I43,""^[0-9.]+"")) - LEN(SUBSTITUTE(REGEXEXTRACT($I43,""^[0-9.]+""),""."",""""))),
    """",
    INDEX(
      BEC_openBDF!$A:$D,
      MATCH(
        $I43,
        INDEX(
         "&amp;" BEC_openBDF!$A:$D,
          0,
          (1 + LEN(REGEXEXTRACT($I43,""^[0-9.]+"")) - LEN(SUBSTITUTE(REGEXEXTRACT($I43,""^[0-9.]+""),""."","""")))
        ),
        0
      ),
      COLUMN()-9
    )
  )
)"),"1.1 Foundations and piling")</f>
        <v>1.1 Foundations and piling</v>
      </c>
      <c r="L43" s="234" t="str">
        <f>IFERROR(__xludf.DUMMYFUNCTION("IF(
  $I43="""",
  """",
  IF(
    COLUMN()-9 &gt;
    (1 + LEN(REGEXEXTRACT($I43,""^[0-9.]+"")) - LEN(SUBSTITUTE(REGEXEXTRACT($I43,""^[0-9.]+""),""."",""""))),
    """",
    INDEX(
      BEC_openBDF!$A:$D,
      MATCH(
        $I43,
        INDEX(
         "&amp;" BEC_openBDF!$A:$D,
          0,
          (1 + LEN(REGEXEXTRACT($I43,""^[0-9.]+"")) - LEN(SUBSTITUTE(REGEXEXTRACT($I43,""^[0-9.]+""),""."","""")))
        ),
        0
      ),
      COLUMN()-9
    )
  )
)"),"1.1.1 Foundations and piling")</f>
        <v>1.1.1 Foundations and piling</v>
      </c>
      <c r="M43" s="234" t="str">
        <f>IFERROR(__xludf.DUMMYFUNCTION("IF(
  $I43="""",
  """",
  IF(
    COLUMN()-9 &gt;
    (1 + LEN(REGEXEXTRACT($I43,""^[0-9.]+"")) - LEN(SUBSTITUTE(REGEXEXTRACT($I43,""^[0-9.]+""),""."",""""))),
    """",
    INDEX(
      BEC_openBDF!$A:$D,
      MATCH(
        $I43,
        INDEX(
         "&amp;" BEC_openBDF!$A:$D,
          0,
          (1 + LEN(REGEXEXTRACT($I43,""^[0-9.]+"")) - LEN(SUBSTITUTE(REGEXEXTRACT($I43,""^[0-9.]+""),""."","""")))
        ),
        0
      ),
      COLUMN()-9
    )
  )
)"),"")</f>
        <v/>
      </c>
      <c r="N43" s="197" t="s">
        <v>801</v>
      </c>
      <c r="O43" s="193"/>
      <c r="P43" s="197" t="s">
        <v>785</v>
      </c>
      <c r="Q43" s="255" t="s">
        <v>786</v>
      </c>
      <c r="R43" s="255" t="s">
        <v>765</v>
      </c>
      <c r="S43" s="263" t="s">
        <v>787</v>
      </c>
      <c r="T43" s="240">
        <v>4.69326367E8</v>
      </c>
      <c r="U43" s="240">
        <v>1.564421223E9</v>
      </c>
      <c r="V43" s="256"/>
      <c r="W43" s="256"/>
      <c r="X43" s="240">
        <v>1.393453501E9</v>
      </c>
      <c r="Y43" s="238"/>
    </row>
    <row r="44" ht="18.75" customHeight="1">
      <c r="A44" s="232"/>
      <c r="B44" s="192"/>
      <c r="C44" s="193" t="s">
        <v>678</v>
      </c>
      <c r="D44" s="192" t="s">
        <v>759</v>
      </c>
      <c r="E44" s="192" t="s">
        <v>760</v>
      </c>
      <c r="F44" s="192" t="s">
        <v>761</v>
      </c>
      <c r="G44" s="237"/>
      <c r="H44" s="237"/>
      <c r="I44" s="193" t="s">
        <v>677</v>
      </c>
      <c r="J44" s="234" t="str">
        <f>IFERROR(__xludf.DUMMYFUNCTION("IF(
  $I44="""",
  """",
  IF(
    COLUMN()-9 &gt;
    (1 + LEN(REGEXEXTRACT($I44,""^[0-9.]+"")) - LEN(SUBSTITUTE(REGEXEXTRACT($I44,""^[0-9.]+""),""."",""""))),
    """",
    INDEX(
      BEC_openBDF!$A:$D,
      MATCH(
        $I44,
        INDEX(
         "&amp;" BEC_openBDF!$A:$D,
          0,
          (1 + LEN(REGEXEXTRACT($I44,""^[0-9.]+"")) - LEN(SUBSTITUTE(REGEXEXTRACT($I44,""^[0-9.]+""),""."","""")))
        ),
        0
      ),
      COLUMN()-9
    )
  )
)"),"1 Sub-structure")</f>
        <v>1 Sub-structure</v>
      </c>
      <c r="K44" s="234" t="str">
        <f>IFERROR(__xludf.DUMMYFUNCTION("IF(
  $I44="""",
  """",
  IF(
    COLUMN()-9 &gt;
    (1 + LEN(REGEXEXTRACT($I44,""^[0-9.]+"")) - LEN(SUBSTITUTE(REGEXEXTRACT($I44,""^[0-9.]+""),""."",""""))),
    """",
    INDEX(
      BEC_openBDF!$A:$D,
      MATCH(
        $I44,
        INDEX(
         "&amp;" BEC_openBDF!$A:$D,
          0,
          (1 + LEN(REGEXEXTRACT($I44,""^[0-9.]+"")) - LEN(SUBSTITUTE(REGEXEXTRACT($I44,""^[0-9.]+""),""."","""")))
        ),
        0
      ),
      COLUMN()-9
    )
  )
)"),"1.1 Foundations and piling")</f>
        <v>1.1 Foundations and piling</v>
      </c>
      <c r="L44" s="234" t="str">
        <f>IFERROR(__xludf.DUMMYFUNCTION("IF(
  $I44="""",
  """",
  IF(
    COLUMN()-9 &gt;
    (1 + LEN(REGEXEXTRACT($I44,""^[0-9.]+"")) - LEN(SUBSTITUTE(REGEXEXTRACT($I44,""^[0-9.]+""),""."",""""))),
    """",
    INDEX(
      BEC_openBDF!$A:$D,
      MATCH(
        $I44,
        INDEX(
         "&amp;" BEC_openBDF!$A:$D,
          0,
          (1 + LEN(REGEXEXTRACT($I44,""^[0-9.]+"")) - LEN(SUBSTITUTE(REGEXEXTRACT($I44,""^[0-9.]+""),""."","""")))
        ),
        0
      ),
      COLUMN()-9
    )
  )
)"),"1.1.1 Foundations and piling")</f>
        <v>1.1.1 Foundations and piling</v>
      </c>
      <c r="M44" s="234" t="str">
        <f>IFERROR(__xludf.DUMMYFUNCTION("IF(
  $I44="""",
  """",
  IF(
    COLUMN()-9 &gt;
    (1 + LEN(REGEXEXTRACT($I44,""^[0-9.]+"")) - LEN(SUBSTITUTE(REGEXEXTRACT($I44,""^[0-9.]+""),""."",""""))),
    """",
    INDEX(
      BEC_openBDF!$A:$D,
      MATCH(
        $I44,
        INDEX(
         "&amp;" BEC_openBDF!$A:$D,
          0,
          (1 + LEN(REGEXEXTRACT($I44,""^[0-9.]+"")) - LEN(SUBSTITUTE(REGEXEXTRACT($I44,""^[0-9.]+""),""."","""")))
        ),
        0
      ),
      COLUMN()-9
    )
  )
)"),"")</f>
        <v/>
      </c>
      <c r="N44" s="197" t="s">
        <v>801</v>
      </c>
      <c r="O44" s="193"/>
      <c r="P44" s="197" t="s">
        <v>788</v>
      </c>
      <c r="Q44" s="255" t="s">
        <v>789</v>
      </c>
      <c r="R44" s="255" t="s">
        <v>765</v>
      </c>
      <c r="S44" s="263" t="s">
        <v>790</v>
      </c>
      <c r="T44" s="240">
        <v>1.016873795E9</v>
      </c>
      <c r="U44" s="240">
        <v>1.564421223E9</v>
      </c>
      <c r="V44" s="258"/>
      <c r="W44" s="258"/>
      <c r="X44" s="240">
        <v>2.087517602E9</v>
      </c>
      <c r="Y44" s="238"/>
    </row>
    <row r="45" ht="18.75" customHeight="1">
      <c r="A45" s="232"/>
      <c r="B45" s="192"/>
      <c r="C45" s="193" t="s">
        <v>678</v>
      </c>
      <c r="D45" s="192" t="s">
        <v>759</v>
      </c>
      <c r="E45" s="192" t="s">
        <v>760</v>
      </c>
      <c r="F45" s="192" t="s">
        <v>761</v>
      </c>
      <c r="G45" s="237"/>
      <c r="H45" s="237"/>
      <c r="I45" s="193" t="s">
        <v>677</v>
      </c>
      <c r="J45" s="234" t="str">
        <f>IFERROR(__xludf.DUMMYFUNCTION("IF(
  $I45="""",
  """",
  IF(
    COLUMN()-9 &gt;
    (1 + LEN(REGEXEXTRACT($I45,""^[0-9.]+"")) - LEN(SUBSTITUTE(REGEXEXTRACT($I45,""^[0-9.]+""),""."",""""))),
    """",
    INDEX(
      BEC_openBDF!$A:$D,
      MATCH(
        $I45,
        INDEX(
         "&amp;" BEC_openBDF!$A:$D,
          0,
          (1 + LEN(REGEXEXTRACT($I45,""^[0-9.]+"")) - LEN(SUBSTITUTE(REGEXEXTRACT($I45,""^[0-9.]+""),""."","""")))
        ),
        0
      ),
      COLUMN()-9
    )
  )
)"),"1 Sub-structure")</f>
        <v>1 Sub-structure</v>
      </c>
      <c r="K45" s="234" t="str">
        <f>IFERROR(__xludf.DUMMYFUNCTION("IF(
  $I45="""",
  """",
  IF(
    COLUMN()-9 &gt;
    (1 + LEN(REGEXEXTRACT($I45,""^[0-9.]+"")) - LEN(SUBSTITUTE(REGEXEXTRACT($I45,""^[0-9.]+""),""."",""""))),
    """",
    INDEX(
      BEC_openBDF!$A:$D,
      MATCH(
        $I45,
        INDEX(
         "&amp;" BEC_openBDF!$A:$D,
          0,
          (1 + LEN(REGEXEXTRACT($I45,""^[0-9.]+"")) - LEN(SUBSTITUTE(REGEXEXTRACT($I45,""^[0-9.]+""),""."","""")))
        ),
        0
      ),
      COLUMN()-9
    )
  )
)"),"1.1 Foundations and piling")</f>
        <v>1.1 Foundations and piling</v>
      </c>
      <c r="L45" s="234" t="str">
        <f>IFERROR(__xludf.DUMMYFUNCTION("IF(
  $I45="""",
  """",
  IF(
    COLUMN()-9 &gt;
    (1 + LEN(REGEXEXTRACT($I45,""^[0-9.]+"")) - LEN(SUBSTITUTE(REGEXEXTRACT($I45,""^[0-9.]+""),""."",""""))),
    """",
    INDEX(
      BEC_openBDF!$A:$D,
      MATCH(
        $I45,
        INDEX(
         "&amp;" BEC_openBDF!$A:$D,
          0,
          (1 + LEN(REGEXEXTRACT($I45,""^[0-9.]+"")) - LEN(SUBSTITUTE(REGEXEXTRACT($I45,""^[0-9.]+""),""."","""")))
        ),
        0
      ),
      COLUMN()-9
    )
  )
)"),"1.1.1 Foundations and piling")</f>
        <v>1.1.1 Foundations and piling</v>
      </c>
      <c r="M45" s="234" t="str">
        <f>IFERROR(__xludf.DUMMYFUNCTION("IF(
  $I45="""",
  """",
  IF(
    COLUMN()-9 &gt;
    (1 + LEN(REGEXEXTRACT($I45,""^[0-9.]+"")) - LEN(SUBSTITUTE(REGEXEXTRACT($I45,""^[0-9.]+""),""."",""""))),
    """",
    INDEX(
      BEC_openBDF!$A:$D,
      MATCH(
        $I45,
        INDEX(
         "&amp;" BEC_openBDF!$A:$D,
          0,
          (1 + LEN(REGEXEXTRACT($I45,""^[0-9.]+"")) - LEN(SUBSTITUTE(REGEXEXTRACT($I45,""^[0-9.]+""),""."","""")))
        ),
        0
      ),
      COLUMN()-9
    )
  )
)"),"")</f>
        <v/>
      </c>
      <c r="N45" s="197" t="s">
        <v>802</v>
      </c>
      <c r="O45" s="193"/>
      <c r="P45" s="197" t="s">
        <v>763</v>
      </c>
      <c r="Q45" s="255" t="s">
        <v>764</v>
      </c>
      <c r="R45" s="255" t="s">
        <v>765</v>
      </c>
      <c r="S45" s="263" t="s">
        <v>766</v>
      </c>
      <c r="T45" s="240">
        <v>4.437750005E9</v>
      </c>
      <c r="U45" s="240">
        <v>1.479250002E9</v>
      </c>
      <c r="V45" s="256"/>
      <c r="W45" s="256"/>
      <c r="X45" s="240">
        <v>7.396250008E9</v>
      </c>
      <c r="Y45" s="238"/>
    </row>
    <row r="46" ht="18.75" customHeight="1">
      <c r="A46" s="232"/>
      <c r="B46" s="192"/>
      <c r="C46" s="193" t="s">
        <v>678</v>
      </c>
      <c r="D46" s="192" t="s">
        <v>759</v>
      </c>
      <c r="E46" s="192" t="s">
        <v>760</v>
      </c>
      <c r="F46" s="192" t="s">
        <v>761</v>
      </c>
      <c r="G46" s="237"/>
      <c r="H46" s="237"/>
      <c r="I46" s="193" t="s">
        <v>677</v>
      </c>
      <c r="J46" s="234" t="str">
        <f>IFERROR(__xludf.DUMMYFUNCTION("IF(
  $I46="""",
  """",
  IF(
    COLUMN()-9 &gt;
    (1 + LEN(REGEXEXTRACT($I46,""^[0-9.]+"")) - LEN(SUBSTITUTE(REGEXEXTRACT($I46,""^[0-9.]+""),""."",""""))),
    """",
    INDEX(
      BEC_openBDF!$A:$D,
      MATCH(
        $I46,
        INDEX(
         "&amp;" BEC_openBDF!$A:$D,
          0,
          (1 + LEN(REGEXEXTRACT($I46,""^[0-9.]+"")) - LEN(SUBSTITUTE(REGEXEXTRACT($I46,""^[0-9.]+""),""."","""")))
        ),
        0
      ),
      COLUMN()-9
    )
  )
)"),"1 Sub-structure")</f>
        <v>1 Sub-structure</v>
      </c>
      <c r="K46" s="234" t="str">
        <f>IFERROR(__xludf.DUMMYFUNCTION("IF(
  $I46="""",
  """",
  IF(
    COLUMN()-9 &gt;
    (1 + LEN(REGEXEXTRACT($I46,""^[0-9.]+"")) - LEN(SUBSTITUTE(REGEXEXTRACT($I46,""^[0-9.]+""),""."",""""))),
    """",
    INDEX(
      BEC_openBDF!$A:$D,
      MATCH(
        $I46,
        INDEX(
         "&amp;" BEC_openBDF!$A:$D,
          0,
          (1 + LEN(REGEXEXTRACT($I46,""^[0-9.]+"")) - LEN(SUBSTITUTE(REGEXEXTRACT($I46,""^[0-9.]+""),""."","""")))
        ),
        0
      ),
      COLUMN()-9
    )
  )
)"),"1.1 Foundations and piling")</f>
        <v>1.1 Foundations and piling</v>
      </c>
      <c r="L46" s="234" t="str">
        <f>IFERROR(__xludf.DUMMYFUNCTION("IF(
  $I46="""",
  """",
  IF(
    COLUMN()-9 &gt;
    (1 + LEN(REGEXEXTRACT($I46,""^[0-9.]+"")) - LEN(SUBSTITUTE(REGEXEXTRACT($I46,""^[0-9.]+""),""."",""""))),
    """",
    INDEX(
      BEC_openBDF!$A:$D,
      MATCH(
        $I46,
        INDEX(
         "&amp;" BEC_openBDF!$A:$D,
          0,
          (1 + LEN(REGEXEXTRACT($I46,""^[0-9.]+"")) - LEN(SUBSTITUTE(REGEXEXTRACT($I46,""^[0-9.]+""),""."","""")))
        ),
        0
      ),
      COLUMN()-9
    )
  )
)"),"1.1.1 Foundations and piling")</f>
        <v>1.1.1 Foundations and piling</v>
      </c>
      <c r="M46" s="234" t="str">
        <f>IFERROR(__xludf.DUMMYFUNCTION("IF(
  $I46="""",
  """",
  IF(
    COLUMN()-9 &gt;
    (1 + LEN(REGEXEXTRACT($I46,""^[0-9.]+"")) - LEN(SUBSTITUTE(REGEXEXTRACT($I46,""^[0-9.]+""),""."",""""))),
    """",
    INDEX(
      BEC_openBDF!$A:$D,
      MATCH(
        $I46,
        INDEX(
         "&amp;" BEC_openBDF!$A:$D,
          0,
          (1 + LEN(REGEXEXTRACT($I46,""^[0-9.]+"")) - LEN(SUBSTITUTE(REGEXEXTRACT($I46,""^[0-9.]+""),""."","""")))
        ),
        0
      ),
      COLUMN()-9
    )
  )
)"),"")</f>
        <v/>
      </c>
      <c r="N46" s="197" t="s">
        <v>802</v>
      </c>
      <c r="O46" s="193"/>
      <c r="P46" s="197" t="s">
        <v>767</v>
      </c>
      <c r="Q46" s="255" t="s">
        <v>768</v>
      </c>
      <c r="R46" s="255" t="s">
        <v>765</v>
      </c>
      <c r="S46" s="263" t="s">
        <v>769</v>
      </c>
      <c r="T46" s="240">
        <v>1.479250002E9</v>
      </c>
      <c r="U46" s="240">
        <v>1.479250002E9</v>
      </c>
      <c r="V46" s="258"/>
      <c r="W46" s="258"/>
      <c r="X46" s="240">
        <v>2.416088613E9</v>
      </c>
      <c r="Y46" s="238"/>
    </row>
    <row r="47" ht="18.75" customHeight="1">
      <c r="A47" s="232"/>
      <c r="B47" s="192"/>
      <c r="C47" s="193" t="s">
        <v>678</v>
      </c>
      <c r="D47" s="192" t="s">
        <v>759</v>
      </c>
      <c r="E47" s="192" t="s">
        <v>760</v>
      </c>
      <c r="F47" s="192" t="s">
        <v>761</v>
      </c>
      <c r="G47" s="237"/>
      <c r="H47" s="237"/>
      <c r="I47" s="193" t="s">
        <v>677</v>
      </c>
      <c r="J47" s="234" t="str">
        <f>IFERROR(__xludf.DUMMYFUNCTION("IF(
  $I47="""",
  """",
  IF(
    COLUMN()-9 &gt;
    (1 + LEN(REGEXEXTRACT($I47,""^[0-9.]+"")) - LEN(SUBSTITUTE(REGEXEXTRACT($I47,""^[0-9.]+""),""."",""""))),
    """",
    INDEX(
      BEC_openBDF!$A:$D,
      MATCH(
        $I47,
        INDEX(
         "&amp;" BEC_openBDF!$A:$D,
          0,
          (1 + LEN(REGEXEXTRACT($I47,""^[0-9.]+"")) - LEN(SUBSTITUTE(REGEXEXTRACT($I47,""^[0-9.]+""),""."","""")))
        ),
        0
      ),
      COLUMN()-9
    )
  )
)"),"1 Sub-structure")</f>
        <v>1 Sub-structure</v>
      </c>
      <c r="K47" s="234" t="str">
        <f>IFERROR(__xludf.DUMMYFUNCTION("IF(
  $I47="""",
  """",
  IF(
    COLUMN()-9 &gt;
    (1 + LEN(REGEXEXTRACT($I47,""^[0-9.]+"")) - LEN(SUBSTITUTE(REGEXEXTRACT($I47,""^[0-9.]+""),""."",""""))),
    """",
    INDEX(
      BEC_openBDF!$A:$D,
      MATCH(
        $I47,
        INDEX(
         "&amp;" BEC_openBDF!$A:$D,
          0,
          (1 + LEN(REGEXEXTRACT($I47,""^[0-9.]+"")) - LEN(SUBSTITUTE(REGEXEXTRACT($I47,""^[0-9.]+""),""."","""")))
        ),
        0
      ),
      COLUMN()-9
    )
  )
)"),"1.1 Foundations and piling")</f>
        <v>1.1 Foundations and piling</v>
      </c>
      <c r="L47" s="234" t="str">
        <f>IFERROR(__xludf.DUMMYFUNCTION("IF(
  $I47="""",
  """",
  IF(
    COLUMN()-9 &gt;
    (1 + LEN(REGEXEXTRACT($I47,""^[0-9.]+"")) - LEN(SUBSTITUTE(REGEXEXTRACT($I47,""^[0-9.]+""),""."",""""))),
    """",
    INDEX(
      BEC_openBDF!$A:$D,
      MATCH(
        $I47,
        INDEX(
         "&amp;" BEC_openBDF!$A:$D,
          0,
          (1 + LEN(REGEXEXTRACT($I47,""^[0-9.]+"")) - LEN(SUBSTITUTE(REGEXEXTRACT($I47,""^[0-9.]+""),""."","""")))
        ),
        0
      ),
      COLUMN()-9
    )
  )
)"),"1.1.1 Foundations and piling")</f>
        <v>1.1.1 Foundations and piling</v>
      </c>
      <c r="M47" s="234" t="str">
        <f>IFERROR(__xludf.DUMMYFUNCTION("IF(
  $I47="""",
  """",
  IF(
    COLUMN()-9 &gt;
    (1 + LEN(REGEXEXTRACT($I47,""^[0-9.]+"")) - LEN(SUBSTITUTE(REGEXEXTRACT($I47,""^[0-9.]+""),""."",""""))),
    """",
    INDEX(
      BEC_openBDF!$A:$D,
      MATCH(
        $I47,
        INDEX(
         "&amp;" BEC_openBDF!$A:$D,
          0,
          (1 + LEN(REGEXEXTRACT($I47,""^[0-9.]+"")) - LEN(SUBSTITUTE(REGEXEXTRACT($I47,""^[0-9.]+""),""."","""")))
        ),
        0
      ),
      COLUMN()-9
    )
  )
)"),"")</f>
        <v/>
      </c>
      <c r="N47" s="197" t="s">
        <v>802</v>
      </c>
      <c r="O47" s="193"/>
      <c r="P47" s="197" t="s">
        <v>770</v>
      </c>
      <c r="Q47" s="255" t="s">
        <v>771</v>
      </c>
      <c r="R47" s="255" t="s">
        <v>765</v>
      </c>
      <c r="S47" s="263" t="s">
        <v>772</v>
      </c>
      <c r="T47" s="240">
        <v>1.479250002E9</v>
      </c>
      <c r="U47" s="240">
        <v>1.479250002E9</v>
      </c>
      <c r="V47" s="258"/>
      <c r="W47" s="258"/>
      <c r="X47" s="240">
        <v>2.478039603E9</v>
      </c>
      <c r="Y47" s="238"/>
    </row>
    <row r="48" ht="18.75" customHeight="1">
      <c r="A48" s="232"/>
      <c r="B48" s="192"/>
      <c r="C48" s="193" t="s">
        <v>678</v>
      </c>
      <c r="D48" s="192" t="s">
        <v>759</v>
      </c>
      <c r="E48" s="192" t="s">
        <v>760</v>
      </c>
      <c r="F48" s="192" t="s">
        <v>761</v>
      </c>
      <c r="G48" s="237"/>
      <c r="H48" s="237"/>
      <c r="I48" s="193" t="s">
        <v>677</v>
      </c>
      <c r="J48" s="234" t="str">
        <f>IFERROR(__xludf.DUMMYFUNCTION("IF(
  $I48="""",
  """",
  IF(
    COLUMN()-9 &gt;
    (1 + LEN(REGEXEXTRACT($I48,""^[0-9.]+"")) - LEN(SUBSTITUTE(REGEXEXTRACT($I48,""^[0-9.]+""),""."",""""))),
    """",
    INDEX(
      BEC_openBDF!$A:$D,
      MATCH(
        $I48,
        INDEX(
         "&amp;" BEC_openBDF!$A:$D,
          0,
          (1 + LEN(REGEXEXTRACT($I48,""^[0-9.]+"")) - LEN(SUBSTITUTE(REGEXEXTRACT($I48,""^[0-9.]+""),""."","""")))
        ),
        0
      ),
      COLUMN()-9
    )
  )
)"),"1 Sub-structure")</f>
        <v>1 Sub-structure</v>
      </c>
      <c r="K48" s="234" t="str">
        <f>IFERROR(__xludf.DUMMYFUNCTION("IF(
  $I48="""",
  """",
  IF(
    COLUMN()-9 &gt;
    (1 + LEN(REGEXEXTRACT($I48,""^[0-9.]+"")) - LEN(SUBSTITUTE(REGEXEXTRACT($I48,""^[0-9.]+""),""."",""""))),
    """",
    INDEX(
      BEC_openBDF!$A:$D,
      MATCH(
        $I48,
        INDEX(
         "&amp;" BEC_openBDF!$A:$D,
          0,
          (1 + LEN(REGEXEXTRACT($I48,""^[0-9.]+"")) - LEN(SUBSTITUTE(REGEXEXTRACT($I48,""^[0-9.]+""),""."","""")))
        ),
        0
      ),
      COLUMN()-9
    )
  )
)"),"1.1 Foundations and piling")</f>
        <v>1.1 Foundations and piling</v>
      </c>
      <c r="L48" s="234" t="str">
        <f>IFERROR(__xludf.DUMMYFUNCTION("IF(
  $I48="""",
  """",
  IF(
    COLUMN()-9 &gt;
    (1 + LEN(REGEXEXTRACT($I48,""^[0-9.]+"")) - LEN(SUBSTITUTE(REGEXEXTRACT($I48,""^[0-9.]+""),""."",""""))),
    """",
    INDEX(
      BEC_openBDF!$A:$D,
      MATCH(
        $I48,
        INDEX(
         "&amp;" BEC_openBDF!$A:$D,
          0,
          (1 + LEN(REGEXEXTRACT($I48,""^[0-9.]+"")) - LEN(SUBSTITUTE(REGEXEXTRACT($I48,""^[0-9.]+""),""."","""")))
        ),
        0
      ),
      COLUMN()-9
    )
  )
)"),"1.1.1 Foundations and piling")</f>
        <v>1.1.1 Foundations and piling</v>
      </c>
      <c r="M48" s="234" t="str">
        <f>IFERROR(__xludf.DUMMYFUNCTION("IF(
  $I48="""",
  """",
  IF(
    COLUMN()-9 &gt;
    (1 + LEN(REGEXEXTRACT($I48,""^[0-9.]+"")) - LEN(SUBSTITUTE(REGEXEXTRACT($I48,""^[0-9.]+""),""."",""""))),
    """",
    INDEX(
      BEC_openBDF!$A:$D,
      MATCH(
        $I48,
        INDEX(
         "&amp;" BEC_openBDF!$A:$D,
          0,
          (1 + LEN(REGEXEXTRACT($I48,""^[0-9.]+"")) - LEN(SUBSTITUTE(REGEXEXTRACT($I48,""^[0-9.]+""),""."","""")))
        ),
        0
      ),
      COLUMN()-9
    )
  )
)"),"")</f>
        <v/>
      </c>
      <c r="N48" s="197" t="s">
        <v>802</v>
      </c>
      <c r="O48" s="193"/>
      <c r="P48" s="197" t="s">
        <v>773</v>
      </c>
      <c r="Q48" s="255" t="s">
        <v>774</v>
      </c>
      <c r="R48" s="255" t="s">
        <v>765</v>
      </c>
      <c r="S48" s="263" t="s">
        <v>775</v>
      </c>
      <c r="T48" s="240">
        <v>1.775100002E9</v>
      </c>
      <c r="U48" s="240">
        <v>1.479250002E9</v>
      </c>
      <c r="V48" s="258"/>
      <c r="W48" s="258"/>
      <c r="X48" s="240">
        <v>3.772087504E9</v>
      </c>
      <c r="Y48" s="238"/>
    </row>
    <row r="49" ht="18.75" customHeight="1">
      <c r="A49" s="232"/>
      <c r="B49" s="192"/>
      <c r="C49" s="193" t="s">
        <v>678</v>
      </c>
      <c r="D49" s="192" t="s">
        <v>759</v>
      </c>
      <c r="E49" s="192" t="s">
        <v>760</v>
      </c>
      <c r="F49" s="192" t="s">
        <v>761</v>
      </c>
      <c r="G49" s="237"/>
      <c r="H49" s="237"/>
      <c r="I49" s="193" t="s">
        <v>677</v>
      </c>
      <c r="J49" s="234" t="str">
        <f>IFERROR(__xludf.DUMMYFUNCTION("IF(
  $I49="""",
  """",
  IF(
    COLUMN()-9 &gt;
    (1 + LEN(REGEXEXTRACT($I49,""^[0-9.]+"")) - LEN(SUBSTITUTE(REGEXEXTRACT($I49,""^[0-9.]+""),""."",""""))),
    """",
    INDEX(
      BEC_openBDF!$A:$D,
      MATCH(
        $I49,
        INDEX(
         "&amp;" BEC_openBDF!$A:$D,
          0,
          (1 + LEN(REGEXEXTRACT($I49,""^[0-9.]+"")) - LEN(SUBSTITUTE(REGEXEXTRACT($I49,""^[0-9.]+""),""."","""")))
        ),
        0
      ),
      COLUMN()-9
    )
  )
)"),"1 Sub-structure")</f>
        <v>1 Sub-structure</v>
      </c>
      <c r="K49" s="234" t="str">
        <f>IFERROR(__xludf.DUMMYFUNCTION("IF(
  $I49="""",
  """",
  IF(
    COLUMN()-9 &gt;
    (1 + LEN(REGEXEXTRACT($I49,""^[0-9.]+"")) - LEN(SUBSTITUTE(REGEXEXTRACT($I49,""^[0-9.]+""),""."",""""))),
    """",
    INDEX(
      BEC_openBDF!$A:$D,
      MATCH(
        $I49,
        INDEX(
         "&amp;" BEC_openBDF!$A:$D,
          0,
          (1 + LEN(REGEXEXTRACT($I49,""^[0-9.]+"")) - LEN(SUBSTITUTE(REGEXEXTRACT($I49,""^[0-9.]+""),""."","""")))
        ),
        0
      ),
      COLUMN()-9
    )
  )
)"),"1.1 Foundations and piling")</f>
        <v>1.1 Foundations and piling</v>
      </c>
      <c r="L49" s="234" t="str">
        <f>IFERROR(__xludf.DUMMYFUNCTION("IF(
  $I49="""",
  """",
  IF(
    COLUMN()-9 &gt;
    (1 + LEN(REGEXEXTRACT($I49,""^[0-9.]+"")) - LEN(SUBSTITUTE(REGEXEXTRACT($I49,""^[0-9.]+""),""."",""""))),
    """",
    INDEX(
      BEC_openBDF!$A:$D,
      MATCH(
        $I49,
        INDEX(
         "&amp;" BEC_openBDF!$A:$D,
          0,
          (1 + LEN(REGEXEXTRACT($I49,""^[0-9.]+"")) - LEN(SUBSTITUTE(REGEXEXTRACT($I49,""^[0-9.]+""),""."","""")))
        ),
        0
      ),
      COLUMN()-9
    )
  )
)"),"1.1.1 Foundations and piling")</f>
        <v>1.1.1 Foundations and piling</v>
      </c>
      <c r="M49" s="234" t="str">
        <f>IFERROR(__xludf.DUMMYFUNCTION("IF(
  $I49="""",
  """",
  IF(
    COLUMN()-9 &gt;
    (1 + LEN(REGEXEXTRACT($I49,""^[0-9.]+"")) - LEN(SUBSTITUTE(REGEXEXTRACT($I49,""^[0-9.]+""),""."",""""))),
    """",
    INDEX(
      BEC_openBDF!$A:$D,
      MATCH(
        $I49,
        INDEX(
         "&amp;" BEC_openBDF!$A:$D,
          0,
          (1 + LEN(REGEXEXTRACT($I49,""^[0-9.]+"")) - LEN(SUBSTITUTE(REGEXEXTRACT($I49,""^[0-9.]+""),""."","""")))
        ),
        0
      ),
      COLUMN()-9
    )
  )
)"),"")</f>
        <v/>
      </c>
      <c r="N49" s="197" t="s">
        <v>802</v>
      </c>
      <c r="O49" s="193"/>
      <c r="P49" s="197" t="s">
        <v>776</v>
      </c>
      <c r="Q49" s="255" t="s">
        <v>777</v>
      </c>
      <c r="R49" s="255" t="s">
        <v>765</v>
      </c>
      <c r="S49" s="263" t="s">
        <v>778</v>
      </c>
      <c r="T49" s="240">
        <v>8.697990009E9</v>
      </c>
      <c r="U49" s="240">
        <v>1.479250002E9</v>
      </c>
      <c r="V49" s="258"/>
      <c r="W49" s="258"/>
      <c r="X49" s="240">
        <v>2.485140003E9</v>
      </c>
      <c r="Y49" s="238"/>
    </row>
    <row r="50" ht="18.75" customHeight="1">
      <c r="A50" s="232"/>
      <c r="B50" s="192"/>
      <c r="C50" s="193" t="s">
        <v>678</v>
      </c>
      <c r="D50" s="192" t="s">
        <v>759</v>
      </c>
      <c r="E50" s="192" t="s">
        <v>760</v>
      </c>
      <c r="F50" s="192" t="s">
        <v>761</v>
      </c>
      <c r="G50" s="237"/>
      <c r="H50" s="237"/>
      <c r="I50" s="193" t="s">
        <v>677</v>
      </c>
      <c r="J50" s="234" t="str">
        <f>IFERROR(__xludf.DUMMYFUNCTION("IF(
  $I50="""",
  """",
  IF(
    COLUMN()-9 &gt;
    (1 + LEN(REGEXEXTRACT($I50,""^[0-9.]+"")) - LEN(SUBSTITUTE(REGEXEXTRACT($I50,""^[0-9.]+""),""."",""""))),
    """",
    INDEX(
      BEC_openBDF!$A:$D,
      MATCH(
        $I50,
        INDEX(
         "&amp;" BEC_openBDF!$A:$D,
          0,
          (1 + LEN(REGEXEXTRACT($I50,""^[0-9.]+"")) - LEN(SUBSTITUTE(REGEXEXTRACT($I50,""^[0-9.]+""),""."","""")))
        ),
        0
      ),
      COLUMN()-9
    )
  )
)"),"1 Sub-structure")</f>
        <v>1 Sub-structure</v>
      </c>
      <c r="K50" s="234" t="str">
        <f>IFERROR(__xludf.DUMMYFUNCTION("IF(
  $I50="""",
  """",
  IF(
    COLUMN()-9 &gt;
    (1 + LEN(REGEXEXTRACT($I50,""^[0-9.]+"")) - LEN(SUBSTITUTE(REGEXEXTRACT($I50,""^[0-9.]+""),""."",""""))),
    """",
    INDEX(
      BEC_openBDF!$A:$D,
      MATCH(
        $I50,
        INDEX(
         "&amp;" BEC_openBDF!$A:$D,
          0,
          (1 + LEN(REGEXEXTRACT($I50,""^[0-9.]+"")) - LEN(SUBSTITUTE(REGEXEXTRACT($I50,""^[0-9.]+""),""."","""")))
        ),
        0
      ),
      COLUMN()-9
    )
  )
)"),"1.1 Foundations and piling")</f>
        <v>1.1 Foundations and piling</v>
      </c>
      <c r="L50" s="234" t="str">
        <f>IFERROR(__xludf.DUMMYFUNCTION("IF(
  $I50="""",
  """",
  IF(
    COLUMN()-9 &gt;
    (1 + LEN(REGEXEXTRACT($I50,""^[0-9.]+"")) - LEN(SUBSTITUTE(REGEXEXTRACT($I50,""^[0-9.]+""),""."",""""))),
    """",
    INDEX(
      BEC_openBDF!$A:$D,
      MATCH(
        $I50,
        INDEX(
         "&amp;" BEC_openBDF!$A:$D,
          0,
          (1 + LEN(REGEXEXTRACT($I50,""^[0-9.]+"")) - LEN(SUBSTITUTE(REGEXEXTRACT($I50,""^[0-9.]+""),""."","""")))
        ),
        0
      ),
      COLUMN()-9
    )
  )
)"),"1.1.1 Foundations and piling")</f>
        <v>1.1.1 Foundations and piling</v>
      </c>
      <c r="M50" s="234" t="str">
        <f>IFERROR(__xludf.DUMMYFUNCTION("IF(
  $I50="""",
  """",
  IF(
    COLUMN()-9 &gt;
    (1 + LEN(REGEXEXTRACT($I50,""^[0-9.]+"")) - LEN(SUBSTITUTE(REGEXEXTRACT($I50,""^[0-9.]+""),""."",""""))),
    """",
    INDEX(
      BEC_openBDF!$A:$D,
      MATCH(
        $I50,
        INDEX(
         "&amp;" BEC_openBDF!$A:$D,
          0,
          (1 + LEN(REGEXEXTRACT($I50,""^[0-9.]+"")) - LEN(SUBSTITUTE(REGEXEXTRACT($I50,""^[0-9.]+""),""."","""")))
        ),
        0
      ),
      COLUMN()-9
    )
  )
)"),"")</f>
        <v/>
      </c>
      <c r="N50" s="197" t="s">
        <v>802</v>
      </c>
      <c r="O50" s="193"/>
      <c r="P50" s="197" t="s">
        <v>779</v>
      </c>
      <c r="Q50" s="255" t="s">
        <v>780</v>
      </c>
      <c r="R50" s="255" t="s">
        <v>765</v>
      </c>
      <c r="S50" s="263" t="s">
        <v>781</v>
      </c>
      <c r="T50" s="240">
        <v>1.331325001E9</v>
      </c>
      <c r="U50" s="240">
        <v>1.479250002E9</v>
      </c>
      <c r="V50" s="258"/>
      <c r="W50" s="258"/>
      <c r="X50" s="240">
        <v>1.474541399E9</v>
      </c>
      <c r="Y50" s="238"/>
    </row>
    <row r="51" ht="18.75" customHeight="1">
      <c r="A51" s="232"/>
      <c r="B51" s="192"/>
      <c r="C51" s="193" t="s">
        <v>678</v>
      </c>
      <c r="D51" s="192" t="s">
        <v>759</v>
      </c>
      <c r="E51" s="192" t="s">
        <v>760</v>
      </c>
      <c r="F51" s="192" t="s">
        <v>761</v>
      </c>
      <c r="G51" s="237"/>
      <c r="H51" s="237"/>
      <c r="I51" s="193" t="s">
        <v>677</v>
      </c>
      <c r="J51" s="234" t="str">
        <f>IFERROR(__xludf.DUMMYFUNCTION("IF(
  $I51="""",
  """",
  IF(
    COLUMN()-9 &gt;
    (1 + LEN(REGEXEXTRACT($I51,""^[0-9.]+"")) - LEN(SUBSTITUTE(REGEXEXTRACT($I51,""^[0-9.]+""),""."",""""))),
    """",
    INDEX(
      BEC_openBDF!$A:$D,
      MATCH(
        $I51,
        INDEX(
         "&amp;" BEC_openBDF!$A:$D,
          0,
          (1 + LEN(REGEXEXTRACT($I51,""^[0-9.]+"")) - LEN(SUBSTITUTE(REGEXEXTRACT($I51,""^[0-9.]+""),""."","""")))
        ),
        0
      ),
      COLUMN()-9
    )
  )
)"),"1 Sub-structure")</f>
        <v>1 Sub-structure</v>
      </c>
      <c r="K51" s="234" t="str">
        <f>IFERROR(__xludf.DUMMYFUNCTION("IF(
  $I51="""",
  """",
  IF(
    COLUMN()-9 &gt;
    (1 + LEN(REGEXEXTRACT($I51,""^[0-9.]+"")) - LEN(SUBSTITUTE(REGEXEXTRACT($I51,""^[0-9.]+""),""."",""""))),
    """",
    INDEX(
      BEC_openBDF!$A:$D,
      MATCH(
        $I51,
        INDEX(
         "&amp;" BEC_openBDF!$A:$D,
          0,
          (1 + LEN(REGEXEXTRACT($I51,""^[0-9.]+"")) - LEN(SUBSTITUTE(REGEXEXTRACT($I51,""^[0-9.]+""),""."","""")))
        ),
        0
      ),
      COLUMN()-9
    )
  )
)"),"1.1 Foundations and piling")</f>
        <v>1.1 Foundations and piling</v>
      </c>
      <c r="L51" s="234" t="str">
        <f>IFERROR(__xludf.DUMMYFUNCTION("IF(
  $I51="""",
  """",
  IF(
    COLUMN()-9 &gt;
    (1 + LEN(REGEXEXTRACT($I51,""^[0-9.]+"")) - LEN(SUBSTITUTE(REGEXEXTRACT($I51,""^[0-9.]+""),""."",""""))),
    """",
    INDEX(
      BEC_openBDF!$A:$D,
      MATCH(
        $I51,
        INDEX(
         "&amp;" BEC_openBDF!$A:$D,
          0,
          (1 + LEN(REGEXEXTRACT($I51,""^[0-9.]+"")) - LEN(SUBSTITUTE(REGEXEXTRACT($I51,""^[0-9.]+""),""."","""")))
        ),
        0
      ),
      COLUMN()-9
    )
  )
)"),"1.1.1 Foundations and piling")</f>
        <v>1.1.1 Foundations and piling</v>
      </c>
      <c r="M51" s="234" t="str">
        <f>IFERROR(__xludf.DUMMYFUNCTION("IF(
  $I51="""",
  """",
  IF(
    COLUMN()-9 &gt;
    (1 + LEN(REGEXEXTRACT($I51,""^[0-9.]+"")) - LEN(SUBSTITUTE(REGEXEXTRACT($I51,""^[0-9.]+""),""."",""""))),
    """",
    INDEX(
      BEC_openBDF!$A:$D,
      MATCH(
        $I51,
        INDEX(
         "&amp;" BEC_openBDF!$A:$D,
          0,
          (1 + LEN(REGEXEXTRACT($I51,""^[0-9.]+"")) - LEN(SUBSTITUTE(REGEXEXTRACT($I51,""^[0-9.]+""),""."","""")))
        ),
        0
      ),
      COLUMN()-9
    )
  )
)"),"")</f>
        <v/>
      </c>
      <c r="N51" s="197" t="s">
        <v>802</v>
      </c>
      <c r="O51" s="193"/>
      <c r="P51" s="197" t="s">
        <v>782</v>
      </c>
      <c r="Q51" s="255" t="s">
        <v>783</v>
      </c>
      <c r="R51" s="255" t="s">
        <v>765</v>
      </c>
      <c r="S51" s="263" t="s">
        <v>784</v>
      </c>
      <c r="T51" s="240">
        <v>1.153815001E9</v>
      </c>
      <c r="U51" s="240">
        <v>1.479250002E9</v>
      </c>
      <c r="V51" s="258"/>
      <c r="W51" s="258"/>
      <c r="X51" s="240">
        <v>6.376395238E9</v>
      </c>
      <c r="Y51" s="238"/>
    </row>
    <row r="52" ht="18.75" customHeight="1">
      <c r="A52" s="232"/>
      <c r="B52" s="192"/>
      <c r="C52" s="193" t="s">
        <v>678</v>
      </c>
      <c r="D52" s="192" t="s">
        <v>759</v>
      </c>
      <c r="E52" s="192" t="s">
        <v>760</v>
      </c>
      <c r="F52" s="192" t="s">
        <v>761</v>
      </c>
      <c r="G52" s="237"/>
      <c r="H52" s="237"/>
      <c r="I52" s="193" t="s">
        <v>677</v>
      </c>
      <c r="J52" s="234" t="str">
        <f>IFERROR(__xludf.DUMMYFUNCTION("IF(
  $I52="""",
  """",
  IF(
    COLUMN()-9 &gt;
    (1 + LEN(REGEXEXTRACT($I52,""^[0-9.]+"")) - LEN(SUBSTITUTE(REGEXEXTRACT($I52,""^[0-9.]+""),""."",""""))),
    """",
    INDEX(
      BEC_openBDF!$A:$D,
      MATCH(
        $I52,
        INDEX(
         "&amp;" BEC_openBDF!$A:$D,
          0,
          (1 + LEN(REGEXEXTRACT($I52,""^[0-9.]+"")) - LEN(SUBSTITUTE(REGEXEXTRACT($I52,""^[0-9.]+""),""."","""")))
        ),
        0
      ),
      COLUMN()-9
    )
  )
)"),"1 Sub-structure")</f>
        <v>1 Sub-structure</v>
      </c>
      <c r="K52" s="234" t="str">
        <f>IFERROR(__xludf.DUMMYFUNCTION("IF(
  $I52="""",
  """",
  IF(
    COLUMN()-9 &gt;
    (1 + LEN(REGEXEXTRACT($I52,""^[0-9.]+"")) - LEN(SUBSTITUTE(REGEXEXTRACT($I52,""^[0-9.]+""),""."",""""))),
    """",
    INDEX(
      BEC_openBDF!$A:$D,
      MATCH(
        $I52,
        INDEX(
         "&amp;" BEC_openBDF!$A:$D,
          0,
          (1 + LEN(REGEXEXTRACT($I52,""^[0-9.]+"")) - LEN(SUBSTITUTE(REGEXEXTRACT($I52,""^[0-9.]+""),""."","""")))
        ),
        0
      ),
      COLUMN()-9
    )
  )
)"),"1.1 Foundations and piling")</f>
        <v>1.1 Foundations and piling</v>
      </c>
      <c r="L52" s="234" t="str">
        <f>IFERROR(__xludf.DUMMYFUNCTION("IF(
  $I52="""",
  """",
  IF(
    COLUMN()-9 &gt;
    (1 + LEN(REGEXEXTRACT($I52,""^[0-9.]+"")) - LEN(SUBSTITUTE(REGEXEXTRACT($I52,""^[0-9.]+""),""."",""""))),
    """",
    INDEX(
      BEC_openBDF!$A:$D,
      MATCH(
        $I52,
        INDEX(
         "&amp;" BEC_openBDF!$A:$D,
          0,
          (1 + LEN(REGEXEXTRACT($I52,""^[0-9.]+"")) - LEN(SUBSTITUTE(REGEXEXTRACT($I52,""^[0-9.]+""),""."","""")))
        ),
        0
      ),
      COLUMN()-9
    )
  )
)"),"1.1.1 Foundations and piling")</f>
        <v>1.1.1 Foundations and piling</v>
      </c>
      <c r="M52" s="234" t="str">
        <f>IFERROR(__xludf.DUMMYFUNCTION("IF(
  $I52="""",
  """",
  IF(
    COLUMN()-9 &gt;
    (1 + LEN(REGEXEXTRACT($I52,""^[0-9.]+"")) - LEN(SUBSTITUTE(REGEXEXTRACT($I52,""^[0-9.]+""),""."",""""))),
    """",
    INDEX(
      BEC_openBDF!$A:$D,
      MATCH(
        $I52,
        INDEX(
         "&amp;" BEC_openBDF!$A:$D,
          0,
          (1 + LEN(REGEXEXTRACT($I52,""^[0-9.]+"")) - LEN(SUBSTITUTE(REGEXEXTRACT($I52,""^[0-9.]+""),""."","""")))
        ),
        0
      ),
      COLUMN()-9
    )
  )
)"),"")</f>
        <v/>
      </c>
      <c r="N52" s="197" t="s">
        <v>802</v>
      </c>
      <c r="O52" s="193"/>
      <c r="P52" s="197" t="s">
        <v>782</v>
      </c>
      <c r="Q52" s="255" t="s">
        <v>783</v>
      </c>
      <c r="R52" s="255" t="s">
        <v>765</v>
      </c>
      <c r="S52" s="263" t="s">
        <v>784</v>
      </c>
      <c r="T52" s="240">
        <v>1.183400001E9</v>
      </c>
      <c r="U52" s="240">
        <v>1.479250002E9</v>
      </c>
      <c r="V52" s="258"/>
      <c r="W52" s="258"/>
      <c r="X52" s="240">
        <v>2.502735131E9</v>
      </c>
      <c r="Y52" s="238"/>
    </row>
    <row r="53" ht="18.75" customHeight="1">
      <c r="A53" s="232"/>
      <c r="B53" s="192"/>
      <c r="C53" s="193" t="s">
        <v>678</v>
      </c>
      <c r="D53" s="192" t="s">
        <v>759</v>
      </c>
      <c r="E53" s="192" t="s">
        <v>760</v>
      </c>
      <c r="F53" s="192" t="s">
        <v>761</v>
      </c>
      <c r="G53" s="237"/>
      <c r="H53" s="237"/>
      <c r="I53" s="193" t="s">
        <v>677</v>
      </c>
      <c r="J53" s="234" t="str">
        <f>IFERROR(__xludf.DUMMYFUNCTION("IF(
  $I53="""",
  """",
  IF(
    COLUMN()-9 &gt;
    (1 + LEN(REGEXEXTRACT($I53,""^[0-9.]+"")) - LEN(SUBSTITUTE(REGEXEXTRACT($I53,""^[0-9.]+""),""."",""""))),
    """",
    INDEX(
      BEC_openBDF!$A:$D,
      MATCH(
        $I53,
        INDEX(
         "&amp;" BEC_openBDF!$A:$D,
          0,
          (1 + LEN(REGEXEXTRACT($I53,""^[0-9.]+"")) - LEN(SUBSTITUTE(REGEXEXTRACT($I53,""^[0-9.]+""),""."","""")))
        ),
        0
      ),
      COLUMN()-9
    )
  )
)"),"1 Sub-structure")</f>
        <v>1 Sub-structure</v>
      </c>
      <c r="K53" s="234" t="str">
        <f>IFERROR(__xludf.DUMMYFUNCTION("IF(
  $I53="""",
  """",
  IF(
    COLUMN()-9 &gt;
    (1 + LEN(REGEXEXTRACT($I53,""^[0-9.]+"")) - LEN(SUBSTITUTE(REGEXEXTRACT($I53,""^[0-9.]+""),""."",""""))),
    """",
    INDEX(
      BEC_openBDF!$A:$D,
      MATCH(
        $I53,
        INDEX(
         "&amp;" BEC_openBDF!$A:$D,
          0,
          (1 + LEN(REGEXEXTRACT($I53,""^[0-9.]+"")) - LEN(SUBSTITUTE(REGEXEXTRACT($I53,""^[0-9.]+""),""."","""")))
        ),
        0
      ),
      COLUMN()-9
    )
  )
)"),"1.1 Foundations and piling")</f>
        <v>1.1 Foundations and piling</v>
      </c>
      <c r="L53" s="234" t="str">
        <f>IFERROR(__xludf.DUMMYFUNCTION("IF(
  $I53="""",
  """",
  IF(
    COLUMN()-9 &gt;
    (1 + LEN(REGEXEXTRACT($I53,""^[0-9.]+"")) - LEN(SUBSTITUTE(REGEXEXTRACT($I53,""^[0-9.]+""),""."",""""))),
    """",
    INDEX(
      BEC_openBDF!$A:$D,
      MATCH(
        $I53,
        INDEX(
         "&amp;" BEC_openBDF!$A:$D,
          0,
          (1 + LEN(REGEXEXTRACT($I53,""^[0-9.]+"")) - LEN(SUBSTITUTE(REGEXEXTRACT($I53,""^[0-9.]+""),""."","""")))
        ),
        0
      ),
      COLUMN()-9
    )
  )
)"),"1.1.1 Foundations and piling")</f>
        <v>1.1.1 Foundations and piling</v>
      </c>
      <c r="M53" s="234" t="str">
        <f>IFERROR(__xludf.DUMMYFUNCTION("IF(
  $I53="""",
  """",
  IF(
    COLUMN()-9 &gt;
    (1 + LEN(REGEXEXTRACT($I53,""^[0-9.]+"")) - LEN(SUBSTITUTE(REGEXEXTRACT($I53,""^[0-9.]+""),""."",""""))),
    """",
    INDEX(
      BEC_openBDF!$A:$D,
      MATCH(
        $I53,
        INDEX(
         "&amp;" BEC_openBDF!$A:$D,
          0,
          (1 + LEN(REGEXEXTRACT($I53,""^[0-9.]+"")) - LEN(SUBSTITUTE(REGEXEXTRACT($I53,""^[0-9.]+""),""."","""")))
        ),
        0
      ),
      COLUMN()-9
    )
  )
)"),"")</f>
        <v/>
      </c>
      <c r="N53" s="197" t="s">
        <v>802</v>
      </c>
      <c r="O53" s="193"/>
      <c r="P53" s="197" t="s">
        <v>785</v>
      </c>
      <c r="Q53" s="255" t="s">
        <v>786</v>
      </c>
      <c r="R53" s="255" t="s">
        <v>765</v>
      </c>
      <c r="S53" s="263" t="s">
        <v>787</v>
      </c>
      <c r="T53" s="240">
        <v>4.437750005E9</v>
      </c>
      <c r="U53" s="240">
        <v>1.479250002E9</v>
      </c>
      <c r="V53" s="258"/>
      <c r="W53" s="258"/>
      <c r="X53" s="192" t="s">
        <v>803</v>
      </c>
      <c r="Y53" s="238"/>
    </row>
    <row r="54" ht="18.75" customHeight="1">
      <c r="A54" s="232"/>
      <c r="B54" s="192"/>
      <c r="C54" s="193" t="s">
        <v>678</v>
      </c>
      <c r="D54" s="192" t="s">
        <v>759</v>
      </c>
      <c r="E54" s="192" t="s">
        <v>760</v>
      </c>
      <c r="F54" s="192" t="s">
        <v>761</v>
      </c>
      <c r="G54" s="237"/>
      <c r="H54" s="237"/>
      <c r="I54" s="193" t="s">
        <v>677</v>
      </c>
      <c r="J54" s="234" t="str">
        <f>IFERROR(__xludf.DUMMYFUNCTION("IF(
  $I54="""",
  """",
  IF(
    COLUMN()-9 &gt;
    (1 + LEN(REGEXEXTRACT($I54,""^[0-9.]+"")) - LEN(SUBSTITUTE(REGEXEXTRACT($I54,""^[0-9.]+""),""."",""""))),
    """",
    INDEX(
      BEC_openBDF!$A:$D,
      MATCH(
        $I54,
        INDEX(
         "&amp;" BEC_openBDF!$A:$D,
          0,
          (1 + LEN(REGEXEXTRACT($I54,""^[0-9.]+"")) - LEN(SUBSTITUTE(REGEXEXTRACT($I54,""^[0-9.]+""),""."","""")))
        ),
        0
      ),
      COLUMN()-9
    )
  )
)"),"1 Sub-structure")</f>
        <v>1 Sub-structure</v>
      </c>
      <c r="K54" s="234" t="str">
        <f>IFERROR(__xludf.DUMMYFUNCTION("IF(
  $I54="""",
  """",
  IF(
    COLUMN()-9 &gt;
    (1 + LEN(REGEXEXTRACT($I54,""^[0-9.]+"")) - LEN(SUBSTITUTE(REGEXEXTRACT($I54,""^[0-9.]+""),""."",""""))),
    """",
    INDEX(
      BEC_openBDF!$A:$D,
      MATCH(
        $I54,
        INDEX(
         "&amp;" BEC_openBDF!$A:$D,
          0,
          (1 + LEN(REGEXEXTRACT($I54,""^[0-9.]+"")) - LEN(SUBSTITUTE(REGEXEXTRACT($I54,""^[0-9.]+""),""."","""")))
        ),
        0
      ),
      COLUMN()-9
    )
  )
)"),"1.1 Foundations and piling")</f>
        <v>1.1 Foundations and piling</v>
      </c>
      <c r="L54" s="234" t="str">
        <f>IFERROR(__xludf.DUMMYFUNCTION("IF(
  $I54="""",
  """",
  IF(
    COLUMN()-9 &gt;
    (1 + LEN(REGEXEXTRACT($I54,""^[0-9.]+"")) - LEN(SUBSTITUTE(REGEXEXTRACT($I54,""^[0-9.]+""),""."",""""))),
    """",
    INDEX(
      BEC_openBDF!$A:$D,
      MATCH(
        $I54,
        INDEX(
         "&amp;" BEC_openBDF!$A:$D,
          0,
          (1 + LEN(REGEXEXTRACT($I54,""^[0-9.]+"")) - LEN(SUBSTITUTE(REGEXEXTRACT($I54,""^[0-9.]+""),""."","""")))
        ),
        0
      ),
      COLUMN()-9
    )
  )
)"),"1.1.1 Foundations and piling")</f>
        <v>1.1.1 Foundations and piling</v>
      </c>
      <c r="M54" s="234" t="str">
        <f>IFERROR(__xludf.DUMMYFUNCTION("IF(
  $I54="""",
  """",
  IF(
    COLUMN()-9 &gt;
    (1 + LEN(REGEXEXTRACT($I54,""^[0-9.]+"")) - LEN(SUBSTITUTE(REGEXEXTRACT($I54,""^[0-9.]+""),""."",""""))),
    """",
    INDEX(
      BEC_openBDF!$A:$D,
      MATCH(
        $I54,
        INDEX(
         "&amp;" BEC_openBDF!$A:$D,
          0,
          (1 + LEN(REGEXEXTRACT($I54,""^[0-9.]+"")) - LEN(SUBSTITUTE(REGEXEXTRACT($I54,""^[0-9.]+""),""."","""")))
        ),
        0
      ),
      COLUMN()-9
    )
  )
)"),"")</f>
        <v/>
      </c>
      <c r="N54" s="197" t="s">
        <v>802</v>
      </c>
      <c r="O54" s="193"/>
      <c r="P54" s="197" t="s">
        <v>788</v>
      </c>
      <c r="Q54" s="255" t="s">
        <v>789</v>
      </c>
      <c r="R54" s="255" t="s">
        <v>765</v>
      </c>
      <c r="S54" s="263" t="s">
        <v>790</v>
      </c>
      <c r="T54" s="240">
        <v>1.035475001E9</v>
      </c>
      <c r="U54" s="240">
        <v>1.479250002E9</v>
      </c>
      <c r="V54" s="258"/>
      <c r="W54" s="258"/>
      <c r="X54" s="240">
        <v>2.625086168E9</v>
      </c>
      <c r="Y54" s="238"/>
    </row>
    <row r="55" ht="18.75" customHeight="1">
      <c r="A55" s="232"/>
      <c r="B55" s="192"/>
      <c r="C55" s="193" t="s">
        <v>678</v>
      </c>
      <c r="D55" s="192" t="s">
        <v>759</v>
      </c>
      <c r="E55" s="192" t="s">
        <v>760</v>
      </c>
      <c r="F55" s="192" t="s">
        <v>761</v>
      </c>
      <c r="G55" s="237"/>
      <c r="H55" s="237"/>
      <c r="I55" s="193" t="s">
        <v>677</v>
      </c>
      <c r="J55" s="234" t="str">
        <f>IFERROR(__xludf.DUMMYFUNCTION("IF(
  $I55="""",
  """",
  IF(
    COLUMN()-9 &gt;
    (1 + LEN(REGEXEXTRACT($I55,""^[0-9.]+"")) - LEN(SUBSTITUTE(REGEXEXTRACT($I55,""^[0-9.]+""),""."",""""))),
    """",
    INDEX(
      BEC_openBDF!$A:$D,
      MATCH(
        $I55,
        INDEX(
         "&amp;" BEC_openBDF!$A:$D,
          0,
          (1 + LEN(REGEXEXTRACT($I55,""^[0-9.]+"")) - LEN(SUBSTITUTE(REGEXEXTRACT($I55,""^[0-9.]+""),""."","""")))
        ),
        0
      ),
      COLUMN()-9
    )
  )
)"),"1 Sub-structure")</f>
        <v>1 Sub-structure</v>
      </c>
      <c r="K55" s="234" t="str">
        <f>IFERROR(__xludf.DUMMYFUNCTION("IF(
  $I55="""",
  """",
  IF(
    COLUMN()-9 &gt;
    (1 + LEN(REGEXEXTRACT($I55,""^[0-9.]+"")) - LEN(SUBSTITUTE(REGEXEXTRACT($I55,""^[0-9.]+""),""."",""""))),
    """",
    INDEX(
      BEC_openBDF!$A:$D,
      MATCH(
        $I55,
        INDEX(
         "&amp;" BEC_openBDF!$A:$D,
          0,
          (1 + LEN(REGEXEXTRACT($I55,""^[0-9.]+"")) - LEN(SUBSTITUTE(REGEXEXTRACT($I55,""^[0-9.]+""),""."","""")))
        ),
        0
      ),
      COLUMN()-9
    )
  )
)"),"1.1 Foundations and piling")</f>
        <v>1.1 Foundations and piling</v>
      </c>
      <c r="L55" s="234" t="str">
        <f>IFERROR(__xludf.DUMMYFUNCTION("IF(
  $I55="""",
  """",
  IF(
    COLUMN()-9 &gt;
    (1 + LEN(REGEXEXTRACT($I55,""^[0-9.]+"")) - LEN(SUBSTITUTE(REGEXEXTRACT($I55,""^[0-9.]+""),""."",""""))),
    """",
    INDEX(
      BEC_openBDF!$A:$D,
      MATCH(
        $I55,
        INDEX(
         "&amp;" BEC_openBDF!$A:$D,
          0,
          (1 + LEN(REGEXEXTRACT($I55,""^[0-9.]+"")) - LEN(SUBSTITUTE(REGEXEXTRACT($I55,""^[0-9.]+""),""."","""")))
        ),
        0
      ),
      COLUMN()-9
    )
  )
)"),"1.1.1 Foundations and piling")</f>
        <v>1.1.1 Foundations and piling</v>
      </c>
      <c r="M55" s="234" t="str">
        <f>IFERROR(__xludf.DUMMYFUNCTION("IF(
  $I55="""",
  """",
  IF(
    COLUMN()-9 &gt;
    (1 + LEN(REGEXEXTRACT($I55,""^[0-9.]+"")) - LEN(SUBSTITUTE(REGEXEXTRACT($I55,""^[0-9.]+""),""."",""""))),
    """",
    INDEX(
      BEC_openBDF!$A:$D,
      MATCH(
        $I55,
        INDEX(
         "&amp;" BEC_openBDF!$A:$D,
          0,
          (1 + LEN(REGEXEXTRACT($I55,""^[0-9.]+"")) - LEN(SUBSTITUTE(REGEXEXTRACT($I55,""^[0-9.]+""),""."","""")))
        ),
        0
      ),
      COLUMN()-9
    )
  )
)"),"")</f>
        <v/>
      </c>
      <c r="N55" s="197" t="s">
        <v>804</v>
      </c>
      <c r="O55" s="193"/>
      <c r="P55" s="197" t="s">
        <v>763</v>
      </c>
      <c r="Q55" s="255" t="s">
        <v>764</v>
      </c>
      <c r="R55" s="255" t="s">
        <v>765</v>
      </c>
      <c r="S55" s="263" t="s">
        <v>766</v>
      </c>
      <c r="T55" s="240">
        <v>7.970494048E9</v>
      </c>
      <c r="U55" s="240">
        <v>2.656831349E9</v>
      </c>
      <c r="V55" s="258"/>
      <c r="W55" s="258"/>
      <c r="X55" s="240">
        <v>1.135172397E9</v>
      </c>
      <c r="Y55" s="238"/>
    </row>
    <row r="56" ht="18.75" customHeight="1">
      <c r="A56" s="232"/>
      <c r="B56" s="192"/>
      <c r="C56" s="193" t="s">
        <v>678</v>
      </c>
      <c r="D56" s="192" t="s">
        <v>759</v>
      </c>
      <c r="E56" s="192" t="s">
        <v>760</v>
      </c>
      <c r="F56" s="192" t="s">
        <v>761</v>
      </c>
      <c r="G56" s="237"/>
      <c r="H56" s="237"/>
      <c r="I56" s="193" t="s">
        <v>677</v>
      </c>
      <c r="J56" s="234" t="str">
        <f>IFERROR(__xludf.DUMMYFUNCTION("IF(
  $I56="""",
  """",
  IF(
    COLUMN()-9 &gt;
    (1 + LEN(REGEXEXTRACT($I56,""^[0-9.]+"")) - LEN(SUBSTITUTE(REGEXEXTRACT($I56,""^[0-9.]+""),""."",""""))),
    """",
    INDEX(
      BEC_openBDF!$A:$D,
      MATCH(
        $I56,
        INDEX(
         "&amp;" BEC_openBDF!$A:$D,
          0,
          (1 + LEN(REGEXEXTRACT($I56,""^[0-9.]+"")) - LEN(SUBSTITUTE(REGEXEXTRACT($I56,""^[0-9.]+""),""."","""")))
        ),
        0
      ),
      COLUMN()-9
    )
  )
)"),"1 Sub-structure")</f>
        <v>1 Sub-structure</v>
      </c>
      <c r="K56" s="234" t="str">
        <f>IFERROR(__xludf.DUMMYFUNCTION("IF(
  $I56="""",
  """",
  IF(
    COLUMN()-9 &gt;
    (1 + LEN(REGEXEXTRACT($I56,""^[0-9.]+"")) - LEN(SUBSTITUTE(REGEXEXTRACT($I56,""^[0-9.]+""),""."",""""))),
    """",
    INDEX(
      BEC_openBDF!$A:$D,
      MATCH(
        $I56,
        INDEX(
         "&amp;" BEC_openBDF!$A:$D,
          0,
          (1 + LEN(REGEXEXTRACT($I56,""^[0-9.]+"")) - LEN(SUBSTITUTE(REGEXEXTRACT($I56,""^[0-9.]+""),""."","""")))
        ),
        0
      ),
      COLUMN()-9
    )
  )
)"),"1.1 Foundations and piling")</f>
        <v>1.1 Foundations and piling</v>
      </c>
      <c r="L56" s="234" t="str">
        <f>IFERROR(__xludf.DUMMYFUNCTION("IF(
  $I56="""",
  """",
  IF(
    COLUMN()-9 &gt;
    (1 + LEN(REGEXEXTRACT($I56,""^[0-9.]+"")) - LEN(SUBSTITUTE(REGEXEXTRACT($I56,""^[0-9.]+""),""."",""""))),
    """",
    INDEX(
      BEC_openBDF!$A:$D,
      MATCH(
        $I56,
        INDEX(
         "&amp;" BEC_openBDF!$A:$D,
          0,
          (1 + LEN(REGEXEXTRACT($I56,""^[0-9.]+"")) - LEN(SUBSTITUTE(REGEXEXTRACT($I56,""^[0-9.]+""),""."","""")))
        ),
        0
      ),
      COLUMN()-9
    )
  )
)"),"1.1.1 Foundations and piling")</f>
        <v>1.1.1 Foundations and piling</v>
      </c>
      <c r="M56" s="234" t="str">
        <f>IFERROR(__xludf.DUMMYFUNCTION("IF(
  $I56="""",
  """",
  IF(
    COLUMN()-9 &gt;
    (1 + LEN(REGEXEXTRACT($I56,""^[0-9.]+"")) - LEN(SUBSTITUTE(REGEXEXTRACT($I56,""^[0-9.]+""),""."",""""))),
    """",
    INDEX(
      BEC_openBDF!$A:$D,
      MATCH(
        $I56,
        INDEX(
         "&amp;" BEC_openBDF!$A:$D,
          0,
          (1 + LEN(REGEXEXTRACT($I56,""^[0-9.]+"")) - LEN(SUBSTITUTE(REGEXEXTRACT($I56,""^[0-9.]+""),""."","""")))
        ),
        0
      ),
      COLUMN()-9
    )
  )
)"),"")</f>
        <v/>
      </c>
      <c r="N56" s="197" t="s">
        <v>804</v>
      </c>
      <c r="O56" s="193"/>
      <c r="P56" s="197" t="s">
        <v>767</v>
      </c>
      <c r="Q56" s="255" t="s">
        <v>768</v>
      </c>
      <c r="R56" s="255" t="s">
        <v>765</v>
      </c>
      <c r="S56" s="263" t="s">
        <v>769</v>
      </c>
      <c r="T56" s="240">
        <v>2.656831349E9</v>
      </c>
      <c r="U56" s="240">
        <v>2.656831349E9</v>
      </c>
      <c r="V56" s="258"/>
      <c r="W56" s="258"/>
      <c r="X56" s="240">
        <v>1.513563196E9</v>
      </c>
      <c r="Y56" s="238"/>
    </row>
    <row r="57" ht="18.75" customHeight="1">
      <c r="A57" s="232"/>
      <c r="B57" s="192"/>
      <c r="C57" s="193" t="s">
        <v>678</v>
      </c>
      <c r="D57" s="192" t="s">
        <v>759</v>
      </c>
      <c r="E57" s="192" t="s">
        <v>760</v>
      </c>
      <c r="F57" s="192" t="s">
        <v>761</v>
      </c>
      <c r="G57" s="237"/>
      <c r="H57" s="237"/>
      <c r="I57" s="193" t="s">
        <v>677</v>
      </c>
      <c r="J57" s="234" t="str">
        <f>IFERROR(__xludf.DUMMYFUNCTION("IF(
  $I57="""",
  """",
  IF(
    COLUMN()-9 &gt;
    (1 + LEN(REGEXEXTRACT($I57,""^[0-9.]+"")) - LEN(SUBSTITUTE(REGEXEXTRACT($I57,""^[0-9.]+""),""."",""""))),
    """",
    INDEX(
      BEC_openBDF!$A:$D,
      MATCH(
        $I57,
        INDEX(
         "&amp;" BEC_openBDF!$A:$D,
          0,
          (1 + LEN(REGEXEXTRACT($I57,""^[0-9.]+"")) - LEN(SUBSTITUTE(REGEXEXTRACT($I57,""^[0-9.]+""),""."","""")))
        ),
        0
      ),
      COLUMN()-9
    )
  )
)"),"1 Sub-structure")</f>
        <v>1 Sub-structure</v>
      </c>
      <c r="K57" s="234" t="str">
        <f>IFERROR(__xludf.DUMMYFUNCTION("IF(
  $I57="""",
  """",
  IF(
    COLUMN()-9 &gt;
    (1 + LEN(REGEXEXTRACT($I57,""^[0-9.]+"")) - LEN(SUBSTITUTE(REGEXEXTRACT($I57,""^[0-9.]+""),""."",""""))),
    """",
    INDEX(
      BEC_openBDF!$A:$D,
      MATCH(
        $I57,
        INDEX(
         "&amp;" BEC_openBDF!$A:$D,
          0,
          (1 + LEN(REGEXEXTRACT($I57,""^[0-9.]+"")) - LEN(SUBSTITUTE(REGEXEXTRACT($I57,""^[0-9.]+""),""."","""")))
        ),
        0
      ),
      COLUMN()-9
    )
  )
)"),"1.1 Foundations and piling")</f>
        <v>1.1 Foundations and piling</v>
      </c>
      <c r="L57" s="234" t="str">
        <f>IFERROR(__xludf.DUMMYFUNCTION("IF(
  $I57="""",
  """",
  IF(
    COLUMN()-9 &gt;
    (1 + LEN(REGEXEXTRACT($I57,""^[0-9.]+"")) - LEN(SUBSTITUTE(REGEXEXTRACT($I57,""^[0-9.]+""),""."",""""))),
    """",
    INDEX(
      BEC_openBDF!$A:$D,
      MATCH(
        $I57,
        INDEX(
         "&amp;" BEC_openBDF!$A:$D,
          0,
          (1 + LEN(REGEXEXTRACT($I57,""^[0-9.]+"")) - LEN(SUBSTITUTE(REGEXEXTRACT($I57,""^[0-9.]+""),""."","""")))
        ),
        0
      ),
      COLUMN()-9
    )
  )
)"),"1.1.1 Foundations and piling")</f>
        <v>1.1.1 Foundations and piling</v>
      </c>
      <c r="M57" s="234" t="str">
        <f>IFERROR(__xludf.DUMMYFUNCTION("IF(
  $I57="""",
  """",
  IF(
    COLUMN()-9 &gt;
    (1 + LEN(REGEXEXTRACT($I57,""^[0-9.]+"")) - LEN(SUBSTITUTE(REGEXEXTRACT($I57,""^[0-9.]+""),""."",""""))),
    """",
    INDEX(
      BEC_openBDF!$A:$D,
      MATCH(
        $I57,
        INDEX(
         "&amp;" BEC_openBDF!$A:$D,
          0,
          (1 + LEN(REGEXEXTRACT($I57,""^[0-9.]+"")) - LEN(SUBSTITUTE(REGEXEXTRACT($I57,""^[0-9.]+""),""."","""")))
        ),
        0
      ),
      COLUMN()-9
    )
  )
)"),"")</f>
        <v/>
      </c>
      <c r="N57" s="197" t="s">
        <v>804</v>
      </c>
      <c r="O57" s="193"/>
      <c r="P57" s="197" t="s">
        <v>773</v>
      </c>
      <c r="Q57" s="255" t="s">
        <v>774</v>
      </c>
      <c r="R57" s="255" t="s">
        <v>765</v>
      </c>
      <c r="S57" s="263" t="s">
        <v>775</v>
      </c>
      <c r="T57" s="240">
        <v>3.188197619E9</v>
      </c>
      <c r="U57" s="240">
        <v>2.656831349E9</v>
      </c>
      <c r="V57" s="258"/>
      <c r="W57" s="258"/>
      <c r="X57" s="240">
        <v>4.455551658E9</v>
      </c>
      <c r="Y57" s="238"/>
    </row>
    <row r="58" ht="18.75" customHeight="1">
      <c r="A58" s="232"/>
      <c r="B58" s="192"/>
      <c r="C58" s="193" t="s">
        <v>678</v>
      </c>
      <c r="D58" s="192" t="s">
        <v>759</v>
      </c>
      <c r="E58" s="192" t="s">
        <v>760</v>
      </c>
      <c r="F58" s="192" t="s">
        <v>761</v>
      </c>
      <c r="G58" s="237"/>
      <c r="H58" s="237"/>
      <c r="I58" s="193" t="s">
        <v>677</v>
      </c>
      <c r="J58" s="234" t="str">
        <f>IFERROR(__xludf.DUMMYFUNCTION("IF(
  $I58="""",
  """",
  IF(
    COLUMN()-9 &gt;
    (1 + LEN(REGEXEXTRACT($I58,""^[0-9.]+"")) - LEN(SUBSTITUTE(REGEXEXTRACT($I58,""^[0-9.]+""),""."",""""))),
    """",
    INDEX(
      BEC_openBDF!$A:$D,
      MATCH(
        $I58,
        INDEX(
         "&amp;" BEC_openBDF!$A:$D,
          0,
          (1 + LEN(REGEXEXTRACT($I58,""^[0-9.]+"")) - LEN(SUBSTITUTE(REGEXEXTRACT($I58,""^[0-9.]+""),""."","""")))
        ),
        0
      ),
      COLUMN()-9
    )
  )
)"),"1 Sub-structure")</f>
        <v>1 Sub-structure</v>
      </c>
      <c r="K58" s="234" t="str">
        <f>IFERROR(__xludf.DUMMYFUNCTION("IF(
  $I58="""",
  """",
  IF(
    COLUMN()-9 &gt;
    (1 + LEN(REGEXEXTRACT($I58,""^[0-9.]+"")) - LEN(SUBSTITUTE(REGEXEXTRACT($I58,""^[0-9.]+""),""."",""""))),
    """",
    INDEX(
      BEC_openBDF!$A:$D,
      MATCH(
        $I58,
        INDEX(
         "&amp;" BEC_openBDF!$A:$D,
          0,
          (1 + LEN(REGEXEXTRACT($I58,""^[0-9.]+"")) - LEN(SUBSTITUTE(REGEXEXTRACT($I58,""^[0-9.]+""),""."","""")))
        ),
        0
      ),
      COLUMN()-9
    )
  )
)"),"1.1 Foundations and piling")</f>
        <v>1.1 Foundations and piling</v>
      </c>
      <c r="L58" s="234" t="str">
        <f>IFERROR(__xludf.DUMMYFUNCTION("IF(
  $I58="""",
  """",
  IF(
    COLUMN()-9 &gt;
    (1 + LEN(REGEXEXTRACT($I58,""^[0-9.]+"")) - LEN(SUBSTITUTE(REGEXEXTRACT($I58,""^[0-9.]+""),""."",""""))),
    """",
    INDEX(
      BEC_openBDF!$A:$D,
      MATCH(
        $I58,
        INDEX(
         "&amp;" BEC_openBDF!$A:$D,
          0,
          (1 + LEN(REGEXEXTRACT($I58,""^[0-9.]+"")) - LEN(SUBSTITUTE(REGEXEXTRACT($I58,""^[0-9.]+""),""."","""")))
        ),
        0
      ),
      COLUMN()-9
    )
  )
)"),"1.1.1 Foundations and piling")</f>
        <v>1.1.1 Foundations and piling</v>
      </c>
      <c r="M58" s="234" t="str">
        <f>IFERROR(__xludf.DUMMYFUNCTION("IF(
  $I58="""",
  """",
  IF(
    COLUMN()-9 &gt;
    (1 + LEN(REGEXEXTRACT($I58,""^[0-9.]+"")) - LEN(SUBSTITUTE(REGEXEXTRACT($I58,""^[0-9.]+""),""."",""""))),
    """",
    INDEX(
      BEC_openBDF!$A:$D,
      MATCH(
        $I58,
        INDEX(
         "&amp;" BEC_openBDF!$A:$D,
          0,
          (1 + LEN(REGEXEXTRACT($I58,""^[0-9.]+"")) - LEN(SUBSTITUTE(REGEXEXTRACT($I58,""^[0-9.]+""),""."","""")))
        ),
        0
      ),
      COLUMN()-9
    )
  )
)"),"")</f>
        <v/>
      </c>
      <c r="N58" s="197" t="s">
        <v>804</v>
      </c>
      <c r="O58" s="193"/>
      <c r="P58" s="197" t="s">
        <v>776</v>
      </c>
      <c r="Q58" s="255" t="s">
        <v>777</v>
      </c>
      <c r="R58" s="255" t="s">
        <v>765</v>
      </c>
      <c r="S58" s="263" t="s">
        <v>778</v>
      </c>
      <c r="T58" s="240">
        <v>1.562216833E9</v>
      </c>
      <c r="U58" s="240">
        <v>2.656831349E9</v>
      </c>
      <c r="V58" s="258"/>
      <c r="W58" s="258"/>
      <c r="X58" s="240">
        <v>6.674813694E9</v>
      </c>
      <c r="Y58" s="238"/>
    </row>
    <row r="59" ht="18.75" customHeight="1">
      <c r="A59" s="232"/>
      <c r="B59" s="192"/>
      <c r="C59" s="193" t="s">
        <v>678</v>
      </c>
      <c r="D59" s="192" t="s">
        <v>759</v>
      </c>
      <c r="E59" s="192" t="s">
        <v>760</v>
      </c>
      <c r="F59" s="192" t="s">
        <v>761</v>
      </c>
      <c r="G59" s="237"/>
      <c r="H59" s="237"/>
      <c r="I59" s="193" t="s">
        <v>677</v>
      </c>
      <c r="J59" s="234" t="str">
        <f>IFERROR(__xludf.DUMMYFUNCTION("IF(
  $I59="""",
  """",
  IF(
    COLUMN()-9 &gt;
    (1 + LEN(REGEXEXTRACT($I59,""^[0-9.]+"")) - LEN(SUBSTITUTE(REGEXEXTRACT($I59,""^[0-9.]+""),""."",""""))),
    """",
    INDEX(
      BEC_openBDF!$A:$D,
      MATCH(
        $I59,
        INDEX(
         "&amp;" BEC_openBDF!$A:$D,
          0,
          (1 + LEN(REGEXEXTRACT($I59,""^[0-9.]+"")) - LEN(SUBSTITUTE(REGEXEXTRACT($I59,""^[0-9.]+""),""."","""")))
        ),
        0
      ),
      COLUMN()-9
    )
  )
)"),"1 Sub-structure")</f>
        <v>1 Sub-structure</v>
      </c>
      <c r="K59" s="234" t="str">
        <f>IFERROR(__xludf.DUMMYFUNCTION("IF(
  $I59="""",
  """",
  IF(
    COLUMN()-9 &gt;
    (1 + LEN(REGEXEXTRACT($I59,""^[0-9.]+"")) - LEN(SUBSTITUTE(REGEXEXTRACT($I59,""^[0-9.]+""),""."",""""))),
    """",
    INDEX(
      BEC_openBDF!$A:$D,
      MATCH(
        $I59,
        INDEX(
         "&amp;" BEC_openBDF!$A:$D,
          0,
          (1 + LEN(REGEXEXTRACT($I59,""^[0-9.]+"")) - LEN(SUBSTITUTE(REGEXEXTRACT($I59,""^[0-9.]+""),""."","""")))
        ),
        0
      ),
      COLUMN()-9
    )
  )
)"),"1.1 Foundations and piling")</f>
        <v>1.1 Foundations and piling</v>
      </c>
      <c r="L59" s="234" t="str">
        <f>IFERROR(__xludf.DUMMYFUNCTION("IF(
  $I59="""",
  """",
  IF(
    COLUMN()-9 &gt;
    (1 + LEN(REGEXEXTRACT($I59,""^[0-9.]+"")) - LEN(SUBSTITUTE(REGEXEXTRACT($I59,""^[0-9.]+""),""."",""""))),
    """",
    INDEX(
      BEC_openBDF!$A:$D,
      MATCH(
        $I59,
        INDEX(
         "&amp;" BEC_openBDF!$A:$D,
          0,
          (1 + LEN(REGEXEXTRACT($I59,""^[0-9.]+"")) - LEN(SUBSTITUTE(REGEXEXTRACT($I59,""^[0-9.]+""),""."","""")))
        ),
        0
      ),
      COLUMN()-9
    )
  )
)"),"1.1.1 Foundations and piling")</f>
        <v>1.1.1 Foundations and piling</v>
      </c>
      <c r="M59" s="234" t="str">
        <f>IFERROR(__xludf.DUMMYFUNCTION("IF(
  $I59="""",
  """",
  IF(
    COLUMN()-9 &gt;
    (1 + LEN(REGEXEXTRACT($I59,""^[0-9.]+"")) - LEN(SUBSTITUTE(REGEXEXTRACT($I59,""^[0-9.]+""),""."",""""))),
    """",
    INDEX(
      BEC_openBDF!$A:$D,
      MATCH(
        $I59,
        INDEX(
         "&amp;" BEC_openBDF!$A:$D,
          0,
          (1 + LEN(REGEXEXTRACT($I59,""^[0-9.]+"")) - LEN(SUBSTITUTE(REGEXEXTRACT($I59,""^[0-9.]+""),""."","""")))
        ),
        0
      ),
      COLUMN()-9
    )
  )
)"),"")</f>
        <v/>
      </c>
      <c r="N59" s="197" t="s">
        <v>805</v>
      </c>
      <c r="O59" s="193"/>
      <c r="P59" s="197" t="s">
        <v>763</v>
      </c>
      <c r="Q59" s="255" t="s">
        <v>764</v>
      </c>
      <c r="R59" s="255" t="s">
        <v>765</v>
      </c>
      <c r="S59" s="263" t="s">
        <v>766</v>
      </c>
      <c r="T59" s="240">
        <v>1.418965496E9</v>
      </c>
      <c r="U59" s="240">
        <v>4.729884987E9</v>
      </c>
      <c r="V59" s="258"/>
      <c r="W59" s="258"/>
      <c r="X59" s="240">
        <v>2.364942494E9</v>
      </c>
      <c r="Y59" s="238"/>
    </row>
    <row r="60" ht="18.75" customHeight="1">
      <c r="A60" s="232"/>
      <c r="B60" s="192"/>
      <c r="C60" s="193" t="s">
        <v>678</v>
      </c>
      <c r="D60" s="192" t="s">
        <v>759</v>
      </c>
      <c r="E60" s="192" t="s">
        <v>760</v>
      </c>
      <c r="F60" s="192" t="s">
        <v>761</v>
      </c>
      <c r="G60" s="237"/>
      <c r="H60" s="237"/>
      <c r="I60" s="193" t="s">
        <v>677</v>
      </c>
      <c r="J60" s="234" t="str">
        <f>IFERROR(__xludf.DUMMYFUNCTION("IF(
  $I60="""",
  """",
  IF(
    COLUMN()-9 &gt;
    (1 + LEN(REGEXEXTRACT($I60,""^[0-9.]+"")) - LEN(SUBSTITUTE(REGEXEXTRACT($I60,""^[0-9.]+""),""."",""""))),
    """",
    INDEX(
      BEC_openBDF!$A:$D,
      MATCH(
        $I60,
        INDEX(
         "&amp;" BEC_openBDF!$A:$D,
          0,
          (1 + LEN(REGEXEXTRACT($I60,""^[0-9.]+"")) - LEN(SUBSTITUTE(REGEXEXTRACT($I60,""^[0-9.]+""),""."","""")))
        ),
        0
      ),
      COLUMN()-9
    )
  )
)"),"1 Sub-structure")</f>
        <v>1 Sub-structure</v>
      </c>
      <c r="K60" s="234" t="str">
        <f>IFERROR(__xludf.DUMMYFUNCTION("IF(
  $I60="""",
  """",
  IF(
    COLUMN()-9 &gt;
    (1 + LEN(REGEXEXTRACT($I60,""^[0-9.]+"")) - LEN(SUBSTITUTE(REGEXEXTRACT($I60,""^[0-9.]+""),""."",""""))),
    """",
    INDEX(
      BEC_openBDF!$A:$D,
      MATCH(
        $I60,
        INDEX(
         "&amp;" BEC_openBDF!$A:$D,
          0,
          (1 + LEN(REGEXEXTRACT($I60,""^[0-9.]+"")) - LEN(SUBSTITUTE(REGEXEXTRACT($I60,""^[0-9.]+""),""."","""")))
        ),
        0
      ),
      COLUMN()-9
    )
  )
)"),"1.1 Foundations and piling")</f>
        <v>1.1 Foundations and piling</v>
      </c>
      <c r="L60" s="234" t="str">
        <f>IFERROR(__xludf.DUMMYFUNCTION("IF(
  $I60="""",
  """",
  IF(
    COLUMN()-9 &gt;
    (1 + LEN(REGEXEXTRACT($I60,""^[0-9.]+"")) - LEN(SUBSTITUTE(REGEXEXTRACT($I60,""^[0-9.]+""),""."",""""))),
    """",
    INDEX(
      BEC_openBDF!$A:$D,
      MATCH(
        $I60,
        INDEX(
         "&amp;" BEC_openBDF!$A:$D,
          0,
          (1 + LEN(REGEXEXTRACT($I60,""^[0-9.]+"")) - LEN(SUBSTITUTE(REGEXEXTRACT($I60,""^[0-9.]+""),""."","""")))
        ),
        0
      ),
      COLUMN()-9
    )
  )
)"),"1.1.1 Foundations and piling")</f>
        <v>1.1.1 Foundations and piling</v>
      </c>
      <c r="M60" s="234" t="str">
        <f>IFERROR(__xludf.DUMMYFUNCTION("IF(
  $I60="""",
  """",
  IF(
    COLUMN()-9 &gt;
    (1 + LEN(REGEXEXTRACT($I60,""^[0-9.]+"")) - LEN(SUBSTITUTE(REGEXEXTRACT($I60,""^[0-9.]+""),""."",""""))),
    """",
    INDEX(
      BEC_openBDF!$A:$D,
      MATCH(
        $I60,
        INDEX(
         "&amp;" BEC_openBDF!$A:$D,
          0,
          (1 + LEN(REGEXEXTRACT($I60,""^[0-9.]+"")) - LEN(SUBSTITUTE(REGEXEXTRACT($I60,""^[0-9.]+""),""."","""")))
        ),
        0
      ),
      COLUMN()-9
    )
  )
)"),"")</f>
        <v/>
      </c>
      <c r="N60" s="197" t="s">
        <v>805</v>
      </c>
      <c r="O60" s="193"/>
      <c r="P60" s="197" t="s">
        <v>767</v>
      </c>
      <c r="Q60" s="255" t="s">
        <v>768</v>
      </c>
      <c r="R60" s="255" t="s">
        <v>765</v>
      </c>
      <c r="S60" s="263" t="s">
        <v>769</v>
      </c>
      <c r="T60" s="240">
        <v>4.729884987E9</v>
      </c>
      <c r="U60" s="240">
        <v>4.729884987E9</v>
      </c>
      <c r="V60" s="258"/>
      <c r="W60" s="258"/>
      <c r="X60" s="240">
        <v>7.725415747E9</v>
      </c>
      <c r="Y60" s="238"/>
    </row>
    <row r="61" ht="18.75" customHeight="1">
      <c r="A61" s="232"/>
      <c r="B61" s="192"/>
      <c r="C61" s="193" t="s">
        <v>678</v>
      </c>
      <c r="D61" s="192" t="s">
        <v>759</v>
      </c>
      <c r="E61" s="192" t="s">
        <v>760</v>
      </c>
      <c r="F61" s="192" t="s">
        <v>761</v>
      </c>
      <c r="G61" s="237"/>
      <c r="H61" s="237"/>
      <c r="I61" s="193" t="s">
        <v>677</v>
      </c>
      <c r="J61" s="234" t="str">
        <f>IFERROR(__xludf.DUMMYFUNCTION("IF(
  $I61="""",
  """",
  IF(
    COLUMN()-9 &gt;
    (1 + LEN(REGEXEXTRACT($I61,""^[0-9.]+"")) - LEN(SUBSTITUTE(REGEXEXTRACT($I61,""^[0-9.]+""),""."",""""))),
    """",
    INDEX(
      BEC_openBDF!$A:$D,
      MATCH(
        $I61,
        INDEX(
         "&amp;" BEC_openBDF!$A:$D,
          0,
          (1 + LEN(REGEXEXTRACT($I61,""^[0-9.]+"")) - LEN(SUBSTITUTE(REGEXEXTRACT($I61,""^[0-9.]+""),""."","""")))
        ),
        0
      ),
      COLUMN()-9
    )
  )
)"),"1 Sub-structure")</f>
        <v>1 Sub-structure</v>
      </c>
      <c r="K61" s="234" t="str">
        <f>IFERROR(__xludf.DUMMYFUNCTION("IF(
  $I61="""",
  """",
  IF(
    COLUMN()-9 &gt;
    (1 + LEN(REGEXEXTRACT($I61,""^[0-9.]+"")) - LEN(SUBSTITUTE(REGEXEXTRACT($I61,""^[0-9.]+""),""."",""""))),
    """",
    INDEX(
      BEC_openBDF!$A:$D,
      MATCH(
        $I61,
        INDEX(
         "&amp;" BEC_openBDF!$A:$D,
          0,
          (1 + LEN(REGEXEXTRACT($I61,""^[0-9.]+"")) - LEN(SUBSTITUTE(REGEXEXTRACT($I61,""^[0-9.]+""),""."","""")))
        ),
        0
      ),
      COLUMN()-9
    )
  )
)"),"1.1 Foundations and piling")</f>
        <v>1.1 Foundations and piling</v>
      </c>
      <c r="L61" s="234" t="str">
        <f>IFERROR(__xludf.DUMMYFUNCTION("IF(
  $I61="""",
  """",
  IF(
    COLUMN()-9 &gt;
    (1 + LEN(REGEXEXTRACT($I61,""^[0-9.]+"")) - LEN(SUBSTITUTE(REGEXEXTRACT($I61,""^[0-9.]+""),""."",""""))),
    """",
    INDEX(
      BEC_openBDF!$A:$D,
      MATCH(
        $I61,
        INDEX(
         "&amp;" BEC_openBDF!$A:$D,
          0,
          (1 + LEN(REGEXEXTRACT($I61,""^[0-9.]+"")) - LEN(SUBSTITUTE(REGEXEXTRACT($I61,""^[0-9.]+""),""."","""")))
        ),
        0
      ),
      COLUMN()-9
    )
  )
)"),"1.1.1 Foundations and piling")</f>
        <v>1.1.1 Foundations and piling</v>
      </c>
      <c r="M61" s="234" t="str">
        <f>IFERROR(__xludf.DUMMYFUNCTION("IF(
  $I61="""",
  """",
  IF(
    COLUMN()-9 &gt;
    (1 + LEN(REGEXEXTRACT($I61,""^[0-9.]+"")) - LEN(SUBSTITUTE(REGEXEXTRACT($I61,""^[0-9.]+""),""."",""""))),
    """",
    INDEX(
      BEC_openBDF!$A:$D,
      MATCH(
        $I61,
        INDEX(
         "&amp;" BEC_openBDF!$A:$D,
          0,
          (1 + LEN(REGEXEXTRACT($I61,""^[0-9.]+"")) - LEN(SUBSTITUTE(REGEXEXTRACT($I61,""^[0-9.]+""),""."","""")))
        ),
        0
      ),
      COLUMN()-9
    )
  )
)"),"")</f>
        <v/>
      </c>
      <c r="N61" s="197" t="s">
        <v>805</v>
      </c>
      <c r="O61" s="193"/>
      <c r="P61" s="197" t="s">
        <v>770</v>
      </c>
      <c r="Q61" s="255" t="s">
        <v>771</v>
      </c>
      <c r="R61" s="255" t="s">
        <v>765</v>
      </c>
      <c r="S61" s="263" t="s">
        <v>772</v>
      </c>
      <c r="T61" s="240">
        <v>4.729884987E9</v>
      </c>
      <c r="U61" s="240">
        <v>4.729884987E9</v>
      </c>
      <c r="V61" s="258"/>
      <c r="W61" s="258"/>
      <c r="X61" s="240">
        <v>7.92350333E8</v>
      </c>
      <c r="Y61" s="238"/>
    </row>
    <row r="62" ht="18.75" customHeight="1">
      <c r="A62" s="232"/>
      <c r="B62" s="192"/>
      <c r="C62" s="193" t="s">
        <v>678</v>
      </c>
      <c r="D62" s="192" t="s">
        <v>759</v>
      </c>
      <c r="E62" s="192" t="s">
        <v>760</v>
      </c>
      <c r="F62" s="192" t="s">
        <v>761</v>
      </c>
      <c r="G62" s="237"/>
      <c r="H62" s="237"/>
      <c r="I62" s="193" t="s">
        <v>677</v>
      </c>
      <c r="J62" s="234" t="str">
        <f>IFERROR(__xludf.DUMMYFUNCTION("IF(
  $I62="""",
  """",
  IF(
    COLUMN()-9 &gt;
    (1 + LEN(REGEXEXTRACT($I62,""^[0-9.]+"")) - LEN(SUBSTITUTE(REGEXEXTRACT($I62,""^[0-9.]+""),""."",""""))),
    """",
    INDEX(
      BEC_openBDF!$A:$D,
      MATCH(
        $I62,
        INDEX(
         "&amp;" BEC_openBDF!$A:$D,
          0,
          (1 + LEN(REGEXEXTRACT($I62,""^[0-9.]+"")) - LEN(SUBSTITUTE(REGEXEXTRACT($I62,""^[0-9.]+""),""."","""")))
        ),
        0
      ),
      COLUMN()-9
    )
  )
)"),"1 Sub-structure")</f>
        <v>1 Sub-structure</v>
      </c>
      <c r="K62" s="234" t="str">
        <f>IFERROR(__xludf.DUMMYFUNCTION("IF(
  $I62="""",
  """",
  IF(
    COLUMN()-9 &gt;
    (1 + LEN(REGEXEXTRACT($I62,""^[0-9.]+"")) - LEN(SUBSTITUTE(REGEXEXTRACT($I62,""^[0-9.]+""),""."",""""))),
    """",
    INDEX(
      BEC_openBDF!$A:$D,
      MATCH(
        $I62,
        INDEX(
         "&amp;" BEC_openBDF!$A:$D,
          0,
          (1 + LEN(REGEXEXTRACT($I62,""^[0-9.]+"")) - LEN(SUBSTITUTE(REGEXEXTRACT($I62,""^[0-9.]+""),""."","""")))
        ),
        0
      ),
      COLUMN()-9
    )
  )
)"),"1.1 Foundations and piling")</f>
        <v>1.1 Foundations and piling</v>
      </c>
      <c r="L62" s="234" t="str">
        <f>IFERROR(__xludf.DUMMYFUNCTION("IF(
  $I62="""",
  """",
  IF(
    COLUMN()-9 &gt;
    (1 + LEN(REGEXEXTRACT($I62,""^[0-9.]+"")) - LEN(SUBSTITUTE(REGEXEXTRACT($I62,""^[0-9.]+""),""."",""""))),
    """",
    INDEX(
      BEC_openBDF!$A:$D,
      MATCH(
        $I62,
        INDEX(
         "&amp;" BEC_openBDF!$A:$D,
          0,
          (1 + LEN(REGEXEXTRACT($I62,""^[0-9.]+"")) - LEN(SUBSTITUTE(REGEXEXTRACT($I62,""^[0-9.]+""),""."","""")))
        ),
        0
      ),
      COLUMN()-9
    )
  )
)"),"1.1.1 Foundations and piling")</f>
        <v>1.1.1 Foundations and piling</v>
      </c>
      <c r="M62" s="234" t="str">
        <f>IFERROR(__xludf.DUMMYFUNCTION("IF(
  $I62="""",
  """",
  IF(
    COLUMN()-9 &gt;
    (1 + LEN(REGEXEXTRACT($I62,""^[0-9.]+"")) - LEN(SUBSTITUTE(REGEXEXTRACT($I62,""^[0-9.]+""),""."",""""))),
    """",
    INDEX(
      BEC_openBDF!$A:$D,
      MATCH(
        $I62,
        INDEX(
         "&amp;" BEC_openBDF!$A:$D,
          0,
          (1 + LEN(REGEXEXTRACT($I62,""^[0-9.]+"")) - LEN(SUBSTITUTE(REGEXEXTRACT($I62,""^[0-9.]+""),""."","""")))
        ),
        0
      ),
      COLUMN()-9
    )
  )
)"),"")</f>
        <v/>
      </c>
      <c r="N62" s="197" t="s">
        <v>805</v>
      </c>
      <c r="O62" s="193"/>
      <c r="P62" s="197" t="s">
        <v>773</v>
      </c>
      <c r="Q62" s="255" t="s">
        <v>774</v>
      </c>
      <c r="R62" s="255" t="s">
        <v>765</v>
      </c>
      <c r="S62" s="263" t="s">
        <v>775</v>
      </c>
      <c r="T62" s="240">
        <v>5.675861985E9</v>
      </c>
      <c r="U62" s="240">
        <v>4.729884987E9</v>
      </c>
      <c r="V62" s="258"/>
      <c r="W62" s="258"/>
      <c r="X62" s="240">
        <v>1.206120672E9</v>
      </c>
      <c r="Y62" s="238"/>
    </row>
    <row r="63" ht="18.75" customHeight="1">
      <c r="A63" s="232"/>
      <c r="B63" s="192"/>
      <c r="C63" s="193" t="s">
        <v>678</v>
      </c>
      <c r="D63" s="192" t="s">
        <v>759</v>
      </c>
      <c r="E63" s="192" t="s">
        <v>760</v>
      </c>
      <c r="F63" s="192" t="s">
        <v>761</v>
      </c>
      <c r="G63" s="237"/>
      <c r="H63" s="237"/>
      <c r="I63" s="193" t="s">
        <v>677</v>
      </c>
      <c r="J63" s="234" t="str">
        <f>IFERROR(__xludf.DUMMYFUNCTION("IF(
  $I63="""",
  """",
  IF(
    COLUMN()-9 &gt;
    (1 + LEN(REGEXEXTRACT($I63,""^[0-9.]+"")) - LEN(SUBSTITUTE(REGEXEXTRACT($I63,""^[0-9.]+""),""."",""""))),
    """",
    INDEX(
      BEC_openBDF!$A:$D,
      MATCH(
        $I63,
        INDEX(
         "&amp;" BEC_openBDF!$A:$D,
          0,
          (1 + LEN(REGEXEXTRACT($I63,""^[0-9.]+"")) - LEN(SUBSTITUTE(REGEXEXTRACT($I63,""^[0-9.]+""),""."","""")))
        ),
        0
      ),
      COLUMN()-9
    )
  )
)"),"1 Sub-structure")</f>
        <v>1 Sub-structure</v>
      </c>
      <c r="K63" s="234" t="str">
        <f>IFERROR(__xludf.DUMMYFUNCTION("IF(
  $I63="""",
  """",
  IF(
    COLUMN()-9 &gt;
    (1 + LEN(REGEXEXTRACT($I63,""^[0-9.]+"")) - LEN(SUBSTITUTE(REGEXEXTRACT($I63,""^[0-9.]+""),""."",""""))),
    """",
    INDEX(
      BEC_openBDF!$A:$D,
      MATCH(
        $I63,
        INDEX(
         "&amp;" BEC_openBDF!$A:$D,
          0,
          (1 + LEN(REGEXEXTRACT($I63,""^[0-9.]+"")) - LEN(SUBSTITUTE(REGEXEXTRACT($I63,""^[0-9.]+""),""."","""")))
        ),
        0
      ),
      COLUMN()-9
    )
  )
)"),"1.1 Foundations and piling")</f>
        <v>1.1 Foundations and piling</v>
      </c>
      <c r="L63" s="234" t="str">
        <f>IFERROR(__xludf.DUMMYFUNCTION("IF(
  $I63="""",
  """",
  IF(
    COLUMN()-9 &gt;
    (1 + LEN(REGEXEXTRACT($I63,""^[0-9.]+"")) - LEN(SUBSTITUTE(REGEXEXTRACT($I63,""^[0-9.]+""),""."",""""))),
    """",
    INDEX(
      BEC_openBDF!$A:$D,
      MATCH(
        $I63,
        INDEX(
         "&amp;" BEC_openBDF!$A:$D,
          0,
          (1 + LEN(REGEXEXTRACT($I63,""^[0-9.]+"")) - LEN(SUBSTITUTE(REGEXEXTRACT($I63,""^[0-9.]+""),""."","""")))
        ),
        0
      ),
      COLUMN()-9
    )
  )
)"),"1.1.1 Foundations and piling")</f>
        <v>1.1.1 Foundations and piling</v>
      </c>
      <c r="M63" s="234" t="str">
        <f>IFERROR(__xludf.DUMMYFUNCTION("IF(
  $I63="""",
  """",
  IF(
    COLUMN()-9 &gt;
    (1 + LEN(REGEXEXTRACT($I63,""^[0-9.]+"")) - LEN(SUBSTITUTE(REGEXEXTRACT($I63,""^[0-9.]+""),""."",""""))),
    """",
    INDEX(
      BEC_openBDF!$A:$D,
      MATCH(
        $I63,
        INDEX(
         "&amp;" BEC_openBDF!$A:$D,
          0,
          (1 + LEN(REGEXEXTRACT($I63,""^[0-9.]+"")) - LEN(SUBSTITUTE(REGEXEXTRACT($I63,""^[0-9.]+""),""."","""")))
        ),
        0
      ),
      COLUMN()-9
    )
  )
)"),"")</f>
        <v/>
      </c>
      <c r="N63" s="197" t="s">
        <v>805</v>
      </c>
      <c r="O63" s="193"/>
      <c r="P63" s="197" t="s">
        <v>776</v>
      </c>
      <c r="Q63" s="255" t="s">
        <v>777</v>
      </c>
      <c r="R63" s="255" t="s">
        <v>765</v>
      </c>
      <c r="S63" s="263" t="s">
        <v>778</v>
      </c>
      <c r="T63" s="240">
        <v>2.781172372E9</v>
      </c>
      <c r="U63" s="240">
        <v>4.729884987E9</v>
      </c>
      <c r="V63" s="258"/>
      <c r="W63" s="258"/>
      <c r="X63" s="240">
        <v>7.946206778E9</v>
      </c>
      <c r="Y63" s="238"/>
    </row>
    <row r="64" ht="18.75" customHeight="1">
      <c r="A64" s="232"/>
      <c r="B64" s="192"/>
      <c r="C64" s="193" t="s">
        <v>678</v>
      </c>
      <c r="D64" s="192" t="s">
        <v>759</v>
      </c>
      <c r="E64" s="192" t="s">
        <v>760</v>
      </c>
      <c r="F64" s="192" t="s">
        <v>761</v>
      </c>
      <c r="G64" s="237"/>
      <c r="H64" s="237"/>
      <c r="I64" s="193" t="s">
        <v>677</v>
      </c>
      <c r="J64" s="234" t="str">
        <f>IFERROR(__xludf.DUMMYFUNCTION("IF(
  $I64="""",
  """",
  IF(
    COLUMN()-9 &gt;
    (1 + LEN(REGEXEXTRACT($I64,""^[0-9.]+"")) - LEN(SUBSTITUTE(REGEXEXTRACT($I64,""^[0-9.]+""),""."",""""))),
    """",
    INDEX(
      BEC_openBDF!$A:$D,
      MATCH(
        $I64,
        INDEX(
         "&amp;" BEC_openBDF!$A:$D,
          0,
          (1 + LEN(REGEXEXTRACT($I64,""^[0-9.]+"")) - LEN(SUBSTITUTE(REGEXEXTRACT($I64,""^[0-9.]+""),""."","""")))
        ),
        0
      ),
      COLUMN()-9
    )
  )
)"),"1 Sub-structure")</f>
        <v>1 Sub-structure</v>
      </c>
      <c r="K64" s="234" t="str">
        <f>IFERROR(__xludf.DUMMYFUNCTION("IF(
  $I64="""",
  """",
  IF(
    COLUMN()-9 &gt;
    (1 + LEN(REGEXEXTRACT($I64,""^[0-9.]+"")) - LEN(SUBSTITUTE(REGEXEXTRACT($I64,""^[0-9.]+""),""."",""""))),
    """",
    INDEX(
      BEC_openBDF!$A:$D,
      MATCH(
        $I64,
        INDEX(
         "&amp;" BEC_openBDF!$A:$D,
          0,
          (1 + LEN(REGEXEXTRACT($I64,""^[0-9.]+"")) - LEN(SUBSTITUTE(REGEXEXTRACT($I64,""^[0-9.]+""),""."","""")))
        ),
        0
      ),
      COLUMN()-9
    )
  )
)"),"1.1 Foundations and piling")</f>
        <v>1.1 Foundations and piling</v>
      </c>
      <c r="L64" s="234" t="str">
        <f>IFERROR(__xludf.DUMMYFUNCTION("IF(
  $I64="""",
  """",
  IF(
    COLUMN()-9 &gt;
    (1 + LEN(REGEXEXTRACT($I64,""^[0-9.]+"")) - LEN(SUBSTITUTE(REGEXEXTRACT($I64,""^[0-9.]+""),""."",""""))),
    """",
    INDEX(
      BEC_openBDF!$A:$D,
      MATCH(
        $I64,
        INDEX(
         "&amp;" BEC_openBDF!$A:$D,
          0,
          (1 + LEN(REGEXEXTRACT($I64,""^[0-9.]+"")) - LEN(SUBSTITUTE(REGEXEXTRACT($I64,""^[0-9.]+""),""."","""")))
        ),
        0
      ),
      COLUMN()-9
    )
  )
)"),"1.1.1 Foundations and piling")</f>
        <v>1.1.1 Foundations and piling</v>
      </c>
      <c r="M64" s="234" t="str">
        <f>IFERROR(__xludf.DUMMYFUNCTION("IF(
  $I64="""",
  """",
  IF(
    COLUMN()-9 &gt;
    (1 + LEN(REGEXEXTRACT($I64,""^[0-9.]+"")) - LEN(SUBSTITUTE(REGEXEXTRACT($I64,""^[0-9.]+""),""."",""""))),
    """",
    INDEX(
      BEC_openBDF!$A:$D,
      MATCH(
        $I64,
        INDEX(
         "&amp;" BEC_openBDF!$A:$D,
          0,
          (1 + LEN(REGEXEXTRACT($I64,""^[0-9.]+"")) - LEN(SUBSTITUTE(REGEXEXTRACT($I64,""^[0-9.]+""),""."","""")))
        ),
        0
      ),
      COLUMN()-9
    )
  )
)"),"")</f>
        <v/>
      </c>
      <c r="N64" s="197" t="s">
        <v>805</v>
      </c>
      <c r="O64" s="193"/>
      <c r="P64" s="197" t="s">
        <v>779</v>
      </c>
      <c r="Q64" s="255" t="s">
        <v>780</v>
      </c>
      <c r="R64" s="255" t="s">
        <v>765</v>
      </c>
      <c r="S64" s="263" t="s">
        <v>781</v>
      </c>
      <c r="T64" s="240">
        <v>4.256896488E9</v>
      </c>
      <c r="U64" s="240">
        <v>4.729884987E9</v>
      </c>
      <c r="V64" s="258"/>
      <c r="W64" s="258"/>
      <c r="X64" s="240">
        <v>7.22453247E8</v>
      </c>
      <c r="Y64" s="238"/>
    </row>
    <row r="65" ht="18.75" customHeight="1">
      <c r="A65" s="232"/>
      <c r="B65" s="192"/>
      <c r="C65" s="193" t="s">
        <v>678</v>
      </c>
      <c r="D65" s="192" t="s">
        <v>759</v>
      </c>
      <c r="E65" s="192" t="s">
        <v>760</v>
      </c>
      <c r="F65" s="192" t="s">
        <v>761</v>
      </c>
      <c r="G65" s="237"/>
      <c r="H65" s="237"/>
      <c r="I65" s="193" t="s">
        <v>677</v>
      </c>
      <c r="J65" s="234" t="str">
        <f>IFERROR(__xludf.DUMMYFUNCTION("IF(
  $I65="""",
  """",
  IF(
    COLUMN()-9 &gt;
    (1 + LEN(REGEXEXTRACT($I65,""^[0-9.]+"")) - LEN(SUBSTITUTE(REGEXEXTRACT($I65,""^[0-9.]+""),""."",""""))),
    """",
    INDEX(
      BEC_openBDF!$A:$D,
      MATCH(
        $I65,
        INDEX(
         "&amp;" BEC_openBDF!$A:$D,
          0,
          (1 + LEN(REGEXEXTRACT($I65,""^[0-9.]+"")) - LEN(SUBSTITUTE(REGEXEXTRACT($I65,""^[0-9.]+""),""."","""")))
        ),
        0
      ),
      COLUMN()-9
    )
  )
)"),"1 Sub-structure")</f>
        <v>1 Sub-structure</v>
      </c>
      <c r="K65" s="234" t="str">
        <f>IFERROR(__xludf.DUMMYFUNCTION("IF(
  $I65="""",
  """",
  IF(
    COLUMN()-9 &gt;
    (1 + LEN(REGEXEXTRACT($I65,""^[0-9.]+"")) - LEN(SUBSTITUTE(REGEXEXTRACT($I65,""^[0-9.]+""),""."",""""))),
    """",
    INDEX(
      BEC_openBDF!$A:$D,
      MATCH(
        $I65,
        INDEX(
         "&amp;" BEC_openBDF!$A:$D,
          0,
          (1 + LEN(REGEXEXTRACT($I65,""^[0-9.]+"")) - LEN(SUBSTITUTE(REGEXEXTRACT($I65,""^[0-9.]+""),""."","""")))
        ),
        0
      ),
      COLUMN()-9
    )
  )
)"),"1.1 Foundations and piling")</f>
        <v>1.1 Foundations and piling</v>
      </c>
      <c r="L65" s="234" t="str">
        <f>IFERROR(__xludf.DUMMYFUNCTION("IF(
  $I65="""",
  """",
  IF(
    COLUMN()-9 &gt;
    (1 + LEN(REGEXEXTRACT($I65,""^[0-9.]+"")) - LEN(SUBSTITUTE(REGEXEXTRACT($I65,""^[0-9.]+""),""."",""""))),
    """",
    INDEX(
      BEC_openBDF!$A:$D,
      MATCH(
        $I65,
        INDEX(
         "&amp;" BEC_openBDF!$A:$D,
          0,
          (1 + LEN(REGEXEXTRACT($I65,""^[0-9.]+"")) - LEN(SUBSTITUTE(REGEXEXTRACT($I65,""^[0-9.]+""),""."","""")))
        ),
        0
      ),
      COLUMN()-9
    )
  )
)"),"1.1.1 Foundations and piling")</f>
        <v>1.1.1 Foundations and piling</v>
      </c>
      <c r="M65" s="234" t="str">
        <f>IFERROR(__xludf.DUMMYFUNCTION("IF(
  $I65="""",
  """",
  IF(
    COLUMN()-9 &gt;
    (1 + LEN(REGEXEXTRACT($I65,""^[0-9.]+"")) - LEN(SUBSTITUTE(REGEXEXTRACT($I65,""^[0-9.]+""),""."",""""))),
    """",
    INDEX(
      BEC_openBDF!$A:$D,
      MATCH(
        $I65,
        INDEX(
         "&amp;" BEC_openBDF!$A:$D,
          0,
          (1 + LEN(REGEXEXTRACT($I65,""^[0-9.]+"")) - LEN(SUBSTITUTE(REGEXEXTRACT($I65,""^[0-9.]+""),""."","""")))
        ),
        0
      ),
      COLUMN()-9
    )
  )
)"),"")</f>
        <v/>
      </c>
      <c r="N65" s="197" t="s">
        <v>805</v>
      </c>
      <c r="O65" s="193"/>
      <c r="P65" s="197" t="s">
        <v>782</v>
      </c>
      <c r="Q65" s="255" t="s">
        <v>783</v>
      </c>
      <c r="R65" s="255" t="s">
        <v>765</v>
      </c>
      <c r="S65" s="263" t="s">
        <v>784</v>
      </c>
      <c r="T65" s="240">
        <v>3.68931029E8</v>
      </c>
      <c r="U65" s="240">
        <v>4.729884987E9</v>
      </c>
      <c r="V65" s="258"/>
      <c r="W65" s="258"/>
      <c r="X65" s="240">
        <v>2.78509291E8</v>
      </c>
      <c r="Y65" s="238"/>
    </row>
    <row r="66" ht="18.75" customHeight="1">
      <c r="A66" s="232"/>
      <c r="B66" s="192"/>
      <c r="C66" s="193" t="s">
        <v>678</v>
      </c>
      <c r="D66" s="192" t="s">
        <v>759</v>
      </c>
      <c r="E66" s="192" t="s">
        <v>760</v>
      </c>
      <c r="F66" s="192" t="s">
        <v>761</v>
      </c>
      <c r="G66" s="237"/>
      <c r="H66" s="237"/>
      <c r="I66" s="193" t="s">
        <v>677</v>
      </c>
      <c r="J66" s="234" t="str">
        <f>IFERROR(__xludf.DUMMYFUNCTION("IF(
  $I66="""",
  """",
  IF(
    COLUMN()-9 &gt;
    (1 + LEN(REGEXEXTRACT($I66,""^[0-9.]+"")) - LEN(SUBSTITUTE(REGEXEXTRACT($I66,""^[0-9.]+""),""."",""""))),
    """",
    INDEX(
      BEC_openBDF!$A:$D,
      MATCH(
        $I66,
        INDEX(
         "&amp;" BEC_openBDF!$A:$D,
          0,
          (1 + LEN(REGEXEXTRACT($I66,""^[0-9.]+"")) - LEN(SUBSTITUTE(REGEXEXTRACT($I66,""^[0-9.]+""),""."","""")))
        ),
        0
      ),
      COLUMN()-9
    )
  )
)"),"1 Sub-structure")</f>
        <v>1 Sub-structure</v>
      </c>
      <c r="K66" s="234" t="str">
        <f>IFERROR(__xludf.DUMMYFUNCTION("IF(
  $I66="""",
  """",
  IF(
    COLUMN()-9 &gt;
    (1 + LEN(REGEXEXTRACT($I66,""^[0-9.]+"")) - LEN(SUBSTITUTE(REGEXEXTRACT($I66,""^[0-9.]+""),""."",""""))),
    """",
    INDEX(
      BEC_openBDF!$A:$D,
      MATCH(
        $I66,
        INDEX(
         "&amp;" BEC_openBDF!$A:$D,
          0,
          (1 + LEN(REGEXEXTRACT($I66,""^[0-9.]+"")) - LEN(SUBSTITUTE(REGEXEXTRACT($I66,""^[0-9.]+""),""."","""")))
        ),
        0
      ),
      COLUMN()-9
    )
  )
)"),"1.1 Foundations and piling")</f>
        <v>1.1 Foundations and piling</v>
      </c>
      <c r="L66" s="234" t="str">
        <f>IFERROR(__xludf.DUMMYFUNCTION("IF(
  $I66="""",
  """",
  IF(
    COLUMN()-9 &gt;
    (1 + LEN(REGEXEXTRACT($I66,""^[0-9.]+"")) - LEN(SUBSTITUTE(REGEXEXTRACT($I66,""^[0-9.]+""),""."",""""))),
    """",
    INDEX(
      BEC_openBDF!$A:$D,
      MATCH(
        $I66,
        INDEX(
         "&amp;" BEC_openBDF!$A:$D,
          0,
          (1 + LEN(REGEXEXTRACT($I66,""^[0-9.]+"")) - LEN(SUBSTITUTE(REGEXEXTRACT($I66,""^[0-9.]+""),""."","""")))
        ),
        0
      ),
      COLUMN()-9
    )
  )
)"),"1.1.1 Foundations and piling")</f>
        <v>1.1.1 Foundations and piling</v>
      </c>
      <c r="M66" s="234" t="str">
        <f>IFERROR(__xludf.DUMMYFUNCTION("IF(
  $I66="""",
  """",
  IF(
    COLUMN()-9 &gt;
    (1 + LEN(REGEXEXTRACT($I66,""^[0-9.]+"")) - LEN(SUBSTITUTE(REGEXEXTRACT($I66,""^[0-9.]+""),""."",""""))),
    """",
    INDEX(
      BEC_openBDF!$A:$D,
      MATCH(
        $I66,
        INDEX(
         "&amp;" BEC_openBDF!$A:$D,
          0,
          (1 + LEN(REGEXEXTRACT($I66,""^[0-9.]+"")) - LEN(SUBSTITUTE(REGEXEXTRACT($I66,""^[0-9.]+""),""."","""")))
        ),
        0
      ),
      COLUMN()-9
    )
  )
)"),"")</f>
        <v/>
      </c>
      <c r="N66" s="197" t="s">
        <v>805</v>
      </c>
      <c r="O66" s="193"/>
      <c r="P66" s="197" t="s">
        <v>782</v>
      </c>
      <c r="Q66" s="255" t="s">
        <v>783</v>
      </c>
      <c r="R66" s="255" t="s">
        <v>765</v>
      </c>
      <c r="S66" s="263" t="s">
        <v>784</v>
      </c>
      <c r="T66" s="240">
        <v>3.78390799E8</v>
      </c>
      <c r="U66" s="240">
        <v>4.729884987E9</v>
      </c>
      <c r="V66" s="258"/>
      <c r="W66" s="258"/>
      <c r="X66" s="240">
        <v>2.577151937E9</v>
      </c>
      <c r="Y66" s="238"/>
    </row>
    <row r="67" ht="18.75" customHeight="1">
      <c r="A67" s="232"/>
      <c r="B67" s="192"/>
      <c r="C67" s="193" t="s">
        <v>678</v>
      </c>
      <c r="D67" s="192" t="s">
        <v>759</v>
      </c>
      <c r="E67" s="192" t="s">
        <v>760</v>
      </c>
      <c r="F67" s="192" t="s">
        <v>761</v>
      </c>
      <c r="G67" s="237"/>
      <c r="H67" s="237"/>
      <c r="I67" s="193" t="s">
        <v>677</v>
      </c>
      <c r="J67" s="234" t="str">
        <f>IFERROR(__xludf.DUMMYFUNCTION("IF(
  $I67="""",
  """",
  IF(
    COLUMN()-9 &gt;
    (1 + LEN(REGEXEXTRACT($I67,""^[0-9.]+"")) - LEN(SUBSTITUTE(REGEXEXTRACT($I67,""^[0-9.]+""),""."",""""))),
    """",
    INDEX(
      BEC_openBDF!$A:$D,
      MATCH(
        $I67,
        INDEX(
         "&amp;" BEC_openBDF!$A:$D,
          0,
          (1 + LEN(REGEXEXTRACT($I67,""^[0-9.]+"")) - LEN(SUBSTITUTE(REGEXEXTRACT($I67,""^[0-9.]+""),""."","""")))
        ),
        0
      ),
      COLUMN()-9
    )
  )
)"),"1 Sub-structure")</f>
        <v>1 Sub-structure</v>
      </c>
      <c r="K67" s="234" t="str">
        <f>IFERROR(__xludf.DUMMYFUNCTION("IF(
  $I67="""",
  """",
  IF(
    COLUMN()-9 &gt;
    (1 + LEN(REGEXEXTRACT($I67,""^[0-9.]+"")) - LEN(SUBSTITUTE(REGEXEXTRACT($I67,""^[0-9.]+""),""."",""""))),
    """",
    INDEX(
      BEC_openBDF!$A:$D,
      MATCH(
        $I67,
        INDEX(
         "&amp;" BEC_openBDF!$A:$D,
          0,
          (1 + LEN(REGEXEXTRACT($I67,""^[0-9.]+"")) - LEN(SUBSTITUTE(REGEXEXTRACT($I67,""^[0-9.]+""),""."","""")))
        ),
        0
      ),
      COLUMN()-9
    )
  )
)"),"1.1 Foundations and piling")</f>
        <v>1.1 Foundations and piling</v>
      </c>
      <c r="L67" s="234" t="str">
        <f>IFERROR(__xludf.DUMMYFUNCTION("IF(
  $I67="""",
  """",
  IF(
    COLUMN()-9 &gt;
    (1 + LEN(REGEXEXTRACT($I67,""^[0-9.]+"")) - LEN(SUBSTITUTE(REGEXEXTRACT($I67,""^[0-9.]+""),""."",""""))),
    """",
    INDEX(
      BEC_openBDF!$A:$D,
      MATCH(
        $I67,
        INDEX(
         "&amp;" BEC_openBDF!$A:$D,
          0,
          (1 + LEN(REGEXEXTRACT($I67,""^[0-9.]+"")) - LEN(SUBSTITUTE(REGEXEXTRACT($I67,""^[0-9.]+""),""."","""")))
        ),
        0
      ),
      COLUMN()-9
    )
  )
)"),"1.1.1 Foundations and piling")</f>
        <v>1.1.1 Foundations and piling</v>
      </c>
      <c r="M67" s="234" t="str">
        <f>IFERROR(__xludf.DUMMYFUNCTION("IF(
  $I67="""",
  """",
  IF(
    COLUMN()-9 &gt;
    (1 + LEN(REGEXEXTRACT($I67,""^[0-9.]+"")) - LEN(SUBSTITUTE(REGEXEXTRACT($I67,""^[0-9.]+""),""."",""""))),
    """",
    INDEX(
      BEC_openBDF!$A:$D,
      MATCH(
        $I67,
        INDEX(
         "&amp;" BEC_openBDF!$A:$D,
          0,
          (1 + LEN(REGEXEXTRACT($I67,""^[0-9.]+"")) - LEN(SUBSTITUTE(REGEXEXTRACT($I67,""^[0-9.]+""),""."","""")))
        ),
        0
      ),
      COLUMN()-9
    )
  )
)"),"")</f>
        <v/>
      </c>
      <c r="N67" s="197" t="s">
        <v>805</v>
      </c>
      <c r="O67" s="193"/>
      <c r="P67" s="197" t="s">
        <v>785</v>
      </c>
      <c r="Q67" s="255" t="s">
        <v>786</v>
      </c>
      <c r="R67" s="255" t="s">
        <v>765</v>
      </c>
      <c r="S67" s="263" t="s">
        <v>787</v>
      </c>
      <c r="T67" s="240">
        <v>1.418965496E9</v>
      </c>
      <c r="U67" s="240">
        <v>4.729884987E9</v>
      </c>
      <c r="V67" s="257"/>
      <c r="W67" s="257"/>
      <c r="X67" s="240">
        <v>3.016178419E9</v>
      </c>
      <c r="Y67" s="238"/>
    </row>
    <row r="68" ht="18.75" customHeight="1">
      <c r="A68" s="232"/>
      <c r="B68" s="192"/>
      <c r="C68" s="193" t="s">
        <v>678</v>
      </c>
      <c r="D68" s="192" t="s">
        <v>759</v>
      </c>
      <c r="E68" s="192" t="s">
        <v>760</v>
      </c>
      <c r="F68" s="192" t="s">
        <v>761</v>
      </c>
      <c r="G68" s="237"/>
      <c r="H68" s="237"/>
      <c r="I68" s="193" t="s">
        <v>677</v>
      </c>
      <c r="J68" s="234" t="str">
        <f>IFERROR(__xludf.DUMMYFUNCTION("IF(
  $I68="""",
  """",
  IF(
    COLUMN()-9 &gt;
    (1 + LEN(REGEXEXTRACT($I68,""^[0-9.]+"")) - LEN(SUBSTITUTE(REGEXEXTRACT($I68,""^[0-9.]+""),""."",""""))),
    """",
    INDEX(
      BEC_openBDF!$A:$D,
      MATCH(
        $I68,
        INDEX(
         "&amp;" BEC_openBDF!$A:$D,
          0,
          (1 + LEN(REGEXEXTRACT($I68,""^[0-9.]+"")) - LEN(SUBSTITUTE(REGEXEXTRACT($I68,""^[0-9.]+""),""."","""")))
        ),
        0
      ),
      COLUMN()-9
    )
  )
)"),"1 Sub-structure")</f>
        <v>1 Sub-structure</v>
      </c>
      <c r="K68" s="234" t="str">
        <f>IFERROR(__xludf.DUMMYFUNCTION("IF(
  $I68="""",
  """",
  IF(
    COLUMN()-9 &gt;
    (1 + LEN(REGEXEXTRACT($I68,""^[0-9.]+"")) - LEN(SUBSTITUTE(REGEXEXTRACT($I68,""^[0-9.]+""),""."",""""))),
    """",
    INDEX(
      BEC_openBDF!$A:$D,
      MATCH(
        $I68,
        INDEX(
         "&amp;" BEC_openBDF!$A:$D,
          0,
          (1 + LEN(REGEXEXTRACT($I68,""^[0-9.]+"")) - LEN(SUBSTITUTE(REGEXEXTRACT($I68,""^[0-9.]+""),""."","""")))
        ),
        0
      ),
      COLUMN()-9
    )
  )
)"),"1.1 Foundations and piling")</f>
        <v>1.1 Foundations and piling</v>
      </c>
      <c r="L68" s="234" t="str">
        <f>IFERROR(__xludf.DUMMYFUNCTION("IF(
  $I68="""",
  """",
  IF(
    COLUMN()-9 &gt;
    (1 + LEN(REGEXEXTRACT($I68,""^[0-9.]+"")) - LEN(SUBSTITUTE(REGEXEXTRACT($I68,""^[0-9.]+""),""."",""""))),
    """",
    INDEX(
      BEC_openBDF!$A:$D,
      MATCH(
        $I68,
        INDEX(
         "&amp;" BEC_openBDF!$A:$D,
          0,
          (1 + LEN(REGEXEXTRACT($I68,""^[0-9.]+"")) - LEN(SUBSTITUTE(REGEXEXTRACT($I68,""^[0-9.]+""),""."","""")))
        ),
        0
      ),
      COLUMN()-9
    )
  )
)"),"1.1.1 Foundations and piling")</f>
        <v>1.1.1 Foundations and piling</v>
      </c>
      <c r="M68" s="234" t="str">
        <f>IFERROR(__xludf.DUMMYFUNCTION("IF(
  $I68="""",
  """",
  IF(
    COLUMN()-9 &gt;
    (1 + LEN(REGEXEXTRACT($I68,""^[0-9.]+"")) - LEN(SUBSTITUTE(REGEXEXTRACT($I68,""^[0-9.]+""),""."",""""))),
    """",
    INDEX(
      BEC_openBDF!$A:$D,
      MATCH(
        $I68,
        INDEX(
         "&amp;" BEC_openBDF!$A:$D,
          0,
          (1 + LEN(REGEXEXTRACT($I68,""^[0-9.]+"")) - LEN(SUBSTITUTE(REGEXEXTRACT($I68,""^[0-9.]+""),""."","""")))
        ),
        0
      ),
      COLUMN()-9
    )
  )
)"),"")</f>
        <v/>
      </c>
      <c r="N68" s="197" t="s">
        <v>805</v>
      </c>
      <c r="O68" s="193"/>
      <c r="P68" s="197" t="s">
        <v>788</v>
      </c>
      <c r="Q68" s="255" t="s">
        <v>789</v>
      </c>
      <c r="R68" s="255" t="s">
        <v>765</v>
      </c>
      <c r="S68" s="263" t="s">
        <v>790</v>
      </c>
      <c r="T68" s="240">
        <v>3.310919491E9</v>
      </c>
      <c r="U68" s="240">
        <v>4.729884987E9</v>
      </c>
      <c r="V68" s="257"/>
      <c r="W68" s="257"/>
      <c r="X68" s="240">
        <v>2.577276737E9</v>
      </c>
      <c r="Y68" s="238"/>
    </row>
    <row r="69" ht="18.75" customHeight="1">
      <c r="A69" s="232"/>
      <c r="B69" s="192"/>
      <c r="C69" s="193" t="s">
        <v>678</v>
      </c>
      <c r="D69" s="192" t="s">
        <v>759</v>
      </c>
      <c r="E69" s="192" t="s">
        <v>806</v>
      </c>
      <c r="F69" s="192" t="s">
        <v>807</v>
      </c>
      <c r="G69" s="237"/>
      <c r="H69" s="237"/>
      <c r="I69" s="192" t="s">
        <v>808</v>
      </c>
      <c r="J69" s="234" t="str">
        <f>IFERROR(__xludf.DUMMYFUNCTION("IF(
  $I69="""",
  """",
  IF(
    COLUMN()-9 &gt;
    (1 + LEN(REGEXEXTRACT($I69,""^[0-9.]+"")) - LEN(SUBSTITUTE(REGEXEXTRACT($I69,""^[0-9.]+""),""."",""""))),
    """",
    INDEX(
      BEC_openBDF!$A:$D,
      MATCH(
        $I69,
        INDEX(
         "&amp;" BEC_openBDF!$A:$D,
          0,
          (1 + LEN(REGEXEXTRACT($I69,""^[0-9.]+"")) - LEN(SUBSTITUTE(REGEXEXTRACT($I69,""^[0-9.]+""),""."","""")))
        ),
        0
      ),
      COLUMN()-9
    )
  )
)"),"2 Super structure")</f>
        <v>2 Super structure</v>
      </c>
      <c r="K69" s="234" t="str">
        <f>IFERROR(__xludf.DUMMYFUNCTION("IF(
  $I69="""",
  """",
  IF(
    COLUMN()-9 &gt;
    (1 + LEN(REGEXEXTRACT($I69,""^[0-9.]+"")) - LEN(SUBSTITUTE(REGEXEXTRACT($I69,""^[0-9.]+""),""."",""""))),
    """",
    INDEX(
      BEC_openBDF!$A:$D,
      MATCH(
        $I69,
        INDEX(
         "&amp;" BEC_openBDF!$A:$D,
          0,
          (1 + LEN(REGEXEXTRACT($I69,""^[0-9.]+"")) - LEN(SUBSTITUTE(REGEXEXTRACT($I69,""^[0-9.]+""),""."","""")))
        ),
        0
      ),
      COLUMN()-9
    )
  )
)"),"2.2 Upper floors 
")</f>
        <v>2.2 Upper floors 
</v>
      </c>
      <c r="L69" s="234" t="str">
        <f>IFERROR(__xludf.DUMMYFUNCTION("IF(
  $I69="""",
  """",
  IF(
    COLUMN()-9 &gt;
    (1 + LEN(REGEXEXTRACT($I69,""^[0-9.]+"")) - LEN(SUBSTITUTE(REGEXEXTRACT($I69,""^[0-9.]+""),""."",""""))),
    """",
    INDEX(
      BEC_openBDF!$A:$D,
      MATCH(
        $I69,
        INDEX(
         "&amp;" BEC_openBDF!$A:$D,
          0,
          (1 + LEN(REGEXEXTRACT($I69,""^[0-9.]+"")) - LEN(SUBSTITUTE(REGEXEXTRACT($I69,""^[0-9.]+""),""."","""")))
        ),
        0
      ),
      COLUMN()-9
    )
  )
)"),"")</f>
        <v/>
      </c>
      <c r="M69" s="234" t="str">
        <f>IFERROR(__xludf.DUMMYFUNCTION("IF(
  $I69="""",
  """",
  IF(
    COLUMN()-9 &gt;
    (1 + LEN(REGEXEXTRACT($I69,""^[0-9.]+"")) - LEN(SUBSTITUTE(REGEXEXTRACT($I69,""^[0-9.]+""),""."",""""))),
    """",
    INDEX(
      BEC_openBDF!$A:$D,
      MATCH(
        $I69,
        INDEX(
         "&amp;" BEC_openBDF!$A:$D,
          0,
          (1 + LEN(REGEXEXTRACT($I69,""^[0-9.]+"")) - LEN(SUBSTITUTE(REGEXEXTRACT($I69,""^[0-9.]+""),""."","""")))
        ),
        0
      ),
      COLUMN()-9
    )
  )
)"),"")</f>
        <v/>
      </c>
      <c r="N69" s="197" t="s">
        <v>809</v>
      </c>
      <c r="O69" s="193"/>
      <c r="P69" s="197" t="s">
        <v>810</v>
      </c>
      <c r="Q69" s="255" t="s">
        <v>811</v>
      </c>
      <c r="R69" s="255" t="s">
        <v>796</v>
      </c>
      <c r="S69" s="263" t="s">
        <v>812</v>
      </c>
      <c r="T69" s="240">
        <v>4.515332794E9</v>
      </c>
      <c r="U69" s="192">
        <v>0.0</v>
      </c>
      <c r="V69" s="257"/>
      <c r="W69" s="257"/>
      <c r="X69" s="240">
        <v>2.78509291E8</v>
      </c>
      <c r="Y69" s="238"/>
    </row>
    <row r="70" ht="18.75" customHeight="1">
      <c r="A70" s="232"/>
      <c r="B70" s="192"/>
      <c r="C70" s="193" t="s">
        <v>678</v>
      </c>
      <c r="D70" s="192" t="s">
        <v>759</v>
      </c>
      <c r="E70" s="192" t="s">
        <v>806</v>
      </c>
      <c r="F70" s="192" t="s">
        <v>807</v>
      </c>
      <c r="G70" s="237"/>
      <c r="H70" s="237"/>
      <c r="I70" s="192" t="s">
        <v>808</v>
      </c>
      <c r="J70" s="234" t="str">
        <f>IFERROR(__xludf.DUMMYFUNCTION("IF(
  $I70="""",
  """",
  IF(
    COLUMN()-9 &gt;
    (1 + LEN(REGEXEXTRACT($I70,""^[0-9.]+"")) - LEN(SUBSTITUTE(REGEXEXTRACT($I70,""^[0-9.]+""),""."",""""))),
    """",
    INDEX(
      BEC_openBDF!$A:$D,
      MATCH(
        $I70,
        INDEX(
         "&amp;" BEC_openBDF!$A:$D,
          0,
          (1 + LEN(REGEXEXTRACT($I70,""^[0-9.]+"")) - LEN(SUBSTITUTE(REGEXEXTRACT($I70,""^[0-9.]+""),""."","""")))
        ),
        0
      ),
      COLUMN()-9
    )
  )
)"),"2 Super structure")</f>
        <v>2 Super structure</v>
      </c>
      <c r="K70" s="234" t="str">
        <f>IFERROR(__xludf.DUMMYFUNCTION("IF(
  $I70="""",
  """",
  IF(
    COLUMN()-9 &gt;
    (1 + LEN(REGEXEXTRACT($I70,""^[0-9.]+"")) - LEN(SUBSTITUTE(REGEXEXTRACT($I70,""^[0-9.]+""),""."",""""))),
    """",
    INDEX(
      BEC_openBDF!$A:$D,
      MATCH(
        $I70,
        INDEX(
         "&amp;" BEC_openBDF!$A:$D,
          0,
          (1 + LEN(REGEXEXTRACT($I70,""^[0-9.]+"")) - LEN(SUBSTITUTE(REGEXEXTRACT($I70,""^[0-9.]+""),""."","""")))
        ),
        0
      ),
      COLUMN()-9
    )
  )
)"),"2.2 Upper floors 
")</f>
        <v>2.2 Upper floors 
</v>
      </c>
      <c r="L70" s="234" t="str">
        <f>IFERROR(__xludf.DUMMYFUNCTION("IF(
  $I70="""",
  """",
  IF(
    COLUMN()-9 &gt;
    (1 + LEN(REGEXEXTRACT($I70,""^[0-9.]+"")) - LEN(SUBSTITUTE(REGEXEXTRACT($I70,""^[0-9.]+""),""."",""""))),
    """",
    INDEX(
      BEC_openBDF!$A:$D,
      MATCH(
        $I70,
        INDEX(
         "&amp;" BEC_openBDF!$A:$D,
          0,
          (1 + LEN(REGEXEXTRACT($I70,""^[0-9.]+"")) - LEN(SUBSTITUTE(REGEXEXTRACT($I70,""^[0-9.]+""),""."","""")))
        ),
        0
      ),
      COLUMN()-9
    )
  )
)"),"")</f>
        <v/>
      </c>
      <c r="M70" s="234" t="str">
        <f>IFERROR(__xludf.DUMMYFUNCTION("IF(
  $I70="""",
  """",
  IF(
    COLUMN()-9 &gt;
    (1 + LEN(REGEXEXTRACT($I70,""^[0-9.]+"")) - LEN(SUBSTITUTE(REGEXEXTRACT($I70,""^[0-9.]+""),""."",""""))),
    """",
    INDEX(
      BEC_openBDF!$A:$D,
      MATCH(
        $I70,
        INDEX(
         "&amp;" BEC_openBDF!$A:$D,
          0,
          (1 + LEN(REGEXEXTRACT($I70,""^[0-9.]+"")) - LEN(SUBSTITUTE(REGEXEXTRACT($I70,""^[0-9.]+""),""."","""")))
        ),
        0
      ),
      COLUMN()-9
    )
  )
)"),"")</f>
        <v/>
      </c>
      <c r="N70" s="197" t="s">
        <v>813</v>
      </c>
      <c r="O70" s="193"/>
      <c r="P70" s="197" t="s">
        <v>810</v>
      </c>
      <c r="Q70" s="255" t="s">
        <v>811</v>
      </c>
      <c r="R70" s="255" t="s">
        <v>796</v>
      </c>
      <c r="S70" s="263" t="s">
        <v>812</v>
      </c>
      <c r="T70" s="240">
        <v>1.740683069E9</v>
      </c>
      <c r="U70" s="192">
        <v>0.0</v>
      </c>
      <c r="V70" s="257"/>
      <c r="W70" s="257"/>
      <c r="X70" s="240">
        <v>3.016761704E9</v>
      </c>
      <c r="Y70" s="238"/>
    </row>
    <row r="71" ht="18.75" customHeight="1">
      <c r="A71" s="232"/>
      <c r="B71" s="192"/>
      <c r="C71" s="193" t="s">
        <v>678</v>
      </c>
      <c r="D71" s="192" t="s">
        <v>759</v>
      </c>
      <c r="E71" s="192" t="s">
        <v>806</v>
      </c>
      <c r="F71" s="192" t="s">
        <v>807</v>
      </c>
      <c r="G71" s="237"/>
      <c r="H71" s="237"/>
      <c r="I71" s="192" t="s">
        <v>808</v>
      </c>
      <c r="J71" s="234" t="str">
        <f>IFERROR(__xludf.DUMMYFUNCTION("IF(
  $I71="""",
  """",
  IF(
    COLUMN()-9 &gt;
    (1 + LEN(REGEXEXTRACT($I71,""^[0-9.]+"")) - LEN(SUBSTITUTE(REGEXEXTRACT($I71,""^[0-9.]+""),""."",""""))),
    """",
    INDEX(
      BEC_openBDF!$A:$D,
      MATCH(
        $I71,
        INDEX(
         "&amp;" BEC_openBDF!$A:$D,
          0,
          (1 + LEN(REGEXEXTRACT($I71,""^[0-9.]+"")) - LEN(SUBSTITUTE(REGEXEXTRACT($I71,""^[0-9.]+""),""."","""")))
        ),
        0
      ),
      COLUMN()-9
    )
  )
)"),"2 Super structure")</f>
        <v>2 Super structure</v>
      </c>
      <c r="K71" s="234" t="str">
        <f>IFERROR(__xludf.DUMMYFUNCTION("IF(
  $I71="""",
  """",
  IF(
    COLUMN()-9 &gt;
    (1 + LEN(REGEXEXTRACT($I71,""^[0-9.]+"")) - LEN(SUBSTITUTE(REGEXEXTRACT($I71,""^[0-9.]+""),""."",""""))),
    """",
    INDEX(
      BEC_openBDF!$A:$D,
      MATCH(
        $I71,
        INDEX(
         "&amp;" BEC_openBDF!$A:$D,
          0,
          (1 + LEN(REGEXEXTRACT($I71,""^[0-9.]+"")) - LEN(SUBSTITUTE(REGEXEXTRACT($I71,""^[0-9.]+""),""."","""")))
        ),
        0
      ),
      COLUMN()-9
    )
  )
)"),"2.2 Upper floors 
")</f>
        <v>2.2 Upper floors 
</v>
      </c>
      <c r="L71" s="234" t="str">
        <f>IFERROR(__xludf.DUMMYFUNCTION("IF(
  $I71="""",
  """",
  IF(
    COLUMN()-9 &gt;
    (1 + LEN(REGEXEXTRACT($I71,""^[0-9.]+"")) - LEN(SUBSTITUTE(REGEXEXTRACT($I71,""^[0-9.]+""),""."",""""))),
    """",
    INDEX(
      BEC_openBDF!$A:$D,
      MATCH(
        $I71,
        INDEX(
         "&amp;" BEC_openBDF!$A:$D,
          0,
          (1 + LEN(REGEXEXTRACT($I71,""^[0-9.]+"")) - LEN(SUBSTITUTE(REGEXEXTRACT($I71,""^[0-9.]+""),""."","""")))
        ),
        0
      ),
      COLUMN()-9
    )
  )
)"),"")</f>
        <v/>
      </c>
      <c r="M71" s="234" t="str">
        <f>IFERROR(__xludf.DUMMYFUNCTION("IF(
  $I71="""",
  """",
  IF(
    COLUMN()-9 &gt;
    (1 + LEN(REGEXEXTRACT($I71,""^[0-9.]+"")) - LEN(SUBSTITUTE(REGEXEXTRACT($I71,""^[0-9.]+""),""."",""""))),
    """",
    INDEX(
      BEC_openBDF!$A:$D,
      MATCH(
        $I71,
        INDEX(
         "&amp;" BEC_openBDF!$A:$D,
          0,
          (1 + LEN(REGEXEXTRACT($I71,""^[0-9.]+"")) - LEN(SUBSTITUTE(REGEXEXTRACT($I71,""^[0-9.]+""),""."","""")))
        ),
        0
      ),
      COLUMN()-9
    )
  )
)"),"")</f>
        <v/>
      </c>
      <c r="N71" s="197" t="s">
        <v>814</v>
      </c>
      <c r="O71" s="193"/>
      <c r="P71" s="197" t="s">
        <v>810</v>
      </c>
      <c r="Q71" s="255" t="s">
        <v>811</v>
      </c>
      <c r="R71" s="255" t="s">
        <v>796</v>
      </c>
      <c r="S71" s="263" t="s">
        <v>812</v>
      </c>
      <c r="T71" s="240">
        <v>1.610719961E9</v>
      </c>
      <c r="U71" s="192">
        <v>0.0</v>
      </c>
      <c r="V71" s="257"/>
      <c r="W71" s="257"/>
      <c r="X71" s="240">
        <v>2.576902335E9</v>
      </c>
      <c r="Y71" s="238"/>
    </row>
    <row r="72" ht="18.75" customHeight="1">
      <c r="A72" s="232"/>
      <c r="B72" s="192"/>
      <c r="C72" s="193" t="s">
        <v>678</v>
      </c>
      <c r="D72" s="192" t="s">
        <v>759</v>
      </c>
      <c r="E72" s="192" t="s">
        <v>806</v>
      </c>
      <c r="F72" s="192" t="s">
        <v>807</v>
      </c>
      <c r="G72" s="237"/>
      <c r="H72" s="237"/>
      <c r="I72" s="192" t="s">
        <v>808</v>
      </c>
      <c r="J72" s="234" t="str">
        <f>IFERROR(__xludf.DUMMYFUNCTION("IF(
  $I72="""",
  """",
  IF(
    COLUMN()-9 &gt;
    (1 + LEN(REGEXEXTRACT($I72,""^[0-9.]+"")) - LEN(SUBSTITUTE(REGEXEXTRACT($I72,""^[0-9.]+""),""."",""""))),
    """",
    INDEX(
      BEC_openBDF!$A:$D,
      MATCH(
        $I72,
        INDEX(
         "&amp;" BEC_openBDF!$A:$D,
          0,
          (1 + LEN(REGEXEXTRACT($I72,""^[0-9.]+"")) - LEN(SUBSTITUTE(REGEXEXTRACT($I72,""^[0-9.]+""),""."","""")))
        ),
        0
      ),
      COLUMN()-9
    )
  )
)"),"2 Super structure")</f>
        <v>2 Super structure</v>
      </c>
      <c r="K72" s="234" t="str">
        <f>IFERROR(__xludf.DUMMYFUNCTION("IF(
  $I72="""",
  """",
  IF(
    COLUMN()-9 &gt;
    (1 + LEN(REGEXEXTRACT($I72,""^[0-9.]+"")) - LEN(SUBSTITUTE(REGEXEXTRACT($I72,""^[0-9.]+""),""."",""""))),
    """",
    INDEX(
      BEC_openBDF!$A:$D,
      MATCH(
        $I72,
        INDEX(
         "&amp;" BEC_openBDF!$A:$D,
          0,
          (1 + LEN(REGEXEXTRACT($I72,""^[0-9.]+"")) - LEN(SUBSTITUTE(REGEXEXTRACT($I72,""^[0-9.]+""),""."","""")))
        ),
        0
      ),
      COLUMN()-9
    )
  )
)"),"2.2 Upper floors 
")</f>
        <v>2.2 Upper floors 
</v>
      </c>
      <c r="L72" s="234" t="str">
        <f>IFERROR(__xludf.DUMMYFUNCTION("IF(
  $I72="""",
  """",
  IF(
    COLUMN()-9 &gt;
    (1 + LEN(REGEXEXTRACT($I72,""^[0-9.]+"")) - LEN(SUBSTITUTE(REGEXEXTRACT($I72,""^[0-9.]+""),""."",""""))),
    """",
    INDEX(
      BEC_openBDF!$A:$D,
      MATCH(
        $I72,
        INDEX(
         "&amp;" BEC_openBDF!$A:$D,
          0,
          (1 + LEN(REGEXEXTRACT($I72,""^[0-9.]+"")) - LEN(SUBSTITUTE(REGEXEXTRACT($I72,""^[0-9.]+""),""."","""")))
        ),
        0
      ),
      COLUMN()-9
    )
  )
)"),"")</f>
        <v/>
      </c>
      <c r="M72" s="234" t="str">
        <f>IFERROR(__xludf.DUMMYFUNCTION("IF(
  $I72="""",
  """",
  IF(
    COLUMN()-9 &gt;
    (1 + LEN(REGEXEXTRACT($I72,""^[0-9.]+"")) - LEN(SUBSTITUTE(REGEXEXTRACT($I72,""^[0-9.]+""),""."",""""))),
    """",
    INDEX(
      BEC_openBDF!$A:$D,
      MATCH(
        $I72,
        INDEX(
         "&amp;" BEC_openBDF!$A:$D,
          0,
          (1 + LEN(REGEXEXTRACT($I72,""^[0-9.]+"")) - LEN(SUBSTITUTE(REGEXEXTRACT($I72,""^[0-9.]+""),""."","""")))
        ),
        0
      ),
      COLUMN()-9
    )
  )
)"),"")</f>
        <v/>
      </c>
      <c r="N72" s="197" t="s">
        <v>815</v>
      </c>
      <c r="O72" s="193"/>
      <c r="P72" s="197" t="s">
        <v>810</v>
      </c>
      <c r="Q72" s="255" t="s">
        <v>811</v>
      </c>
      <c r="R72" s="255" t="s">
        <v>796</v>
      </c>
      <c r="S72" s="263" t="s">
        <v>812</v>
      </c>
      <c r="T72" s="240">
        <v>1.885111512E9</v>
      </c>
      <c r="U72" s="192">
        <v>0.0</v>
      </c>
      <c r="V72" s="257"/>
      <c r="W72" s="257"/>
      <c r="X72" s="240">
        <v>3.016761704E9</v>
      </c>
      <c r="Y72" s="238"/>
    </row>
    <row r="73" ht="18.75" customHeight="1">
      <c r="A73" s="232"/>
      <c r="B73" s="192"/>
      <c r="C73" s="193" t="s">
        <v>678</v>
      </c>
      <c r="D73" s="192" t="s">
        <v>759</v>
      </c>
      <c r="E73" s="192" t="s">
        <v>806</v>
      </c>
      <c r="F73" s="192" t="s">
        <v>807</v>
      </c>
      <c r="G73" s="237"/>
      <c r="H73" s="237"/>
      <c r="I73" s="192" t="s">
        <v>808</v>
      </c>
      <c r="J73" s="234" t="str">
        <f>IFERROR(__xludf.DUMMYFUNCTION("IF(
  $I73="""",
  """",
  IF(
    COLUMN()-9 &gt;
    (1 + LEN(REGEXEXTRACT($I73,""^[0-9.]+"")) - LEN(SUBSTITUTE(REGEXEXTRACT($I73,""^[0-9.]+""),""."",""""))),
    """",
    INDEX(
      BEC_openBDF!$A:$D,
      MATCH(
        $I73,
        INDEX(
         "&amp;" BEC_openBDF!$A:$D,
          0,
          (1 + LEN(REGEXEXTRACT($I73,""^[0-9.]+"")) - LEN(SUBSTITUTE(REGEXEXTRACT($I73,""^[0-9.]+""),""."","""")))
        ),
        0
      ),
      COLUMN()-9
    )
  )
)"),"2 Super structure")</f>
        <v>2 Super structure</v>
      </c>
      <c r="K73" s="234" t="str">
        <f>IFERROR(__xludf.DUMMYFUNCTION("IF(
  $I73="""",
  """",
  IF(
    COLUMN()-9 &gt;
    (1 + LEN(REGEXEXTRACT($I73,""^[0-9.]+"")) - LEN(SUBSTITUTE(REGEXEXTRACT($I73,""^[0-9.]+""),""."",""""))),
    """",
    INDEX(
      BEC_openBDF!$A:$D,
      MATCH(
        $I73,
        INDEX(
         "&amp;" BEC_openBDF!$A:$D,
          0,
          (1 + LEN(REGEXEXTRACT($I73,""^[0-9.]+"")) - LEN(SUBSTITUTE(REGEXEXTRACT($I73,""^[0-9.]+""),""."","""")))
        ),
        0
      ),
      COLUMN()-9
    )
  )
)"),"2.2 Upper floors 
")</f>
        <v>2.2 Upper floors 
</v>
      </c>
      <c r="L73" s="234" t="str">
        <f>IFERROR(__xludf.DUMMYFUNCTION("IF(
  $I73="""",
  """",
  IF(
    COLUMN()-9 &gt;
    (1 + LEN(REGEXEXTRACT($I73,""^[0-9.]+"")) - LEN(SUBSTITUTE(REGEXEXTRACT($I73,""^[0-9.]+""),""."",""""))),
    """",
    INDEX(
      BEC_openBDF!$A:$D,
      MATCH(
        $I73,
        INDEX(
         "&amp;" BEC_openBDF!$A:$D,
          0,
          (1 + LEN(REGEXEXTRACT($I73,""^[0-9.]+"")) - LEN(SUBSTITUTE(REGEXEXTRACT($I73,""^[0-9.]+""),""."","""")))
        ),
        0
      ),
      COLUMN()-9
    )
  )
)"),"")</f>
        <v/>
      </c>
      <c r="M73" s="234" t="str">
        <f>IFERROR(__xludf.DUMMYFUNCTION("IF(
  $I73="""",
  """",
  IF(
    COLUMN()-9 &gt;
    (1 + LEN(REGEXEXTRACT($I73,""^[0-9.]+"")) - LEN(SUBSTITUTE(REGEXEXTRACT($I73,""^[0-9.]+""),""."",""""))),
    """",
    INDEX(
      BEC_openBDF!$A:$D,
      MATCH(
        $I73,
        INDEX(
         "&amp;" BEC_openBDF!$A:$D,
          0,
          (1 + LEN(REGEXEXTRACT($I73,""^[0-9.]+"")) - LEN(SUBSTITUTE(REGEXEXTRACT($I73,""^[0-9.]+""),""."","""")))
        ),
        0
      ),
      COLUMN()-9
    )
  )
)"),"")</f>
        <v/>
      </c>
      <c r="N73" s="197" t="s">
        <v>816</v>
      </c>
      <c r="O73" s="193"/>
      <c r="P73" s="197" t="s">
        <v>810</v>
      </c>
      <c r="Q73" s="255" t="s">
        <v>811</v>
      </c>
      <c r="R73" s="255" t="s">
        <v>796</v>
      </c>
      <c r="S73" s="263" t="s">
        <v>812</v>
      </c>
      <c r="T73" s="240">
        <v>1.610797961E9</v>
      </c>
      <c r="U73" s="192">
        <v>0.0</v>
      </c>
      <c r="V73" s="257"/>
      <c r="W73" s="257"/>
      <c r="X73" s="240">
        <v>2.78509291E8</v>
      </c>
      <c r="Y73" s="238"/>
    </row>
    <row r="74" ht="18.75" customHeight="1">
      <c r="A74" s="232"/>
      <c r="B74" s="192"/>
      <c r="C74" s="193" t="s">
        <v>678</v>
      </c>
      <c r="D74" s="192" t="s">
        <v>759</v>
      </c>
      <c r="E74" s="192" t="s">
        <v>806</v>
      </c>
      <c r="F74" s="192" t="s">
        <v>807</v>
      </c>
      <c r="G74" s="237"/>
      <c r="H74" s="237"/>
      <c r="I74" s="192" t="s">
        <v>808</v>
      </c>
      <c r="J74" s="234" t="str">
        <f>IFERROR(__xludf.DUMMYFUNCTION("IF(
  $I74="""",
  """",
  IF(
    COLUMN()-9 &gt;
    (1 + LEN(REGEXEXTRACT($I74,""^[0-9.]+"")) - LEN(SUBSTITUTE(REGEXEXTRACT($I74,""^[0-9.]+""),""."",""""))),
    """",
    INDEX(
      BEC_openBDF!$A:$D,
      MATCH(
        $I74,
        INDEX(
         "&amp;" BEC_openBDF!$A:$D,
          0,
          (1 + LEN(REGEXEXTRACT($I74,""^[0-9.]+"")) - LEN(SUBSTITUTE(REGEXEXTRACT($I74,""^[0-9.]+""),""."","""")))
        ),
        0
      ),
      COLUMN()-9
    )
  )
)"),"2 Super structure")</f>
        <v>2 Super structure</v>
      </c>
      <c r="K74" s="234" t="str">
        <f>IFERROR(__xludf.DUMMYFUNCTION("IF(
  $I74="""",
  """",
  IF(
    COLUMN()-9 &gt;
    (1 + LEN(REGEXEXTRACT($I74,""^[0-9.]+"")) - LEN(SUBSTITUTE(REGEXEXTRACT($I74,""^[0-9.]+""),""."",""""))),
    """",
    INDEX(
      BEC_openBDF!$A:$D,
      MATCH(
        $I74,
        INDEX(
         "&amp;" BEC_openBDF!$A:$D,
          0,
          (1 + LEN(REGEXEXTRACT($I74,""^[0-9.]+"")) - LEN(SUBSTITUTE(REGEXEXTRACT($I74,""^[0-9.]+""),""."","""")))
        ),
        0
      ),
      COLUMN()-9
    )
  )
)"),"2.2 Upper floors 
")</f>
        <v>2.2 Upper floors 
</v>
      </c>
      <c r="L74" s="234" t="str">
        <f>IFERROR(__xludf.DUMMYFUNCTION("IF(
  $I74="""",
  """",
  IF(
    COLUMN()-9 &gt;
    (1 + LEN(REGEXEXTRACT($I74,""^[0-9.]+"")) - LEN(SUBSTITUTE(REGEXEXTRACT($I74,""^[0-9.]+""),""."",""""))),
    """",
    INDEX(
      BEC_openBDF!$A:$D,
      MATCH(
        $I74,
        INDEX(
         "&amp;" BEC_openBDF!$A:$D,
          0,
          (1 + LEN(REGEXEXTRACT($I74,""^[0-9.]+"")) - LEN(SUBSTITUTE(REGEXEXTRACT($I74,""^[0-9.]+""),""."","""")))
        ),
        0
      ),
      COLUMN()-9
    )
  )
)"),"")</f>
        <v/>
      </c>
      <c r="M74" s="234" t="str">
        <f>IFERROR(__xludf.DUMMYFUNCTION("IF(
  $I74="""",
  """",
  IF(
    COLUMN()-9 &gt;
    (1 + LEN(REGEXEXTRACT($I74,""^[0-9.]+"")) - LEN(SUBSTITUTE(REGEXEXTRACT($I74,""^[0-9.]+""),""."",""""))),
    """",
    INDEX(
      BEC_openBDF!$A:$D,
      MATCH(
        $I74,
        INDEX(
         "&amp;" BEC_openBDF!$A:$D,
          0,
          (1 + LEN(REGEXEXTRACT($I74,""^[0-9.]+"")) - LEN(SUBSTITUTE(REGEXEXTRACT($I74,""^[0-9.]+""),""."","""")))
        ),
        0
      ),
      COLUMN()-9
    )
  )
)"),"")</f>
        <v/>
      </c>
      <c r="N74" s="197" t="s">
        <v>817</v>
      </c>
      <c r="O74" s="193"/>
      <c r="P74" s="197" t="s">
        <v>810</v>
      </c>
      <c r="Q74" s="255" t="s">
        <v>811</v>
      </c>
      <c r="R74" s="255" t="s">
        <v>796</v>
      </c>
      <c r="S74" s="263" t="s">
        <v>812</v>
      </c>
      <c r="T74" s="240">
        <v>1.740683069E9</v>
      </c>
      <c r="U74" s="192">
        <v>0.0</v>
      </c>
      <c r="V74" s="257"/>
      <c r="W74" s="257"/>
      <c r="X74" s="240">
        <v>3.499852373E9</v>
      </c>
      <c r="Y74" s="238"/>
    </row>
    <row r="75" ht="18.75" customHeight="1">
      <c r="A75" s="232"/>
      <c r="B75" s="192"/>
      <c r="C75" s="193" t="s">
        <v>678</v>
      </c>
      <c r="D75" s="192" t="s">
        <v>759</v>
      </c>
      <c r="E75" s="192" t="s">
        <v>806</v>
      </c>
      <c r="F75" s="192" t="s">
        <v>807</v>
      </c>
      <c r="G75" s="237"/>
      <c r="H75" s="237"/>
      <c r="I75" s="192" t="s">
        <v>808</v>
      </c>
      <c r="J75" s="234" t="str">
        <f>IFERROR(__xludf.DUMMYFUNCTION("IF(
  $I75="""",
  """",
  IF(
    COLUMN()-9 &gt;
    (1 + LEN(REGEXEXTRACT($I75,""^[0-9.]+"")) - LEN(SUBSTITUTE(REGEXEXTRACT($I75,""^[0-9.]+""),""."",""""))),
    """",
    INDEX(
      BEC_openBDF!$A:$D,
      MATCH(
        $I75,
        INDEX(
         "&amp;" BEC_openBDF!$A:$D,
          0,
          (1 + LEN(REGEXEXTRACT($I75,""^[0-9.]+"")) - LEN(SUBSTITUTE(REGEXEXTRACT($I75,""^[0-9.]+""),""."","""")))
        ),
        0
      ),
      COLUMN()-9
    )
  )
)"),"2 Super structure")</f>
        <v>2 Super structure</v>
      </c>
      <c r="K75" s="234" t="str">
        <f>IFERROR(__xludf.DUMMYFUNCTION("IF(
  $I75="""",
  """",
  IF(
    COLUMN()-9 &gt;
    (1 + LEN(REGEXEXTRACT($I75,""^[0-9.]+"")) - LEN(SUBSTITUTE(REGEXEXTRACT($I75,""^[0-9.]+""),""."",""""))),
    """",
    INDEX(
      BEC_openBDF!$A:$D,
      MATCH(
        $I75,
        INDEX(
         "&amp;" BEC_openBDF!$A:$D,
          0,
          (1 + LEN(REGEXEXTRACT($I75,""^[0-9.]+"")) - LEN(SUBSTITUTE(REGEXEXTRACT($I75,""^[0-9.]+""),""."","""")))
        ),
        0
      ),
      COLUMN()-9
    )
  )
)"),"2.2 Upper floors 
")</f>
        <v>2.2 Upper floors 
</v>
      </c>
      <c r="L75" s="234" t="str">
        <f>IFERROR(__xludf.DUMMYFUNCTION("IF(
  $I75="""",
  """",
  IF(
    COLUMN()-9 &gt;
    (1 + LEN(REGEXEXTRACT($I75,""^[0-9.]+"")) - LEN(SUBSTITUTE(REGEXEXTRACT($I75,""^[0-9.]+""),""."",""""))),
    """",
    INDEX(
      BEC_openBDF!$A:$D,
      MATCH(
        $I75,
        INDEX(
         "&amp;" BEC_openBDF!$A:$D,
          0,
          (1 + LEN(REGEXEXTRACT($I75,""^[0-9.]+"")) - LEN(SUBSTITUTE(REGEXEXTRACT($I75,""^[0-9.]+""),""."","""")))
        ),
        0
      ),
      COLUMN()-9
    )
  )
)"),"")</f>
        <v/>
      </c>
      <c r="M75" s="234" t="str">
        <f>IFERROR(__xludf.DUMMYFUNCTION("IF(
  $I75="""",
  """",
  IF(
    COLUMN()-9 &gt;
    (1 + LEN(REGEXEXTRACT($I75,""^[0-9.]+"")) - LEN(SUBSTITUTE(REGEXEXTRACT($I75,""^[0-9.]+""),""."",""""))),
    """",
    INDEX(
      BEC_openBDF!$A:$D,
      MATCH(
        $I75,
        INDEX(
         "&amp;" BEC_openBDF!$A:$D,
          0,
          (1 + LEN(REGEXEXTRACT($I75,""^[0-9.]+"")) - LEN(SUBSTITUTE(REGEXEXTRACT($I75,""^[0-9.]+""),""."","""")))
        ),
        0
      ),
      COLUMN()-9
    )
  )
)"),"")</f>
        <v/>
      </c>
      <c r="N75" s="197" t="s">
        <v>818</v>
      </c>
      <c r="O75" s="193"/>
      <c r="P75" s="197" t="s">
        <v>810</v>
      </c>
      <c r="Q75" s="255" t="s">
        <v>811</v>
      </c>
      <c r="R75" s="255" t="s">
        <v>796</v>
      </c>
      <c r="S75" s="263" t="s">
        <v>812</v>
      </c>
      <c r="T75" s="240">
        <v>1.885476065E9</v>
      </c>
      <c r="U75" s="192">
        <v>0.0</v>
      </c>
      <c r="V75" s="257"/>
      <c r="W75" s="257"/>
      <c r="X75" s="240">
        <v>1.172161624E9</v>
      </c>
      <c r="Y75" s="238"/>
    </row>
    <row r="76" ht="18.75" customHeight="1">
      <c r="A76" s="232"/>
      <c r="B76" s="192"/>
      <c r="C76" s="193" t="s">
        <v>678</v>
      </c>
      <c r="D76" s="192" t="s">
        <v>759</v>
      </c>
      <c r="E76" s="192" t="s">
        <v>806</v>
      </c>
      <c r="F76" s="192" t="s">
        <v>807</v>
      </c>
      <c r="G76" s="237"/>
      <c r="H76" s="237"/>
      <c r="I76" s="192" t="s">
        <v>808</v>
      </c>
      <c r="J76" s="234" t="str">
        <f>IFERROR(__xludf.DUMMYFUNCTION("IF(
  $I76="""",
  """",
  IF(
    COLUMN()-9 &gt;
    (1 + LEN(REGEXEXTRACT($I76,""^[0-9.]+"")) - LEN(SUBSTITUTE(REGEXEXTRACT($I76,""^[0-9.]+""),""."",""""))),
    """",
    INDEX(
      BEC_openBDF!$A:$D,
      MATCH(
        $I76,
        INDEX(
         "&amp;" BEC_openBDF!$A:$D,
          0,
          (1 + LEN(REGEXEXTRACT($I76,""^[0-9.]+"")) - LEN(SUBSTITUTE(REGEXEXTRACT($I76,""^[0-9.]+""),""."","""")))
        ),
        0
      ),
      COLUMN()-9
    )
  )
)"),"2 Super structure")</f>
        <v>2 Super structure</v>
      </c>
      <c r="K76" s="234" t="str">
        <f>IFERROR(__xludf.DUMMYFUNCTION("IF(
  $I76="""",
  """",
  IF(
    COLUMN()-9 &gt;
    (1 + LEN(REGEXEXTRACT($I76,""^[0-9.]+"")) - LEN(SUBSTITUTE(REGEXEXTRACT($I76,""^[0-9.]+""),""."",""""))),
    """",
    INDEX(
      BEC_openBDF!$A:$D,
      MATCH(
        $I76,
        INDEX(
         "&amp;" BEC_openBDF!$A:$D,
          0,
          (1 + LEN(REGEXEXTRACT($I76,""^[0-9.]+"")) - LEN(SUBSTITUTE(REGEXEXTRACT($I76,""^[0-9.]+""),""."","""")))
        ),
        0
      ),
      COLUMN()-9
    )
  )
)"),"2.2 Upper floors 
")</f>
        <v>2.2 Upper floors 
</v>
      </c>
      <c r="L76" s="234" t="str">
        <f>IFERROR(__xludf.DUMMYFUNCTION("IF(
  $I76="""",
  """",
  IF(
    COLUMN()-9 &gt;
    (1 + LEN(REGEXEXTRACT($I76,""^[0-9.]+"")) - LEN(SUBSTITUTE(REGEXEXTRACT($I76,""^[0-9.]+""),""."",""""))),
    """",
    INDEX(
      BEC_openBDF!$A:$D,
      MATCH(
        $I76,
        INDEX(
         "&amp;" BEC_openBDF!$A:$D,
          0,
          (1 + LEN(REGEXEXTRACT($I76,""^[0-9.]+"")) - LEN(SUBSTITUTE(REGEXEXTRACT($I76,""^[0-9.]+""),""."","""")))
        ),
        0
      ),
      COLUMN()-9
    )
  )
)"),"")</f>
        <v/>
      </c>
      <c r="M76" s="234" t="str">
        <f>IFERROR(__xludf.DUMMYFUNCTION("IF(
  $I76="""",
  """",
  IF(
    COLUMN()-9 &gt;
    (1 + LEN(REGEXEXTRACT($I76,""^[0-9.]+"")) - LEN(SUBSTITUTE(REGEXEXTRACT($I76,""^[0-9.]+""),""."",""""))),
    """",
    INDEX(
      BEC_openBDF!$A:$D,
      MATCH(
        $I76,
        INDEX(
         "&amp;" BEC_openBDF!$A:$D,
          0,
          (1 + LEN(REGEXEXTRACT($I76,""^[0-9.]+"")) - LEN(SUBSTITUTE(REGEXEXTRACT($I76,""^[0-9.]+""),""."","""")))
        ),
        0
      ),
      COLUMN()-9
    )
  )
)"),"")</f>
        <v/>
      </c>
      <c r="N76" s="197" t="s">
        <v>819</v>
      </c>
      <c r="O76" s="193"/>
      <c r="P76" s="197" t="s">
        <v>810</v>
      </c>
      <c r="Q76" s="255" t="s">
        <v>811</v>
      </c>
      <c r="R76" s="255" t="s">
        <v>796</v>
      </c>
      <c r="S76" s="263" t="s">
        <v>812</v>
      </c>
      <c r="T76" s="240">
        <v>1.610563959E9</v>
      </c>
      <c r="U76" s="192">
        <v>0.0</v>
      </c>
      <c r="V76" s="257"/>
      <c r="W76" s="257"/>
      <c r="X76" s="240">
        <v>7.86808709E8</v>
      </c>
      <c r="Y76" s="238"/>
    </row>
    <row r="77" ht="18.75" customHeight="1">
      <c r="A77" s="232"/>
      <c r="B77" s="192"/>
      <c r="C77" s="193" t="s">
        <v>678</v>
      </c>
      <c r="D77" s="192" t="s">
        <v>759</v>
      </c>
      <c r="E77" s="192" t="s">
        <v>806</v>
      </c>
      <c r="F77" s="192" t="s">
        <v>807</v>
      </c>
      <c r="G77" s="237"/>
      <c r="H77" s="237"/>
      <c r="I77" s="192" t="s">
        <v>808</v>
      </c>
      <c r="J77" s="234" t="str">
        <f>IFERROR(__xludf.DUMMYFUNCTION("IF(
  $I77="""",
  """",
  IF(
    COLUMN()-9 &gt;
    (1 + LEN(REGEXEXTRACT($I77,""^[0-9.]+"")) - LEN(SUBSTITUTE(REGEXEXTRACT($I77,""^[0-9.]+""),""."",""""))),
    """",
    INDEX(
      BEC_openBDF!$A:$D,
      MATCH(
        $I77,
        INDEX(
         "&amp;" BEC_openBDF!$A:$D,
          0,
          (1 + LEN(REGEXEXTRACT($I77,""^[0-9.]+"")) - LEN(SUBSTITUTE(REGEXEXTRACT($I77,""^[0-9.]+""),""."","""")))
        ),
        0
      ),
      COLUMN()-9
    )
  )
)"),"2 Super structure")</f>
        <v>2 Super structure</v>
      </c>
      <c r="K77" s="234" t="str">
        <f>IFERROR(__xludf.DUMMYFUNCTION("IF(
  $I77="""",
  """",
  IF(
    COLUMN()-9 &gt;
    (1 + LEN(REGEXEXTRACT($I77,""^[0-9.]+"")) - LEN(SUBSTITUTE(REGEXEXTRACT($I77,""^[0-9.]+""),""."",""""))),
    """",
    INDEX(
      BEC_openBDF!$A:$D,
      MATCH(
        $I77,
        INDEX(
         "&amp;" BEC_openBDF!$A:$D,
          0,
          (1 + LEN(REGEXEXTRACT($I77,""^[0-9.]+"")) - LEN(SUBSTITUTE(REGEXEXTRACT($I77,""^[0-9.]+""),""."","""")))
        ),
        0
      ),
      COLUMN()-9
    )
  )
)"),"2.2 Upper floors 
")</f>
        <v>2.2 Upper floors 
</v>
      </c>
      <c r="L77" s="234" t="str">
        <f>IFERROR(__xludf.DUMMYFUNCTION("IF(
  $I77="""",
  """",
  IF(
    COLUMN()-9 &gt;
    (1 + LEN(REGEXEXTRACT($I77,""^[0-9.]+"")) - LEN(SUBSTITUTE(REGEXEXTRACT($I77,""^[0-9.]+""),""."",""""))),
    """",
    INDEX(
      BEC_openBDF!$A:$D,
      MATCH(
        $I77,
        INDEX(
         "&amp;" BEC_openBDF!$A:$D,
          0,
          (1 + LEN(REGEXEXTRACT($I77,""^[0-9.]+"")) - LEN(SUBSTITUTE(REGEXEXTRACT($I77,""^[0-9.]+""),""."","""")))
        ),
        0
      ),
      COLUMN()-9
    )
  )
)"),"")</f>
        <v/>
      </c>
      <c r="M77" s="234" t="str">
        <f>IFERROR(__xludf.DUMMYFUNCTION("IF(
  $I77="""",
  """",
  IF(
    COLUMN()-9 &gt;
    (1 + LEN(REGEXEXTRACT($I77,""^[0-9.]+"")) - LEN(SUBSTITUTE(REGEXEXTRACT($I77,""^[0-9.]+""),""."",""""))),
    """",
    INDEX(
      BEC_openBDF!$A:$D,
      MATCH(
        $I77,
        INDEX(
         "&amp;" BEC_openBDF!$A:$D,
          0,
          (1 + LEN(REGEXEXTRACT($I77,""^[0-9.]+"")) - LEN(SUBSTITUTE(REGEXEXTRACT($I77,""^[0-9.]+""),""."","""")))
        ),
        0
      ),
      COLUMN()-9
    )
  )
)"),"")</f>
        <v/>
      </c>
      <c r="N77" s="197" t="s">
        <v>820</v>
      </c>
      <c r="O77" s="193"/>
      <c r="P77" s="197" t="s">
        <v>810</v>
      </c>
      <c r="Q77" s="255" t="s">
        <v>811</v>
      </c>
      <c r="R77" s="255" t="s">
        <v>796</v>
      </c>
      <c r="S77" s="263" t="s">
        <v>812</v>
      </c>
      <c r="T77" s="240">
        <v>1.885476065E9</v>
      </c>
      <c r="U77" s="192">
        <v>0.0</v>
      </c>
      <c r="V77" s="257"/>
      <c r="W77" s="257"/>
      <c r="X77" s="240">
        <v>4.086347195E9</v>
      </c>
      <c r="Y77" s="238"/>
    </row>
    <row r="78" ht="18.75" customHeight="1">
      <c r="A78" s="232"/>
      <c r="B78" s="192"/>
      <c r="C78" s="193" t="s">
        <v>678</v>
      </c>
      <c r="D78" s="192" t="s">
        <v>759</v>
      </c>
      <c r="E78" s="192" t="s">
        <v>806</v>
      </c>
      <c r="F78" s="192" t="s">
        <v>807</v>
      </c>
      <c r="G78" s="237"/>
      <c r="H78" s="237"/>
      <c r="I78" s="192" t="s">
        <v>808</v>
      </c>
      <c r="J78" s="234" t="str">
        <f>IFERROR(__xludf.DUMMYFUNCTION("IF(
  $I78="""",
  """",
  IF(
    COLUMN()-9 &gt;
    (1 + LEN(REGEXEXTRACT($I78,""^[0-9.]+"")) - LEN(SUBSTITUTE(REGEXEXTRACT($I78,""^[0-9.]+""),""."",""""))),
    """",
    INDEX(
      BEC_openBDF!$A:$D,
      MATCH(
        $I78,
        INDEX(
         "&amp;" BEC_openBDF!$A:$D,
          0,
          (1 + LEN(REGEXEXTRACT($I78,""^[0-9.]+"")) - LEN(SUBSTITUTE(REGEXEXTRACT($I78,""^[0-9.]+""),""."","""")))
        ),
        0
      ),
      COLUMN()-9
    )
  )
)"),"2 Super structure")</f>
        <v>2 Super structure</v>
      </c>
      <c r="K78" s="234" t="str">
        <f>IFERROR(__xludf.DUMMYFUNCTION("IF(
  $I78="""",
  """",
  IF(
    COLUMN()-9 &gt;
    (1 + LEN(REGEXEXTRACT($I78,""^[0-9.]+"")) - LEN(SUBSTITUTE(REGEXEXTRACT($I78,""^[0-9.]+""),""."",""""))),
    """",
    INDEX(
      BEC_openBDF!$A:$D,
      MATCH(
        $I78,
        INDEX(
         "&amp;" BEC_openBDF!$A:$D,
          0,
          (1 + LEN(REGEXEXTRACT($I78,""^[0-9.]+"")) - LEN(SUBSTITUTE(REGEXEXTRACT($I78,""^[0-9.]+""),""."","""")))
        ),
        0
      ),
      COLUMN()-9
    )
  )
)"),"2.2 Upper floors 
")</f>
        <v>2.2 Upper floors 
</v>
      </c>
      <c r="L78" s="234" t="str">
        <f>IFERROR(__xludf.DUMMYFUNCTION("IF(
  $I78="""",
  """",
  IF(
    COLUMN()-9 &gt;
    (1 + LEN(REGEXEXTRACT($I78,""^[0-9.]+"")) - LEN(SUBSTITUTE(REGEXEXTRACT($I78,""^[0-9.]+""),""."",""""))),
    """",
    INDEX(
      BEC_openBDF!$A:$D,
      MATCH(
        $I78,
        INDEX(
         "&amp;" BEC_openBDF!$A:$D,
          0,
          (1 + LEN(REGEXEXTRACT($I78,""^[0-9.]+"")) - LEN(SUBSTITUTE(REGEXEXTRACT($I78,""^[0-9.]+""),""."","""")))
        ),
        0
      ),
      COLUMN()-9
    )
  )
)"),"")</f>
        <v/>
      </c>
      <c r="M78" s="234" t="str">
        <f>IFERROR(__xludf.DUMMYFUNCTION("IF(
  $I78="""",
  """",
  IF(
    COLUMN()-9 &gt;
    (1 + LEN(REGEXEXTRACT($I78,""^[0-9.]+"")) - LEN(SUBSTITUTE(REGEXEXTRACT($I78,""^[0-9.]+""),""."",""""))),
    """",
    INDEX(
      BEC_openBDF!$A:$D,
      MATCH(
        $I78,
        INDEX(
         "&amp;" BEC_openBDF!$A:$D,
          0,
          (1 + LEN(REGEXEXTRACT($I78,""^[0-9.]+"")) - LEN(SUBSTITUTE(REGEXEXTRACT($I78,""^[0-9.]+""),""."","""")))
        ),
        0
      ),
      COLUMN()-9
    )
  )
)"),"")</f>
        <v/>
      </c>
      <c r="N78" s="197" t="s">
        <v>821</v>
      </c>
      <c r="O78" s="193"/>
      <c r="P78" s="197" t="s">
        <v>810</v>
      </c>
      <c r="Q78" s="255" t="s">
        <v>811</v>
      </c>
      <c r="R78" s="255" t="s">
        <v>796</v>
      </c>
      <c r="S78" s="263" t="s">
        <v>812</v>
      </c>
      <c r="T78" s="240">
        <v>1.740683069E9</v>
      </c>
      <c r="U78" s="192">
        <v>0.0</v>
      </c>
      <c r="V78" s="257"/>
      <c r="W78" s="257"/>
      <c r="X78" s="240">
        <v>2.808912446E9</v>
      </c>
      <c r="Y78" s="238"/>
    </row>
    <row r="79" ht="18.75" customHeight="1">
      <c r="A79" s="232"/>
      <c r="B79" s="192"/>
      <c r="C79" s="193" t="s">
        <v>678</v>
      </c>
      <c r="D79" s="192" t="s">
        <v>759</v>
      </c>
      <c r="E79" s="192" t="s">
        <v>806</v>
      </c>
      <c r="F79" s="192" t="s">
        <v>807</v>
      </c>
      <c r="G79" s="237"/>
      <c r="H79" s="237"/>
      <c r="I79" s="192" t="s">
        <v>808</v>
      </c>
      <c r="J79" s="234" t="str">
        <f>IFERROR(__xludf.DUMMYFUNCTION("IF(
  $I79="""",
  """",
  IF(
    COLUMN()-9 &gt;
    (1 + LEN(REGEXEXTRACT($I79,""^[0-9.]+"")) - LEN(SUBSTITUTE(REGEXEXTRACT($I79,""^[0-9.]+""),""."",""""))),
    """",
    INDEX(
      BEC_openBDF!$A:$D,
      MATCH(
        $I79,
        INDEX(
         "&amp;" BEC_openBDF!$A:$D,
          0,
          (1 + LEN(REGEXEXTRACT($I79,""^[0-9.]+"")) - LEN(SUBSTITUTE(REGEXEXTRACT($I79,""^[0-9.]+""),""."","""")))
        ),
        0
      ),
      COLUMN()-9
    )
  )
)"),"2 Super structure")</f>
        <v>2 Super structure</v>
      </c>
      <c r="K79" s="234" t="str">
        <f>IFERROR(__xludf.DUMMYFUNCTION("IF(
  $I79="""",
  """",
  IF(
    COLUMN()-9 &gt;
    (1 + LEN(REGEXEXTRACT($I79,""^[0-9.]+"")) - LEN(SUBSTITUTE(REGEXEXTRACT($I79,""^[0-9.]+""),""."",""""))),
    """",
    INDEX(
      BEC_openBDF!$A:$D,
      MATCH(
        $I79,
        INDEX(
         "&amp;" BEC_openBDF!$A:$D,
          0,
          (1 + LEN(REGEXEXTRACT($I79,""^[0-9.]+"")) - LEN(SUBSTITUTE(REGEXEXTRACT($I79,""^[0-9.]+""),""."","""")))
        ),
        0
      ),
      COLUMN()-9
    )
  )
)"),"2.2 Upper floors 
")</f>
        <v>2.2 Upper floors 
</v>
      </c>
      <c r="L79" s="234" t="str">
        <f>IFERROR(__xludf.DUMMYFUNCTION("IF(
  $I79="""",
  """",
  IF(
    COLUMN()-9 &gt;
    (1 + LEN(REGEXEXTRACT($I79,""^[0-9.]+"")) - LEN(SUBSTITUTE(REGEXEXTRACT($I79,""^[0-9.]+""),""."",""""))),
    """",
    INDEX(
      BEC_openBDF!$A:$D,
      MATCH(
        $I79,
        INDEX(
         "&amp;" BEC_openBDF!$A:$D,
          0,
          (1 + LEN(REGEXEXTRACT($I79,""^[0-9.]+"")) - LEN(SUBSTITUTE(REGEXEXTRACT($I79,""^[0-9.]+""),""."","""")))
        ),
        0
      ),
      COLUMN()-9
    )
  )
)"),"")</f>
        <v/>
      </c>
      <c r="M79" s="234" t="str">
        <f>IFERROR(__xludf.DUMMYFUNCTION("IF(
  $I79="""",
  """",
  IF(
    COLUMN()-9 &gt;
    (1 + LEN(REGEXEXTRACT($I79,""^[0-9.]+"")) - LEN(SUBSTITUTE(REGEXEXTRACT($I79,""^[0-9.]+""),""."",""""))),
    """",
    INDEX(
      BEC_openBDF!$A:$D,
      MATCH(
        $I79,
        INDEX(
         "&amp;" BEC_openBDF!$A:$D,
          0,
          (1 + LEN(REGEXEXTRACT($I79,""^[0-9.]+"")) - LEN(SUBSTITUTE(REGEXEXTRACT($I79,""^[0-9.]+""),""."","""")))
        ),
        0
      ),
      COLUMN()-9
    )
  )
)"),"")</f>
        <v/>
      </c>
      <c r="N79" s="197" t="s">
        <v>822</v>
      </c>
      <c r="O79" s="193"/>
      <c r="P79" s="197" t="s">
        <v>810</v>
      </c>
      <c r="Q79" s="255" t="s">
        <v>811</v>
      </c>
      <c r="R79" s="255" t="s">
        <v>796</v>
      </c>
      <c r="S79" s="263" t="s">
        <v>812</v>
      </c>
      <c r="T79" s="240">
        <v>2.187407733E9</v>
      </c>
      <c r="U79" s="192">
        <v>0.0</v>
      </c>
      <c r="V79" s="257"/>
      <c r="W79" s="257"/>
      <c r="X79" s="240">
        <v>2.747450742E9</v>
      </c>
      <c r="Y79" s="238"/>
    </row>
    <row r="80" ht="18.75" customHeight="1">
      <c r="A80" s="232"/>
      <c r="B80" s="192"/>
      <c r="C80" s="193" t="s">
        <v>678</v>
      </c>
      <c r="D80" s="192" t="s">
        <v>759</v>
      </c>
      <c r="E80" s="192" t="s">
        <v>806</v>
      </c>
      <c r="F80" s="192" t="s">
        <v>807</v>
      </c>
      <c r="G80" s="237"/>
      <c r="H80" s="237"/>
      <c r="I80" s="192" t="s">
        <v>808</v>
      </c>
      <c r="J80" s="234" t="str">
        <f>IFERROR(__xludf.DUMMYFUNCTION("IF(
  $I80="""",
  """",
  IF(
    COLUMN()-9 &gt;
    (1 + LEN(REGEXEXTRACT($I80,""^[0-9.]+"")) - LEN(SUBSTITUTE(REGEXEXTRACT($I80,""^[0-9.]+""),""."",""""))),
    """",
    INDEX(
      BEC_openBDF!$A:$D,
      MATCH(
        $I80,
        INDEX(
         "&amp;" BEC_openBDF!$A:$D,
          0,
          (1 + LEN(REGEXEXTRACT($I80,""^[0-9.]+"")) - LEN(SUBSTITUTE(REGEXEXTRACT($I80,""^[0-9.]+""),""."","""")))
        ),
        0
      ),
      COLUMN()-9
    )
  )
)"),"2 Super structure")</f>
        <v>2 Super structure</v>
      </c>
      <c r="K80" s="234" t="str">
        <f>IFERROR(__xludf.DUMMYFUNCTION("IF(
  $I80="""",
  """",
  IF(
    COLUMN()-9 &gt;
    (1 + LEN(REGEXEXTRACT($I80,""^[0-9.]+"")) - LEN(SUBSTITUTE(REGEXEXTRACT($I80,""^[0-9.]+""),""."",""""))),
    """",
    INDEX(
      BEC_openBDF!$A:$D,
      MATCH(
        $I80,
        INDEX(
         "&amp;" BEC_openBDF!$A:$D,
          0,
          (1 + LEN(REGEXEXTRACT($I80,""^[0-9.]+"")) - LEN(SUBSTITUTE(REGEXEXTRACT($I80,""^[0-9.]+""),""."","""")))
        ),
        0
      ),
      COLUMN()-9
    )
  )
)"),"2.2 Upper floors 
")</f>
        <v>2.2 Upper floors 
</v>
      </c>
      <c r="L80" s="234" t="str">
        <f>IFERROR(__xludf.DUMMYFUNCTION("IF(
  $I80="""",
  """",
  IF(
    COLUMN()-9 &gt;
    (1 + LEN(REGEXEXTRACT($I80,""^[0-9.]+"")) - LEN(SUBSTITUTE(REGEXEXTRACT($I80,""^[0-9.]+""),""."",""""))),
    """",
    INDEX(
      BEC_openBDF!$A:$D,
      MATCH(
        $I80,
        INDEX(
         "&amp;" BEC_openBDF!$A:$D,
          0,
          (1 + LEN(REGEXEXTRACT($I80,""^[0-9.]+"")) - LEN(SUBSTITUTE(REGEXEXTRACT($I80,""^[0-9.]+""),""."","""")))
        ),
        0
      ),
      COLUMN()-9
    )
  )
)"),"")</f>
        <v/>
      </c>
      <c r="M80" s="234" t="str">
        <f>IFERROR(__xludf.DUMMYFUNCTION("IF(
  $I80="""",
  """",
  IF(
    COLUMN()-9 &gt;
    (1 + LEN(REGEXEXTRACT($I80,""^[0-9.]+"")) - LEN(SUBSTITUTE(REGEXEXTRACT($I80,""^[0-9.]+""),""."",""""))),
    """",
    INDEX(
      BEC_openBDF!$A:$D,
      MATCH(
        $I80,
        INDEX(
         "&amp;" BEC_openBDF!$A:$D,
          0,
          (1 + LEN(REGEXEXTRACT($I80,""^[0-9.]+"")) - LEN(SUBSTITUTE(REGEXEXTRACT($I80,""^[0-9.]+""),""."","""")))
        ),
        0
      ),
      COLUMN()-9
    )
  )
)"),"")</f>
        <v/>
      </c>
      <c r="N80" s="197" t="s">
        <v>823</v>
      </c>
      <c r="O80" s="193"/>
      <c r="P80" s="197" t="s">
        <v>810</v>
      </c>
      <c r="Q80" s="255" t="s">
        <v>811</v>
      </c>
      <c r="R80" s="255" t="s">
        <v>796</v>
      </c>
      <c r="S80" s="263" t="s">
        <v>812</v>
      </c>
      <c r="T80" s="240">
        <v>7.326010153E9</v>
      </c>
      <c r="U80" s="192">
        <v>0.0</v>
      </c>
      <c r="V80" s="257"/>
      <c r="W80" s="257"/>
      <c r="X80" s="240">
        <v>4.115926207E9</v>
      </c>
      <c r="Y80" s="238"/>
    </row>
    <row r="81" ht="18.75" customHeight="1">
      <c r="A81" s="232"/>
      <c r="B81" s="192"/>
      <c r="C81" s="193" t="s">
        <v>678</v>
      </c>
      <c r="D81" s="192" t="s">
        <v>759</v>
      </c>
      <c r="E81" s="192" t="s">
        <v>806</v>
      </c>
      <c r="F81" s="192" t="s">
        <v>807</v>
      </c>
      <c r="G81" s="237"/>
      <c r="H81" s="237"/>
      <c r="I81" s="192" t="s">
        <v>808</v>
      </c>
      <c r="J81" s="234" t="str">
        <f>IFERROR(__xludf.DUMMYFUNCTION("IF(
  $I81="""",
  """",
  IF(
    COLUMN()-9 &gt;
    (1 + LEN(REGEXEXTRACT($I81,""^[0-9.]+"")) - LEN(SUBSTITUTE(REGEXEXTRACT($I81,""^[0-9.]+""),""."",""""))),
    """",
    INDEX(
      BEC_openBDF!$A:$D,
      MATCH(
        $I81,
        INDEX(
         "&amp;" BEC_openBDF!$A:$D,
          0,
          (1 + LEN(REGEXEXTRACT($I81,""^[0-9.]+"")) - LEN(SUBSTITUTE(REGEXEXTRACT($I81,""^[0-9.]+""),""."","""")))
        ),
        0
      ),
      COLUMN()-9
    )
  )
)"),"2 Super structure")</f>
        <v>2 Super structure</v>
      </c>
      <c r="K81" s="234" t="str">
        <f>IFERROR(__xludf.DUMMYFUNCTION("IF(
  $I81="""",
  """",
  IF(
    COLUMN()-9 &gt;
    (1 + LEN(REGEXEXTRACT($I81,""^[0-9.]+"")) - LEN(SUBSTITUTE(REGEXEXTRACT($I81,""^[0-9.]+""),""."",""""))),
    """",
    INDEX(
      BEC_openBDF!$A:$D,
      MATCH(
        $I81,
        INDEX(
         "&amp;" BEC_openBDF!$A:$D,
          0,
          (1 + LEN(REGEXEXTRACT($I81,""^[0-9.]+"")) - LEN(SUBSTITUTE(REGEXEXTRACT($I81,""^[0-9.]+""),""."","""")))
        ),
        0
      ),
      COLUMN()-9
    )
  )
)"),"2.2 Upper floors 
")</f>
        <v>2.2 Upper floors 
</v>
      </c>
      <c r="L81" s="234" t="str">
        <f>IFERROR(__xludf.DUMMYFUNCTION("IF(
  $I81="""",
  """",
  IF(
    COLUMN()-9 &gt;
    (1 + LEN(REGEXEXTRACT($I81,""^[0-9.]+"")) - LEN(SUBSTITUTE(REGEXEXTRACT($I81,""^[0-9.]+""),""."",""""))),
    """",
    INDEX(
      BEC_openBDF!$A:$D,
      MATCH(
        $I81,
        INDEX(
         "&amp;" BEC_openBDF!$A:$D,
          0,
          (1 + LEN(REGEXEXTRACT($I81,""^[0-9.]+"")) - LEN(SUBSTITUTE(REGEXEXTRACT($I81,""^[0-9.]+""),""."","""")))
        ),
        0
      ),
      COLUMN()-9
    )
  )
)"),"")</f>
        <v/>
      </c>
      <c r="M81" s="234" t="str">
        <f>IFERROR(__xludf.DUMMYFUNCTION("IF(
  $I81="""",
  """",
  IF(
    COLUMN()-9 &gt;
    (1 + LEN(REGEXEXTRACT($I81,""^[0-9.]+"")) - LEN(SUBSTITUTE(REGEXEXTRACT($I81,""^[0-9.]+""),""."",""""))),
    """",
    INDEX(
      BEC_openBDF!$A:$D,
      MATCH(
        $I81,
        INDEX(
         "&amp;" BEC_openBDF!$A:$D,
          0,
          (1 + LEN(REGEXEXTRACT($I81,""^[0-9.]+"")) - LEN(SUBSTITUTE(REGEXEXTRACT($I81,""^[0-9.]+""),""."","""")))
        ),
        0
      ),
      COLUMN()-9
    )
  )
)"),"")</f>
        <v/>
      </c>
      <c r="N81" s="197" t="s">
        <v>824</v>
      </c>
      <c r="O81" s="193"/>
      <c r="P81" s="197" t="s">
        <v>810</v>
      </c>
      <c r="Q81" s="255" t="s">
        <v>811</v>
      </c>
      <c r="R81" s="255" t="s">
        <v>796</v>
      </c>
      <c r="S81" s="263" t="s">
        <v>812</v>
      </c>
      <c r="T81" s="240">
        <v>4.917554431E9</v>
      </c>
      <c r="U81" s="192">
        <v>0.0</v>
      </c>
      <c r="V81" s="257"/>
      <c r="W81" s="257"/>
      <c r="X81" s="240">
        <v>3.062445095E9</v>
      </c>
      <c r="Y81" s="238"/>
    </row>
    <row r="82" ht="18.75" customHeight="1">
      <c r="A82" s="232"/>
      <c r="B82" s="192"/>
      <c r="C82" s="193" t="s">
        <v>678</v>
      </c>
      <c r="D82" s="192" t="s">
        <v>759</v>
      </c>
      <c r="E82" s="192" t="s">
        <v>806</v>
      </c>
      <c r="F82" s="192" t="s">
        <v>807</v>
      </c>
      <c r="G82" s="237"/>
      <c r="H82" s="237"/>
      <c r="I82" s="192" t="s">
        <v>808</v>
      </c>
      <c r="J82" s="234" t="str">
        <f>IFERROR(__xludf.DUMMYFUNCTION("IF(
  $I82="""",
  """",
  IF(
    COLUMN()-9 &gt;
    (1 + LEN(REGEXEXTRACT($I82,""^[0-9.]+"")) - LEN(SUBSTITUTE(REGEXEXTRACT($I82,""^[0-9.]+""),""."",""""))),
    """",
    INDEX(
      BEC_openBDF!$A:$D,
      MATCH(
        $I82,
        INDEX(
         "&amp;" BEC_openBDF!$A:$D,
          0,
          (1 + LEN(REGEXEXTRACT($I82,""^[0-9.]+"")) - LEN(SUBSTITUTE(REGEXEXTRACT($I82,""^[0-9.]+""),""."","""")))
        ),
        0
      ),
      COLUMN()-9
    )
  )
)"),"2 Super structure")</f>
        <v>2 Super structure</v>
      </c>
      <c r="K82" s="234" t="str">
        <f>IFERROR(__xludf.DUMMYFUNCTION("IF(
  $I82="""",
  """",
  IF(
    COLUMN()-9 &gt;
    (1 + LEN(REGEXEXTRACT($I82,""^[0-9.]+"")) - LEN(SUBSTITUTE(REGEXEXTRACT($I82,""^[0-9.]+""),""."",""""))),
    """",
    INDEX(
      BEC_openBDF!$A:$D,
      MATCH(
        $I82,
        INDEX(
         "&amp;" BEC_openBDF!$A:$D,
          0,
          (1 + LEN(REGEXEXTRACT($I82,""^[0-9.]+"")) - LEN(SUBSTITUTE(REGEXEXTRACT($I82,""^[0-9.]+""),""."","""")))
        ),
        0
      ),
      COLUMN()-9
    )
  )
)"),"2.2 Upper floors 
")</f>
        <v>2.2 Upper floors 
</v>
      </c>
      <c r="L82" s="234" t="str">
        <f>IFERROR(__xludf.DUMMYFUNCTION("IF(
  $I82="""",
  """",
  IF(
    COLUMN()-9 &gt;
    (1 + LEN(REGEXEXTRACT($I82,""^[0-9.]+"")) - LEN(SUBSTITUTE(REGEXEXTRACT($I82,""^[0-9.]+""),""."",""""))),
    """",
    INDEX(
      BEC_openBDF!$A:$D,
      MATCH(
        $I82,
        INDEX(
         "&amp;" BEC_openBDF!$A:$D,
          0,
          (1 + LEN(REGEXEXTRACT($I82,""^[0-9.]+"")) - LEN(SUBSTITUTE(REGEXEXTRACT($I82,""^[0-9.]+""),""."","""")))
        ),
        0
      ),
      COLUMN()-9
    )
  )
)"),"")</f>
        <v/>
      </c>
      <c r="M82" s="234" t="str">
        <f>IFERROR(__xludf.DUMMYFUNCTION("IF(
  $I82="""",
  """",
  IF(
    COLUMN()-9 &gt;
    (1 + LEN(REGEXEXTRACT($I82,""^[0-9.]+"")) - LEN(SUBSTITUTE(REGEXEXTRACT($I82,""^[0-9.]+""),""."",""""))),
    """",
    INDEX(
      BEC_openBDF!$A:$D,
      MATCH(
        $I82,
        INDEX(
         "&amp;" BEC_openBDF!$A:$D,
          0,
          (1 + LEN(REGEXEXTRACT($I82,""^[0-9.]+"")) - LEN(SUBSTITUTE(REGEXEXTRACT($I82,""^[0-9.]+""),""."","""")))
        ),
        0
      ),
      COLUMN()-9
    )
  )
)"),"")</f>
        <v/>
      </c>
      <c r="N82" s="197" t="s">
        <v>825</v>
      </c>
      <c r="O82" s="193"/>
      <c r="P82" s="197" t="s">
        <v>826</v>
      </c>
      <c r="Q82" s="255" t="s">
        <v>799</v>
      </c>
      <c r="R82" s="255" t="s">
        <v>796</v>
      </c>
      <c r="S82" s="263" t="s">
        <v>800</v>
      </c>
      <c r="T82" s="240">
        <v>8.29008195E8</v>
      </c>
      <c r="U82" s="240">
        <v>2.59065061E8</v>
      </c>
      <c r="V82" s="257"/>
      <c r="W82" s="257"/>
      <c r="X82" s="240">
        <v>1.749968625E9</v>
      </c>
      <c r="Y82" s="238"/>
    </row>
    <row r="83" ht="18.75" customHeight="1">
      <c r="A83" s="232"/>
      <c r="B83" s="192"/>
      <c r="C83" s="193" t="s">
        <v>678</v>
      </c>
      <c r="D83" s="192" t="s">
        <v>759</v>
      </c>
      <c r="E83" s="192" t="s">
        <v>806</v>
      </c>
      <c r="F83" s="192" t="s">
        <v>807</v>
      </c>
      <c r="G83" s="237"/>
      <c r="H83" s="237"/>
      <c r="I83" s="192" t="s">
        <v>808</v>
      </c>
      <c r="J83" s="234" t="str">
        <f>IFERROR(__xludf.DUMMYFUNCTION("IF(
  $I83="""",
  """",
  IF(
    COLUMN()-9 &gt;
    (1 + LEN(REGEXEXTRACT($I83,""^[0-9.]+"")) - LEN(SUBSTITUTE(REGEXEXTRACT($I83,""^[0-9.]+""),""."",""""))),
    """",
    INDEX(
      BEC_openBDF!$A:$D,
      MATCH(
        $I83,
        INDEX(
         "&amp;" BEC_openBDF!$A:$D,
          0,
          (1 + LEN(REGEXEXTRACT($I83,""^[0-9.]+"")) - LEN(SUBSTITUTE(REGEXEXTRACT($I83,""^[0-9.]+""),""."","""")))
        ),
        0
      ),
      COLUMN()-9
    )
  )
)"),"2 Super structure")</f>
        <v>2 Super structure</v>
      </c>
      <c r="K83" s="234" t="str">
        <f>IFERROR(__xludf.DUMMYFUNCTION("IF(
  $I83="""",
  """",
  IF(
    COLUMN()-9 &gt;
    (1 + LEN(REGEXEXTRACT($I83,""^[0-9.]+"")) - LEN(SUBSTITUTE(REGEXEXTRACT($I83,""^[0-9.]+""),""."",""""))),
    """",
    INDEX(
      BEC_openBDF!$A:$D,
      MATCH(
        $I83,
        INDEX(
         "&amp;" BEC_openBDF!$A:$D,
          0,
          (1 + LEN(REGEXEXTRACT($I83,""^[0-9.]+"")) - LEN(SUBSTITUTE(REGEXEXTRACT($I83,""^[0-9.]+""),""."","""")))
        ),
        0
      ),
      COLUMN()-9
    )
  )
)"),"2.2 Upper floors 
")</f>
        <v>2.2 Upper floors 
</v>
      </c>
      <c r="L83" s="234" t="str">
        <f>IFERROR(__xludf.DUMMYFUNCTION("IF(
  $I83="""",
  """",
  IF(
    COLUMN()-9 &gt;
    (1 + LEN(REGEXEXTRACT($I83,""^[0-9.]+"")) - LEN(SUBSTITUTE(REGEXEXTRACT($I83,""^[0-9.]+""),""."",""""))),
    """",
    INDEX(
      BEC_openBDF!$A:$D,
      MATCH(
        $I83,
        INDEX(
         "&amp;" BEC_openBDF!$A:$D,
          0,
          (1 + LEN(REGEXEXTRACT($I83,""^[0-9.]+"")) - LEN(SUBSTITUTE(REGEXEXTRACT($I83,""^[0-9.]+""),""."","""")))
        ),
        0
      ),
      COLUMN()-9
    )
  )
)"),"")</f>
        <v/>
      </c>
      <c r="M83" s="234" t="str">
        <f>IFERROR(__xludf.DUMMYFUNCTION("IF(
  $I83="""",
  """",
  IF(
    COLUMN()-9 &gt;
    (1 + LEN(REGEXEXTRACT($I83,""^[0-9.]+"")) - LEN(SUBSTITUTE(REGEXEXTRACT($I83,""^[0-9.]+""),""."",""""))),
    """",
    INDEX(
      BEC_openBDF!$A:$D,
      MATCH(
        $I83,
        INDEX(
         "&amp;" BEC_openBDF!$A:$D,
          0,
          (1 + LEN(REGEXEXTRACT($I83,""^[0-9.]+"")) - LEN(SUBSTITUTE(REGEXEXTRACT($I83,""^[0-9.]+""),""."","""")))
        ),
        0
      ),
      COLUMN()-9
    )
  )
)"),"")</f>
        <v/>
      </c>
      <c r="N83" s="197" t="s">
        <v>827</v>
      </c>
      <c r="O83" s="193"/>
      <c r="P83" s="197" t="s">
        <v>826</v>
      </c>
      <c r="Q83" s="255" t="s">
        <v>777</v>
      </c>
      <c r="R83" s="255" t="s">
        <v>765</v>
      </c>
      <c r="S83" s="263" t="s">
        <v>778</v>
      </c>
      <c r="T83" s="240">
        <v>1.170380186E9</v>
      </c>
      <c r="U83" s="240">
        <v>9.554123966E9</v>
      </c>
      <c r="V83" s="257"/>
      <c r="W83" s="257"/>
      <c r="X83" s="240">
        <v>3.33937763E8</v>
      </c>
      <c r="Y83" s="238"/>
    </row>
    <row r="84" ht="18.75" customHeight="1">
      <c r="A84" s="232"/>
      <c r="B84" s="192"/>
      <c r="C84" s="193" t="s">
        <v>678</v>
      </c>
      <c r="D84" s="192" t="s">
        <v>759</v>
      </c>
      <c r="E84" s="192" t="s">
        <v>806</v>
      </c>
      <c r="F84" s="192" t="s">
        <v>807</v>
      </c>
      <c r="G84" s="237"/>
      <c r="H84" s="237"/>
      <c r="I84" s="192" t="s">
        <v>808</v>
      </c>
      <c r="J84" s="234" t="str">
        <f>IFERROR(__xludf.DUMMYFUNCTION("IF(
  $I84="""",
  """",
  IF(
    COLUMN()-9 &gt;
    (1 + LEN(REGEXEXTRACT($I84,""^[0-9.]+"")) - LEN(SUBSTITUTE(REGEXEXTRACT($I84,""^[0-9.]+""),""."",""""))),
    """",
    INDEX(
      BEC_openBDF!$A:$D,
      MATCH(
        $I84,
        INDEX(
         "&amp;" BEC_openBDF!$A:$D,
          0,
          (1 + LEN(REGEXEXTRACT($I84,""^[0-9.]+"")) - LEN(SUBSTITUTE(REGEXEXTRACT($I84,""^[0-9.]+""),""."","""")))
        ),
        0
      ),
      COLUMN()-9
    )
  )
)"),"2 Super structure")</f>
        <v>2 Super structure</v>
      </c>
      <c r="K84" s="234" t="str">
        <f>IFERROR(__xludf.DUMMYFUNCTION("IF(
  $I84="""",
  """",
  IF(
    COLUMN()-9 &gt;
    (1 + LEN(REGEXEXTRACT($I84,""^[0-9.]+"")) - LEN(SUBSTITUTE(REGEXEXTRACT($I84,""^[0-9.]+""),""."",""""))),
    """",
    INDEX(
      BEC_openBDF!$A:$D,
      MATCH(
        $I84,
        INDEX(
         "&amp;" BEC_openBDF!$A:$D,
          0,
          (1 + LEN(REGEXEXTRACT($I84,""^[0-9.]+"")) - LEN(SUBSTITUTE(REGEXEXTRACT($I84,""^[0-9.]+""),""."","""")))
        ),
        0
      ),
      COLUMN()-9
    )
  )
)"),"2.2 Upper floors 
")</f>
        <v>2.2 Upper floors 
</v>
      </c>
      <c r="L84" s="234" t="str">
        <f>IFERROR(__xludf.DUMMYFUNCTION("IF(
  $I84="""",
  """",
  IF(
    COLUMN()-9 &gt;
    (1 + LEN(REGEXEXTRACT($I84,""^[0-9.]+"")) - LEN(SUBSTITUTE(REGEXEXTRACT($I84,""^[0-9.]+""),""."",""""))),
    """",
    INDEX(
      BEC_openBDF!$A:$D,
      MATCH(
        $I84,
        INDEX(
         "&amp;" BEC_openBDF!$A:$D,
          0,
          (1 + LEN(REGEXEXTRACT($I84,""^[0-9.]+"")) - LEN(SUBSTITUTE(REGEXEXTRACT($I84,""^[0-9.]+""),""."","""")))
        ),
        0
      ),
      COLUMN()-9
    )
  )
)"),"")</f>
        <v/>
      </c>
      <c r="M84" s="234" t="str">
        <f>IFERROR(__xludf.DUMMYFUNCTION("IF(
  $I84="""",
  """",
  IF(
    COLUMN()-9 &gt;
    (1 + LEN(REGEXEXTRACT($I84,""^[0-9.]+"")) - LEN(SUBSTITUTE(REGEXEXTRACT($I84,""^[0-9.]+""),""."",""""))),
    """",
    INDEX(
      BEC_openBDF!$A:$D,
      MATCH(
        $I84,
        INDEX(
         "&amp;" BEC_openBDF!$A:$D,
          0,
          (1 + LEN(REGEXEXTRACT($I84,""^[0-9.]+"")) - LEN(SUBSTITUTE(REGEXEXTRACT($I84,""^[0-9.]+""),""."","""")))
        ),
        0
      ),
      COLUMN()-9
    )
  )
)"),"")</f>
        <v/>
      </c>
      <c r="N84" s="197" t="s">
        <v>828</v>
      </c>
      <c r="O84" s="193"/>
      <c r="P84" s="197" t="s">
        <v>773</v>
      </c>
      <c r="Q84" s="255" t="s">
        <v>774</v>
      </c>
      <c r="R84" s="255" t="s">
        <v>765</v>
      </c>
      <c r="S84" s="263" t="s">
        <v>775</v>
      </c>
      <c r="T84" s="240">
        <v>3.499937251E9</v>
      </c>
      <c r="U84" s="240">
        <v>8.749843127E9</v>
      </c>
      <c r="V84" s="257"/>
      <c r="W84" s="257"/>
      <c r="X84" s="240">
        <v>1.889966115E9</v>
      </c>
      <c r="Y84" s="238"/>
    </row>
    <row r="85" ht="18.75" customHeight="1">
      <c r="A85" s="232"/>
      <c r="B85" s="192"/>
      <c r="C85" s="193" t="s">
        <v>678</v>
      </c>
      <c r="D85" s="192" t="s">
        <v>759</v>
      </c>
      <c r="E85" s="192" t="s">
        <v>806</v>
      </c>
      <c r="F85" s="192" t="s">
        <v>807</v>
      </c>
      <c r="G85" s="237"/>
      <c r="H85" s="237"/>
      <c r="I85" s="192" t="s">
        <v>808</v>
      </c>
      <c r="J85" s="234" t="str">
        <f>IFERROR(__xludf.DUMMYFUNCTION("IF(
  $I85="""",
  """",
  IF(
    COLUMN()-9 &gt;
    (1 + LEN(REGEXEXTRACT($I85,""^[0-9.]+"")) - LEN(SUBSTITUTE(REGEXEXTRACT($I85,""^[0-9.]+""),""."",""""))),
    """",
    INDEX(
      BEC_openBDF!$A:$D,
      MATCH(
        $I85,
        INDEX(
         "&amp;" BEC_openBDF!$A:$D,
          0,
          (1 + LEN(REGEXEXTRACT($I85,""^[0-9.]+"")) - LEN(SUBSTITUTE(REGEXEXTRACT($I85,""^[0-9.]+""),""."","""")))
        ),
        0
      ),
      COLUMN()-9
    )
  )
)"),"2 Super structure")</f>
        <v>2 Super structure</v>
      </c>
      <c r="K85" s="234" t="str">
        <f>IFERROR(__xludf.DUMMYFUNCTION("IF(
  $I85="""",
  """",
  IF(
    COLUMN()-9 &gt;
    (1 + LEN(REGEXEXTRACT($I85,""^[0-9.]+"")) - LEN(SUBSTITUTE(REGEXEXTRACT($I85,""^[0-9.]+""),""."",""""))),
    """",
    INDEX(
      BEC_openBDF!$A:$D,
      MATCH(
        $I85,
        INDEX(
         "&amp;" BEC_openBDF!$A:$D,
          0,
          (1 + LEN(REGEXEXTRACT($I85,""^[0-9.]+"")) - LEN(SUBSTITUTE(REGEXEXTRACT($I85,""^[0-9.]+""),""."","""")))
        ),
        0
      ),
      COLUMN()-9
    )
  )
)"),"2.2 Upper floors 
")</f>
        <v>2.2 Upper floors 
</v>
      </c>
      <c r="L85" s="234" t="str">
        <f>IFERROR(__xludf.DUMMYFUNCTION("IF(
  $I85="""",
  """",
  IF(
    COLUMN()-9 &gt;
    (1 + LEN(REGEXEXTRACT($I85,""^[0-9.]+"")) - LEN(SUBSTITUTE(REGEXEXTRACT($I85,""^[0-9.]+""),""."",""""))),
    """",
    INDEX(
      BEC_openBDF!$A:$D,
      MATCH(
        $I85,
        INDEX(
         "&amp;" BEC_openBDF!$A:$D,
          0,
          (1 + LEN(REGEXEXTRACT($I85,""^[0-9.]+"")) - LEN(SUBSTITUTE(REGEXEXTRACT($I85,""^[0-9.]+""),""."","""")))
        ),
        0
      ),
      COLUMN()-9
    )
  )
)"),"")</f>
        <v/>
      </c>
      <c r="M85" s="234" t="str">
        <f>IFERROR(__xludf.DUMMYFUNCTION("IF(
  $I85="""",
  """",
  IF(
    COLUMN()-9 &gt;
    (1 + LEN(REGEXEXTRACT($I85,""^[0-9.]+"")) - LEN(SUBSTITUTE(REGEXEXTRACT($I85,""^[0-9.]+""),""."",""""))),
    """",
    INDEX(
      BEC_openBDF!$A:$D,
      MATCH(
        $I85,
        INDEX(
         "&amp;" BEC_openBDF!$A:$D,
          0,
          (1 + LEN(REGEXEXTRACT($I85,""^[0-9.]+"")) - LEN(SUBSTITUTE(REGEXEXTRACT($I85,""^[0-9.]+""),""."","""")))
        ),
        0
      ),
      COLUMN()-9
    )
  )
)"),"")</f>
        <v/>
      </c>
      <c r="N85" s="197" t="s">
        <v>828</v>
      </c>
      <c r="O85" s="193"/>
      <c r="P85" s="197" t="s">
        <v>776</v>
      </c>
      <c r="Q85" s="255" t="s">
        <v>777</v>
      </c>
      <c r="R85" s="255" t="s">
        <v>765</v>
      </c>
      <c r="S85" s="263" t="s">
        <v>778</v>
      </c>
      <c r="T85" s="240">
        <v>1.714969253E9</v>
      </c>
      <c r="U85" s="240">
        <v>8.749843127E9</v>
      </c>
      <c r="V85" s="257"/>
      <c r="W85" s="257"/>
      <c r="X85" s="240">
        <v>4.376050486E9</v>
      </c>
      <c r="Y85" s="238"/>
    </row>
    <row r="86" ht="18.75" customHeight="1">
      <c r="A86" s="232"/>
      <c r="B86" s="192"/>
      <c r="C86" s="193" t="s">
        <v>678</v>
      </c>
      <c r="D86" s="192" t="s">
        <v>759</v>
      </c>
      <c r="E86" s="192" t="s">
        <v>806</v>
      </c>
      <c r="F86" s="192" t="s">
        <v>807</v>
      </c>
      <c r="G86" s="237"/>
      <c r="H86" s="237"/>
      <c r="I86" s="192" t="s">
        <v>808</v>
      </c>
      <c r="J86" s="234" t="str">
        <f>IFERROR(__xludf.DUMMYFUNCTION("IF(
  $I86="""",
  """",
  IF(
    COLUMN()-9 &gt;
    (1 + LEN(REGEXEXTRACT($I86,""^[0-9.]+"")) - LEN(SUBSTITUTE(REGEXEXTRACT($I86,""^[0-9.]+""),""."",""""))),
    """",
    INDEX(
      BEC_openBDF!$A:$D,
      MATCH(
        $I86,
        INDEX(
         "&amp;" BEC_openBDF!$A:$D,
          0,
          (1 + LEN(REGEXEXTRACT($I86,""^[0-9.]+"")) - LEN(SUBSTITUTE(REGEXEXTRACT($I86,""^[0-9.]+""),""."","""")))
        ),
        0
      ),
      COLUMN()-9
    )
  )
)"),"2 Super structure")</f>
        <v>2 Super structure</v>
      </c>
      <c r="K86" s="234" t="str">
        <f>IFERROR(__xludf.DUMMYFUNCTION("IF(
  $I86="""",
  """",
  IF(
    COLUMN()-9 &gt;
    (1 + LEN(REGEXEXTRACT($I86,""^[0-9.]+"")) - LEN(SUBSTITUTE(REGEXEXTRACT($I86,""^[0-9.]+""),""."",""""))),
    """",
    INDEX(
      BEC_openBDF!$A:$D,
      MATCH(
        $I86,
        INDEX(
         "&amp;" BEC_openBDF!$A:$D,
          0,
          (1 + LEN(REGEXEXTRACT($I86,""^[0-9.]+"")) - LEN(SUBSTITUTE(REGEXEXTRACT($I86,""^[0-9.]+""),""."","""")))
        ),
        0
      ),
      COLUMN()-9
    )
  )
)"),"2.2 Upper floors 
")</f>
        <v>2.2 Upper floors 
</v>
      </c>
      <c r="L86" s="234" t="str">
        <f>IFERROR(__xludf.DUMMYFUNCTION("IF(
  $I86="""",
  """",
  IF(
    COLUMN()-9 &gt;
    (1 + LEN(REGEXEXTRACT($I86,""^[0-9.]+"")) - LEN(SUBSTITUTE(REGEXEXTRACT($I86,""^[0-9.]+""),""."",""""))),
    """",
    INDEX(
      BEC_openBDF!$A:$D,
      MATCH(
        $I86,
        INDEX(
         "&amp;" BEC_openBDF!$A:$D,
          0,
          (1 + LEN(REGEXEXTRACT($I86,""^[0-9.]+"")) - LEN(SUBSTITUTE(REGEXEXTRACT($I86,""^[0-9.]+""),""."","""")))
        ),
        0
      ),
      COLUMN()-9
    )
  )
)"),"")</f>
        <v/>
      </c>
      <c r="M86" s="234" t="str">
        <f>IFERROR(__xludf.DUMMYFUNCTION("IF(
  $I86="""",
  """",
  IF(
    COLUMN()-9 &gt;
    (1 + LEN(REGEXEXTRACT($I86,""^[0-9.]+"")) - LEN(SUBSTITUTE(REGEXEXTRACT($I86,""^[0-9.]+""),""."",""""))),
    """",
    INDEX(
      BEC_openBDF!$A:$D,
      MATCH(
        $I86,
        INDEX(
         "&amp;" BEC_openBDF!$A:$D,
          0,
          (1 + LEN(REGEXEXTRACT($I86,""^[0-9.]+"")) - LEN(SUBSTITUTE(REGEXEXTRACT($I86,""^[0-9.]+""),""."","""")))
        ),
        0
      ),
      COLUMN()-9
    )
  )
)"),"")</f>
        <v/>
      </c>
      <c r="N86" s="197" t="s">
        <v>828</v>
      </c>
      <c r="O86" s="193"/>
      <c r="P86" s="197" t="s">
        <v>829</v>
      </c>
      <c r="Q86" s="255" t="s">
        <v>830</v>
      </c>
      <c r="R86" s="255" t="s">
        <v>765</v>
      </c>
      <c r="S86" s="263" t="s">
        <v>831</v>
      </c>
      <c r="T86" s="240">
        <v>8.749843127E9</v>
      </c>
      <c r="U86" s="240">
        <v>8.749843127E9</v>
      </c>
      <c r="V86" s="257"/>
      <c r="W86" s="257"/>
      <c r="X86" s="240">
        <v>6.858222757E9</v>
      </c>
      <c r="Y86" s="238"/>
    </row>
    <row r="87" ht="18.75" customHeight="1">
      <c r="A87" s="232"/>
      <c r="B87" s="192"/>
      <c r="C87" s="193" t="s">
        <v>678</v>
      </c>
      <c r="D87" s="192" t="s">
        <v>759</v>
      </c>
      <c r="E87" s="192" t="s">
        <v>806</v>
      </c>
      <c r="F87" s="192" t="s">
        <v>807</v>
      </c>
      <c r="G87" s="237"/>
      <c r="H87" s="237"/>
      <c r="I87" s="192" t="s">
        <v>808</v>
      </c>
      <c r="J87" s="234" t="str">
        <f>IFERROR(__xludf.DUMMYFUNCTION("IF(
  $I87="""",
  """",
  IF(
    COLUMN()-9 &gt;
    (1 + LEN(REGEXEXTRACT($I87,""^[0-9.]+"")) - LEN(SUBSTITUTE(REGEXEXTRACT($I87,""^[0-9.]+""),""."",""""))),
    """",
    INDEX(
      BEC_openBDF!$A:$D,
      MATCH(
        $I87,
        INDEX(
         "&amp;" BEC_openBDF!$A:$D,
          0,
          (1 + LEN(REGEXEXTRACT($I87,""^[0-9.]+"")) - LEN(SUBSTITUTE(REGEXEXTRACT($I87,""^[0-9.]+""),""."","""")))
        ),
        0
      ),
      COLUMN()-9
    )
  )
)"),"2 Super structure")</f>
        <v>2 Super structure</v>
      </c>
      <c r="K87" s="234" t="str">
        <f>IFERROR(__xludf.DUMMYFUNCTION("IF(
  $I87="""",
  """",
  IF(
    COLUMN()-9 &gt;
    (1 + LEN(REGEXEXTRACT($I87,""^[0-9.]+"")) - LEN(SUBSTITUTE(REGEXEXTRACT($I87,""^[0-9.]+""),""."",""""))),
    """",
    INDEX(
      BEC_openBDF!$A:$D,
      MATCH(
        $I87,
        INDEX(
         "&amp;" BEC_openBDF!$A:$D,
          0,
          (1 + LEN(REGEXEXTRACT($I87,""^[0-9.]+"")) - LEN(SUBSTITUTE(REGEXEXTRACT($I87,""^[0-9.]+""),""."","""")))
        ),
        0
      ),
      COLUMN()-9
    )
  )
)"),"2.2 Upper floors 
")</f>
        <v>2.2 Upper floors 
</v>
      </c>
      <c r="L87" s="234" t="str">
        <f>IFERROR(__xludf.DUMMYFUNCTION("IF(
  $I87="""",
  """",
  IF(
    COLUMN()-9 &gt;
    (1 + LEN(REGEXEXTRACT($I87,""^[0-9.]+"")) - LEN(SUBSTITUTE(REGEXEXTRACT($I87,""^[0-9.]+""),""."",""""))),
    """",
    INDEX(
      BEC_openBDF!$A:$D,
      MATCH(
        $I87,
        INDEX(
         "&amp;" BEC_openBDF!$A:$D,
          0,
          (1 + LEN(REGEXEXTRACT($I87,""^[0-9.]+"")) - LEN(SUBSTITUTE(REGEXEXTRACT($I87,""^[0-9.]+""),""."","""")))
        ),
        0
      ),
      COLUMN()-9
    )
  )
)"),"")</f>
        <v/>
      </c>
      <c r="M87" s="234" t="str">
        <f>IFERROR(__xludf.DUMMYFUNCTION("IF(
  $I87="""",
  """",
  IF(
    COLUMN()-9 &gt;
    (1 + LEN(REGEXEXTRACT($I87,""^[0-9.]+"")) - LEN(SUBSTITUTE(REGEXEXTRACT($I87,""^[0-9.]+""),""."",""""))),
    """",
    INDEX(
      BEC_openBDF!$A:$D,
      MATCH(
        $I87,
        INDEX(
         "&amp;" BEC_openBDF!$A:$D,
          0,
          (1 + LEN(REGEXEXTRACT($I87,""^[0-9.]+"")) - LEN(SUBSTITUTE(REGEXEXTRACT($I87,""^[0-9.]+""),""."","""")))
        ),
        0
      ),
      COLUMN()-9
    )
  )
)"),"")</f>
        <v/>
      </c>
      <c r="N87" s="197" t="s">
        <v>828</v>
      </c>
      <c r="O87" s="193"/>
      <c r="P87" s="197" t="s">
        <v>832</v>
      </c>
      <c r="Q87" s="255" t="s">
        <v>833</v>
      </c>
      <c r="R87" s="255" t="s">
        <v>765</v>
      </c>
      <c r="S87" s="263" t="s">
        <v>834</v>
      </c>
      <c r="T87" s="240">
        <v>8.749843127E9</v>
      </c>
      <c r="U87" s="240">
        <v>8.749843127E9</v>
      </c>
      <c r="V87" s="257"/>
      <c r="W87" s="257"/>
      <c r="X87" s="240">
        <v>5.122540901E9</v>
      </c>
      <c r="Y87" s="238"/>
    </row>
    <row r="88" ht="18.75" customHeight="1">
      <c r="A88" s="232"/>
      <c r="B88" s="192"/>
      <c r="C88" s="193" t="s">
        <v>678</v>
      </c>
      <c r="D88" s="192" t="s">
        <v>759</v>
      </c>
      <c r="E88" s="192" t="s">
        <v>806</v>
      </c>
      <c r="F88" s="192" t="s">
        <v>807</v>
      </c>
      <c r="G88" s="237"/>
      <c r="H88" s="237"/>
      <c r="I88" s="192" t="s">
        <v>808</v>
      </c>
      <c r="J88" s="234" t="str">
        <f>IFERROR(__xludf.DUMMYFUNCTION("IF(
  $I88="""",
  """",
  IF(
    COLUMN()-9 &gt;
    (1 + LEN(REGEXEXTRACT($I88,""^[0-9.]+"")) - LEN(SUBSTITUTE(REGEXEXTRACT($I88,""^[0-9.]+""),""."",""""))),
    """",
    INDEX(
      BEC_openBDF!$A:$D,
      MATCH(
        $I88,
        INDEX(
         "&amp;" BEC_openBDF!$A:$D,
          0,
          (1 + LEN(REGEXEXTRACT($I88,""^[0-9.]+"")) - LEN(SUBSTITUTE(REGEXEXTRACT($I88,""^[0-9.]+""),""."","""")))
        ),
        0
      ),
      COLUMN()-9
    )
  )
)"),"2 Super structure")</f>
        <v>2 Super structure</v>
      </c>
      <c r="K88" s="234" t="str">
        <f>IFERROR(__xludf.DUMMYFUNCTION("IF(
  $I88="""",
  """",
  IF(
    COLUMN()-9 &gt;
    (1 + LEN(REGEXEXTRACT($I88,""^[0-9.]+"")) - LEN(SUBSTITUTE(REGEXEXTRACT($I88,""^[0-9.]+""),""."",""""))),
    """",
    INDEX(
      BEC_openBDF!$A:$D,
      MATCH(
        $I88,
        INDEX(
         "&amp;" BEC_openBDF!$A:$D,
          0,
          (1 + LEN(REGEXEXTRACT($I88,""^[0-9.]+"")) - LEN(SUBSTITUTE(REGEXEXTRACT($I88,""^[0-9.]+""),""."","""")))
        ),
        0
      ),
      COLUMN()-9
    )
  )
)"),"2.2 Upper floors 
")</f>
        <v>2.2 Upper floors 
</v>
      </c>
      <c r="L88" s="234" t="str">
        <f>IFERROR(__xludf.DUMMYFUNCTION("IF(
  $I88="""",
  """",
  IF(
    COLUMN()-9 &gt;
    (1 + LEN(REGEXEXTRACT($I88,""^[0-9.]+"")) - LEN(SUBSTITUTE(REGEXEXTRACT($I88,""^[0-9.]+""),""."",""""))),
    """",
    INDEX(
      BEC_openBDF!$A:$D,
      MATCH(
        $I88,
        INDEX(
         "&amp;" BEC_openBDF!$A:$D,
          0,
          (1 + LEN(REGEXEXTRACT($I88,""^[0-9.]+"")) - LEN(SUBSTITUTE(REGEXEXTRACT($I88,""^[0-9.]+""),""."","""")))
        ),
        0
      ),
      COLUMN()-9
    )
  )
)"),"")</f>
        <v/>
      </c>
      <c r="M88" s="234" t="str">
        <f>IFERROR(__xludf.DUMMYFUNCTION("IF(
  $I88="""",
  """",
  IF(
    COLUMN()-9 &gt;
    (1 + LEN(REGEXEXTRACT($I88,""^[0-9.]+"")) - LEN(SUBSTITUTE(REGEXEXTRACT($I88,""^[0-9.]+""),""."",""""))),
    """",
    INDEX(
      BEC_openBDF!$A:$D,
      MATCH(
        $I88,
        INDEX(
         "&amp;" BEC_openBDF!$A:$D,
          0,
          (1 + LEN(REGEXEXTRACT($I88,""^[0-9.]+"")) - LEN(SUBSTITUTE(REGEXEXTRACT($I88,""^[0-9.]+""),""."","""")))
        ),
        0
      ),
      COLUMN()-9
    )
  )
)"),"")</f>
        <v/>
      </c>
      <c r="N88" s="197" t="s">
        <v>828</v>
      </c>
      <c r="O88" s="193"/>
      <c r="P88" s="197" t="s">
        <v>785</v>
      </c>
      <c r="Q88" s="255" t="s">
        <v>786</v>
      </c>
      <c r="R88" s="255" t="s">
        <v>765</v>
      </c>
      <c r="S88" s="263" t="s">
        <v>787</v>
      </c>
      <c r="T88" s="240">
        <v>3.928679564E9</v>
      </c>
      <c r="U88" s="240">
        <v>8.749843127E9</v>
      </c>
      <c r="V88" s="257"/>
      <c r="W88" s="257"/>
      <c r="X88" s="240">
        <v>5.122540901E9</v>
      </c>
      <c r="Y88" s="238"/>
    </row>
    <row r="89" ht="18.75" customHeight="1">
      <c r="A89" s="232"/>
      <c r="B89" s="192"/>
      <c r="C89" s="193" t="s">
        <v>678</v>
      </c>
      <c r="D89" s="192" t="s">
        <v>759</v>
      </c>
      <c r="E89" s="192" t="s">
        <v>806</v>
      </c>
      <c r="F89" s="192" t="s">
        <v>807</v>
      </c>
      <c r="G89" s="237"/>
      <c r="H89" s="237"/>
      <c r="I89" s="192" t="s">
        <v>808</v>
      </c>
      <c r="J89" s="234" t="str">
        <f>IFERROR(__xludf.DUMMYFUNCTION("IF(
  $I89="""",
  """",
  IF(
    COLUMN()-9 &gt;
    (1 + LEN(REGEXEXTRACT($I89,""^[0-9.]+"")) - LEN(SUBSTITUTE(REGEXEXTRACT($I89,""^[0-9.]+""),""."",""""))),
    """",
    INDEX(
      BEC_openBDF!$A:$D,
      MATCH(
        $I89,
        INDEX(
         "&amp;" BEC_openBDF!$A:$D,
          0,
          (1 + LEN(REGEXEXTRACT($I89,""^[0-9.]+"")) - LEN(SUBSTITUTE(REGEXEXTRACT($I89,""^[0-9.]+""),""."","""")))
        ),
        0
      ),
      COLUMN()-9
    )
  )
)"),"2 Super structure")</f>
        <v>2 Super structure</v>
      </c>
      <c r="K89" s="234" t="str">
        <f>IFERROR(__xludf.DUMMYFUNCTION("IF(
  $I89="""",
  """",
  IF(
    COLUMN()-9 &gt;
    (1 + LEN(REGEXEXTRACT($I89,""^[0-9.]+"")) - LEN(SUBSTITUTE(REGEXEXTRACT($I89,""^[0-9.]+""),""."",""""))),
    """",
    INDEX(
      BEC_openBDF!$A:$D,
      MATCH(
        $I89,
        INDEX(
         "&amp;" BEC_openBDF!$A:$D,
          0,
          (1 + LEN(REGEXEXTRACT($I89,""^[0-9.]+"")) - LEN(SUBSTITUTE(REGEXEXTRACT($I89,""^[0-9.]+""),""."","""")))
        ),
        0
      ),
      COLUMN()-9
    )
  )
)"),"2.2 Upper floors 
")</f>
        <v>2.2 Upper floors 
</v>
      </c>
      <c r="L89" s="234" t="str">
        <f>IFERROR(__xludf.DUMMYFUNCTION("IF(
  $I89="""",
  """",
  IF(
    COLUMN()-9 &gt;
    (1 + LEN(REGEXEXTRACT($I89,""^[0-9.]+"")) - LEN(SUBSTITUTE(REGEXEXTRACT($I89,""^[0-9.]+""),""."",""""))),
    """",
    INDEX(
      BEC_openBDF!$A:$D,
      MATCH(
        $I89,
        INDEX(
         "&amp;" BEC_openBDF!$A:$D,
          0,
          (1 + LEN(REGEXEXTRACT($I89,""^[0-9.]+"")) - LEN(SUBSTITUTE(REGEXEXTRACT($I89,""^[0-9.]+""),""."","""")))
        ),
        0
      ),
      COLUMN()-9
    )
  )
)"),"")</f>
        <v/>
      </c>
      <c r="M89" s="234" t="str">
        <f>IFERROR(__xludf.DUMMYFUNCTION("IF(
  $I89="""",
  """",
  IF(
    COLUMN()-9 &gt;
    (1 + LEN(REGEXEXTRACT($I89,""^[0-9.]+"")) - LEN(SUBSTITUTE(REGEXEXTRACT($I89,""^[0-9.]+""),""."",""""))),
    """",
    INDEX(
      BEC_openBDF!$A:$D,
      MATCH(
        $I89,
        INDEX(
         "&amp;" BEC_openBDF!$A:$D,
          0,
          (1 + LEN(REGEXEXTRACT($I89,""^[0-9.]+"")) - LEN(SUBSTITUTE(REGEXEXTRACT($I89,""^[0-9.]+""),""."","""")))
        ),
        0
      ),
      COLUMN()-9
    )
  )
)"),"")</f>
        <v/>
      </c>
      <c r="N89" s="197" t="s">
        <v>828</v>
      </c>
      <c r="O89" s="193"/>
      <c r="P89" s="197" t="s">
        <v>788</v>
      </c>
      <c r="Q89" s="255" t="s">
        <v>789</v>
      </c>
      <c r="R89" s="255" t="s">
        <v>765</v>
      </c>
      <c r="S89" s="263" t="s">
        <v>790</v>
      </c>
      <c r="T89" s="240">
        <v>7.874858815E9</v>
      </c>
      <c r="U89" s="240">
        <v>8.749843127E9</v>
      </c>
      <c r="V89" s="257"/>
      <c r="W89" s="257"/>
      <c r="X89" s="240">
        <v>2.03686636E8</v>
      </c>
      <c r="Y89" s="238"/>
    </row>
    <row r="90" ht="18.75" customHeight="1">
      <c r="A90" s="232"/>
      <c r="B90" s="192"/>
      <c r="C90" s="193" t="s">
        <v>678</v>
      </c>
      <c r="D90" s="192" t="s">
        <v>759</v>
      </c>
      <c r="E90" s="192" t="s">
        <v>806</v>
      </c>
      <c r="F90" s="192" t="s">
        <v>807</v>
      </c>
      <c r="G90" s="237"/>
      <c r="H90" s="237"/>
      <c r="I90" s="192" t="s">
        <v>808</v>
      </c>
      <c r="J90" s="234" t="str">
        <f>IFERROR(__xludf.DUMMYFUNCTION("IF(
  $I90="""",
  """",
  IF(
    COLUMN()-9 &gt;
    (1 + LEN(REGEXEXTRACT($I90,""^[0-9.]+"")) - LEN(SUBSTITUTE(REGEXEXTRACT($I90,""^[0-9.]+""),""."",""""))),
    """",
    INDEX(
      BEC_openBDF!$A:$D,
      MATCH(
        $I90,
        INDEX(
         "&amp;" BEC_openBDF!$A:$D,
          0,
          (1 + LEN(REGEXEXTRACT($I90,""^[0-9.]+"")) - LEN(SUBSTITUTE(REGEXEXTRACT($I90,""^[0-9.]+""),""."","""")))
        ),
        0
      ),
      COLUMN()-9
    )
  )
)"),"2 Super structure")</f>
        <v>2 Super structure</v>
      </c>
      <c r="K90" s="234" t="str">
        <f>IFERROR(__xludf.DUMMYFUNCTION("IF(
  $I90="""",
  """",
  IF(
    COLUMN()-9 &gt;
    (1 + LEN(REGEXEXTRACT($I90,""^[0-9.]+"")) - LEN(SUBSTITUTE(REGEXEXTRACT($I90,""^[0-9.]+""),""."",""""))),
    """",
    INDEX(
      BEC_openBDF!$A:$D,
      MATCH(
        $I90,
        INDEX(
         "&amp;" BEC_openBDF!$A:$D,
          0,
          (1 + LEN(REGEXEXTRACT($I90,""^[0-9.]+"")) - LEN(SUBSTITUTE(REGEXEXTRACT($I90,""^[0-9.]+""),""."","""")))
        ),
        0
      ),
      COLUMN()-9
    )
  )
)"),"2.2 Upper floors 
")</f>
        <v>2.2 Upper floors 
</v>
      </c>
      <c r="L90" s="234" t="str">
        <f>IFERROR(__xludf.DUMMYFUNCTION("IF(
  $I90="""",
  """",
  IF(
    COLUMN()-9 &gt;
    (1 + LEN(REGEXEXTRACT($I90,""^[0-9.]+"")) - LEN(SUBSTITUTE(REGEXEXTRACT($I90,""^[0-9.]+""),""."",""""))),
    """",
    INDEX(
      BEC_openBDF!$A:$D,
      MATCH(
        $I90,
        INDEX(
         "&amp;" BEC_openBDF!$A:$D,
          0,
          (1 + LEN(REGEXEXTRACT($I90,""^[0-9.]+"")) - LEN(SUBSTITUTE(REGEXEXTRACT($I90,""^[0-9.]+""),""."","""")))
        ),
        0
      ),
      COLUMN()-9
    )
  )
)"),"")</f>
        <v/>
      </c>
      <c r="M90" s="234" t="str">
        <f>IFERROR(__xludf.DUMMYFUNCTION("IF(
  $I90="""",
  """",
  IF(
    COLUMN()-9 &gt;
    (1 + LEN(REGEXEXTRACT($I90,""^[0-9.]+"")) - LEN(SUBSTITUTE(REGEXEXTRACT($I90,""^[0-9.]+""),""."",""""))),
    """",
    INDEX(
      BEC_openBDF!$A:$D,
      MATCH(
        $I90,
        INDEX(
         "&amp;" BEC_openBDF!$A:$D,
          0,
          (1 + LEN(REGEXEXTRACT($I90,""^[0-9.]+"")) - LEN(SUBSTITUTE(REGEXEXTRACT($I90,""^[0-9.]+""),""."","""")))
        ),
        0
      ),
      COLUMN()-9
    )
  )
)"),"")</f>
        <v/>
      </c>
      <c r="N90" s="197" t="s">
        <v>835</v>
      </c>
      <c r="O90" s="193"/>
      <c r="P90" s="197" t="s">
        <v>773</v>
      </c>
      <c r="Q90" s="255" t="s">
        <v>774</v>
      </c>
      <c r="R90" s="255" t="s">
        <v>765</v>
      </c>
      <c r="S90" s="263" t="s">
        <v>775</v>
      </c>
      <c r="T90" s="240">
        <v>5.574586606E9</v>
      </c>
      <c r="U90" s="240">
        <v>9.779976501E9</v>
      </c>
      <c r="V90" s="257"/>
      <c r="W90" s="257"/>
      <c r="X90" s="240">
        <v>6.18453733E8</v>
      </c>
      <c r="Y90" s="238"/>
    </row>
    <row r="91" ht="18.75" customHeight="1">
      <c r="A91" s="232"/>
      <c r="B91" s="192"/>
      <c r="C91" s="193" t="s">
        <v>678</v>
      </c>
      <c r="D91" s="192" t="s">
        <v>759</v>
      </c>
      <c r="E91" s="192" t="s">
        <v>806</v>
      </c>
      <c r="F91" s="192" t="s">
        <v>807</v>
      </c>
      <c r="G91" s="237"/>
      <c r="H91" s="237"/>
      <c r="I91" s="192" t="s">
        <v>808</v>
      </c>
      <c r="J91" s="234" t="str">
        <f>IFERROR(__xludf.DUMMYFUNCTION("IF(
  $I91="""",
  """",
  IF(
    COLUMN()-9 &gt;
    (1 + LEN(REGEXEXTRACT($I91,""^[0-9.]+"")) - LEN(SUBSTITUTE(REGEXEXTRACT($I91,""^[0-9.]+""),""."",""""))),
    """",
    INDEX(
      BEC_openBDF!$A:$D,
      MATCH(
        $I91,
        INDEX(
         "&amp;" BEC_openBDF!$A:$D,
          0,
          (1 + LEN(REGEXEXTRACT($I91,""^[0-9.]+"")) - LEN(SUBSTITUTE(REGEXEXTRACT($I91,""^[0-9.]+""),""."","""")))
        ),
        0
      ),
      COLUMN()-9
    )
  )
)"),"2 Super structure")</f>
        <v>2 Super structure</v>
      </c>
      <c r="K91" s="234" t="str">
        <f>IFERROR(__xludf.DUMMYFUNCTION("IF(
  $I91="""",
  """",
  IF(
    COLUMN()-9 &gt;
    (1 + LEN(REGEXEXTRACT($I91,""^[0-9.]+"")) - LEN(SUBSTITUTE(REGEXEXTRACT($I91,""^[0-9.]+""),""."",""""))),
    """",
    INDEX(
      BEC_openBDF!$A:$D,
      MATCH(
        $I91,
        INDEX(
         "&amp;" BEC_openBDF!$A:$D,
          0,
          (1 + LEN(REGEXEXTRACT($I91,""^[0-9.]+"")) - LEN(SUBSTITUTE(REGEXEXTRACT($I91,""^[0-9.]+""),""."","""")))
        ),
        0
      ),
      COLUMN()-9
    )
  )
)"),"2.2 Upper floors 
")</f>
        <v>2.2 Upper floors 
</v>
      </c>
      <c r="L91" s="234" t="str">
        <f>IFERROR(__xludf.DUMMYFUNCTION("IF(
  $I91="""",
  """",
  IF(
    COLUMN()-9 &gt;
    (1 + LEN(REGEXEXTRACT($I91,""^[0-9.]+"")) - LEN(SUBSTITUTE(REGEXEXTRACT($I91,""^[0-9.]+""),""."",""""))),
    """",
    INDEX(
      BEC_openBDF!$A:$D,
      MATCH(
        $I91,
        INDEX(
         "&amp;" BEC_openBDF!$A:$D,
          0,
          (1 + LEN(REGEXEXTRACT($I91,""^[0-9.]+"")) - LEN(SUBSTITUTE(REGEXEXTRACT($I91,""^[0-9.]+""),""."","""")))
        ),
        0
      ),
      COLUMN()-9
    )
  )
)"),"")</f>
        <v/>
      </c>
      <c r="M91" s="234" t="str">
        <f>IFERROR(__xludf.DUMMYFUNCTION("IF(
  $I91="""",
  """",
  IF(
    COLUMN()-9 &gt;
    (1 + LEN(REGEXEXTRACT($I91,""^[0-9.]+"")) - LEN(SUBSTITUTE(REGEXEXTRACT($I91,""^[0-9.]+""),""."",""""))),
    """",
    INDEX(
      BEC_openBDF!$A:$D,
      MATCH(
        $I91,
        INDEX(
         "&amp;" BEC_openBDF!$A:$D,
          0,
          (1 + LEN(REGEXEXTRACT($I91,""^[0-9.]+"")) - LEN(SUBSTITUTE(REGEXEXTRACT($I91,""^[0-9.]+""),""."","""")))
        ),
        0
      ),
      COLUMN()-9
    )
  )
)"),"")</f>
        <v/>
      </c>
      <c r="N91" s="197" t="s">
        <v>835</v>
      </c>
      <c r="O91" s="193"/>
      <c r="P91" s="197" t="s">
        <v>776</v>
      </c>
      <c r="Q91" s="255" t="s">
        <v>777</v>
      </c>
      <c r="R91" s="255" t="s">
        <v>765</v>
      </c>
      <c r="S91" s="263" t="s">
        <v>778</v>
      </c>
      <c r="T91" s="240">
        <v>2.857592815E9</v>
      </c>
      <c r="U91" s="240">
        <v>1.023126679E9</v>
      </c>
      <c r="V91" s="257"/>
      <c r="W91" s="257"/>
      <c r="X91" s="240">
        <v>6.18453733E8</v>
      </c>
      <c r="Y91" s="238"/>
    </row>
    <row r="92" ht="18.75" customHeight="1">
      <c r="A92" s="232"/>
      <c r="B92" s="192"/>
      <c r="C92" s="193" t="s">
        <v>678</v>
      </c>
      <c r="D92" s="192" t="s">
        <v>759</v>
      </c>
      <c r="E92" s="192" t="s">
        <v>806</v>
      </c>
      <c r="F92" s="192" t="s">
        <v>807</v>
      </c>
      <c r="G92" s="237"/>
      <c r="H92" s="237"/>
      <c r="I92" s="192" t="s">
        <v>808</v>
      </c>
      <c r="J92" s="234" t="str">
        <f>IFERROR(__xludf.DUMMYFUNCTION("IF(
  $I92="""",
  """",
  IF(
    COLUMN()-9 &gt;
    (1 + LEN(REGEXEXTRACT($I92,""^[0-9.]+"")) - LEN(SUBSTITUTE(REGEXEXTRACT($I92,""^[0-9.]+""),""."",""""))),
    """",
    INDEX(
      BEC_openBDF!$A:$D,
      MATCH(
        $I92,
        INDEX(
         "&amp;" BEC_openBDF!$A:$D,
          0,
          (1 + LEN(REGEXEXTRACT($I92,""^[0-9.]+"")) - LEN(SUBSTITUTE(REGEXEXTRACT($I92,""^[0-9.]+""),""."","""")))
        ),
        0
      ),
      COLUMN()-9
    )
  )
)"),"2 Super structure")</f>
        <v>2 Super structure</v>
      </c>
      <c r="K92" s="234" t="str">
        <f>IFERROR(__xludf.DUMMYFUNCTION("IF(
  $I92="""",
  """",
  IF(
    COLUMN()-9 &gt;
    (1 + LEN(REGEXEXTRACT($I92,""^[0-9.]+"")) - LEN(SUBSTITUTE(REGEXEXTRACT($I92,""^[0-9.]+""),""."",""""))),
    """",
    INDEX(
      BEC_openBDF!$A:$D,
      MATCH(
        $I92,
        INDEX(
         "&amp;" BEC_openBDF!$A:$D,
          0,
          (1 + LEN(REGEXEXTRACT($I92,""^[0-9.]+"")) - LEN(SUBSTITUTE(REGEXEXTRACT($I92,""^[0-9.]+""),""."","""")))
        ),
        0
      ),
      COLUMN()-9
    )
  )
)"),"2.2 Upper floors 
")</f>
        <v>2.2 Upper floors 
</v>
      </c>
      <c r="L92" s="234" t="str">
        <f>IFERROR(__xludf.DUMMYFUNCTION("IF(
  $I92="""",
  """",
  IF(
    COLUMN()-9 &gt;
    (1 + LEN(REGEXEXTRACT($I92,""^[0-9.]+"")) - LEN(SUBSTITUTE(REGEXEXTRACT($I92,""^[0-9.]+""),""."",""""))),
    """",
    INDEX(
      BEC_openBDF!$A:$D,
      MATCH(
        $I92,
        INDEX(
         "&amp;" BEC_openBDF!$A:$D,
          0,
          (1 + LEN(REGEXEXTRACT($I92,""^[0-9.]+"")) - LEN(SUBSTITUTE(REGEXEXTRACT($I92,""^[0-9.]+""),""."","""")))
        ),
        0
      ),
      COLUMN()-9
    )
  )
)"),"")</f>
        <v/>
      </c>
      <c r="M92" s="234" t="str">
        <f>IFERROR(__xludf.DUMMYFUNCTION("IF(
  $I92="""",
  """",
  IF(
    COLUMN()-9 &gt;
    (1 + LEN(REGEXEXTRACT($I92,""^[0-9.]+"")) - LEN(SUBSTITUTE(REGEXEXTRACT($I92,""^[0-9.]+""),""."",""""))),
    """",
    INDEX(
      BEC_openBDF!$A:$D,
      MATCH(
        $I92,
        INDEX(
         "&amp;" BEC_openBDF!$A:$D,
          0,
          (1 + LEN(REGEXEXTRACT($I92,""^[0-9.]+"")) - LEN(SUBSTITUTE(REGEXEXTRACT($I92,""^[0-9.]+""),""."","""")))
        ),
        0
      ),
      COLUMN()-9
    )
  )
)"),"")</f>
        <v/>
      </c>
      <c r="N92" s="197" t="s">
        <v>835</v>
      </c>
      <c r="O92" s="193"/>
      <c r="P92" s="197" t="s">
        <v>779</v>
      </c>
      <c r="Q92" s="255" t="s">
        <v>780</v>
      </c>
      <c r="R92" s="255" t="s">
        <v>765</v>
      </c>
      <c r="S92" s="263" t="s">
        <v>781</v>
      </c>
      <c r="T92" s="240">
        <v>6.147049081E9</v>
      </c>
      <c r="U92" s="240">
        <v>1.02450818E8</v>
      </c>
      <c r="V92" s="257"/>
      <c r="W92" s="257"/>
      <c r="X92" s="240">
        <v>6.18453733E8</v>
      </c>
      <c r="Y92" s="238"/>
    </row>
    <row r="93" ht="18.75" customHeight="1">
      <c r="A93" s="232"/>
      <c r="B93" s="192"/>
      <c r="C93" s="193" t="s">
        <v>678</v>
      </c>
      <c r="D93" s="192" t="s">
        <v>759</v>
      </c>
      <c r="E93" s="192" t="s">
        <v>806</v>
      </c>
      <c r="F93" s="192" t="s">
        <v>807</v>
      </c>
      <c r="G93" s="237"/>
      <c r="H93" s="237"/>
      <c r="I93" s="192" t="s">
        <v>808</v>
      </c>
      <c r="J93" s="234" t="str">
        <f>IFERROR(__xludf.DUMMYFUNCTION("IF(
  $I93="""",
  """",
  IF(
    COLUMN()-9 &gt;
    (1 + LEN(REGEXEXTRACT($I93,""^[0-9.]+"")) - LEN(SUBSTITUTE(REGEXEXTRACT($I93,""^[0-9.]+""),""."",""""))),
    """",
    INDEX(
      BEC_openBDF!$A:$D,
      MATCH(
        $I93,
        INDEX(
         "&amp;" BEC_openBDF!$A:$D,
          0,
          (1 + LEN(REGEXEXTRACT($I93,""^[0-9.]+"")) - LEN(SUBSTITUTE(REGEXEXTRACT($I93,""^[0-9.]+""),""."","""")))
        ),
        0
      ),
      COLUMN()-9
    )
  )
)"),"2 Super structure")</f>
        <v>2 Super structure</v>
      </c>
      <c r="K93" s="234" t="str">
        <f>IFERROR(__xludf.DUMMYFUNCTION("IF(
  $I93="""",
  """",
  IF(
    COLUMN()-9 &gt;
    (1 + LEN(REGEXEXTRACT($I93,""^[0-9.]+"")) - LEN(SUBSTITUTE(REGEXEXTRACT($I93,""^[0-9.]+""),""."",""""))),
    """",
    INDEX(
      BEC_openBDF!$A:$D,
      MATCH(
        $I93,
        INDEX(
         "&amp;" BEC_openBDF!$A:$D,
          0,
          (1 + LEN(REGEXEXTRACT($I93,""^[0-9.]+"")) - LEN(SUBSTITUTE(REGEXEXTRACT($I93,""^[0-9.]+""),""."","""")))
        ),
        0
      ),
      COLUMN()-9
    )
  )
)"),"2.2 Upper floors 
")</f>
        <v>2.2 Upper floors 
</v>
      </c>
      <c r="L93" s="234" t="str">
        <f>IFERROR(__xludf.DUMMYFUNCTION("IF(
  $I93="""",
  """",
  IF(
    COLUMN()-9 &gt;
    (1 + LEN(REGEXEXTRACT($I93,""^[0-9.]+"")) - LEN(SUBSTITUTE(REGEXEXTRACT($I93,""^[0-9.]+""),""."",""""))),
    """",
    INDEX(
      BEC_openBDF!$A:$D,
      MATCH(
        $I93,
        INDEX(
         "&amp;" BEC_openBDF!$A:$D,
          0,
          (1 + LEN(REGEXEXTRACT($I93,""^[0-9.]+"")) - LEN(SUBSTITUTE(REGEXEXTRACT($I93,""^[0-9.]+""),""."","""")))
        ),
        0
      ),
      COLUMN()-9
    )
  )
)"),"")</f>
        <v/>
      </c>
      <c r="M93" s="234" t="str">
        <f>IFERROR(__xludf.DUMMYFUNCTION("IF(
  $I93="""",
  """",
  IF(
    COLUMN()-9 &gt;
    (1 + LEN(REGEXEXTRACT($I93,""^[0-9.]+"")) - LEN(SUBSTITUTE(REGEXEXTRACT($I93,""^[0-9.]+""),""."",""""))),
    """",
    INDEX(
      BEC_openBDF!$A:$D,
      MATCH(
        $I93,
        INDEX(
         "&amp;" BEC_openBDF!$A:$D,
          0,
          (1 + LEN(REGEXEXTRACT($I93,""^[0-9.]+"")) - LEN(SUBSTITUTE(REGEXEXTRACT($I93,""^[0-9.]+""),""."","""")))
        ),
        0
      ),
      COLUMN()-9
    )
  )
)"),"")</f>
        <v/>
      </c>
      <c r="N93" s="197" t="s">
        <v>835</v>
      </c>
      <c r="O93" s="193"/>
      <c r="P93" s="197" t="s">
        <v>779</v>
      </c>
      <c r="Q93" s="255" t="s">
        <v>780</v>
      </c>
      <c r="R93" s="255" t="s">
        <v>765</v>
      </c>
      <c r="S93" s="263" t="s">
        <v>781</v>
      </c>
      <c r="T93" s="240">
        <v>5.122540901E9</v>
      </c>
      <c r="U93" s="240">
        <v>1.02450818E8</v>
      </c>
      <c r="V93" s="257"/>
      <c r="W93" s="257"/>
      <c r="X93" s="240">
        <v>6.18453733E8</v>
      </c>
      <c r="Y93" s="238"/>
    </row>
    <row r="94" ht="18.75" customHeight="1">
      <c r="A94" s="232"/>
      <c r="B94" s="192"/>
      <c r="C94" s="193" t="s">
        <v>678</v>
      </c>
      <c r="D94" s="192" t="s">
        <v>759</v>
      </c>
      <c r="E94" s="192" t="s">
        <v>806</v>
      </c>
      <c r="F94" s="192" t="s">
        <v>807</v>
      </c>
      <c r="G94" s="237"/>
      <c r="H94" s="237"/>
      <c r="I94" s="192" t="s">
        <v>808</v>
      </c>
      <c r="J94" s="234" t="str">
        <f>IFERROR(__xludf.DUMMYFUNCTION("IF(
  $I94="""",
  """",
  IF(
    COLUMN()-9 &gt;
    (1 + LEN(REGEXEXTRACT($I94,""^[0-9.]+"")) - LEN(SUBSTITUTE(REGEXEXTRACT($I94,""^[0-9.]+""),""."",""""))),
    """",
    INDEX(
      BEC_openBDF!$A:$D,
      MATCH(
        $I94,
        INDEX(
         "&amp;" BEC_openBDF!$A:$D,
          0,
          (1 + LEN(REGEXEXTRACT($I94,""^[0-9.]+"")) - LEN(SUBSTITUTE(REGEXEXTRACT($I94,""^[0-9.]+""),""."","""")))
        ),
        0
      ),
      COLUMN()-9
    )
  )
)"),"2 Super structure")</f>
        <v>2 Super structure</v>
      </c>
      <c r="K94" s="234" t="str">
        <f>IFERROR(__xludf.DUMMYFUNCTION("IF(
  $I94="""",
  """",
  IF(
    COLUMN()-9 &gt;
    (1 + LEN(REGEXEXTRACT($I94,""^[0-9.]+"")) - LEN(SUBSTITUTE(REGEXEXTRACT($I94,""^[0-9.]+""),""."",""""))),
    """",
    INDEX(
      BEC_openBDF!$A:$D,
      MATCH(
        $I94,
        INDEX(
         "&amp;" BEC_openBDF!$A:$D,
          0,
          (1 + LEN(REGEXEXTRACT($I94,""^[0-9.]+"")) - LEN(SUBSTITUTE(REGEXEXTRACT($I94,""^[0-9.]+""),""."","""")))
        ),
        0
      ),
      COLUMN()-9
    )
  )
)"),"2.2 Upper floors 
")</f>
        <v>2.2 Upper floors 
</v>
      </c>
      <c r="L94" s="234" t="str">
        <f>IFERROR(__xludf.DUMMYFUNCTION("IF(
  $I94="""",
  """",
  IF(
    COLUMN()-9 &gt;
    (1 + LEN(REGEXEXTRACT($I94,""^[0-9.]+"")) - LEN(SUBSTITUTE(REGEXEXTRACT($I94,""^[0-9.]+""),""."",""""))),
    """",
    INDEX(
      BEC_openBDF!$A:$D,
      MATCH(
        $I94,
        INDEX(
         "&amp;" BEC_openBDF!$A:$D,
          0,
          (1 + LEN(REGEXEXTRACT($I94,""^[0-9.]+"")) - LEN(SUBSTITUTE(REGEXEXTRACT($I94,""^[0-9.]+""),""."","""")))
        ),
        0
      ),
      COLUMN()-9
    )
  )
)"),"")</f>
        <v/>
      </c>
      <c r="M94" s="234" t="str">
        <f>IFERROR(__xludf.DUMMYFUNCTION("IF(
  $I94="""",
  """",
  IF(
    COLUMN()-9 &gt;
    (1 + LEN(REGEXEXTRACT($I94,""^[0-9.]+"")) - LEN(SUBSTITUTE(REGEXEXTRACT($I94,""^[0-9.]+""),""."",""""))),
    """",
    INDEX(
      BEC_openBDF!$A:$D,
      MATCH(
        $I94,
        INDEX(
         "&amp;" BEC_openBDF!$A:$D,
          0,
          (1 + LEN(REGEXEXTRACT($I94,""^[0-9.]+"")) - LEN(SUBSTITUTE(REGEXEXTRACT($I94,""^[0-9.]+""),""."","""")))
        ),
        0
      ),
      COLUMN()-9
    )
  )
)"),"")</f>
        <v/>
      </c>
      <c r="N94" s="197" t="s">
        <v>835</v>
      </c>
      <c r="O94" s="193"/>
      <c r="P94" s="197" t="s">
        <v>836</v>
      </c>
      <c r="Q94" s="255" t="s">
        <v>833</v>
      </c>
      <c r="R94" s="255" t="s">
        <v>765</v>
      </c>
      <c r="S94" s="263" t="s">
        <v>834</v>
      </c>
      <c r="T94" s="240">
        <v>8.147465442E9</v>
      </c>
      <c r="U94" s="240">
        <v>1.01843318E8</v>
      </c>
      <c r="V94" s="257"/>
      <c r="W94" s="257"/>
      <c r="X94" s="240">
        <v>6.18453733E8</v>
      </c>
      <c r="Y94" s="238"/>
    </row>
    <row r="95" ht="18.75" customHeight="1">
      <c r="A95" s="232"/>
      <c r="B95" s="192"/>
      <c r="C95" s="193" t="s">
        <v>678</v>
      </c>
      <c r="D95" s="192" t="s">
        <v>759</v>
      </c>
      <c r="E95" s="192" t="s">
        <v>806</v>
      </c>
      <c r="F95" s="192" t="s">
        <v>807</v>
      </c>
      <c r="G95" s="237"/>
      <c r="H95" s="237"/>
      <c r="I95" s="192" t="s">
        <v>808</v>
      </c>
      <c r="J95" s="234" t="str">
        <f>IFERROR(__xludf.DUMMYFUNCTION("IF(
  $I95="""",
  """",
  IF(
    COLUMN()-9 &gt;
    (1 + LEN(REGEXEXTRACT($I95,""^[0-9.]+"")) - LEN(SUBSTITUTE(REGEXEXTRACT($I95,""^[0-9.]+""),""."",""""))),
    """",
    INDEX(
      BEC_openBDF!$A:$D,
      MATCH(
        $I95,
        INDEX(
         "&amp;" BEC_openBDF!$A:$D,
          0,
          (1 + LEN(REGEXEXTRACT($I95,""^[0-9.]+"")) - LEN(SUBSTITUTE(REGEXEXTRACT($I95,""^[0-9.]+""),""."","""")))
        ),
        0
      ),
      COLUMN()-9
    )
  )
)"),"2 Super structure")</f>
        <v>2 Super structure</v>
      </c>
      <c r="K95" s="234" t="str">
        <f>IFERROR(__xludf.DUMMYFUNCTION("IF(
  $I95="""",
  """",
  IF(
    COLUMN()-9 &gt;
    (1 + LEN(REGEXEXTRACT($I95,""^[0-9.]+"")) - LEN(SUBSTITUTE(REGEXEXTRACT($I95,""^[0-9.]+""),""."",""""))),
    """",
    INDEX(
      BEC_openBDF!$A:$D,
      MATCH(
        $I95,
        INDEX(
         "&amp;" BEC_openBDF!$A:$D,
          0,
          (1 + LEN(REGEXEXTRACT($I95,""^[0-9.]+"")) - LEN(SUBSTITUTE(REGEXEXTRACT($I95,""^[0-9.]+""),""."","""")))
        ),
        0
      ),
      COLUMN()-9
    )
  )
)"),"2.2 Upper floors 
")</f>
        <v>2.2 Upper floors 
</v>
      </c>
      <c r="L95" s="234" t="str">
        <f>IFERROR(__xludf.DUMMYFUNCTION("IF(
  $I95="""",
  """",
  IF(
    COLUMN()-9 &gt;
    (1 + LEN(REGEXEXTRACT($I95,""^[0-9.]+"")) - LEN(SUBSTITUTE(REGEXEXTRACT($I95,""^[0-9.]+""),""."",""""))),
    """",
    INDEX(
      BEC_openBDF!$A:$D,
      MATCH(
        $I95,
        INDEX(
         "&amp;" BEC_openBDF!$A:$D,
          0,
          (1 + LEN(REGEXEXTRACT($I95,""^[0-9.]+"")) - LEN(SUBSTITUTE(REGEXEXTRACT($I95,""^[0-9.]+""),""."","""")))
        ),
        0
      ),
      COLUMN()-9
    )
  )
)"),"")</f>
        <v/>
      </c>
      <c r="M95" s="234" t="str">
        <f>IFERROR(__xludf.DUMMYFUNCTION("IF(
  $I95="""",
  """",
  IF(
    COLUMN()-9 &gt;
    (1 + LEN(REGEXEXTRACT($I95,""^[0-9.]+"")) - LEN(SUBSTITUTE(REGEXEXTRACT($I95,""^[0-9.]+""),""."",""""))),
    """",
    INDEX(
      BEC_openBDF!$A:$D,
      MATCH(
        $I95,
        INDEX(
         "&amp;" BEC_openBDF!$A:$D,
          0,
          (1 + LEN(REGEXEXTRACT($I95,""^[0-9.]+"")) - LEN(SUBSTITUTE(REGEXEXTRACT($I95,""^[0-9.]+""),""."","""")))
        ),
        0
      ),
      COLUMN()-9
    )
  )
)"),"")</f>
        <v/>
      </c>
      <c r="N95" s="197" t="s">
        <v>835</v>
      </c>
      <c r="O95" s="193"/>
      <c r="P95" s="197" t="s">
        <v>782</v>
      </c>
      <c r="Q95" s="255" t="s">
        <v>783</v>
      </c>
      <c r="R95" s="255" t="s">
        <v>765</v>
      </c>
      <c r="S95" s="263" t="s">
        <v>784</v>
      </c>
      <c r="T95" s="240">
        <v>2.953456223E9</v>
      </c>
      <c r="U95" s="240">
        <v>1.01843318E8</v>
      </c>
      <c r="V95" s="257"/>
      <c r="W95" s="257"/>
      <c r="X95" s="240">
        <v>6.18453733E8</v>
      </c>
      <c r="Y95" s="238"/>
    </row>
    <row r="96" ht="18.75" customHeight="1">
      <c r="A96" s="232"/>
      <c r="B96" s="192"/>
      <c r="C96" s="193"/>
      <c r="D96" s="237"/>
      <c r="E96" s="237"/>
      <c r="F96" s="237"/>
      <c r="G96" s="237"/>
      <c r="H96" s="237"/>
      <c r="I96" s="192" t="s">
        <v>750</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201"/>
      <c r="O96" s="193"/>
      <c r="P96" s="201"/>
      <c r="Q96" s="238"/>
      <c r="R96" s="238"/>
      <c r="S96" s="238"/>
      <c r="T96" s="237"/>
      <c r="U96" s="237"/>
      <c r="V96" s="257"/>
      <c r="W96" s="257"/>
      <c r="X96" s="237"/>
      <c r="Y96" s="238"/>
    </row>
    <row r="97" ht="18.75" customHeight="1">
      <c r="A97" s="232"/>
      <c r="B97" s="192"/>
      <c r="C97" s="193"/>
      <c r="D97" s="237"/>
      <c r="E97" s="237"/>
      <c r="F97" s="237"/>
      <c r="G97" s="237"/>
      <c r="H97" s="237"/>
      <c r="I97" s="192" t="s">
        <v>750</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201"/>
      <c r="O97" s="193"/>
      <c r="P97" s="201"/>
      <c r="Q97" s="238"/>
      <c r="R97" s="238"/>
      <c r="S97" s="238"/>
      <c r="T97" s="237"/>
      <c r="U97" s="237"/>
      <c r="V97" s="257"/>
      <c r="W97" s="257"/>
      <c r="X97" s="237"/>
      <c r="Y97" s="238"/>
    </row>
    <row r="98" ht="18.75" customHeight="1">
      <c r="A98" s="232"/>
      <c r="B98" s="192"/>
      <c r="C98" s="193"/>
      <c r="D98" s="237"/>
      <c r="E98" s="237"/>
      <c r="F98" s="237"/>
      <c r="G98" s="237"/>
      <c r="H98" s="237"/>
      <c r="I98" s="192" t="s">
        <v>750</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201"/>
      <c r="O98" s="193"/>
      <c r="P98" s="201"/>
      <c r="Q98" s="238"/>
      <c r="R98" s="238"/>
      <c r="S98" s="238"/>
      <c r="T98" s="237"/>
      <c r="U98" s="237"/>
      <c r="V98" s="257"/>
      <c r="W98" s="257"/>
      <c r="X98" s="237"/>
      <c r="Y98" s="238"/>
    </row>
    <row r="99" ht="18.75" customHeight="1">
      <c r="A99" s="232"/>
      <c r="B99" s="192"/>
      <c r="C99" s="193"/>
      <c r="D99" s="237"/>
      <c r="E99" s="237"/>
      <c r="F99" s="237"/>
      <c r="G99" s="237"/>
      <c r="H99" s="237"/>
      <c r="I99" s="192" t="s">
        <v>750</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201"/>
      <c r="O99" s="193"/>
      <c r="P99" s="201"/>
      <c r="Q99" s="238"/>
      <c r="R99" s="238"/>
      <c r="S99" s="238"/>
      <c r="T99" s="237"/>
      <c r="U99" s="237"/>
      <c r="V99" s="257"/>
      <c r="W99" s="257"/>
      <c r="X99" s="237"/>
      <c r="Y99" s="238"/>
    </row>
    <row r="100" ht="18.75" customHeight="1">
      <c r="A100" s="232"/>
      <c r="B100" s="192"/>
      <c r="C100" s="193"/>
      <c r="D100" s="237"/>
      <c r="E100" s="237"/>
      <c r="F100" s="237"/>
      <c r="G100" s="237"/>
      <c r="H100" s="237"/>
      <c r="I100" s="192" t="s">
        <v>750</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201"/>
      <c r="O100" s="193"/>
      <c r="P100" s="201"/>
      <c r="Q100" s="238"/>
      <c r="R100" s="238"/>
      <c r="S100" s="238"/>
      <c r="T100" s="237"/>
      <c r="U100" s="237"/>
      <c r="V100" s="257"/>
      <c r="W100" s="257"/>
      <c r="X100" s="237"/>
      <c r="Y100" s="238"/>
    </row>
    <row r="101" ht="18.75" customHeight="1">
      <c r="A101" s="232"/>
      <c r="B101" s="192"/>
      <c r="C101" s="193"/>
      <c r="D101" s="237"/>
      <c r="E101" s="237"/>
      <c r="F101" s="237"/>
      <c r="G101" s="237"/>
      <c r="H101" s="237"/>
      <c r="I101" s="192" t="s">
        <v>750</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201"/>
      <c r="O101" s="193"/>
      <c r="P101" s="201"/>
      <c r="Q101" s="238"/>
      <c r="R101" s="238"/>
      <c r="S101" s="238"/>
      <c r="T101" s="237"/>
      <c r="U101" s="237"/>
      <c r="V101" s="257"/>
      <c r="W101" s="257"/>
      <c r="X101" s="237"/>
      <c r="Y101" s="238"/>
    </row>
    <row r="102" ht="18.75" customHeight="1">
      <c r="A102" s="232"/>
      <c r="B102" s="192"/>
      <c r="C102" s="193"/>
      <c r="D102" s="237"/>
      <c r="E102" s="237"/>
      <c r="F102" s="237"/>
      <c r="G102" s="237"/>
      <c r="H102" s="237"/>
      <c r="I102" s="192" t="s">
        <v>750</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201"/>
      <c r="O102" s="193"/>
      <c r="P102" s="201"/>
      <c r="Q102" s="238"/>
      <c r="R102" s="238"/>
      <c r="S102" s="238"/>
      <c r="T102" s="237"/>
      <c r="U102" s="237"/>
      <c r="V102" s="257"/>
      <c r="W102" s="257"/>
      <c r="X102" s="237"/>
      <c r="Y102" s="238"/>
    </row>
    <row r="103" ht="18.75" customHeight="1">
      <c r="A103" s="232"/>
      <c r="B103" s="192"/>
      <c r="C103" s="193"/>
      <c r="D103" s="237"/>
      <c r="E103" s="237"/>
      <c r="F103" s="237"/>
      <c r="G103" s="237"/>
      <c r="H103" s="237"/>
      <c r="I103" s="192" t="s">
        <v>750</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201"/>
      <c r="O103" s="193"/>
      <c r="P103" s="201"/>
      <c r="Q103" s="238"/>
      <c r="R103" s="238"/>
      <c r="S103" s="238"/>
      <c r="T103" s="237"/>
      <c r="U103" s="237"/>
      <c r="V103" s="257"/>
      <c r="W103" s="257"/>
      <c r="X103" s="237"/>
      <c r="Y103" s="238"/>
    </row>
    <row r="104" ht="18.75" customHeight="1">
      <c r="A104" s="232"/>
      <c r="B104" s="192"/>
      <c r="C104" s="193"/>
      <c r="D104" s="237"/>
      <c r="E104" s="237"/>
      <c r="F104" s="237"/>
      <c r="G104" s="237"/>
      <c r="H104" s="237"/>
      <c r="I104" s="192" t="s">
        <v>750</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201"/>
      <c r="O104" s="193"/>
      <c r="P104" s="201"/>
      <c r="Q104" s="238"/>
      <c r="R104" s="238"/>
      <c r="S104" s="238"/>
      <c r="T104" s="237"/>
      <c r="U104" s="237"/>
      <c r="V104" s="257"/>
      <c r="W104" s="257"/>
      <c r="X104" s="237"/>
      <c r="Y104" s="238"/>
    </row>
    <row r="105" ht="18.75" customHeight="1">
      <c r="A105" s="232"/>
      <c r="B105" s="192"/>
      <c r="C105" s="193"/>
      <c r="D105" s="237"/>
      <c r="E105" s="237"/>
      <c r="F105" s="237"/>
      <c r="G105" s="237"/>
      <c r="H105" s="237"/>
      <c r="I105" s="192" t="s">
        <v>750</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8"/>
      <c r="T105" s="237"/>
      <c r="U105" s="237"/>
      <c r="V105" s="257"/>
      <c r="W105" s="257"/>
      <c r="X105" s="237"/>
      <c r="Y105" s="238"/>
    </row>
    <row r="106" ht="18.75" customHeight="1">
      <c r="A106" s="232"/>
      <c r="B106" s="192"/>
      <c r="C106" s="193"/>
      <c r="D106" s="237"/>
      <c r="E106" s="237"/>
      <c r="F106" s="237"/>
      <c r="G106" s="237"/>
      <c r="H106" s="237"/>
      <c r="I106" s="192" t="s">
        <v>750</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8"/>
      <c r="T106" s="237"/>
      <c r="U106" s="237"/>
      <c r="V106" s="257"/>
      <c r="W106" s="257"/>
      <c r="X106" s="237"/>
      <c r="Y106" s="238"/>
    </row>
    <row r="107" ht="18.75" customHeight="1">
      <c r="A107" s="232"/>
      <c r="B107" s="192"/>
      <c r="C107" s="193"/>
      <c r="D107" s="237"/>
      <c r="E107" s="237"/>
      <c r="F107" s="237"/>
      <c r="G107" s="237"/>
      <c r="H107" s="237"/>
      <c r="I107" s="192" t="s">
        <v>750</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8"/>
      <c r="T107" s="237"/>
      <c r="U107" s="237"/>
      <c r="V107" s="257"/>
      <c r="W107" s="257"/>
      <c r="X107" s="237"/>
      <c r="Y107" s="238"/>
    </row>
    <row r="108" ht="18.75" customHeight="1">
      <c r="A108" s="232"/>
      <c r="B108" s="192"/>
      <c r="C108" s="193"/>
      <c r="D108" s="237"/>
      <c r="E108" s="237"/>
      <c r="F108" s="237"/>
      <c r="G108" s="237"/>
      <c r="H108" s="237"/>
      <c r="I108" s="192" t="s">
        <v>750</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8"/>
      <c r="T108" s="237"/>
      <c r="U108" s="237"/>
      <c r="V108" s="257"/>
      <c r="W108" s="257"/>
      <c r="X108" s="237"/>
      <c r="Y108" s="238"/>
    </row>
    <row r="109" ht="18.75" customHeight="1">
      <c r="A109" s="232"/>
      <c r="B109" s="192"/>
      <c r="C109" s="193"/>
      <c r="D109" s="237"/>
      <c r="E109" s="237"/>
      <c r="F109" s="237"/>
      <c r="G109" s="237"/>
      <c r="H109" s="237"/>
      <c r="I109" s="192" t="s">
        <v>750</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8"/>
      <c r="T109" s="237"/>
      <c r="U109" s="237"/>
      <c r="V109" s="257"/>
      <c r="W109" s="257"/>
      <c r="X109" s="237"/>
      <c r="Y109" s="238"/>
    </row>
    <row r="110" ht="18.75" customHeight="1">
      <c r="A110" s="232"/>
      <c r="B110" s="192"/>
      <c r="C110" s="193"/>
      <c r="D110" s="237"/>
      <c r="E110" s="237"/>
      <c r="F110" s="237"/>
      <c r="G110" s="237"/>
      <c r="H110" s="237"/>
      <c r="I110" s="192" t="s">
        <v>750</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8"/>
      <c r="T110" s="237"/>
      <c r="U110" s="237"/>
      <c r="V110" s="257"/>
      <c r="W110" s="257"/>
      <c r="X110" s="237"/>
      <c r="Y110" s="238"/>
    </row>
    <row r="111" ht="18.75" customHeight="1">
      <c r="A111" s="232"/>
      <c r="B111" s="192"/>
      <c r="C111" s="193"/>
      <c r="D111" s="237"/>
      <c r="E111" s="237"/>
      <c r="F111" s="237"/>
      <c r="G111" s="237"/>
      <c r="H111" s="237"/>
      <c r="I111" s="192" t="s">
        <v>750</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8"/>
      <c r="T111" s="237"/>
      <c r="U111" s="237"/>
      <c r="V111" s="257"/>
      <c r="W111" s="257"/>
      <c r="X111" s="237"/>
      <c r="Y111" s="238"/>
    </row>
    <row r="112" ht="18.75" customHeight="1">
      <c r="A112" s="232"/>
      <c r="B112" s="192"/>
      <c r="C112" s="193"/>
      <c r="D112" s="237"/>
      <c r="E112" s="237"/>
      <c r="F112" s="237"/>
      <c r="G112" s="237"/>
      <c r="H112" s="237"/>
      <c r="I112" s="192" t="s">
        <v>750</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8"/>
      <c r="T112" s="237"/>
      <c r="U112" s="237"/>
      <c r="V112" s="257"/>
      <c r="W112" s="257"/>
      <c r="X112" s="237"/>
      <c r="Y112" s="238"/>
    </row>
    <row r="113" ht="18.75" customHeight="1">
      <c r="A113" s="232"/>
      <c r="B113" s="192"/>
      <c r="C113" s="193"/>
      <c r="D113" s="237"/>
      <c r="E113" s="237"/>
      <c r="F113" s="237"/>
      <c r="G113" s="237"/>
      <c r="H113" s="237"/>
      <c r="I113" s="192" t="s">
        <v>750</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8"/>
      <c r="T113" s="237"/>
      <c r="U113" s="237"/>
      <c r="V113" s="257"/>
      <c r="W113" s="257"/>
      <c r="X113" s="237"/>
      <c r="Y113" s="238"/>
    </row>
    <row r="114" ht="18.75" customHeight="1">
      <c r="A114" s="232"/>
      <c r="B114" s="192"/>
      <c r="C114" s="193"/>
      <c r="D114" s="237"/>
      <c r="E114" s="237"/>
      <c r="F114" s="237"/>
      <c r="G114" s="237"/>
      <c r="H114" s="237"/>
      <c r="I114" s="192" t="s">
        <v>750</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8"/>
      <c r="T114" s="237"/>
      <c r="U114" s="237"/>
      <c r="V114" s="257"/>
      <c r="W114" s="257"/>
      <c r="X114" s="237"/>
      <c r="Y114" s="238"/>
    </row>
    <row r="115" ht="18.75" customHeight="1">
      <c r="A115" s="232"/>
      <c r="B115" s="192"/>
      <c r="C115" s="193"/>
      <c r="D115" s="237"/>
      <c r="E115" s="237"/>
      <c r="F115" s="237"/>
      <c r="G115" s="237"/>
      <c r="H115" s="237"/>
      <c r="I115" s="192" t="s">
        <v>750</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8"/>
      <c r="T115" s="237"/>
      <c r="U115" s="237"/>
      <c r="V115" s="257"/>
      <c r="W115" s="257"/>
      <c r="X115" s="237"/>
      <c r="Y115" s="238"/>
    </row>
    <row r="116" ht="18.75" customHeight="1">
      <c r="A116" s="232"/>
      <c r="B116" s="192"/>
      <c r="C116" s="193"/>
      <c r="D116" s="237"/>
      <c r="E116" s="237"/>
      <c r="F116" s="237"/>
      <c r="G116" s="237"/>
      <c r="H116" s="237"/>
      <c r="I116" s="192" t="s">
        <v>750</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8"/>
      <c r="T116" s="237"/>
      <c r="U116" s="237"/>
      <c r="V116" s="257"/>
      <c r="W116" s="257"/>
      <c r="X116" s="237"/>
      <c r="Y116" s="238"/>
    </row>
    <row r="117" ht="18.75" customHeight="1">
      <c r="A117" s="232"/>
      <c r="B117" s="192"/>
      <c r="C117" s="193"/>
      <c r="D117" s="237"/>
      <c r="E117" s="237"/>
      <c r="F117" s="237"/>
      <c r="G117" s="237"/>
      <c r="H117" s="237"/>
      <c r="I117" s="192" t="s">
        <v>750</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8"/>
      <c r="T117" s="237"/>
      <c r="U117" s="237"/>
      <c r="V117" s="257"/>
      <c r="W117" s="257"/>
      <c r="X117" s="237"/>
      <c r="Y117" s="238"/>
    </row>
    <row r="118" ht="18.75" customHeight="1">
      <c r="A118" s="232"/>
      <c r="B118" s="192"/>
      <c r="C118" s="193"/>
      <c r="D118" s="237"/>
      <c r="E118" s="237"/>
      <c r="F118" s="237"/>
      <c r="G118" s="237"/>
      <c r="H118" s="237"/>
      <c r="I118" s="192" t="s">
        <v>750</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8"/>
      <c r="T118" s="237"/>
      <c r="U118" s="237"/>
      <c r="V118" s="257"/>
      <c r="W118" s="257"/>
      <c r="X118" s="237"/>
      <c r="Y118" s="238"/>
    </row>
    <row r="119" ht="18.75" customHeight="1">
      <c r="A119" s="232"/>
      <c r="B119" s="192"/>
      <c r="C119" s="193"/>
      <c r="D119" s="237"/>
      <c r="E119" s="237"/>
      <c r="F119" s="237"/>
      <c r="G119" s="237"/>
      <c r="H119" s="237"/>
      <c r="I119" s="192" t="s">
        <v>750</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8"/>
      <c r="T119" s="237"/>
      <c r="U119" s="237"/>
      <c r="V119" s="257"/>
      <c r="W119" s="257"/>
      <c r="X119" s="237"/>
      <c r="Y119" s="238"/>
    </row>
    <row r="120" ht="18.75" customHeight="1">
      <c r="A120" s="232"/>
      <c r="B120" s="192"/>
      <c r="C120" s="193"/>
      <c r="D120" s="237"/>
      <c r="E120" s="237"/>
      <c r="F120" s="237"/>
      <c r="G120" s="237"/>
      <c r="H120" s="237"/>
      <c r="I120" s="192" t="s">
        <v>750</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8"/>
      <c r="T120" s="237"/>
      <c r="U120" s="237"/>
      <c r="V120" s="257"/>
      <c r="W120" s="257"/>
      <c r="X120" s="237"/>
      <c r="Y120" s="238"/>
    </row>
    <row r="121" ht="18.75" customHeight="1">
      <c r="A121" s="232"/>
      <c r="B121" s="192"/>
      <c r="C121" s="193"/>
      <c r="D121" s="237"/>
      <c r="E121" s="237"/>
      <c r="F121" s="237"/>
      <c r="G121" s="237"/>
      <c r="H121" s="237"/>
      <c r="I121" s="192" t="s">
        <v>750</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8"/>
      <c r="T121" s="237"/>
      <c r="U121" s="237"/>
      <c r="V121" s="257"/>
      <c r="W121" s="257"/>
      <c r="X121" s="237"/>
      <c r="Y121" s="238"/>
    </row>
    <row r="122" ht="18.75" customHeight="1">
      <c r="A122" s="232"/>
      <c r="B122" s="192"/>
      <c r="C122" s="193"/>
      <c r="D122" s="237"/>
      <c r="E122" s="237"/>
      <c r="F122" s="237"/>
      <c r="G122" s="237"/>
      <c r="H122" s="237"/>
      <c r="I122" s="192" t="s">
        <v>750</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8"/>
      <c r="T122" s="237"/>
      <c r="U122" s="237"/>
      <c r="V122" s="257"/>
      <c r="W122" s="257"/>
      <c r="X122" s="237"/>
      <c r="Y122" s="238"/>
    </row>
    <row r="123" ht="18.75" customHeight="1">
      <c r="A123" s="232"/>
      <c r="B123" s="192"/>
      <c r="C123" s="193"/>
      <c r="D123" s="237"/>
      <c r="E123" s="237"/>
      <c r="F123" s="237"/>
      <c r="G123" s="237"/>
      <c r="H123" s="237"/>
      <c r="I123" s="192" t="s">
        <v>750</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8"/>
      <c r="T123" s="237"/>
      <c r="U123" s="237"/>
      <c r="V123" s="257"/>
      <c r="W123" s="257"/>
      <c r="X123" s="237"/>
      <c r="Y123" s="238"/>
    </row>
    <row r="124" ht="18.75" customHeight="1">
      <c r="A124" s="232"/>
      <c r="B124" s="192"/>
      <c r="C124" s="193"/>
      <c r="D124" s="237"/>
      <c r="E124" s="237"/>
      <c r="F124" s="237"/>
      <c r="G124" s="237"/>
      <c r="H124" s="237"/>
      <c r="I124" s="192" t="s">
        <v>750</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8"/>
      <c r="T124" s="237"/>
      <c r="U124" s="237"/>
      <c r="V124" s="257"/>
      <c r="W124" s="257"/>
      <c r="X124" s="237"/>
      <c r="Y124" s="238"/>
    </row>
    <row r="125" ht="18.75" customHeight="1">
      <c r="A125" s="232"/>
      <c r="B125" s="192"/>
      <c r="C125" s="193"/>
      <c r="D125" s="237"/>
      <c r="E125" s="237"/>
      <c r="F125" s="237"/>
      <c r="G125" s="237"/>
      <c r="H125" s="237"/>
      <c r="I125" s="192" t="s">
        <v>750</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8"/>
      <c r="T125" s="237"/>
      <c r="U125" s="237"/>
      <c r="V125" s="257"/>
      <c r="W125" s="257"/>
      <c r="X125" s="237"/>
      <c r="Y125" s="238"/>
    </row>
    <row r="126" ht="18.75" customHeight="1">
      <c r="A126" s="232"/>
      <c r="B126" s="192"/>
      <c r="C126" s="193"/>
      <c r="D126" s="237"/>
      <c r="E126" s="237"/>
      <c r="F126" s="237"/>
      <c r="G126" s="237"/>
      <c r="H126" s="237"/>
      <c r="I126" s="192" t="s">
        <v>750</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8"/>
      <c r="T126" s="237"/>
      <c r="U126" s="237"/>
      <c r="V126" s="257"/>
      <c r="W126" s="257"/>
      <c r="X126" s="237"/>
      <c r="Y126" s="238"/>
    </row>
    <row r="127" ht="18.75" customHeight="1">
      <c r="A127" s="232"/>
      <c r="B127" s="192"/>
      <c r="C127" s="193"/>
      <c r="D127" s="237"/>
      <c r="E127" s="237"/>
      <c r="F127" s="237"/>
      <c r="G127" s="237"/>
      <c r="H127" s="237"/>
      <c r="I127" s="192" t="s">
        <v>750</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8"/>
      <c r="T127" s="237"/>
      <c r="U127" s="237"/>
      <c r="V127" s="257"/>
      <c r="W127" s="257"/>
      <c r="X127" s="237"/>
      <c r="Y127" s="238"/>
    </row>
    <row r="128" ht="18.75" customHeight="1">
      <c r="A128" s="232"/>
      <c r="B128" s="192"/>
      <c r="C128" s="193"/>
      <c r="D128" s="237"/>
      <c r="E128" s="237"/>
      <c r="F128" s="237"/>
      <c r="G128" s="237"/>
      <c r="H128" s="237"/>
      <c r="I128" s="192" t="s">
        <v>750</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8"/>
      <c r="T128" s="237"/>
      <c r="U128" s="237"/>
      <c r="V128" s="257"/>
      <c r="W128" s="257"/>
      <c r="X128" s="237"/>
      <c r="Y128" s="238"/>
    </row>
    <row r="129" ht="18.75" customHeight="1">
      <c r="A129" s="232"/>
      <c r="B129" s="192"/>
      <c r="C129" s="193"/>
      <c r="D129" s="237"/>
      <c r="E129" s="237"/>
      <c r="F129" s="237"/>
      <c r="G129" s="237"/>
      <c r="H129" s="237"/>
      <c r="I129" s="192" t="s">
        <v>750</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8"/>
      <c r="T129" s="237"/>
      <c r="U129" s="237"/>
      <c r="V129" s="257"/>
      <c r="W129" s="257"/>
      <c r="X129" s="237"/>
      <c r="Y129" s="238"/>
    </row>
    <row r="130" ht="18.75" customHeight="1">
      <c r="A130" s="232"/>
      <c r="B130" s="192"/>
      <c r="C130" s="193"/>
      <c r="D130" s="237"/>
      <c r="E130" s="237"/>
      <c r="F130" s="237"/>
      <c r="G130" s="237"/>
      <c r="H130" s="237"/>
      <c r="I130" s="192" t="s">
        <v>750</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8"/>
      <c r="T130" s="237"/>
      <c r="U130" s="237"/>
      <c r="V130" s="257"/>
      <c r="W130" s="257"/>
      <c r="X130" s="237"/>
      <c r="Y130" s="238"/>
    </row>
    <row r="131" ht="18.75" customHeight="1">
      <c r="A131" s="232"/>
      <c r="B131" s="192"/>
      <c r="C131" s="193"/>
      <c r="D131" s="237"/>
      <c r="E131" s="237"/>
      <c r="F131" s="237"/>
      <c r="G131" s="237"/>
      <c r="H131" s="237"/>
      <c r="I131" s="192" t="s">
        <v>750</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8"/>
      <c r="T131" s="237"/>
      <c r="U131" s="237"/>
      <c r="V131" s="257"/>
      <c r="W131" s="257"/>
      <c r="X131" s="237"/>
      <c r="Y131" s="238"/>
    </row>
    <row r="132" ht="18.75" customHeight="1">
      <c r="A132" s="232"/>
      <c r="B132" s="192"/>
      <c r="C132" s="193"/>
      <c r="D132" s="237"/>
      <c r="E132" s="237"/>
      <c r="F132" s="237"/>
      <c r="G132" s="237"/>
      <c r="H132" s="237"/>
      <c r="I132" s="192" t="s">
        <v>750</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8"/>
      <c r="T132" s="237"/>
      <c r="U132" s="237"/>
      <c r="V132" s="257"/>
      <c r="W132" s="257"/>
      <c r="X132" s="237"/>
      <c r="Y132" s="238"/>
    </row>
    <row r="133" ht="18.75" customHeight="1">
      <c r="A133" s="232"/>
      <c r="B133" s="192"/>
      <c r="C133" s="193"/>
      <c r="D133" s="237"/>
      <c r="E133" s="237"/>
      <c r="F133" s="237"/>
      <c r="G133" s="237"/>
      <c r="H133" s="237"/>
      <c r="I133" s="192" t="s">
        <v>750</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8"/>
      <c r="T133" s="237"/>
      <c r="U133" s="237"/>
      <c r="V133" s="257"/>
      <c r="W133" s="257"/>
      <c r="X133" s="237"/>
      <c r="Y133" s="238"/>
    </row>
    <row r="134" ht="18.75" customHeight="1">
      <c r="A134" s="232"/>
      <c r="B134" s="192"/>
      <c r="C134" s="193"/>
      <c r="D134" s="237"/>
      <c r="E134" s="237"/>
      <c r="F134" s="237"/>
      <c r="G134" s="237"/>
      <c r="H134" s="237"/>
      <c r="I134" s="192" t="s">
        <v>750</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8"/>
      <c r="T134" s="237"/>
      <c r="U134" s="237"/>
      <c r="V134" s="257"/>
      <c r="W134" s="257"/>
      <c r="X134" s="237"/>
      <c r="Y134" s="238"/>
    </row>
    <row r="135" ht="18.75" customHeight="1">
      <c r="A135" s="232"/>
      <c r="B135" s="192"/>
      <c r="C135" s="193"/>
      <c r="D135" s="237"/>
      <c r="E135" s="237"/>
      <c r="F135" s="237"/>
      <c r="G135" s="237"/>
      <c r="H135" s="237"/>
      <c r="I135" s="192" t="s">
        <v>750</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8"/>
      <c r="T135" s="237"/>
      <c r="U135" s="237"/>
      <c r="V135" s="257"/>
      <c r="W135" s="257"/>
      <c r="X135" s="237"/>
      <c r="Y135" s="238"/>
    </row>
    <row r="136" ht="18.75" customHeight="1">
      <c r="A136" s="232"/>
      <c r="B136" s="192"/>
      <c r="C136" s="193"/>
      <c r="D136" s="237"/>
      <c r="E136" s="237"/>
      <c r="F136" s="237"/>
      <c r="G136" s="237"/>
      <c r="H136" s="237"/>
      <c r="I136" s="192" t="s">
        <v>750</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8"/>
      <c r="T136" s="237"/>
      <c r="U136" s="237"/>
      <c r="V136" s="257"/>
      <c r="W136" s="257"/>
      <c r="X136" s="237"/>
      <c r="Y136" s="238"/>
    </row>
    <row r="137" ht="18.75" customHeight="1">
      <c r="A137" s="232"/>
      <c r="B137" s="192"/>
      <c r="C137" s="193"/>
      <c r="D137" s="237"/>
      <c r="E137" s="237"/>
      <c r="F137" s="237"/>
      <c r="G137" s="237"/>
      <c r="H137" s="237"/>
      <c r="I137" s="192" t="s">
        <v>750</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8"/>
      <c r="T137" s="237"/>
      <c r="U137" s="237"/>
      <c r="V137" s="257"/>
      <c r="W137" s="257"/>
      <c r="X137" s="237"/>
      <c r="Y137" s="238"/>
    </row>
    <row r="138" ht="18.75" customHeight="1">
      <c r="A138" s="232"/>
      <c r="B138" s="192"/>
      <c r="C138" s="193"/>
      <c r="D138" s="237"/>
      <c r="E138" s="237"/>
      <c r="F138" s="237"/>
      <c r="G138" s="237"/>
      <c r="H138" s="237"/>
      <c r="I138" s="192" t="s">
        <v>750</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8"/>
      <c r="T138" s="237"/>
      <c r="U138" s="237"/>
      <c r="V138" s="257"/>
      <c r="W138" s="257"/>
      <c r="X138" s="237"/>
      <c r="Y138" s="238"/>
    </row>
    <row r="139" ht="18.75" customHeight="1">
      <c r="A139" s="232"/>
      <c r="B139" s="192"/>
      <c r="C139" s="193"/>
      <c r="D139" s="237"/>
      <c r="E139" s="237"/>
      <c r="F139" s="237"/>
      <c r="G139" s="237"/>
      <c r="H139" s="237"/>
      <c r="I139" s="192" t="s">
        <v>750</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8"/>
      <c r="T139" s="237"/>
      <c r="U139" s="237"/>
      <c r="V139" s="257"/>
      <c r="W139" s="257"/>
      <c r="X139" s="237"/>
      <c r="Y139" s="238"/>
    </row>
    <row r="140" ht="18.75" customHeight="1">
      <c r="A140" s="232"/>
      <c r="B140" s="192"/>
      <c r="C140" s="193"/>
      <c r="D140" s="237"/>
      <c r="E140" s="237"/>
      <c r="F140" s="237"/>
      <c r="G140" s="237"/>
      <c r="H140" s="237"/>
      <c r="I140" s="192" t="s">
        <v>750</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8"/>
      <c r="T140" s="237"/>
      <c r="U140" s="237"/>
      <c r="V140" s="257"/>
      <c r="W140" s="257"/>
      <c r="X140" s="237"/>
      <c r="Y140" s="238"/>
    </row>
    <row r="141" ht="18.75" customHeight="1">
      <c r="A141" s="232"/>
      <c r="B141" s="192"/>
      <c r="C141" s="193"/>
      <c r="D141" s="237"/>
      <c r="E141" s="237"/>
      <c r="F141" s="237"/>
      <c r="G141" s="237"/>
      <c r="H141" s="237"/>
      <c r="I141" s="192" t="s">
        <v>750</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8"/>
      <c r="T141" s="237"/>
      <c r="U141" s="237"/>
      <c r="V141" s="257"/>
      <c r="W141" s="257"/>
      <c r="X141" s="237"/>
      <c r="Y141" s="238"/>
    </row>
    <row r="142" ht="18.75" customHeight="1">
      <c r="A142" s="232"/>
      <c r="B142" s="192"/>
      <c r="C142" s="193"/>
      <c r="D142" s="237"/>
      <c r="E142" s="237"/>
      <c r="F142" s="237"/>
      <c r="G142" s="237"/>
      <c r="H142" s="237"/>
      <c r="I142" s="192" t="s">
        <v>750</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8"/>
      <c r="T142" s="237"/>
      <c r="U142" s="237"/>
      <c r="V142" s="257"/>
      <c r="W142" s="257"/>
      <c r="X142" s="237"/>
      <c r="Y142" s="238"/>
    </row>
    <row r="143" ht="18.75" customHeight="1">
      <c r="A143" s="232"/>
      <c r="B143" s="192"/>
      <c r="C143" s="193"/>
      <c r="D143" s="237"/>
      <c r="E143" s="237"/>
      <c r="F143" s="237"/>
      <c r="G143" s="237"/>
      <c r="H143" s="237"/>
      <c r="I143" s="192" t="s">
        <v>750</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8"/>
      <c r="T143" s="237"/>
      <c r="U143" s="237"/>
      <c r="V143" s="257"/>
      <c r="W143" s="257"/>
      <c r="X143" s="237"/>
      <c r="Y143" s="238"/>
    </row>
    <row r="144" ht="18.75" customHeight="1">
      <c r="A144" s="232"/>
      <c r="B144" s="192"/>
      <c r="C144" s="193"/>
      <c r="D144" s="237"/>
      <c r="E144" s="237"/>
      <c r="F144" s="237"/>
      <c r="G144" s="237"/>
      <c r="H144" s="237"/>
      <c r="I144" s="192" t="s">
        <v>750</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8"/>
      <c r="T144" s="237"/>
      <c r="U144" s="237"/>
      <c r="V144" s="257"/>
      <c r="W144" s="257"/>
      <c r="X144" s="237"/>
      <c r="Y144" s="238"/>
    </row>
    <row r="145" ht="18.75" customHeight="1">
      <c r="A145" s="232"/>
      <c r="B145" s="192"/>
      <c r="C145" s="193"/>
      <c r="D145" s="237"/>
      <c r="E145" s="237"/>
      <c r="F145" s="237"/>
      <c r="G145" s="237"/>
      <c r="H145" s="237"/>
      <c r="I145" s="192" t="s">
        <v>750</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8"/>
      <c r="T145" s="237"/>
      <c r="U145" s="237"/>
      <c r="V145" s="257"/>
      <c r="W145" s="257"/>
      <c r="X145" s="237"/>
      <c r="Y145" s="238"/>
    </row>
    <row r="146" ht="18.75" customHeight="1">
      <c r="A146" s="232"/>
      <c r="B146" s="192"/>
      <c r="C146" s="193"/>
      <c r="D146" s="237"/>
      <c r="E146" s="237"/>
      <c r="F146" s="237"/>
      <c r="G146" s="237"/>
      <c r="H146" s="237"/>
      <c r="I146" s="192" t="s">
        <v>750</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8"/>
      <c r="T146" s="237"/>
      <c r="U146" s="237"/>
      <c r="V146" s="257"/>
      <c r="W146" s="257"/>
      <c r="X146" s="237"/>
      <c r="Y146" s="238"/>
    </row>
    <row r="147" ht="18.75" customHeight="1">
      <c r="A147" s="232"/>
      <c r="B147" s="192"/>
      <c r="C147" s="193"/>
      <c r="D147" s="237"/>
      <c r="E147" s="237"/>
      <c r="F147" s="237"/>
      <c r="G147" s="237"/>
      <c r="H147" s="237"/>
      <c r="I147" s="192" t="s">
        <v>750</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8"/>
      <c r="T147" s="237"/>
      <c r="U147" s="237"/>
      <c r="V147" s="257"/>
      <c r="W147" s="257"/>
      <c r="X147" s="237"/>
      <c r="Y147" s="238"/>
    </row>
    <row r="148" ht="18.75" customHeight="1">
      <c r="A148" s="232"/>
      <c r="B148" s="192"/>
      <c r="C148" s="193"/>
      <c r="D148" s="237"/>
      <c r="E148" s="237"/>
      <c r="F148" s="237"/>
      <c r="G148" s="237"/>
      <c r="H148" s="237"/>
      <c r="I148" s="192" t="s">
        <v>750</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8"/>
      <c r="T148" s="237"/>
      <c r="U148" s="237"/>
      <c r="V148" s="257"/>
      <c r="W148" s="257"/>
      <c r="X148" s="237"/>
      <c r="Y148" s="238"/>
    </row>
    <row r="149" ht="18.75" customHeight="1">
      <c r="A149" s="232"/>
      <c r="B149" s="192"/>
      <c r="C149" s="193"/>
      <c r="D149" s="237"/>
      <c r="E149" s="237"/>
      <c r="F149" s="237"/>
      <c r="G149" s="237"/>
      <c r="H149" s="237"/>
      <c r="I149" s="192" t="s">
        <v>750</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8"/>
      <c r="T149" s="237"/>
      <c r="U149" s="237"/>
      <c r="V149" s="257"/>
      <c r="W149" s="257"/>
      <c r="X149" s="237"/>
      <c r="Y149" s="238"/>
    </row>
    <row r="150" ht="18.75" customHeight="1">
      <c r="A150" s="232"/>
      <c r="B150" s="192"/>
      <c r="C150" s="193"/>
      <c r="D150" s="237"/>
      <c r="E150" s="237"/>
      <c r="F150" s="237"/>
      <c r="G150" s="237"/>
      <c r="H150" s="237"/>
      <c r="I150" s="192" t="s">
        <v>750</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8"/>
      <c r="T150" s="237"/>
      <c r="U150" s="237"/>
      <c r="V150" s="257"/>
      <c r="W150" s="257"/>
      <c r="X150" s="237"/>
      <c r="Y150" s="238"/>
    </row>
    <row r="151" ht="18.75" customHeight="1">
      <c r="A151" s="232"/>
      <c r="B151" s="192"/>
      <c r="C151" s="193"/>
      <c r="D151" s="237"/>
      <c r="E151" s="237"/>
      <c r="F151" s="237"/>
      <c r="G151" s="237"/>
      <c r="H151" s="237"/>
      <c r="I151" s="192" t="s">
        <v>750</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8"/>
      <c r="T151" s="237"/>
      <c r="U151" s="237"/>
      <c r="V151" s="257"/>
      <c r="W151" s="257"/>
      <c r="X151" s="237"/>
      <c r="Y151" s="238"/>
    </row>
    <row r="152" ht="18.75" customHeight="1">
      <c r="A152" s="232"/>
      <c r="B152" s="192"/>
      <c r="C152" s="193"/>
      <c r="D152" s="237"/>
      <c r="E152" s="237"/>
      <c r="F152" s="237"/>
      <c r="G152" s="237"/>
      <c r="H152" s="237"/>
      <c r="I152" s="192" t="s">
        <v>750</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8"/>
      <c r="T152" s="237"/>
      <c r="U152" s="237"/>
      <c r="V152" s="257"/>
      <c r="W152" s="257"/>
      <c r="X152" s="237"/>
      <c r="Y152" s="238"/>
    </row>
    <row r="153" ht="18.75" customHeight="1">
      <c r="A153" s="232"/>
      <c r="B153" s="192"/>
      <c r="C153" s="193"/>
      <c r="D153" s="237"/>
      <c r="E153" s="237"/>
      <c r="F153" s="237"/>
      <c r="G153" s="237"/>
      <c r="H153" s="237"/>
      <c r="I153" s="192" t="s">
        <v>750</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8"/>
      <c r="T153" s="237"/>
      <c r="U153" s="237"/>
      <c r="V153" s="257"/>
      <c r="W153" s="257"/>
      <c r="X153" s="237"/>
      <c r="Y153" s="238"/>
    </row>
    <row r="154" ht="18.75" customHeight="1">
      <c r="A154" s="232"/>
      <c r="B154" s="192"/>
      <c r="C154" s="193"/>
      <c r="D154" s="237"/>
      <c r="E154" s="237"/>
      <c r="F154" s="237"/>
      <c r="G154" s="237"/>
      <c r="H154" s="237"/>
      <c r="I154" s="192" t="s">
        <v>750</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8"/>
      <c r="T154" s="237"/>
      <c r="U154" s="237"/>
      <c r="V154" s="257"/>
      <c r="W154" s="257"/>
      <c r="X154" s="237"/>
      <c r="Y154" s="238"/>
    </row>
    <row r="155" ht="18.75" customHeight="1">
      <c r="A155" s="232"/>
      <c r="B155" s="192"/>
      <c r="C155" s="193"/>
      <c r="D155" s="237"/>
      <c r="E155" s="237"/>
      <c r="F155" s="237"/>
      <c r="G155" s="237"/>
      <c r="H155" s="237"/>
      <c r="I155" s="192" t="s">
        <v>750</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8"/>
      <c r="T155" s="237"/>
      <c r="U155" s="237"/>
      <c r="V155" s="257"/>
      <c r="W155" s="257"/>
      <c r="X155" s="237"/>
      <c r="Y155" s="238"/>
    </row>
    <row r="156" ht="18.75" customHeight="1">
      <c r="A156" s="232"/>
      <c r="B156" s="192"/>
      <c r="C156" s="193"/>
      <c r="D156" s="237"/>
      <c r="E156" s="237"/>
      <c r="F156" s="237"/>
      <c r="G156" s="237"/>
      <c r="H156" s="237"/>
      <c r="I156" s="192" t="s">
        <v>750</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8"/>
      <c r="T156" s="237"/>
      <c r="U156" s="237"/>
      <c r="V156" s="257"/>
      <c r="W156" s="257"/>
      <c r="X156" s="237"/>
      <c r="Y156" s="238"/>
    </row>
    <row r="157" ht="18.75" customHeight="1">
      <c r="A157" s="232"/>
      <c r="B157" s="192"/>
      <c r="C157" s="193"/>
      <c r="D157" s="237"/>
      <c r="E157" s="237"/>
      <c r="F157" s="237"/>
      <c r="G157" s="237"/>
      <c r="H157" s="237"/>
      <c r="I157" s="192" t="s">
        <v>750</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8"/>
      <c r="T157" s="237"/>
      <c r="U157" s="237"/>
      <c r="V157" s="257"/>
      <c r="W157" s="257"/>
      <c r="X157" s="237"/>
      <c r="Y157" s="238"/>
    </row>
    <row r="158" ht="18.75" customHeight="1">
      <c r="A158" s="232"/>
      <c r="B158" s="192"/>
      <c r="C158" s="193"/>
      <c r="D158" s="237"/>
      <c r="E158" s="237"/>
      <c r="F158" s="237"/>
      <c r="G158" s="237"/>
      <c r="H158" s="237"/>
      <c r="I158" s="192" t="s">
        <v>750</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8"/>
      <c r="T158" s="237"/>
      <c r="U158" s="237"/>
      <c r="V158" s="257"/>
      <c r="W158" s="257"/>
      <c r="X158" s="237"/>
      <c r="Y158" s="238"/>
    </row>
    <row r="159" ht="18.75" customHeight="1">
      <c r="A159" s="232"/>
      <c r="B159" s="192"/>
      <c r="C159" s="193"/>
      <c r="D159" s="237"/>
      <c r="E159" s="237"/>
      <c r="F159" s="237"/>
      <c r="G159" s="237"/>
      <c r="H159" s="237"/>
      <c r="I159" s="192" t="s">
        <v>750</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8"/>
      <c r="T159" s="237"/>
      <c r="U159" s="237"/>
      <c r="V159" s="257"/>
      <c r="W159" s="257"/>
      <c r="X159" s="237"/>
      <c r="Y159" s="238"/>
    </row>
    <row r="160" ht="18.75" customHeight="1">
      <c r="A160" s="232"/>
      <c r="B160" s="192"/>
      <c r="C160" s="193"/>
      <c r="D160" s="237"/>
      <c r="E160" s="237"/>
      <c r="F160" s="237"/>
      <c r="G160" s="237"/>
      <c r="H160" s="237"/>
      <c r="I160" s="192" t="s">
        <v>750</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8"/>
      <c r="T160" s="237"/>
      <c r="U160" s="237"/>
      <c r="V160" s="257"/>
      <c r="W160" s="257"/>
      <c r="X160" s="237"/>
      <c r="Y160" s="238"/>
    </row>
    <row r="161" ht="18.75" customHeight="1">
      <c r="A161" s="232"/>
      <c r="B161" s="192"/>
      <c r="C161" s="193"/>
      <c r="D161" s="237"/>
      <c r="E161" s="237"/>
      <c r="F161" s="237"/>
      <c r="G161" s="237"/>
      <c r="H161" s="237"/>
      <c r="I161" s="192" t="s">
        <v>750</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8"/>
      <c r="T161" s="237"/>
      <c r="U161" s="237"/>
      <c r="V161" s="257"/>
      <c r="W161" s="257"/>
      <c r="X161" s="237"/>
      <c r="Y161" s="238"/>
    </row>
    <row r="162" ht="18.75" customHeight="1">
      <c r="A162" s="232"/>
      <c r="B162" s="192"/>
      <c r="C162" s="193"/>
      <c r="D162" s="237"/>
      <c r="E162" s="237"/>
      <c r="F162" s="237"/>
      <c r="G162" s="237"/>
      <c r="H162" s="237"/>
      <c r="I162" s="192" t="s">
        <v>750</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8"/>
      <c r="T162" s="237"/>
      <c r="U162" s="237"/>
      <c r="V162" s="257"/>
      <c r="W162" s="257"/>
      <c r="X162" s="237"/>
      <c r="Y162" s="238"/>
    </row>
    <row r="163" ht="18.75" customHeight="1">
      <c r="A163" s="232"/>
      <c r="B163" s="192"/>
      <c r="C163" s="193"/>
      <c r="D163" s="237"/>
      <c r="E163" s="237"/>
      <c r="F163" s="237"/>
      <c r="G163" s="237"/>
      <c r="H163" s="237"/>
      <c r="I163" s="192" t="s">
        <v>750</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8"/>
      <c r="T163" s="237"/>
      <c r="U163" s="237"/>
      <c r="V163" s="257"/>
      <c r="W163" s="257"/>
      <c r="X163" s="237"/>
      <c r="Y163" s="238"/>
    </row>
    <row r="164" ht="18.75" customHeight="1">
      <c r="A164" s="232"/>
      <c r="B164" s="192"/>
      <c r="C164" s="193"/>
      <c r="D164" s="237"/>
      <c r="E164" s="237"/>
      <c r="F164" s="237"/>
      <c r="G164" s="237"/>
      <c r="H164" s="237"/>
      <c r="I164" s="192" t="s">
        <v>750</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8"/>
      <c r="T164" s="237"/>
      <c r="U164" s="237"/>
      <c r="V164" s="257"/>
      <c r="W164" s="257"/>
      <c r="X164" s="237"/>
      <c r="Y164" s="238"/>
    </row>
    <row r="165" ht="18.75" customHeight="1">
      <c r="A165" s="232"/>
      <c r="B165" s="192"/>
      <c r="C165" s="193"/>
      <c r="D165" s="237"/>
      <c r="E165" s="237"/>
      <c r="F165" s="237"/>
      <c r="G165" s="237"/>
      <c r="H165" s="237"/>
      <c r="I165" s="192" t="s">
        <v>750</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8"/>
      <c r="T165" s="237"/>
      <c r="U165" s="237"/>
      <c r="V165" s="257"/>
      <c r="W165" s="257"/>
      <c r="X165" s="237"/>
      <c r="Y165" s="238"/>
    </row>
    <row r="166" ht="18.75" customHeight="1">
      <c r="A166" s="232"/>
      <c r="B166" s="192"/>
      <c r="C166" s="193"/>
      <c r="D166" s="237"/>
      <c r="E166" s="237"/>
      <c r="F166" s="237"/>
      <c r="G166" s="237"/>
      <c r="H166" s="237"/>
      <c r="I166" s="192" t="s">
        <v>750</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8"/>
      <c r="T166" s="237"/>
      <c r="U166" s="237"/>
      <c r="V166" s="257"/>
      <c r="W166" s="257"/>
      <c r="X166" s="237"/>
      <c r="Y166" s="238"/>
    </row>
    <row r="167" ht="18.75" customHeight="1">
      <c r="A167" s="232"/>
      <c r="B167" s="192"/>
      <c r="C167" s="193"/>
      <c r="D167" s="237"/>
      <c r="E167" s="237"/>
      <c r="F167" s="237"/>
      <c r="G167" s="237"/>
      <c r="H167" s="237"/>
      <c r="I167" s="192" t="s">
        <v>750</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8"/>
      <c r="T167" s="237"/>
      <c r="U167" s="237"/>
      <c r="V167" s="257"/>
      <c r="W167" s="257"/>
      <c r="X167" s="237"/>
      <c r="Y167" s="238"/>
    </row>
    <row r="168" ht="18.75" customHeight="1">
      <c r="A168" s="232"/>
      <c r="B168" s="192"/>
      <c r="C168" s="193"/>
      <c r="D168" s="237"/>
      <c r="E168" s="237"/>
      <c r="F168" s="237"/>
      <c r="G168" s="237"/>
      <c r="H168" s="237"/>
      <c r="I168" s="192" t="s">
        <v>750</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8"/>
      <c r="T168" s="237"/>
      <c r="U168" s="237"/>
      <c r="V168" s="257"/>
      <c r="W168" s="257"/>
      <c r="X168" s="237"/>
      <c r="Y168" s="238"/>
    </row>
    <row r="169" ht="18.75" customHeight="1">
      <c r="A169" s="232"/>
      <c r="B169" s="192"/>
      <c r="C169" s="193"/>
      <c r="D169" s="237"/>
      <c r="E169" s="237"/>
      <c r="F169" s="237"/>
      <c r="G169" s="237"/>
      <c r="H169" s="237"/>
      <c r="I169" s="192" t="s">
        <v>750</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8"/>
      <c r="T169" s="237"/>
      <c r="U169" s="237"/>
      <c r="V169" s="257"/>
      <c r="W169" s="257"/>
      <c r="X169" s="237"/>
      <c r="Y169" s="238"/>
    </row>
    <row r="170" ht="18.75" customHeight="1">
      <c r="A170" s="232"/>
      <c r="B170" s="192"/>
      <c r="C170" s="193"/>
      <c r="D170" s="237"/>
      <c r="E170" s="237"/>
      <c r="F170" s="237"/>
      <c r="G170" s="237"/>
      <c r="H170" s="237"/>
      <c r="I170" s="192" t="s">
        <v>750</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8"/>
      <c r="T170" s="237"/>
      <c r="U170" s="237"/>
      <c r="V170" s="257"/>
      <c r="W170" s="257"/>
      <c r="X170" s="237"/>
      <c r="Y170" s="238"/>
    </row>
    <row r="171" ht="18.75" customHeight="1">
      <c r="A171" s="232"/>
      <c r="B171" s="192"/>
      <c r="C171" s="193"/>
      <c r="D171" s="237"/>
      <c r="E171" s="237"/>
      <c r="F171" s="237"/>
      <c r="G171" s="237"/>
      <c r="H171" s="237"/>
      <c r="I171" s="192" t="s">
        <v>750</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8"/>
      <c r="T171" s="237"/>
      <c r="U171" s="237"/>
      <c r="V171" s="257"/>
      <c r="W171" s="257"/>
      <c r="X171" s="237"/>
      <c r="Y171" s="238"/>
    </row>
    <row r="172" ht="18.75" customHeight="1">
      <c r="A172" s="232"/>
      <c r="B172" s="192"/>
      <c r="C172" s="193"/>
      <c r="D172" s="237"/>
      <c r="E172" s="237"/>
      <c r="F172" s="237"/>
      <c r="G172" s="237"/>
      <c r="H172" s="237"/>
      <c r="I172" s="192" t="s">
        <v>750</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8"/>
      <c r="T172" s="237"/>
      <c r="U172" s="237"/>
      <c r="V172" s="257"/>
      <c r="W172" s="257"/>
      <c r="X172" s="237"/>
      <c r="Y172" s="238"/>
    </row>
    <row r="173" ht="18.75" customHeight="1">
      <c r="A173" s="232"/>
      <c r="B173" s="192"/>
      <c r="C173" s="193"/>
      <c r="D173" s="237"/>
      <c r="E173" s="237"/>
      <c r="F173" s="237"/>
      <c r="G173" s="237"/>
      <c r="H173" s="237"/>
      <c r="I173" s="192" t="s">
        <v>750</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8"/>
      <c r="T173" s="237"/>
      <c r="U173" s="237"/>
      <c r="V173" s="257"/>
      <c r="W173" s="257"/>
      <c r="X173" s="237"/>
      <c r="Y173" s="238"/>
    </row>
    <row r="174" ht="18.75" customHeight="1">
      <c r="A174" s="232"/>
      <c r="B174" s="192"/>
      <c r="C174" s="193"/>
      <c r="D174" s="237"/>
      <c r="E174" s="237"/>
      <c r="F174" s="237"/>
      <c r="G174" s="237"/>
      <c r="H174" s="237"/>
      <c r="I174" s="192" t="s">
        <v>750</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8"/>
      <c r="T174" s="237"/>
      <c r="U174" s="237"/>
      <c r="V174" s="257"/>
      <c r="W174" s="257"/>
      <c r="X174" s="237"/>
      <c r="Y174" s="238"/>
    </row>
    <row r="175" ht="18.75" customHeight="1">
      <c r="A175" s="232"/>
      <c r="B175" s="192"/>
      <c r="C175" s="193"/>
      <c r="D175" s="237"/>
      <c r="E175" s="237"/>
      <c r="F175" s="237"/>
      <c r="G175" s="237"/>
      <c r="H175" s="237"/>
      <c r="I175" s="192" t="s">
        <v>750</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8"/>
      <c r="T175" s="237"/>
      <c r="U175" s="237"/>
      <c r="V175" s="257"/>
      <c r="W175" s="257"/>
      <c r="X175" s="237"/>
      <c r="Y175" s="238"/>
    </row>
    <row r="176" ht="18.75" customHeight="1">
      <c r="A176" s="232"/>
      <c r="B176" s="192"/>
      <c r="C176" s="193"/>
      <c r="D176" s="237"/>
      <c r="E176" s="237"/>
      <c r="F176" s="237"/>
      <c r="G176" s="237"/>
      <c r="H176" s="237"/>
      <c r="I176" s="192" t="s">
        <v>750</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8"/>
      <c r="T176" s="237"/>
      <c r="U176" s="237"/>
      <c r="V176" s="257"/>
      <c r="W176" s="257"/>
      <c r="X176" s="237"/>
      <c r="Y176" s="238"/>
    </row>
    <row r="177" ht="18.75" customHeight="1">
      <c r="A177" s="232"/>
      <c r="B177" s="192"/>
      <c r="C177" s="193"/>
      <c r="D177" s="237"/>
      <c r="E177" s="237"/>
      <c r="F177" s="237"/>
      <c r="G177" s="237"/>
      <c r="H177" s="237"/>
      <c r="I177" s="192" t="s">
        <v>750</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8"/>
      <c r="T177" s="237"/>
      <c r="U177" s="237"/>
      <c r="V177" s="257"/>
      <c r="W177" s="257"/>
      <c r="X177" s="237"/>
      <c r="Y177" s="238"/>
    </row>
    <row r="178" ht="18.75" customHeight="1">
      <c r="A178" s="232"/>
      <c r="B178" s="192"/>
      <c r="C178" s="193"/>
      <c r="D178" s="237"/>
      <c r="E178" s="237"/>
      <c r="F178" s="237"/>
      <c r="G178" s="237"/>
      <c r="H178" s="237"/>
      <c r="I178" s="192" t="s">
        <v>750</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8"/>
      <c r="T178" s="237"/>
      <c r="U178" s="237"/>
      <c r="V178" s="257"/>
      <c r="W178" s="257"/>
      <c r="X178" s="237"/>
      <c r="Y178" s="238"/>
    </row>
    <row r="179" ht="18.75" customHeight="1">
      <c r="A179" s="232"/>
      <c r="B179" s="192"/>
      <c r="C179" s="193"/>
      <c r="D179" s="237"/>
      <c r="E179" s="237"/>
      <c r="F179" s="237"/>
      <c r="G179" s="237"/>
      <c r="H179" s="237"/>
      <c r="I179" s="192" t="s">
        <v>750</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8"/>
      <c r="T179" s="237"/>
      <c r="U179" s="237"/>
      <c r="V179" s="257"/>
      <c r="W179" s="257"/>
      <c r="X179" s="237"/>
      <c r="Y179" s="238"/>
    </row>
    <row r="180" ht="18.75" customHeight="1">
      <c r="A180" s="241"/>
      <c r="B180" s="192"/>
      <c r="C180" s="193"/>
      <c r="D180" s="237"/>
      <c r="E180" s="237"/>
      <c r="F180" s="237"/>
      <c r="G180" s="237"/>
      <c r="H180" s="237"/>
      <c r="I180" s="192" t="s">
        <v>750</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42"/>
      <c r="T180" s="237"/>
      <c r="U180" s="237"/>
      <c r="V180" s="257"/>
      <c r="W180" s="257"/>
      <c r="X180" s="237"/>
      <c r="Y180" s="242"/>
    </row>
    <row r="181" ht="18.75" customHeight="1">
      <c r="A181" s="241"/>
      <c r="B181" s="192"/>
      <c r="C181" s="193"/>
      <c r="D181" s="237"/>
      <c r="E181" s="237"/>
      <c r="F181" s="237"/>
      <c r="G181" s="237"/>
      <c r="H181" s="237"/>
      <c r="I181" s="192" t="s">
        <v>750</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42"/>
      <c r="T181" s="237"/>
      <c r="U181" s="237"/>
      <c r="V181" s="257"/>
      <c r="W181" s="257"/>
      <c r="X181" s="237"/>
      <c r="Y181" s="242"/>
    </row>
    <row r="182" ht="18.75" customHeight="1">
      <c r="A182" s="241"/>
      <c r="B182" s="192"/>
      <c r="C182" s="193"/>
      <c r="D182" s="237"/>
      <c r="E182" s="237"/>
      <c r="F182" s="237"/>
      <c r="G182" s="237"/>
      <c r="H182" s="237"/>
      <c r="I182" s="192" t="s">
        <v>750</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42"/>
      <c r="T182" s="237"/>
      <c r="U182" s="237"/>
      <c r="V182" s="257"/>
      <c r="W182" s="257"/>
      <c r="X182" s="237"/>
      <c r="Y182" s="242"/>
    </row>
    <row r="183" ht="18.75" customHeight="1">
      <c r="A183" s="241"/>
      <c r="B183" s="192"/>
      <c r="C183" s="193"/>
      <c r="D183" s="237"/>
      <c r="E183" s="237"/>
      <c r="F183" s="237"/>
      <c r="G183" s="237"/>
      <c r="H183" s="237"/>
      <c r="I183" s="192" t="s">
        <v>750</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42"/>
      <c r="T183" s="237"/>
      <c r="U183" s="237"/>
      <c r="V183" s="257"/>
      <c r="W183" s="257"/>
      <c r="X183" s="237"/>
      <c r="Y183" s="242"/>
    </row>
    <row r="184" ht="18.75" customHeight="1">
      <c r="A184" s="241"/>
      <c r="B184" s="192"/>
      <c r="C184" s="193"/>
      <c r="D184" s="237"/>
      <c r="E184" s="237"/>
      <c r="F184" s="237"/>
      <c r="G184" s="237"/>
      <c r="H184" s="237"/>
      <c r="I184" s="192" t="s">
        <v>750</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42"/>
      <c r="T184" s="237"/>
      <c r="U184" s="237"/>
      <c r="V184" s="257"/>
      <c r="W184" s="257"/>
      <c r="X184" s="237"/>
      <c r="Y184" s="242"/>
    </row>
    <row r="185" ht="18.75" customHeight="1">
      <c r="A185" s="241"/>
      <c r="B185" s="192"/>
      <c r="C185" s="193"/>
      <c r="D185" s="237"/>
      <c r="E185" s="237"/>
      <c r="F185" s="237"/>
      <c r="G185" s="237"/>
      <c r="H185" s="237"/>
      <c r="I185" s="192" t="s">
        <v>750</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42"/>
      <c r="T185" s="237"/>
      <c r="U185" s="237"/>
      <c r="V185" s="257"/>
      <c r="W185" s="257"/>
      <c r="X185" s="237"/>
      <c r="Y185" s="242"/>
    </row>
    <row r="186" ht="18.75" customHeight="1">
      <c r="A186" s="241"/>
      <c r="B186" s="192"/>
      <c r="C186" s="193"/>
      <c r="D186" s="237"/>
      <c r="E186" s="237"/>
      <c r="F186" s="237"/>
      <c r="G186" s="237"/>
      <c r="H186" s="237"/>
      <c r="I186" s="192" t="s">
        <v>750</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42"/>
      <c r="T186" s="237"/>
      <c r="U186" s="237"/>
      <c r="V186" s="257"/>
      <c r="W186" s="257"/>
      <c r="X186" s="237"/>
      <c r="Y186" s="242"/>
    </row>
    <row r="187" ht="18.75" customHeight="1">
      <c r="A187" s="241"/>
      <c r="B187" s="192"/>
      <c r="C187" s="193"/>
      <c r="D187" s="237"/>
      <c r="E187" s="237"/>
      <c r="F187" s="237"/>
      <c r="G187" s="237"/>
      <c r="H187" s="237"/>
      <c r="I187" s="192" t="s">
        <v>750</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42"/>
      <c r="T187" s="237"/>
      <c r="U187" s="237"/>
      <c r="V187" s="257"/>
      <c r="W187" s="257"/>
      <c r="X187" s="237"/>
      <c r="Y187" s="242"/>
    </row>
    <row r="188" ht="18.75" customHeight="1">
      <c r="A188" s="241"/>
      <c r="B188" s="192"/>
      <c r="C188" s="193"/>
      <c r="D188" s="237"/>
      <c r="E188" s="237"/>
      <c r="F188" s="237"/>
      <c r="G188" s="237"/>
      <c r="H188" s="237"/>
      <c r="I188" s="192" t="s">
        <v>750</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42"/>
      <c r="T188" s="237"/>
      <c r="U188" s="237"/>
      <c r="V188" s="257"/>
      <c r="W188" s="257"/>
      <c r="X188" s="237"/>
      <c r="Y188" s="242"/>
    </row>
    <row r="189" ht="18.75" customHeight="1">
      <c r="A189" s="241"/>
      <c r="B189" s="192"/>
      <c r="C189" s="193"/>
      <c r="D189" s="237"/>
      <c r="E189" s="237"/>
      <c r="F189" s="237"/>
      <c r="G189" s="237"/>
      <c r="H189" s="237"/>
      <c r="I189" s="192" t="s">
        <v>750</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42"/>
      <c r="T189" s="237"/>
      <c r="U189" s="237"/>
      <c r="V189" s="257"/>
      <c r="W189" s="257"/>
      <c r="X189" s="237"/>
      <c r="Y189" s="242"/>
    </row>
    <row r="190" ht="18.75" customHeight="1">
      <c r="A190" s="241"/>
      <c r="B190" s="192"/>
      <c r="C190" s="193"/>
      <c r="D190" s="237"/>
      <c r="E190" s="237"/>
      <c r="F190" s="237"/>
      <c r="G190" s="237"/>
      <c r="H190" s="237"/>
      <c r="I190" s="192" t="s">
        <v>750</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42"/>
      <c r="T190" s="237"/>
      <c r="U190" s="237"/>
      <c r="V190" s="257"/>
      <c r="W190" s="257"/>
      <c r="X190" s="237"/>
      <c r="Y190" s="242"/>
    </row>
    <row r="191" ht="18.75" customHeight="1">
      <c r="A191" s="241"/>
      <c r="B191" s="192"/>
      <c r="C191" s="193"/>
      <c r="D191" s="237"/>
      <c r="E191" s="237"/>
      <c r="F191" s="237"/>
      <c r="G191" s="237"/>
      <c r="H191" s="237"/>
      <c r="I191" s="192" t="s">
        <v>750</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42"/>
      <c r="T191" s="237"/>
      <c r="U191" s="237"/>
      <c r="V191" s="257"/>
      <c r="W191" s="257"/>
      <c r="X191" s="237"/>
      <c r="Y191" s="242"/>
    </row>
    <row r="192" ht="18.75" customHeight="1">
      <c r="A192" s="241"/>
      <c r="B192" s="192"/>
      <c r="C192" s="193"/>
      <c r="D192" s="237"/>
      <c r="E192" s="237"/>
      <c r="F192" s="237"/>
      <c r="G192" s="237"/>
      <c r="H192" s="237"/>
      <c r="I192" s="192" t="s">
        <v>750</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42"/>
      <c r="T192" s="237"/>
      <c r="U192" s="237"/>
      <c r="V192" s="257"/>
      <c r="W192" s="257"/>
      <c r="X192" s="237"/>
      <c r="Y192" s="242"/>
    </row>
    <row r="193" ht="18.75" customHeight="1">
      <c r="A193" s="241"/>
      <c r="B193" s="192"/>
      <c r="C193" s="193"/>
      <c r="D193" s="237"/>
      <c r="E193" s="237"/>
      <c r="F193" s="237"/>
      <c r="G193" s="237"/>
      <c r="H193" s="237"/>
      <c r="I193" s="192" t="s">
        <v>750</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42"/>
      <c r="T193" s="237"/>
      <c r="U193" s="237"/>
      <c r="V193" s="257"/>
      <c r="W193" s="257"/>
      <c r="X193" s="237"/>
      <c r="Y193" s="242"/>
    </row>
    <row r="194" ht="18.75" customHeight="1">
      <c r="A194" s="241"/>
      <c r="B194" s="192"/>
      <c r="C194" s="193"/>
      <c r="D194" s="237"/>
      <c r="E194" s="237"/>
      <c r="F194" s="237"/>
      <c r="G194" s="237"/>
      <c r="H194" s="237"/>
      <c r="I194" s="192" t="s">
        <v>750</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42"/>
      <c r="T194" s="237"/>
      <c r="U194" s="237"/>
      <c r="V194" s="257"/>
      <c r="W194" s="257"/>
      <c r="X194" s="237"/>
      <c r="Y194" s="242"/>
    </row>
    <row r="195" ht="18.75" customHeight="1">
      <c r="A195" s="241"/>
      <c r="B195" s="192"/>
      <c r="C195" s="193"/>
      <c r="D195" s="237"/>
      <c r="E195" s="237"/>
      <c r="F195" s="237"/>
      <c r="G195" s="237"/>
      <c r="H195" s="237"/>
      <c r="I195" s="192" t="s">
        <v>750</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42"/>
      <c r="T195" s="237"/>
      <c r="U195" s="237"/>
      <c r="V195" s="257"/>
      <c r="W195" s="257"/>
      <c r="X195" s="237"/>
      <c r="Y195" s="242"/>
    </row>
    <row r="196" ht="18.75" customHeight="1">
      <c r="A196" s="241"/>
      <c r="B196" s="192"/>
      <c r="C196" s="193"/>
      <c r="D196" s="237"/>
      <c r="E196" s="237"/>
      <c r="F196" s="237"/>
      <c r="G196" s="237"/>
      <c r="H196" s="237"/>
      <c r="I196" s="192" t="s">
        <v>750</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42"/>
      <c r="T196" s="237"/>
      <c r="U196" s="237"/>
      <c r="V196" s="257"/>
      <c r="W196" s="257"/>
      <c r="X196" s="237"/>
      <c r="Y196" s="242"/>
    </row>
    <row r="197" ht="18.75" customHeight="1">
      <c r="A197" s="241"/>
      <c r="B197" s="192"/>
      <c r="C197" s="193"/>
      <c r="D197" s="237"/>
      <c r="E197" s="237"/>
      <c r="F197" s="237"/>
      <c r="G197" s="237"/>
      <c r="H197" s="237"/>
      <c r="I197" s="192" t="s">
        <v>750</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42"/>
      <c r="T197" s="237"/>
      <c r="U197" s="237"/>
      <c r="V197" s="257"/>
      <c r="W197" s="257"/>
      <c r="X197" s="237"/>
      <c r="Y197" s="242"/>
    </row>
    <row r="198" ht="18.75" customHeight="1">
      <c r="A198" s="241"/>
      <c r="B198" s="192"/>
      <c r="C198" s="193"/>
      <c r="D198" s="237"/>
      <c r="E198" s="237"/>
      <c r="F198" s="237"/>
      <c r="G198" s="237"/>
      <c r="H198" s="237"/>
      <c r="I198" s="192" t="s">
        <v>750</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42"/>
      <c r="T198" s="237"/>
      <c r="U198" s="237"/>
      <c r="V198" s="257"/>
      <c r="W198" s="257"/>
      <c r="X198" s="237"/>
      <c r="Y198" s="242"/>
    </row>
    <row r="199" ht="18.75" customHeight="1">
      <c r="A199" s="241"/>
      <c r="B199" s="192"/>
      <c r="C199" s="193"/>
      <c r="D199" s="237"/>
      <c r="E199" s="237"/>
      <c r="F199" s="237"/>
      <c r="G199" s="237"/>
      <c r="H199" s="237"/>
      <c r="I199" s="192" t="s">
        <v>750</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42"/>
      <c r="T199" s="237"/>
      <c r="U199" s="237"/>
      <c r="V199" s="257"/>
      <c r="W199" s="257"/>
      <c r="X199" s="237"/>
      <c r="Y199" s="242"/>
    </row>
    <row r="200" ht="18.75" customHeight="1">
      <c r="A200" s="241"/>
      <c r="B200" s="192"/>
      <c r="C200" s="193"/>
      <c r="D200" s="237"/>
      <c r="E200" s="237"/>
      <c r="F200" s="237"/>
      <c r="G200" s="237"/>
      <c r="H200" s="237"/>
      <c r="I200" s="192" t="s">
        <v>750</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42"/>
      <c r="T200" s="237"/>
      <c r="U200" s="237"/>
      <c r="V200" s="257"/>
      <c r="W200" s="257"/>
      <c r="X200" s="237"/>
      <c r="Y200" s="242"/>
    </row>
    <row r="201" ht="18.75" customHeight="1">
      <c r="A201" s="241"/>
      <c r="B201" s="192"/>
      <c r="C201" s="193"/>
      <c r="D201" s="237"/>
      <c r="E201" s="237"/>
      <c r="F201" s="237"/>
      <c r="G201" s="237"/>
      <c r="H201" s="237"/>
      <c r="I201" s="192" t="s">
        <v>750</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42"/>
      <c r="T201" s="237"/>
      <c r="U201" s="237"/>
      <c r="V201" s="257"/>
      <c r="W201" s="257"/>
      <c r="X201" s="237"/>
      <c r="Y201" s="242"/>
    </row>
    <row r="202" ht="18.75" customHeight="1">
      <c r="A202" s="241"/>
      <c r="B202" s="192"/>
      <c r="C202" s="193"/>
      <c r="D202" s="237"/>
      <c r="E202" s="237"/>
      <c r="F202" s="237"/>
      <c r="G202" s="237"/>
      <c r="H202" s="237"/>
      <c r="I202" s="192" t="s">
        <v>750</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42"/>
      <c r="T202" s="237"/>
      <c r="U202" s="237"/>
      <c r="V202" s="257"/>
      <c r="W202" s="257"/>
      <c r="X202" s="237"/>
      <c r="Y202" s="242"/>
    </row>
    <row r="203" ht="18.75" customHeight="1">
      <c r="A203" s="241"/>
      <c r="B203" s="192"/>
      <c r="C203" s="193"/>
      <c r="D203" s="237"/>
      <c r="E203" s="237"/>
      <c r="F203" s="237"/>
      <c r="G203" s="237"/>
      <c r="H203" s="237"/>
      <c r="I203" s="192" t="s">
        <v>750</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42"/>
      <c r="T203" s="237"/>
      <c r="U203" s="237"/>
      <c r="V203" s="257"/>
      <c r="W203" s="257"/>
      <c r="X203" s="237"/>
      <c r="Y203" s="242"/>
    </row>
    <row r="204" ht="18.75" customHeight="1">
      <c r="A204" s="241"/>
      <c r="B204" s="192"/>
      <c r="C204" s="193"/>
      <c r="D204" s="237"/>
      <c r="E204" s="237"/>
      <c r="F204" s="237"/>
      <c r="G204" s="237"/>
      <c r="H204" s="237"/>
      <c r="I204" s="192" t="s">
        <v>750</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42"/>
      <c r="T204" s="237"/>
      <c r="U204" s="237"/>
      <c r="V204" s="257"/>
      <c r="W204" s="257"/>
      <c r="X204" s="237"/>
      <c r="Y204" s="242"/>
    </row>
    <row r="205" ht="18.75" customHeight="1">
      <c r="A205" s="241"/>
      <c r="B205" s="192"/>
      <c r="C205" s="193"/>
      <c r="D205" s="237"/>
      <c r="E205" s="237"/>
      <c r="F205" s="237"/>
      <c r="G205" s="237"/>
      <c r="H205" s="237"/>
      <c r="I205" s="192" t="s">
        <v>750</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42"/>
      <c r="T205" s="237"/>
      <c r="U205" s="237"/>
      <c r="V205" s="257"/>
      <c r="W205" s="257"/>
      <c r="X205" s="237"/>
      <c r="Y205" s="242"/>
    </row>
    <row r="206" ht="18.75" customHeight="1">
      <c r="A206" s="241"/>
      <c r="B206" s="192"/>
      <c r="C206" s="193"/>
      <c r="D206" s="237"/>
      <c r="E206" s="237"/>
      <c r="F206" s="237"/>
      <c r="G206" s="237"/>
      <c r="H206" s="237"/>
      <c r="I206" s="192" t="s">
        <v>750</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42"/>
      <c r="T206" s="237"/>
      <c r="U206" s="237"/>
      <c r="V206" s="257"/>
      <c r="W206" s="257"/>
      <c r="X206" s="237"/>
      <c r="Y206" s="242"/>
    </row>
    <row r="207" ht="18.75" customHeight="1">
      <c r="A207" s="241"/>
      <c r="B207" s="192"/>
      <c r="C207" s="193"/>
      <c r="D207" s="237"/>
      <c r="E207" s="237"/>
      <c r="F207" s="237"/>
      <c r="G207" s="237"/>
      <c r="H207" s="237"/>
      <c r="I207" s="192" t="s">
        <v>750</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42"/>
      <c r="T207" s="237"/>
      <c r="U207" s="237"/>
      <c r="V207" s="257"/>
      <c r="W207" s="257"/>
      <c r="X207" s="237"/>
      <c r="Y207" s="242"/>
    </row>
    <row r="208" ht="18.75" customHeight="1">
      <c r="A208" s="241"/>
      <c r="B208" s="192"/>
      <c r="C208" s="193"/>
      <c r="D208" s="237"/>
      <c r="E208" s="237"/>
      <c r="F208" s="237"/>
      <c r="G208" s="237"/>
      <c r="H208" s="237"/>
      <c r="I208" s="192" t="s">
        <v>750</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42"/>
      <c r="T208" s="237"/>
      <c r="U208" s="237"/>
      <c r="V208" s="257"/>
      <c r="W208" s="257"/>
      <c r="X208" s="237"/>
      <c r="Y208" s="242"/>
    </row>
    <row r="209" ht="18.75" customHeight="1">
      <c r="A209" s="241"/>
      <c r="B209" s="192"/>
      <c r="C209" s="193"/>
      <c r="D209" s="237"/>
      <c r="E209" s="237"/>
      <c r="F209" s="237"/>
      <c r="G209" s="237"/>
      <c r="H209" s="237"/>
      <c r="I209" s="192" t="s">
        <v>750</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42"/>
      <c r="T209" s="237"/>
      <c r="U209" s="237"/>
      <c r="V209" s="257"/>
      <c r="W209" s="257"/>
      <c r="X209" s="237"/>
      <c r="Y209" s="242"/>
    </row>
    <row r="210" ht="18.75" customHeight="1">
      <c r="A210" s="241"/>
      <c r="B210" s="192"/>
      <c r="C210" s="193"/>
      <c r="D210" s="237"/>
      <c r="E210" s="237"/>
      <c r="F210" s="237"/>
      <c r="G210" s="237"/>
      <c r="H210" s="237"/>
      <c r="I210" s="192" t="s">
        <v>750</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42"/>
      <c r="T210" s="237"/>
      <c r="U210" s="237"/>
      <c r="V210" s="257"/>
      <c r="W210" s="257"/>
      <c r="X210" s="237"/>
      <c r="Y210" s="242"/>
    </row>
    <row r="211" ht="18.75" customHeight="1">
      <c r="A211" s="241"/>
      <c r="B211" s="192"/>
      <c r="C211" s="193"/>
      <c r="D211" s="237"/>
      <c r="E211" s="237"/>
      <c r="F211" s="237"/>
      <c r="G211" s="237"/>
      <c r="H211" s="237"/>
      <c r="I211" s="192" t="s">
        <v>750</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42"/>
      <c r="T211" s="237"/>
      <c r="U211" s="237"/>
      <c r="V211" s="257"/>
      <c r="W211" s="257"/>
      <c r="X211" s="237"/>
      <c r="Y211" s="242"/>
    </row>
    <row r="212" ht="18.75" customHeight="1">
      <c r="A212" s="241"/>
      <c r="B212" s="192"/>
      <c r="C212" s="193"/>
      <c r="D212" s="237"/>
      <c r="E212" s="237"/>
      <c r="F212" s="237"/>
      <c r="G212" s="237"/>
      <c r="H212" s="237"/>
      <c r="I212" s="192" t="s">
        <v>750</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42"/>
      <c r="T212" s="237"/>
      <c r="U212" s="237"/>
      <c r="V212" s="257"/>
      <c r="W212" s="257"/>
      <c r="X212" s="237"/>
      <c r="Y212" s="242"/>
    </row>
    <row r="213" ht="18.75" customHeight="1">
      <c r="A213" s="241"/>
      <c r="B213" s="192"/>
      <c r="C213" s="193"/>
      <c r="D213" s="237"/>
      <c r="E213" s="237"/>
      <c r="F213" s="237"/>
      <c r="G213" s="237"/>
      <c r="H213" s="237"/>
      <c r="I213" s="192" t="s">
        <v>750</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42"/>
      <c r="T213" s="237"/>
      <c r="U213" s="237"/>
      <c r="V213" s="257"/>
      <c r="W213" s="257"/>
      <c r="X213" s="237"/>
      <c r="Y213" s="242"/>
    </row>
    <row r="214" ht="18.75" customHeight="1">
      <c r="A214" s="241"/>
      <c r="B214" s="192"/>
      <c r="C214" s="193"/>
      <c r="D214" s="237"/>
      <c r="E214" s="237"/>
      <c r="F214" s="237"/>
      <c r="G214" s="237"/>
      <c r="H214" s="237"/>
      <c r="I214" s="192" t="s">
        <v>750</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42"/>
      <c r="T214" s="237"/>
      <c r="U214" s="237"/>
      <c r="V214" s="257"/>
      <c r="W214" s="257"/>
      <c r="X214" s="237"/>
      <c r="Y214" s="242"/>
    </row>
    <row r="215" ht="18.75" customHeight="1">
      <c r="A215" s="241"/>
      <c r="B215" s="192"/>
      <c r="C215" s="193"/>
      <c r="D215" s="237"/>
      <c r="E215" s="237"/>
      <c r="F215" s="237"/>
      <c r="G215" s="237"/>
      <c r="H215" s="237"/>
      <c r="I215" s="192" t="s">
        <v>750</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42"/>
      <c r="T215" s="237"/>
      <c r="U215" s="237"/>
      <c r="V215" s="257"/>
      <c r="W215" s="257"/>
      <c r="X215" s="237"/>
      <c r="Y215" s="242"/>
    </row>
    <row r="216" ht="18.75" customHeight="1">
      <c r="A216" s="241"/>
      <c r="B216" s="192"/>
      <c r="C216" s="193"/>
      <c r="D216" s="237"/>
      <c r="E216" s="237"/>
      <c r="F216" s="237"/>
      <c r="G216" s="237"/>
      <c r="H216" s="237"/>
      <c r="I216" s="192" t="s">
        <v>750</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42"/>
      <c r="T216" s="237"/>
      <c r="U216" s="237"/>
      <c r="V216" s="257"/>
      <c r="W216" s="257"/>
      <c r="X216" s="237"/>
      <c r="Y216" s="242"/>
    </row>
    <row r="217" ht="18.75" customHeight="1">
      <c r="A217" s="241"/>
      <c r="B217" s="192"/>
      <c r="C217" s="193"/>
      <c r="D217" s="237"/>
      <c r="E217" s="237"/>
      <c r="F217" s="237"/>
      <c r="G217" s="237"/>
      <c r="H217" s="237"/>
      <c r="I217" s="192" t="s">
        <v>750</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42"/>
      <c r="T217" s="237"/>
      <c r="U217" s="237"/>
      <c r="V217" s="257"/>
      <c r="W217" s="257"/>
      <c r="X217" s="237"/>
      <c r="Y217" s="242"/>
    </row>
    <row r="218" ht="18.75" customHeight="1">
      <c r="A218" s="241"/>
      <c r="B218" s="192"/>
      <c r="C218" s="193"/>
      <c r="D218" s="237"/>
      <c r="E218" s="237"/>
      <c r="F218" s="237"/>
      <c r="G218" s="237"/>
      <c r="H218" s="237"/>
      <c r="I218" s="192" t="s">
        <v>750</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42"/>
      <c r="T218" s="237"/>
      <c r="U218" s="237"/>
      <c r="V218" s="257"/>
      <c r="W218" s="257"/>
      <c r="X218" s="237"/>
      <c r="Y218" s="242"/>
    </row>
    <row r="219" ht="18.75" customHeight="1">
      <c r="A219" s="241"/>
      <c r="B219" s="192"/>
      <c r="C219" s="193"/>
      <c r="D219" s="237"/>
      <c r="E219" s="237"/>
      <c r="F219" s="237"/>
      <c r="G219" s="237"/>
      <c r="H219" s="237"/>
      <c r="I219" s="192" t="s">
        <v>750</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42"/>
      <c r="T219" s="237"/>
      <c r="U219" s="237"/>
      <c r="V219" s="257"/>
      <c r="W219" s="257"/>
      <c r="X219" s="237"/>
      <c r="Y219" s="242"/>
    </row>
    <row r="220" ht="18.75" customHeight="1">
      <c r="A220" s="241"/>
      <c r="B220" s="192"/>
      <c r="C220" s="193"/>
      <c r="D220" s="237"/>
      <c r="E220" s="237"/>
      <c r="F220" s="237"/>
      <c r="G220" s="237"/>
      <c r="H220" s="237"/>
      <c r="I220" s="192" t="s">
        <v>750</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42"/>
      <c r="T220" s="237"/>
      <c r="U220" s="237"/>
      <c r="V220" s="257"/>
      <c r="W220" s="257"/>
      <c r="X220" s="237"/>
      <c r="Y220" s="242"/>
    </row>
    <row r="221" ht="18.75" customHeight="1">
      <c r="A221" s="241"/>
      <c r="B221" s="192"/>
      <c r="C221" s="193"/>
      <c r="D221" s="237"/>
      <c r="E221" s="237"/>
      <c r="F221" s="237"/>
      <c r="G221" s="237"/>
      <c r="H221" s="237"/>
      <c r="I221" s="192" t="s">
        <v>750</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42"/>
      <c r="T221" s="237"/>
      <c r="U221" s="237"/>
      <c r="V221" s="257"/>
      <c r="W221" s="257"/>
      <c r="X221" s="237"/>
      <c r="Y221" s="242"/>
    </row>
    <row r="222" ht="18.75" customHeight="1">
      <c r="A222" s="241"/>
      <c r="B222" s="192"/>
      <c r="C222" s="193"/>
      <c r="D222" s="237"/>
      <c r="E222" s="237"/>
      <c r="F222" s="237"/>
      <c r="G222" s="237"/>
      <c r="H222" s="237"/>
      <c r="I222" s="192" t="s">
        <v>750</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42"/>
      <c r="T222" s="237"/>
      <c r="U222" s="237"/>
      <c r="V222" s="257"/>
      <c r="W222" s="257"/>
      <c r="X222" s="237"/>
      <c r="Y222" s="242"/>
    </row>
    <row r="223" ht="18.75" customHeight="1">
      <c r="A223" s="241"/>
      <c r="B223" s="192"/>
      <c r="C223" s="193"/>
      <c r="D223" s="237"/>
      <c r="E223" s="237"/>
      <c r="F223" s="237"/>
      <c r="G223" s="237"/>
      <c r="H223" s="237"/>
      <c r="I223" s="192" t="s">
        <v>750</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42"/>
      <c r="T223" s="237"/>
      <c r="U223" s="237"/>
      <c r="V223" s="257"/>
      <c r="W223" s="257"/>
      <c r="X223" s="237"/>
      <c r="Y223" s="242"/>
    </row>
    <row r="224" ht="18.75" customHeight="1">
      <c r="A224" s="241"/>
      <c r="B224" s="192"/>
      <c r="C224" s="193"/>
      <c r="D224" s="237"/>
      <c r="E224" s="237"/>
      <c r="F224" s="237"/>
      <c r="G224" s="237"/>
      <c r="H224" s="237"/>
      <c r="I224" s="192" t="s">
        <v>750</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42"/>
      <c r="T224" s="237"/>
      <c r="U224" s="237"/>
      <c r="V224" s="257"/>
      <c r="W224" s="257"/>
      <c r="X224" s="237"/>
      <c r="Y224" s="242"/>
    </row>
    <row r="225" ht="18.75" customHeight="1">
      <c r="A225" s="241"/>
      <c r="B225" s="192"/>
      <c r="C225" s="193"/>
      <c r="D225" s="237"/>
      <c r="E225" s="237"/>
      <c r="F225" s="237"/>
      <c r="G225" s="237"/>
      <c r="H225" s="237"/>
      <c r="I225" s="192" t="s">
        <v>750</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42"/>
      <c r="T225" s="237"/>
      <c r="U225" s="237"/>
      <c r="V225" s="257"/>
      <c r="W225" s="257"/>
      <c r="X225" s="237"/>
      <c r="Y225" s="242"/>
    </row>
    <row r="226" ht="18.75" customHeight="1">
      <c r="A226" s="241"/>
      <c r="B226" s="192"/>
      <c r="C226" s="193"/>
      <c r="D226" s="237"/>
      <c r="E226" s="237"/>
      <c r="F226" s="237"/>
      <c r="G226" s="237"/>
      <c r="H226" s="237"/>
      <c r="I226" s="192" t="s">
        <v>750</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42"/>
      <c r="T226" s="237"/>
      <c r="U226" s="237"/>
      <c r="V226" s="257"/>
      <c r="W226" s="257"/>
      <c r="X226" s="237"/>
      <c r="Y226" s="242"/>
    </row>
    <row r="227" ht="18.75" customHeight="1">
      <c r="A227" s="241"/>
      <c r="B227" s="192"/>
      <c r="C227" s="193"/>
      <c r="D227" s="237"/>
      <c r="E227" s="237"/>
      <c r="F227" s="237"/>
      <c r="G227" s="237"/>
      <c r="H227" s="237"/>
      <c r="I227" s="192" t="s">
        <v>750</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42"/>
      <c r="T227" s="237"/>
      <c r="U227" s="237"/>
      <c r="V227" s="257"/>
      <c r="W227" s="257"/>
      <c r="X227" s="237"/>
      <c r="Y227" s="242"/>
    </row>
    <row r="228" ht="18.75" customHeight="1">
      <c r="A228" s="241"/>
      <c r="B228" s="192"/>
      <c r="C228" s="193"/>
      <c r="D228" s="237"/>
      <c r="E228" s="237"/>
      <c r="F228" s="237"/>
      <c r="G228" s="237"/>
      <c r="H228" s="237"/>
      <c r="I228" s="192" t="s">
        <v>750</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42"/>
      <c r="T228" s="237"/>
      <c r="U228" s="237"/>
      <c r="V228" s="257"/>
      <c r="W228" s="257"/>
      <c r="X228" s="237"/>
      <c r="Y228" s="242"/>
    </row>
    <row r="229" ht="18.75" customHeight="1">
      <c r="A229" s="241"/>
      <c r="B229" s="207" t="s">
        <v>647</v>
      </c>
      <c r="C229" s="207"/>
      <c r="D229" s="207"/>
      <c r="E229" s="207"/>
      <c r="F229" s="207"/>
      <c r="G229" s="207"/>
      <c r="H229" s="207"/>
      <c r="I229" s="207"/>
      <c r="J229" s="207"/>
      <c r="K229" s="207"/>
      <c r="L229" s="207"/>
      <c r="M229" s="207"/>
      <c r="N229" s="207"/>
      <c r="O229" s="207"/>
      <c r="P229" s="207"/>
      <c r="Q229" s="207"/>
      <c r="R229" s="207"/>
      <c r="S229" s="207"/>
      <c r="T229" s="207"/>
      <c r="U229" s="207"/>
      <c r="V229" s="259"/>
      <c r="W229" s="259"/>
      <c r="X229" s="207"/>
      <c r="Y229" s="207"/>
    </row>
  </sheetData>
  <autoFilter ref="$A$1:$Y$229"/>
  <conditionalFormatting sqref="B6:Y6">
    <cfRule type="expression" dxfId="9" priority="1">
      <formula>B$6="Automatic"</formula>
    </cfRule>
  </conditionalFormatting>
  <conditionalFormatting sqref="B2:Y2 B6:Y6">
    <cfRule type="expression" dxfId="8" priority="2">
      <formula>B$6="Minimum Required"</formula>
    </cfRule>
  </conditionalFormatting>
  <conditionalFormatting sqref="B6:Y6">
    <cfRule type="expression" dxfId="10" priority="3">
      <formula>B$6="Recommended"</formula>
    </cfRule>
  </conditionalFormatting>
  <conditionalFormatting sqref="B6:Y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S3 X3:Y3">
      <formula1>Dropdowns!$AJ$4:$AJ$8</formula1>
    </dataValidation>
    <dataValidation type="list" allowBlank="1" showErrorMessage="1" sqref="T3:W3">
      <formula1>Dropdowns!$AJ$4:$AJ$8</formula1>
    </dataValidation>
    <dataValidation type="list" allowBlank="1" showErrorMessage="1" sqref="C9:C228">
      <formula1>Dropdowns!$AQ$4:$AQ$5</formula1>
    </dataValidation>
    <dataValidation type="list" allowBlank="1" showErrorMessage="1" sqref="I9:I228">
      <formula1>BEC_openBDF!$G$5:$G$154</formula1>
    </dataValidation>
  </dataValidations>
  <hyperlinks>
    <hyperlink r:id="rId2" ref="S9"/>
    <hyperlink r:id="rId3" ref="S10"/>
    <hyperlink r:id="rId4" ref="S11"/>
    <hyperlink r:id="rId5" ref="S12"/>
    <hyperlink r:id="rId6" ref="S13"/>
    <hyperlink r:id="rId7" ref="S14"/>
    <hyperlink r:id="rId8" ref="S15"/>
    <hyperlink r:id="rId9" ref="S16"/>
    <hyperlink r:id="rId10" ref="S17"/>
    <hyperlink r:id="rId11" ref="S18"/>
    <hyperlink r:id="rId12" ref="S19"/>
    <hyperlink r:id="rId13" ref="S20"/>
    <hyperlink r:id="rId14" ref="S21"/>
    <hyperlink r:id="rId15" ref="S22"/>
    <hyperlink r:id="rId16" ref="S23"/>
    <hyperlink r:id="rId17" ref="S24"/>
    <hyperlink r:id="rId18" ref="S25"/>
    <hyperlink r:id="rId19" ref="S26"/>
    <hyperlink r:id="rId20" ref="S27"/>
    <hyperlink r:id="rId21" ref="S28"/>
    <hyperlink r:id="rId22" ref="S29"/>
    <hyperlink r:id="rId23" ref="S30"/>
    <hyperlink r:id="rId24" ref="S31"/>
    <hyperlink r:id="rId25" ref="S32"/>
    <hyperlink r:id="rId26" ref="S33"/>
    <hyperlink r:id="rId27" ref="S34"/>
    <hyperlink r:id="rId28" ref="S35"/>
    <hyperlink r:id="rId29" ref="S36"/>
    <hyperlink r:id="rId30" ref="S37"/>
    <hyperlink r:id="rId31" ref="S38"/>
    <hyperlink r:id="rId32" ref="S39"/>
    <hyperlink r:id="rId33" ref="S40"/>
    <hyperlink r:id="rId34" ref="S41"/>
    <hyperlink r:id="rId35" ref="S42"/>
    <hyperlink r:id="rId36" ref="S43"/>
    <hyperlink r:id="rId37" ref="S44"/>
    <hyperlink r:id="rId38" ref="S45"/>
    <hyperlink r:id="rId39" ref="S46"/>
    <hyperlink r:id="rId40" ref="S47"/>
    <hyperlink r:id="rId41" ref="S48"/>
    <hyperlink r:id="rId42" ref="S49"/>
    <hyperlink r:id="rId43" ref="S50"/>
    <hyperlink r:id="rId44" ref="S51"/>
    <hyperlink r:id="rId45" ref="S52"/>
    <hyperlink r:id="rId46" ref="S53"/>
    <hyperlink r:id="rId47" ref="S54"/>
    <hyperlink r:id="rId48" ref="S55"/>
    <hyperlink r:id="rId49" ref="S56"/>
    <hyperlink r:id="rId50" ref="S57"/>
    <hyperlink r:id="rId51" ref="S58"/>
    <hyperlink r:id="rId52" ref="S59"/>
    <hyperlink r:id="rId53" ref="S60"/>
    <hyperlink r:id="rId54" ref="S61"/>
    <hyperlink r:id="rId55" ref="S62"/>
    <hyperlink r:id="rId56" ref="S63"/>
    <hyperlink r:id="rId57" ref="S64"/>
    <hyperlink r:id="rId58" ref="S65"/>
    <hyperlink r:id="rId59" ref="S66"/>
    <hyperlink r:id="rId60" ref="S67"/>
    <hyperlink r:id="rId61" ref="S68"/>
    <hyperlink r:id="rId62" ref="S69"/>
    <hyperlink r:id="rId63" ref="S70"/>
    <hyperlink r:id="rId64" ref="S71"/>
    <hyperlink r:id="rId65" ref="S72"/>
    <hyperlink r:id="rId66" ref="S73"/>
    <hyperlink r:id="rId67" ref="S74"/>
    <hyperlink r:id="rId68" ref="S75"/>
    <hyperlink r:id="rId69" ref="S76"/>
    <hyperlink r:id="rId70" ref="S77"/>
    <hyperlink r:id="rId71" ref="S78"/>
    <hyperlink r:id="rId72" ref="S79"/>
    <hyperlink r:id="rId73" ref="S80"/>
    <hyperlink r:id="rId74" ref="S81"/>
    <hyperlink r:id="rId75" ref="S82"/>
    <hyperlink r:id="rId76" ref="S83"/>
    <hyperlink r:id="rId77" ref="S84"/>
    <hyperlink r:id="rId78" ref="S85"/>
    <hyperlink r:id="rId79" ref="S86"/>
    <hyperlink r:id="rId80" ref="S87"/>
    <hyperlink r:id="rId81" ref="S88"/>
    <hyperlink r:id="rId82" ref="S89"/>
    <hyperlink r:id="rId83" ref="S90"/>
    <hyperlink r:id="rId84" ref="S91"/>
    <hyperlink r:id="rId85" ref="S92"/>
    <hyperlink r:id="rId86" ref="S93"/>
    <hyperlink r:id="rId87" ref="S94"/>
    <hyperlink r:id="rId88" ref="S95"/>
  </hyperlinks>
  <printOptions/>
  <pageMargins bottom="0.75" footer="0.0" header="0.0" left="0.7" right="0.7" top="0.75"/>
  <pageSetup orientation="portrait"/>
  <drawing r:id="rId89"/>
  <legacyDrawing r:id="rId9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19.5"/>
    <col customWidth="1" min="3" max="3" width="23.88"/>
    <col customWidth="1" min="4" max="10" width="15.13"/>
    <col customWidth="1" hidden="1" min="11" max="26" width="15.13" outlineLevel="1"/>
    <col collapsed="1" customWidth="1" min="27" max="27" width="17.13"/>
    <col customWidth="1" hidden="1" min="28" max="43" width="15.13" outlineLevel="1"/>
    <col collapsed="1" customWidth="1" min="44" max="44" width="15.13"/>
    <col customWidth="1" hidden="1" min="45" max="60" width="16.13" outlineLevel="1"/>
    <col collapsed="1" customWidth="1" min="61" max="61" width="16.13"/>
    <col customWidth="1" hidden="1" min="62" max="77" width="15.13" outlineLevel="1"/>
    <col collapsed="1" customWidth="1" min="78" max="78" width="15.13"/>
    <col customWidth="1" hidden="1" min="79" max="94" width="15.13" outlineLevel="1"/>
    <col collapsed="1" customWidth="1" min="95" max="95" width="15.13"/>
    <col customWidth="1" hidden="1" min="96" max="111" width="15.13" outlineLevel="1"/>
    <col collapsed="1" customWidth="1" min="112" max="112" width="15.13"/>
    <col customWidth="1" hidden="1" min="113" max="128" width="15.13" outlineLevel="1"/>
    <col collapsed="1" customWidth="1" min="129" max="129" width="15.13"/>
    <col customWidth="1" hidden="1" min="130" max="145" width="15.13" outlineLevel="1"/>
    <col collapsed="1" customWidth="1" min="146" max="146" width="15.13"/>
    <col customWidth="1" hidden="1" min="147" max="162" width="15.13" outlineLevel="1"/>
    <col collapsed="1" customWidth="1" min="163" max="163" width="15.13"/>
    <col customWidth="1" hidden="1" min="164" max="179" width="15.13" outlineLevel="1"/>
    <col collapsed="1" customWidth="1" min="180" max="180" width="15.13"/>
    <col customWidth="1" hidden="1" min="181" max="196" width="15.13" outlineLevel="1"/>
    <col collapsed="1" customWidth="1" min="197" max="197" width="15.13"/>
    <col customWidth="1" hidden="1" min="198" max="213" width="15.13" outlineLevel="1"/>
    <col collapsed="1" customWidth="1" min="214" max="214" width="15.13"/>
    <col customWidth="1" hidden="1" min="215" max="230" width="15.13" outlineLevel="1"/>
    <col collapsed="1" customWidth="1" min="231" max="231" width="15.13"/>
    <col customWidth="1" hidden="1" min="232" max="247" width="15.13" outlineLevel="1"/>
    <col collapsed="1" customWidth="1" min="248" max="248" width="15.13"/>
    <col customWidth="1" hidden="1" min="249" max="264" width="15.13" outlineLevel="1"/>
    <col collapsed="1" customWidth="1" min="265" max="265" width="15.13"/>
    <col customWidth="1" hidden="1" min="266" max="281" width="15.13" outlineLevel="1"/>
    <col collapsed="1" customWidth="1" min="282" max="282" width="15.13"/>
    <col customWidth="1" hidden="1" min="283" max="298" width="15.13" outlineLevel="1"/>
    <col collapsed="1" customWidth="1" min="299" max="299" width="15.13"/>
    <col customWidth="1" hidden="1" min="300" max="315" width="15.13" outlineLevel="1"/>
    <col collapsed="1" customWidth="1" min="316" max="316" width="15.13"/>
    <col customWidth="1" hidden="1" min="317" max="332" width="15.13" outlineLevel="1"/>
    <col collapsed="1" customWidth="1" min="333" max="333" width="15.13"/>
    <col customWidth="1" hidden="1" min="334" max="349" width="15.13" outlineLevel="1"/>
    <col collapsed="1" customWidth="1" min="350" max="350" width="15.13"/>
  </cols>
  <sheetData>
    <row r="1" ht="60.0" customHeight="1">
      <c r="A1" s="264" t="s">
        <v>587</v>
      </c>
      <c r="B1" s="161" t="s">
        <v>589</v>
      </c>
      <c r="C1" s="161" t="s">
        <v>590</v>
      </c>
      <c r="D1" s="161" t="s">
        <v>591</v>
      </c>
      <c r="E1" s="163" t="s">
        <v>688</v>
      </c>
      <c r="F1" s="163" t="s">
        <v>689</v>
      </c>
      <c r="G1" s="163" t="s">
        <v>690</v>
      </c>
      <c r="H1" s="163" t="s">
        <v>691</v>
      </c>
      <c r="I1" s="163" t="s">
        <v>597</v>
      </c>
      <c r="J1" s="162" t="s">
        <v>692</v>
      </c>
      <c r="K1" s="265" t="s">
        <v>837</v>
      </c>
      <c r="L1" s="265" t="s">
        <v>838</v>
      </c>
      <c r="M1" s="265" t="s">
        <v>839</v>
      </c>
      <c r="N1" s="265" t="s">
        <v>840</v>
      </c>
      <c r="O1" s="265" t="s">
        <v>841</v>
      </c>
      <c r="P1" s="265" t="s">
        <v>842</v>
      </c>
      <c r="Q1" s="265" t="s">
        <v>843</v>
      </c>
      <c r="R1" s="265" t="s">
        <v>844</v>
      </c>
      <c r="S1" s="265" t="s">
        <v>845</v>
      </c>
      <c r="T1" s="265" t="s">
        <v>846</v>
      </c>
      <c r="U1" s="265" t="s">
        <v>847</v>
      </c>
      <c r="V1" s="265" t="s">
        <v>848</v>
      </c>
      <c r="W1" s="265" t="s">
        <v>849</v>
      </c>
      <c r="X1" s="265" t="s">
        <v>850</v>
      </c>
      <c r="Y1" s="265" t="s">
        <v>851</v>
      </c>
      <c r="Z1" s="265" t="s">
        <v>852</v>
      </c>
      <c r="AA1" s="266" t="s">
        <v>853</v>
      </c>
      <c r="AB1" s="267" t="s">
        <v>854</v>
      </c>
      <c r="AC1" s="267" t="s">
        <v>855</v>
      </c>
      <c r="AD1" s="267" t="s">
        <v>856</v>
      </c>
      <c r="AE1" s="267" t="s">
        <v>857</v>
      </c>
      <c r="AF1" s="267" t="s">
        <v>858</v>
      </c>
      <c r="AG1" s="267" t="s">
        <v>859</v>
      </c>
      <c r="AH1" s="267" t="s">
        <v>860</v>
      </c>
      <c r="AI1" s="267" t="s">
        <v>861</v>
      </c>
      <c r="AJ1" s="267" t="s">
        <v>862</v>
      </c>
      <c r="AK1" s="267" t="s">
        <v>863</v>
      </c>
      <c r="AL1" s="267" t="s">
        <v>864</v>
      </c>
      <c r="AM1" s="267" t="s">
        <v>865</v>
      </c>
      <c r="AN1" s="267" t="s">
        <v>866</v>
      </c>
      <c r="AO1" s="267" t="s">
        <v>867</v>
      </c>
      <c r="AP1" s="267" t="s">
        <v>868</v>
      </c>
      <c r="AQ1" s="267" t="s">
        <v>869</v>
      </c>
      <c r="AR1" s="268" t="s">
        <v>870</v>
      </c>
      <c r="AS1" s="267" t="s">
        <v>871</v>
      </c>
      <c r="AT1" s="267" t="s">
        <v>872</v>
      </c>
      <c r="AU1" s="267" t="s">
        <v>873</v>
      </c>
      <c r="AV1" s="267" t="s">
        <v>874</v>
      </c>
      <c r="AW1" s="267" t="s">
        <v>875</v>
      </c>
      <c r="AX1" s="267" t="s">
        <v>876</v>
      </c>
      <c r="AY1" s="267" t="s">
        <v>877</v>
      </c>
      <c r="AZ1" s="267" t="s">
        <v>878</v>
      </c>
      <c r="BA1" s="267" t="s">
        <v>879</v>
      </c>
      <c r="BB1" s="267" t="s">
        <v>880</v>
      </c>
      <c r="BC1" s="267" t="s">
        <v>881</v>
      </c>
      <c r="BD1" s="267" t="s">
        <v>882</v>
      </c>
      <c r="BE1" s="267" t="s">
        <v>883</v>
      </c>
      <c r="BF1" s="267" t="s">
        <v>884</v>
      </c>
      <c r="BG1" s="267" t="s">
        <v>885</v>
      </c>
      <c r="BH1" s="267" t="s">
        <v>886</v>
      </c>
      <c r="BI1" s="268" t="s">
        <v>887</v>
      </c>
      <c r="BJ1" s="265" t="s">
        <v>888</v>
      </c>
      <c r="BK1" s="265" t="s">
        <v>889</v>
      </c>
      <c r="BL1" s="265" t="s">
        <v>890</v>
      </c>
      <c r="BM1" s="265" t="s">
        <v>891</v>
      </c>
      <c r="BN1" s="265" t="s">
        <v>892</v>
      </c>
      <c r="BO1" s="265" t="s">
        <v>893</v>
      </c>
      <c r="BP1" s="265" t="s">
        <v>894</v>
      </c>
      <c r="BQ1" s="265" t="s">
        <v>895</v>
      </c>
      <c r="BR1" s="265" t="s">
        <v>896</v>
      </c>
      <c r="BS1" s="265" t="s">
        <v>897</v>
      </c>
      <c r="BT1" s="265" t="s">
        <v>898</v>
      </c>
      <c r="BU1" s="265" t="s">
        <v>899</v>
      </c>
      <c r="BV1" s="265" t="s">
        <v>900</v>
      </c>
      <c r="BW1" s="265" t="s">
        <v>901</v>
      </c>
      <c r="BX1" s="265" t="s">
        <v>902</v>
      </c>
      <c r="BY1" s="265" t="s">
        <v>903</v>
      </c>
      <c r="BZ1" s="269" t="s">
        <v>904</v>
      </c>
      <c r="CA1" s="265" t="s">
        <v>905</v>
      </c>
      <c r="CB1" s="265" t="s">
        <v>906</v>
      </c>
      <c r="CC1" s="267" t="s">
        <v>907</v>
      </c>
      <c r="CD1" s="265" t="s">
        <v>908</v>
      </c>
      <c r="CE1" s="267" t="s">
        <v>909</v>
      </c>
      <c r="CF1" s="267" t="s">
        <v>910</v>
      </c>
      <c r="CG1" s="265" t="s">
        <v>911</v>
      </c>
      <c r="CH1" s="265" t="s">
        <v>912</v>
      </c>
      <c r="CI1" s="265" t="s">
        <v>913</v>
      </c>
      <c r="CJ1" s="265" t="s">
        <v>914</v>
      </c>
      <c r="CK1" s="265" t="s">
        <v>915</v>
      </c>
      <c r="CL1" s="265" t="s">
        <v>916</v>
      </c>
      <c r="CM1" s="265" t="s">
        <v>917</v>
      </c>
      <c r="CN1" s="265" t="s">
        <v>918</v>
      </c>
      <c r="CO1" s="265" t="s">
        <v>919</v>
      </c>
      <c r="CP1" s="265" t="s">
        <v>920</v>
      </c>
      <c r="CQ1" s="266" t="s">
        <v>921</v>
      </c>
      <c r="CR1" s="265" t="s">
        <v>922</v>
      </c>
      <c r="CS1" s="265" t="s">
        <v>923</v>
      </c>
      <c r="CT1" s="265" t="s">
        <v>924</v>
      </c>
      <c r="CU1" s="265" t="s">
        <v>925</v>
      </c>
      <c r="CV1" s="265" t="s">
        <v>926</v>
      </c>
      <c r="CW1" s="265" t="s">
        <v>927</v>
      </c>
      <c r="CX1" s="265" t="s">
        <v>928</v>
      </c>
      <c r="CY1" s="265" t="s">
        <v>929</v>
      </c>
      <c r="CZ1" s="265" t="s">
        <v>929</v>
      </c>
      <c r="DA1" s="265" t="s">
        <v>930</v>
      </c>
      <c r="DB1" s="265" t="s">
        <v>931</v>
      </c>
      <c r="DC1" s="265" t="s">
        <v>932</v>
      </c>
      <c r="DD1" s="265" t="s">
        <v>933</v>
      </c>
      <c r="DE1" s="265" t="s">
        <v>934</v>
      </c>
      <c r="DF1" s="265" t="s">
        <v>935</v>
      </c>
      <c r="DG1" s="267" t="s">
        <v>936</v>
      </c>
      <c r="DH1" s="266" t="s">
        <v>937</v>
      </c>
      <c r="DI1" s="265" t="s">
        <v>938</v>
      </c>
      <c r="DJ1" s="265" t="s">
        <v>939</v>
      </c>
      <c r="DK1" s="265" t="s">
        <v>940</v>
      </c>
      <c r="DL1" s="265" t="s">
        <v>941</v>
      </c>
      <c r="DM1" s="265" t="s">
        <v>942</v>
      </c>
      <c r="DN1" s="265" t="s">
        <v>943</v>
      </c>
      <c r="DO1" s="265" t="s">
        <v>944</v>
      </c>
      <c r="DP1" s="265" t="s">
        <v>945</v>
      </c>
      <c r="DQ1" s="265" t="s">
        <v>946</v>
      </c>
      <c r="DR1" s="265" t="s">
        <v>947</v>
      </c>
      <c r="DS1" s="265" t="s">
        <v>948</v>
      </c>
      <c r="DT1" s="265" t="s">
        <v>949</v>
      </c>
      <c r="DU1" s="265" t="s">
        <v>950</v>
      </c>
      <c r="DV1" s="265" t="s">
        <v>951</v>
      </c>
      <c r="DW1" s="265" t="s">
        <v>952</v>
      </c>
      <c r="DX1" s="265" t="s">
        <v>953</v>
      </c>
      <c r="DY1" s="266" t="s">
        <v>954</v>
      </c>
      <c r="DZ1" s="265" t="s">
        <v>955</v>
      </c>
      <c r="EA1" s="265" t="s">
        <v>956</v>
      </c>
      <c r="EB1" s="265" t="s">
        <v>957</v>
      </c>
      <c r="EC1" s="265" t="s">
        <v>958</v>
      </c>
      <c r="ED1" s="265" t="s">
        <v>959</v>
      </c>
      <c r="EE1" s="265" t="s">
        <v>960</v>
      </c>
      <c r="EF1" s="265" t="s">
        <v>961</v>
      </c>
      <c r="EG1" s="265" t="s">
        <v>962</v>
      </c>
      <c r="EH1" s="265" t="s">
        <v>963</v>
      </c>
      <c r="EI1" s="265" t="s">
        <v>964</v>
      </c>
      <c r="EJ1" s="265" t="s">
        <v>965</v>
      </c>
      <c r="EK1" s="265" t="s">
        <v>966</v>
      </c>
      <c r="EL1" s="265" t="s">
        <v>967</v>
      </c>
      <c r="EM1" s="265" t="s">
        <v>968</v>
      </c>
      <c r="EN1" s="265" t="s">
        <v>969</v>
      </c>
      <c r="EO1" s="265" t="s">
        <v>970</v>
      </c>
      <c r="EP1" s="266" t="s">
        <v>971</v>
      </c>
      <c r="EQ1" s="265" t="s">
        <v>972</v>
      </c>
      <c r="ER1" s="265" t="s">
        <v>973</v>
      </c>
      <c r="ES1" s="265" t="s">
        <v>974</v>
      </c>
      <c r="ET1" s="265" t="s">
        <v>975</v>
      </c>
      <c r="EU1" s="265" t="s">
        <v>976</v>
      </c>
      <c r="EV1" s="265" t="s">
        <v>977</v>
      </c>
      <c r="EW1" s="265" t="s">
        <v>978</v>
      </c>
      <c r="EX1" s="265" t="s">
        <v>979</v>
      </c>
      <c r="EY1" s="265" t="s">
        <v>980</v>
      </c>
      <c r="EZ1" s="265" t="s">
        <v>981</v>
      </c>
      <c r="FA1" s="265" t="s">
        <v>982</v>
      </c>
      <c r="FB1" s="265" t="s">
        <v>983</v>
      </c>
      <c r="FC1" s="265" t="s">
        <v>984</v>
      </c>
      <c r="FD1" s="265" t="s">
        <v>985</v>
      </c>
      <c r="FE1" s="265" t="s">
        <v>986</v>
      </c>
      <c r="FF1" s="265" t="s">
        <v>987</v>
      </c>
      <c r="FG1" s="266" t="s">
        <v>988</v>
      </c>
      <c r="FH1" s="267" t="s">
        <v>989</v>
      </c>
      <c r="FI1" s="267" t="s">
        <v>990</v>
      </c>
      <c r="FJ1" s="267" t="s">
        <v>991</v>
      </c>
      <c r="FK1" s="267" t="s">
        <v>992</v>
      </c>
      <c r="FL1" s="267" t="s">
        <v>993</v>
      </c>
      <c r="FM1" s="267" t="s">
        <v>994</v>
      </c>
      <c r="FN1" s="267" t="s">
        <v>995</v>
      </c>
      <c r="FO1" s="267" t="s">
        <v>996</v>
      </c>
      <c r="FP1" s="267" t="s">
        <v>997</v>
      </c>
      <c r="FQ1" s="267" t="s">
        <v>998</v>
      </c>
      <c r="FR1" s="267" t="s">
        <v>999</v>
      </c>
      <c r="FS1" s="267" t="s">
        <v>1000</v>
      </c>
      <c r="FT1" s="267" t="s">
        <v>1001</v>
      </c>
      <c r="FU1" s="267" t="s">
        <v>1002</v>
      </c>
      <c r="FV1" s="267" t="s">
        <v>1003</v>
      </c>
      <c r="FW1" s="267" t="s">
        <v>1004</v>
      </c>
      <c r="FX1" s="270" t="s">
        <v>1005</v>
      </c>
      <c r="FY1" s="265" t="s">
        <v>1006</v>
      </c>
      <c r="FZ1" s="265" t="s">
        <v>1007</v>
      </c>
      <c r="GA1" s="265" t="s">
        <v>1008</v>
      </c>
      <c r="GB1" s="265" t="s">
        <v>1009</v>
      </c>
      <c r="GC1" s="265" t="s">
        <v>1010</v>
      </c>
      <c r="GD1" s="265" t="s">
        <v>1011</v>
      </c>
      <c r="GE1" s="265" t="s">
        <v>1012</v>
      </c>
      <c r="GF1" s="265" t="s">
        <v>1013</v>
      </c>
      <c r="GG1" s="265" t="s">
        <v>1013</v>
      </c>
      <c r="GH1" s="265" t="s">
        <v>1014</v>
      </c>
      <c r="GI1" s="265" t="s">
        <v>1015</v>
      </c>
      <c r="GJ1" s="265" t="s">
        <v>1016</v>
      </c>
      <c r="GK1" s="265" t="s">
        <v>1017</v>
      </c>
      <c r="GL1" s="265" t="s">
        <v>1018</v>
      </c>
      <c r="GM1" s="265" t="s">
        <v>1019</v>
      </c>
      <c r="GN1" s="265" t="s">
        <v>1020</v>
      </c>
      <c r="GO1" s="266" t="s">
        <v>1021</v>
      </c>
      <c r="GP1" s="265" t="s">
        <v>1022</v>
      </c>
      <c r="GQ1" s="265" t="s">
        <v>1023</v>
      </c>
      <c r="GR1" s="265" t="s">
        <v>1024</v>
      </c>
      <c r="GS1" s="265" t="s">
        <v>1025</v>
      </c>
      <c r="GT1" s="265" t="s">
        <v>1026</v>
      </c>
      <c r="GU1" s="265" t="s">
        <v>1027</v>
      </c>
      <c r="GV1" s="265" t="s">
        <v>1028</v>
      </c>
      <c r="GW1" s="265" t="s">
        <v>1029</v>
      </c>
      <c r="GX1" s="265" t="s">
        <v>1029</v>
      </c>
      <c r="GY1" s="265" t="s">
        <v>1030</v>
      </c>
      <c r="GZ1" s="265" t="s">
        <v>1031</v>
      </c>
      <c r="HA1" s="265" t="s">
        <v>1032</v>
      </c>
      <c r="HB1" s="265" t="s">
        <v>1033</v>
      </c>
      <c r="HC1" s="265" t="s">
        <v>1034</v>
      </c>
      <c r="HD1" s="265" t="s">
        <v>1035</v>
      </c>
      <c r="HE1" s="265" t="s">
        <v>1036</v>
      </c>
      <c r="HF1" s="266" t="s">
        <v>1037</v>
      </c>
      <c r="HG1" s="265" t="s">
        <v>1038</v>
      </c>
      <c r="HH1" s="265" t="s">
        <v>1039</v>
      </c>
      <c r="HI1" s="265" t="s">
        <v>1040</v>
      </c>
      <c r="HJ1" s="265" t="s">
        <v>1041</v>
      </c>
      <c r="HK1" s="265" t="s">
        <v>1042</v>
      </c>
      <c r="HL1" s="265" t="s">
        <v>1043</v>
      </c>
      <c r="HM1" s="265" t="s">
        <v>1044</v>
      </c>
      <c r="HN1" s="265" t="s">
        <v>1045</v>
      </c>
      <c r="HO1" s="265" t="s">
        <v>1046</v>
      </c>
      <c r="HP1" s="265" t="s">
        <v>1047</v>
      </c>
      <c r="HQ1" s="265" t="s">
        <v>1048</v>
      </c>
      <c r="HR1" s="265" t="s">
        <v>1049</v>
      </c>
      <c r="HS1" s="265" t="s">
        <v>1050</v>
      </c>
      <c r="HT1" s="265" t="s">
        <v>1051</v>
      </c>
      <c r="HU1" s="265" t="s">
        <v>1052</v>
      </c>
      <c r="HV1" s="265" t="s">
        <v>1053</v>
      </c>
      <c r="HW1" s="270" t="s">
        <v>1054</v>
      </c>
      <c r="HX1" s="267" t="s">
        <v>1055</v>
      </c>
      <c r="HY1" s="267" t="s">
        <v>1056</v>
      </c>
      <c r="HZ1" s="267" t="s">
        <v>1057</v>
      </c>
      <c r="IA1" s="267" t="s">
        <v>1058</v>
      </c>
      <c r="IB1" s="267" t="s">
        <v>1059</v>
      </c>
      <c r="IC1" s="267" t="s">
        <v>1060</v>
      </c>
      <c r="ID1" s="267" t="s">
        <v>1061</v>
      </c>
      <c r="IE1" s="267" t="s">
        <v>1062</v>
      </c>
      <c r="IF1" s="267" t="s">
        <v>1063</v>
      </c>
      <c r="IG1" s="267" t="s">
        <v>1064</v>
      </c>
      <c r="IH1" s="267" t="s">
        <v>1065</v>
      </c>
      <c r="II1" s="267" t="s">
        <v>1066</v>
      </c>
      <c r="IJ1" s="267" t="s">
        <v>1067</v>
      </c>
      <c r="IK1" s="267" t="s">
        <v>1068</v>
      </c>
      <c r="IL1" s="267" t="s">
        <v>1069</v>
      </c>
      <c r="IM1" s="267" t="s">
        <v>1070</v>
      </c>
      <c r="IN1" s="270" t="s">
        <v>1071</v>
      </c>
      <c r="IO1" s="267" t="s">
        <v>1072</v>
      </c>
      <c r="IP1" s="267" t="s">
        <v>1073</v>
      </c>
      <c r="IQ1" s="267" t="s">
        <v>1074</v>
      </c>
      <c r="IR1" s="267" t="s">
        <v>1075</v>
      </c>
      <c r="IS1" s="267" t="s">
        <v>1076</v>
      </c>
      <c r="IT1" s="267" t="s">
        <v>1077</v>
      </c>
      <c r="IU1" s="267" t="s">
        <v>1078</v>
      </c>
      <c r="IV1" s="267" t="s">
        <v>1079</v>
      </c>
      <c r="IW1" s="267" t="s">
        <v>1080</v>
      </c>
      <c r="IX1" s="267" t="s">
        <v>1081</v>
      </c>
      <c r="IY1" s="267" t="s">
        <v>1082</v>
      </c>
      <c r="IZ1" s="267" t="s">
        <v>1083</v>
      </c>
      <c r="JA1" s="267" t="s">
        <v>1084</v>
      </c>
      <c r="JB1" s="267" t="s">
        <v>1085</v>
      </c>
      <c r="JC1" s="267" t="s">
        <v>1086</v>
      </c>
      <c r="JD1" s="267" t="s">
        <v>1087</v>
      </c>
      <c r="JE1" s="270" t="s">
        <v>1088</v>
      </c>
      <c r="JF1" s="267" t="s">
        <v>1089</v>
      </c>
      <c r="JG1" s="267" t="s">
        <v>1090</v>
      </c>
      <c r="JH1" s="267" t="s">
        <v>1091</v>
      </c>
      <c r="JI1" s="267" t="s">
        <v>1092</v>
      </c>
      <c r="JJ1" s="267" t="s">
        <v>1093</v>
      </c>
      <c r="JK1" s="267" t="s">
        <v>1094</v>
      </c>
      <c r="JL1" s="267" t="s">
        <v>1095</v>
      </c>
      <c r="JM1" s="267" t="s">
        <v>1096</v>
      </c>
      <c r="JN1" s="267" t="s">
        <v>1097</v>
      </c>
      <c r="JO1" s="267" t="s">
        <v>1098</v>
      </c>
      <c r="JP1" s="267" t="s">
        <v>1099</v>
      </c>
      <c r="JQ1" s="267" t="s">
        <v>1100</v>
      </c>
      <c r="JR1" s="267" t="s">
        <v>1101</v>
      </c>
      <c r="JS1" s="267" t="s">
        <v>1102</v>
      </c>
      <c r="JT1" s="267" t="s">
        <v>1103</v>
      </c>
      <c r="JU1" s="267" t="s">
        <v>1104</v>
      </c>
      <c r="JV1" s="270" t="s">
        <v>1105</v>
      </c>
      <c r="JW1" s="267" t="s">
        <v>1106</v>
      </c>
      <c r="JX1" s="267" t="s">
        <v>1107</v>
      </c>
      <c r="JY1" s="267" t="s">
        <v>1108</v>
      </c>
      <c r="JZ1" s="267" t="s">
        <v>1109</v>
      </c>
      <c r="KA1" s="267" t="s">
        <v>1110</v>
      </c>
      <c r="KB1" s="267" t="s">
        <v>1111</v>
      </c>
      <c r="KC1" s="267" t="s">
        <v>1112</v>
      </c>
      <c r="KD1" s="267" t="s">
        <v>1113</v>
      </c>
      <c r="KE1" s="267" t="s">
        <v>1114</v>
      </c>
      <c r="KF1" s="267" t="s">
        <v>1115</v>
      </c>
      <c r="KG1" s="267" t="s">
        <v>1116</v>
      </c>
      <c r="KH1" s="267" t="s">
        <v>1117</v>
      </c>
      <c r="KI1" s="267" t="s">
        <v>1118</v>
      </c>
      <c r="KJ1" s="267" t="s">
        <v>1119</v>
      </c>
      <c r="KK1" s="267" t="s">
        <v>1120</v>
      </c>
      <c r="KL1" s="267" t="s">
        <v>1121</v>
      </c>
      <c r="KM1" s="270" t="s">
        <v>1122</v>
      </c>
      <c r="KN1" s="267" t="s">
        <v>1123</v>
      </c>
      <c r="KO1" s="267" t="s">
        <v>1124</v>
      </c>
      <c r="KP1" s="267" t="s">
        <v>1125</v>
      </c>
      <c r="KQ1" s="267" t="s">
        <v>1126</v>
      </c>
      <c r="KR1" s="267" t="s">
        <v>1127</v>
      </c>
      <c r="KS1" s="267" t="s">
        <v>1128</v>
      </c>
      <c r="KT1" s="267" t="s">
        <v>1129</v>
      </c>
      <c r="KU1" s="267" t="s">
        <v>1130</v>
      </c>
      <c r="KV1" s="267" t="s">
        <v>1131</v>
      </c>
      <c r="KW1" s="267" t="s">
        <v>1132</v>
      </c>
      <c r="KX1" s="267" t="s">
        <v>1133</v>
      </c>
      <c r="KY1" s="267" t="s">
        <v>1134</v>
      </c>
      <c r="KZ1" s="267" t="s">
        <v>1135</v>
      </c>
      <c r="LA1" s="267" t="s">
        <v>1136</v>
      </c>
      <c r="LB1" s="267" t="s">
        <v>1137</v>
      </c>
      <c r="LC1" s="267" t="s">
        <v>1138</v>
      </c>
      <c r="LD1" s="270" t="s">
        <v>1139</v>
      </c>
      <c r="LE1" s="267" t="s">
        <v>1140</v>
      </c>
      <c r="LF1" s="267" t="s">
        <v>1141</v>
      </c>
      <c r="LG1" s="267" t="s">
        <v>1142</v>
      </c>
      <c r="LH1" s="267" t="s">
        <v>1143</v>
      </c>
      <c r="LI1" s="267" t="s">
        <v>1144</v>
      </c>
      <c r="LJ1" s="267" t="s">
        <v>1145</v>
      </c>
      <c r="LK1" s="267" t="s">
        <v>1146</v>
      </c>
      <c r="LL1" s="267" t="s">
        <v>1147</v>
      </c>
      <c r="LM1" s="267" t="s">
        <v>1148</v>
      </c>
      <c r="LN1" s="267" t="s">
        <v>1149</v>
      </c>
      <c r="LO1" s="267" t="s">
        <v>1150</v>
      </c>
      <c r="LP1" s="267" t="s">
        <v>1151</v>
      </c>
      <c r="LQ1" s="267" t="s">
        <v>1152</v>
      </c>
      <c r="LR1" s="267" t="s">
        <v>1153</v>
      </c>
      <c r="LS1" s="267" t="s">
        <v>1154</v>
      </c>
      <c r="LT1" s="267" t="s">
        <v>1155</v>
      </c>
      <c r="LU1" s="270" t="s">
        <v>1156</v>
      </c>
      <c r="LV1" s="267" t="s">
        <v>1157</v>
      </c>
      <c r="LW1" s="267" t="s">
        <v>1158</v>
      </c>
      <c r="LX1" s="267" t="s">
        <v>1159</v>
      </c>
      <c r="LY1" s="267" t="s">
        <v>1160</v>
      </c>
      <c r="LZ1" s="267" t="s">
        <v>1161</v>
      </c>
      <c r="MA1" s="267" t="s">
        <v>1162</v>
      </c>
      <c r="MB1" s="267" t="s">
        <v>1163</v>
      </c>
      <c r="MC1" s="267" t="s">
        <v>1164</v>
      </c>
      <c r="MD1" s="267" t="s">
        <v>1165</v>
      </c>
      <c r="ME1" s="267" t="s">
        <v>1166</v>
      </c>
      <c r="MF1" s="267" t="s">
        <v>1167</v>
      </c>
      <c r="MG1" s="267" t="s">
        <v>1168</v>
      </c>
      <c r="MH1" s="267" t="s">
        <v>1169</v>
      </c>
      <c r="MI1" s="267" t="s">
        <v>1170</v>
      </c>
      <c r="MJ1" s="267" t="s">
        <v>1171</v>
      </c>
      <c r="MK1" s="267" t="s">
        <v>1172</v>
      </c>
      <c r="ML1" s="270" t="s">
        <v>1173</v>
      </c>
    </row>
    <row r="2" ht="90.0" customHeight="1">
      <c r="A2" s="264" t="s">
        <v>85</v>
      </c>
      <c r="B2" s="85" t="s">
        <v>604</v>
      </c>
      <c r="C2" s="85" t="s">
        <v>605</v>
      </c>
      <c r="D2" s="85" t="s">
        <v>1174</v>
      </c>
      <c r="E2" s="243" t="s">
        <v>704</v>
      </c>
      <c r="F2" s="243" t="s">
        <v>705</v>
      </c>
      <c r="G2" s="243" t="s">
        <v>706</v>
      </c>
      <c r="H2" s="243" t="s">
        <v>707</v>
      </c>
      <c r="I2" s="168" t="s">
        <v>612</v>
      </c>
      <c r="J2" s="168" t="s">
        <v>611</v>
      </c>
      <c r="K2" s="85" t="s">
        <v>504</v>
      </c>
      <c r="L2" s="85" t="s">
        <v>504</v>
      </c>
      <c r="M2" s="85" t="s">
        <v>504</v>
      </c>
      <c r="N2" s="85" t="s">
        <v>504</v>
      </c>
      <c r="O2" s="85" t="s">
        <v>504</v>
      </c>
      <c r="P2" s="85" t="s">
        <v>504</v>
      </c>
      <c r="Q2" s="85" t="s">
        <v>504</v>
      </c>
      <c r="R2" s="85" t="s">
        <v>504</v>
      </c>
      <c r="S2" s="85" t="s">
        <v>504</v>
      </c>
      <c r="T2" s="85" t="s">
        <v>504</v>
      </c>
      <c r="U2" s="85" t="s">
        <v>504</v>
      </c>
      <c r="V2" s="85" t="s">
        <v>504</v>
      </c>
      <c r="W2" s="85" t="s">
        <v>504</v>
      </c>
      <c r="X2" s="85" t="s">
        <v>504</v>
      </c>
      <c r="Y2" s="85" t="s">
        <v>504</v>
      </c>
      <c r="Z2" s="85" t="s">
        <v>504</v>
      </c>
      <c r="AA2" s="85" t="s">
        <v>1175</v>
      </c>
      <c r="AB2" s="271" t="s">
        <v>1176</v>
      </c>
      <c r="AC2" s="271" t="s">
        <v>1176</v>
      </c>
      <c r="AD2" s="271" t="s">
        <v>1176</v>
      </c>
      <c r="AE2" s="271" t="s">
        <v>1176</v>
      </c>
      <c r="AF2" s="271" t="s">
        <v>1176</v>
      </c>
      <c r="AG2" s="271" t="s">
        <v>1176</v>
      </c>
      <c r="AH2" s="271" t="s">
        <v>1176</v>
      </c>
      <c r="AI2" s="271" t="s">
        <v>1176</v>
      </c>
      <c r="AJ2" s="271" t="s">
        <v>1176</v>
      </c>
      <c r="AK2" s="271" t="s">
        <v>1176</v>
      </c>
      <c r="AL2" s="271" t="s">
        <v>1176</v>
      </c>
      <c r="AM2" s="271" t="s">
        <v>1176</v>
      </c>
      <c r="AN2" s="271" t="s">
        <v>1176</v>
      </c>
      <c r="AO2" s="271" t="s">
        <v>1176</v>
      </c>
      <c r="AP2" s="271" t="s">
        <v>1176</v>
      </c>
      <c r="AQ2" s="271" t="s">
        <v>1176</v>
      </c>
      <c r="AR2" s="85" t="s">
        <v>1177</v>
      </c>
      <c r="AS2" s="85" t="s">
        <v>1178</v>
      </c>
      <c r="AT2" s="85" t="s">
        <v>509</v>
      </c>
      <c r="AU2" s="85" t="s">
        <v>509</v>
      </c>
      <c r="AV2" s="85" t="s">
        <v>509</v>
      </c>
      <c r="AW2" s="85" t="s">
        <v>509</v>
      </c>
      <c r="AX2" s="85" t="s">
        <v>509</v>
      </c>
      <c r="AY2" s="85" t="s">
        <v>509</v>
      </c>
      <c r="AZ2" s="85" t="s">
        <v>509</v>
      </c>
      <c r="BA2" s="85" t="s">
        <v>509</v>
      </c>
      <c r="BB2" s="85" t="s">
        <v>509</v>
      </c>
      <c r="BC2" s="85" t="s">
        <v>509</v>
      </c>
      <c r="BD2" s="85" t="s">
        <v>509</v>
      </c>
      <c r="BE2" s="85" t="s">
        <v>509</v>
      </c>
      <c r="BF2" s="85" t="s">
        <v>509</v>
      </c>
      <c r="BG2" s="85" t="s">
        <v>509</v>
      </c>
      <c r="BH2" s="85" t="s">
        <v>509</v>
      </c>
      <c r="BI2" s="85" t="s">
        <v>1179</v>
      </c>
      <c r="BJ2" s="85" t="s">
        <v>1180</v>
      </c>
      <c r="BK2" s="85" t="s">
        <v>1180</v>
      </c>
      <c r="BL2" s="85" t="s">
        <v>1180</v>
      </c>
      <c r="BM2" s="85" t="s">
        <v>1180</v>
      </c>
      <c r="BN2" s="85" t="s">
        <v>1180</v>
      </c>
      <c r="BO2" s="85" t="s">
        <v>1180</v>
      </c>
      <c r="BP2" s="85" t="s">
        <v>1180</v>
      </c>
      <c r="BQ2" s="85" t="s">
        <v>1180</v>
      </c>
      <c r="BR2" s="85" t="s">
        <v>1180</v>
      </c>
      <c r="BS2" s="85" t="s">
        <v>1180</v>
      </c>
      <c r="BT2" s="85" t="s">
        <v>1180</v>
      </c>
      <c r="BU2" s="85" t="s">
        <v>1180</v>
      </c>
      <c r="BV2" s="85" t="s">
        <v>1180</v>
      </c>
      <c r="BW2" s="85" t="s">
        <v>1180</v>
      </c>
      <c r="BX2" s="85" t="s">
        <v>1180</v>
      </c>
      <c r="BY2" s="85" t="s">
        <v>1180</v>
      </c>
      <c r="BZ2" s="85" t="s">
        <v>1181</v>
      </c>
      <c r="CA2" s="85" t="s">
        <v>1182</v>
      </c>
      <c r="CB2" s="85" t="s">
        <v>1182</v>
      </c>
      <c r="CC2" s="85" t="s">
        <v>1182</v>
      </c>
      <c r="CD2" s="85" t="s">
        <v>1182</v>
      </c>
      <c r="CE2" s="85" t="s">
        <v>1182</v>
      </c>
      <c r="CF2" s="85" t="s">
        <v>1182</v>
      </c>
      <c r="CG2" s="85" t="s">
        <v>1182</v>
      </c>
      <c r="CH2" s="85" t="s">
        <v>1182</v>
      </c>
      <c r="CI2" s="85" t="s">
        <v>1182</v>
      </c>
      <c r="CJ2" s="85" t="s">
        <v>1182</v>
      </c>
      <c r="CK2" s="85" t="s">
        <v>1182</v>
      </c>
      <c r="CL2" s="85" t="s">
        <v>1182</v>
      </c>
      <c r="CM2" s="85" t="s">
        <v>1182</v>
      </c>
      <c r="CN2" s="85" t="s">
        <v>1182</v>
      </c>
      <c r="CO2" s="85" t="s">
        <v>1182</v>
      </c>
      <c r="CP2" s="85" t="s">
        <v>1182</v>
      </c>
      <c r="CQ2" s="85" t="s">
        <v>1183</v>
      </c>
      <c r="CR2" s="85" t="s">
        <v>515</v>
      </c>
      <c r="CS2" s="85" t="s">
        <v>515</v>
      </c>
      <c r="CT2" s="85" t="s">
        <v>515</v>
      </c>
      <c r="CU2" s="85" t="s">
        <v>515</v>
      </c>
      <c r="CV2" s="85" t="s">
        <v>515</v>
      </c>
      <c r="CW2" s="85" t="s">
        <v>515</v>
      </c>
      <c r="CX2" s="85" t="s">
        <v>515</v>
      </c>
      <c r="CY2" s="85" t="s">
        <v>515</v>
      </c>
      <c r="CZ2" s="85" t="s">
        <v>515</v>
      </c>
      <c r="DA2" s="85" t="s">
        <v>515</v>
      </c>
      <c r="DB2" s="85" t="s">
        <v>515</v>
      </c>
      <c r="DC2" s="85" t="s">
        <v>515</v>
      </c>
      <c r="DD2" s="85" t="s">
        <v>515</v>
      </c>
      <c r="DE2" s="85" t="s">
        <v>515</v>
      </c>
      <c r="DF2" s="85" t="s">
        <v>515</v>
      </c>
      <c r="DG2" s="85" t="s">
        <v>515</v>
      </c>
      <c r="DH2" s="85" t="s">
        <v>1184</v>
      </c>
      <c r="DI2" s="85" t="s">
        <v>1185</v>
      </c>
      <c r="DJ2" s="85" t="s">
        <v>1185</v>
      </c>
      <c r="DK2" s="85" t="s">
        <v>1185</v>
      </c>
      <c r="DL2" s="85" t="s">
        <v>1185</v>
      </c>
      <c r="DM2" s="85" t="s">
        <v>1185</v>
      </c>
      <c r="DN2" s="85" t="s">
        <v>1185</v>
      </c>
      <c r="DO2" s="85" t="s">
        <v>1185</v>
      </c>
      <c r="DP2" s="85" t="s">
        <v>1185</v>
      </c>
      <c r="DQ2" s="85" t="s">
        <v>1185</v>
      </c>
      <c r="DR2" s="85" t="s">
        <v>1185</v>
      </c>
      <c r="DS2" s="85" t="s">
        <v>1185</v>
      </c>
      <c r="DT2" s="85" t="s">
        <v>1185</v>
      </c>
      <c r="DU2" s="85" t="s">
        <v>1185</v>
      </c>
      <c r="DV2" s="85" t="s">
        <v>1185</v>
      </c>
      <c r="DW2" s="85" t="s">
        <v>1185</v>
      </c>
      <c r="DX2" s="85" t="s">
        <v>1185</v>
      </c>
      <c r="DY2" s="85" t="s">
        <v>1186</v>
      </c>
      <c r="DZ2" s="85" t="s">
        <v>1187</v>
      </c>
      <c r="EA2" s="85" t="s">
        <v>1187</v>
      </c>
      <c r="EB2" s="85" t="s">
        <v>1187</v>
      </c>
      <c r="EC2" s="85" t="s">
        <v>1187</v>
      </c>
      <c r="ED2" s="85" t="s">
        <v>1187</v>
      </c>
      <c r="EE2" s="85" t="s">
        <v>1187</v>
      </c>
      <c r="EF2" s="85" t="s">
        <v>1187</v>
      </c>
      <c r="EG2" s="85" t="s">
        <v>1187</v>
      </c>
      <c r="EH2" s="85" t="s">
        <v>1187</v>
      </c>
      <c r="EI2" s="85" t="s">
        <v>1187</v>
      </c>
      <c r="EJ2" s="85" t="s">
        <v>1187</v>
      </c>
      <c r="EK2" s="85" t="s">
        <v>1187</v>
      </c>
      <c r="EL2" s="85" t="s">
        <v>1187</v>
      </c>
      <c r="EM2" s="85" t="s">
        <v>1187</v>
      </c>
      <c r="EN2" s="85" t="s">
        <v>1187</v>
      </c>
      <c r="EO2" s="85" t="s">
        <v>1187</v>
      </c>
      <c r="EP2" s="85" t="s">
        <v>1188</v>
      </c>
      <c r="EQ2" s="85" t="s">
        <v>1189</v>
      </c>
      <c r="ER2" s="85" t="s">
        <v>1189</v>
      </c>
      <c r="ES2" s="85" t="s">
        <v>1189</v>
      </c>
      <c r="ET2" s="85" t="s">
        <v>1189</v>
      </c>
      <c r="EU2" s="85" t="s">
        <v>1189</v>
      </c>
      <c r="EV2" s="85" t="s">
        <v>1189</v>
      </c>
      <c r="EW2" s="85" t="s">
        <v>1189</v>
      </c>
      <c r="EX2" s="85" t="s">
        <v>1189</v>
      </c>
      <c r="EY2" s="85" t="s">
        <v>1189</v>
      </c>
      <c r="EZ2" s="85" t="s">
        <v>1189</v>
      </c>
      <c r="FA2" s="85" t="s">
        <v>1189</v>
      </c>
      <c r="FB2" s="85" t="s">
        <v>1189</v>
      </c>
      <c r="FC2" s="85" t="s">
        <v>1189</v>
      </c>
      <c r="FD2" s="85" t="s">
        <v>1189</v>
      </c>
      <c r="FE2" s="85" t="s">
        <v>1189</v>
      </c>
      <c r="FF2" s="85" t="s">
        <v>1189</v>
      </c>
      <c r="FG2" s="85" t="s">
        <v>1190</v>
      </c>
      <c r="FH2" s="271" t="s">
        <v>1191</v>
      </c>
      <c r="FI2" s="271" t="s">
        <v>1191</v>
      </c>
      <c r="FJ2" s="271" t="s">
        <v>1191</v>
      </c>
      <c r="FK2" s="271" t="s">
        <v>1191</v>
      </c>
      <c r="FL2" s="271" t="s">
        <v>1191</v>
      </c>
      <c r="FM2" s="271" t="s">
        <v>1191</v>
      </c>
      <c r="FN2" s="271" t="s">
        <v>1191</v>
      </c>
      <c r="FO2" s="271" t="s">
        <v>1191</v>
      </c>
      <c r="FP2" s="271" t="s">
        <v>1191</v>
      </c>
      <c r="FQ2" s="271" t="s">
        <v>1191</v>
      </c>
      <c r="FR2" s="271" t="s">
        <v>1191</v>
      </c>
      <c r="FS2" s="271" t="s">
        <v>1191</v>
      </c>
      <c r="FT2" s="271" t="s">
        <v>1191</v>
      </c>
      <c r="FU2" s="271" t="s">
        <v>1191</v>
      </c>
      <c r="FV2" s="271" t="s">
        <v>1191</v>
      </c>
      <c r="FW2" s="271" t="s">
        <v>1191</v>
      </c>
      <c r="FX2" s="271" t="s">
        <v>1192</v>
      </c>
      <c r="FY2" s="85" t="s">
        <v>530</v>
      </c>
      <c r="FZ2" s="85" t="s">
        <v>530</v>
      </c>
      <c r="GA2" s="85" t="s">
        <v>530</v>
      </c>
      <c r="GB2" s="85" t="s">
        <v>530</v>
      </c>
      <c r="GC2" s="85" t="s">
        <v>530</v>
      </c>
      <c r="GD2" s="85" t="s">
        <v>530</v>
      </c>
      <c r="GE2" s="85" t="s">
        <v>530</v>
      </c>
      <c r="GF2" s="85" t="s">
        <v>530</v>
      </c>
      <c r="GG2" s="85" t="s">
        <v>530</v>
      </c>
      <c r="GH2" s="85" t="s">
        <v>530</v>
      </c>
      <c r="GI2" s="85" t="s">
        <v>530</v>
      </c>
      <c r="GJ2" s="85" t="s">
        <v>530</v>
      </c>
      <c r="GK2" s="85" t="s">
        <v>530</v>
      </c>
      <c r="GL2" s="85" t="s">
        <v>530</v>
      </c>
      <c r="GM2" s="85" t="s">
        <v>530</v>
      </c>
      <c r="GN2" s="85" t="s">
        <v>530</v>
      </c>
      <c r="GO2" s="85" t="s">
        <v>1193</v>
      </c>
      <c r="GP2" s="85" t="s">
        <v>1194</v>
      </c>
      <c r="GQ2" s="85" t="s">
        <v>1194</v>
      </c>
      <c r="GR2" s="85" t="s">
        <v>1194</v>
      </c>
      <c r="GS2" s="85" t="s">
        <v>1194</v>
      </c>
      <c r="GT2" s="85" t="s">
        <v>1194</v>
      </c>
      <c r="GU2" s="85" t="s">
        <v>1194</v>
      </c>
      <c r="GV2" s="85" t="s">
        <v>1194</v>
      </c>
      <c r="GW2" s="85" t="s">
        <v>1194</v>
      </c>
      <c r="GX2" s="85" t="s">
        <v>1194</v>
      </c>
      <c r="GY2" s="85" t="s">
        <v>1194</v>
      </c>
      <c r="GZ2" s="85" t="s">
        <v>1194</v>
      </c>
      <c r="HA2" s="85" t="s">
        <v>1194</v>
      </c>
      <c r="HB2" s="85" t="s">
        <v>1194</v>
      </c>
      <c r="HC2" s="85" t="s">
        <v>1194</v>
      </c>
      <c r="HD2" s="85" t="s">
        <v>1194</v>
      </c>
      <c r="HE2" s="85" t="s">
        <v>1194</v>
      </c>
      <c r="HF2" s="85" t="s">
        <v>1195</v>
      </c>
      <c r="HG2" s="85" t="s">
        <v>530</v>
      </c>
      <c r="HH2" s="85" t="s">
        <v>530</v>
      </c>
      <c r="HI2" s="85" t="s">
        <v>530</v>
      </c>
      <c r="HJ2" s="85" t="s">
        <v>530</v>
      </c>
      <c r="HK2" s="85" t="s">
        <v>530</v>
      </c>
      <c r="HL2" s="85" t="s">
        <v>530</v>
      </c>
      <c r="HM2" s="85" t="s">
        <v>530</v>
      </c>
      <c r="HN2" s="85" t="s">
        <v>530</v>
      </c>
      <c r="HO2" s="85" t="s">
        <v>530</v>
      </c>
      <c r="HP2" s="85" t="s">
        <v>530</v>
      </c>
      <c r="HQ2" s="85" t="s">
        <v>530</v>
      </c>
      <c r="HR2" s="85" t="s">
        <v>530</v>
      </c>
      <c r="HS2" s="85" t="s">
        <v>530</v>
      </c>
      <c r="HT2" s="85" t="s">
        <v>530</v>
      </c>
      <c r="HU2" s="85" t="s">
        <v>530</v>
      </c>
      <c r="HV2" s="85" t="s">
        <v>530</v>
      </c>
      <c r="HW2" s="85" t="s">
        <v>1196</v>
      </c>
      <c r="HX2" s="271" t="s">
        <v>1197</v>
      </c>
      <c r="HY2" s="271" t="s">
        <v>1197</v>
      </c>
      <c r="HZ2" s="271" t="s">
        <v>1197</v>
      </c>
      <c r="IA2" s="271" t="s">
        <v>1197</v>
      </c>
      <c r="IB2" s="271" t="s">
        <v>1197</v>
      </c>
      <c r="IC2" s="271" t="s">
        <v>1197</v>
      </c>
      <c r="ID2" s="271" t="s">
        <v>1197</v>
      </c>
      <c r="IE2" s="271" t="s">
        <v>1197</v>
      </c>
      <c r="IF2" s="271" t="s">
        <v>1197</v>
      </c>
      <c r="IG2" s="271" t="s">
        <v>1197</v>
      </c>
      <c r="IH2" s="271" t="s">
        <v>1197</v>
      </c>
      <c r="II2" s="271" t="s">
        <v>1197</v>
      </c>
      <c r="IJ2" s="271" t="s">
        <v>1197</v>
      </c>
      <c r="IK2" s="271" t="s">
        <v>1197</v>
      </c>
      <c r="IL2" s="271" t="s">
        <v>1197</v>
      </c>
      <c r="IM2" s="271" t="s">
        <v>1197</v>
      </c>
      <c r="IN2" s="271" t="s">
        <v>1198</v>
      </c>
      <c r="IO2" s="271" t="s">
        <v>1199</v>
      </c>
      <c r="IP2" s="271" t="s">
        <v>1199</v>
      </c>
      <c r="IQ2" s="271" t="s">
        <v>1199</v>
      </c>
      <c r="IR2" s="271" t="s">
        <v>1199</v>
      </c>
      <c r="IS2" s="271" t="s">
        <v>1199</v>
      </c>
      <c r="IT2" s="271" t="s">
        <v>1199</v>
      </c>
      <c r="IU2" s="271" t="s">
        <v>1199</v>
      </c>
      <c r="IV2" s="271" t="s">
        <v>1199</v>
      </c>
      <c r="IW2" s="271" t="s">
        <v>1199</v>
      </c>
      <c r="IX2" s="271" t="s">
        <v>1199</v>
      </c>
      <c r="IY2" s="271" t="s">
        <v>1199</v>
      </c>
      <c r="IZ2" s="271" t="s">
        <v>1199</v>
      </c>
      <c r="JA2" s="271" t="s">
        <v>1199</v>
      </c>
      <c r="JB2" s="271" t="s">
        <v>1199</v>
      </c>
      <c r="JC2" s="271" t="s">
        <v>1199</v>
      </c>
      <c r="JD2" s="271" t="s">
        <v>1199</v>
      </c>
      <c r="JE2" s="271" t="s">
        <v>1200</v>
      </c>
      <c r="JF2" s="85" t="s">
        <v>1201</v>
      </c>
      <c r="JG2" s="85" t="s">
        <v>1201</v>
      </c>
      <c r="JH2" s="85" t="s">
        <v>1201</v>
      </c>
      <c r="JI2" s="85" t="s">
        <v>1201</v>
      </c>
      <c r="JJ2" s="85" t="s">
        <v>1201</v>
      </c>
      <c r="JK2" s="85" t="s">
        <v>1201</v>
      </c>
      <c r="JL2" s="85" t="s">
        <v>1201</v>
      </c>
      <c r="JM2" s="85" t="s">
        <v>1201</v>
      </c>
      <c r="JN2" s="85" t="s">
        <v>1201</v>
      </c>
      <c r="JO2" s="85" t="s">
        <v>1201</v>
      </c>
      <c r="JP2" s="85" t="s">
        <v>1201</v>
      </c>
      <c r="JQ2" s="85" t="s">
        <v>1201</v>
      </c>
      <c r="JR2" s="85" t="s">
        <v>1201</v>
      </c>
      <c r="JS2" s="85" t="s">
        <v>1201</v>
      </c>
      <c r="JT2" s="85" t="s">
        <v>1201</v>
      </c>
      <c r="JU2" s="85" t="s">
        <v>1201</v>
      </c>
      <c r="JV2" s="85" t="s">
        <v>1202</v>
      </c>
      <c r="JW2" s="85" t="s">
        <v>1203</v>
      </c>
      <c r="JX2" s="85" t="s">
        <v>1203</v>
      </c>
      <c r="JY2" s="85" t="s">
        <v>1203</v>
      </c>
      <c r="JZ2" s="85" t="s">
        <v>1203</v>
      </c>
      <c r="KA2" s="85" t="s">
        <v>1203</v>
      </c>
      <c r="KB2" s="85" t="s">
        <v>1203</v>
      </c>
      <c r="KC2" s="85" t="s">
        <v>1203</v>
      </c>
      <c r="KD2" s="85" t="s">
        <v>1203</v>
      </c>
      <c r="KE2" s="85" t="s">
        <v>1203</v>
      </c>
      <c r="KF2" s="85" t="s">
        <v>1203</v>
      </c>
      <c r="KG2" s="85" t="s">
        <v>1203</v>
      </c>
      <c r="KH2" s="85" t="s">
        <v>1203</v>
      </c>
      <c r="KI2" s="85" t="s">
        <v>1203</v>
      </c>
      <c r="KJ2" s="85" t="s">
        <v>1203</v>
      </c>
      <c r="KK2" s="85" t="s">
        <v>1203</v>
      </c>
      <c r="KL2" s="85" t="s">
        <v>1203</v>
      </c>
      <c r="KM2" s="85" t="s">
        <v>1204</v>
      </c>
      <c r="KN2" s="85" t="s">
        <v>1205</v>
      </c>
      <c r="KO2" s="85" t="s">
        <v>1205</v>
      </c>
      <c r="KP2" s="85" t="s">
        <v>1205</v>
      </c>
      <c r="KQ2" s="85" t="s">
        <v>1205</v>
      </c>
      <c r="KR2" s="85" t="s">
        <v>1205</v>
      </c>
      <c r="KS2" s="85" t="s">
        <v>1205</v>
      </c>
      <c r="KT2" s="85" t="s">
        <v>1205</v>
      </c>
      <c r="KU2" s="85" t="s">
        <v>1205</v>
      </c>
      <c r="KV2" s="85" t="s">
        <v>1205</v>
      </c>
      <c r="KW2" s="85" t="s">
        <v>1205</v>
      </c>
      <c r="KX2" s="85" t="s">
        <v>1205</v>
      </c>
      <c r="KY2" s="85" t="s">
        <v>1205</v>
      </c>
      <c r="KZ2" s="85" t="s">
        <v>1205</v>
      </c>
      <c r="LA2" s="85" t="s">
        <v>1205</v>
      </c>
      <c r="LB2" s="85" t="s">
        <v>1205</v>
      </c>
      <c r="LC2" s="85" t="s">
        <v>1205</v>
      </c>
      <c r="LD2" s="85" t="s">
        <v>1206</v>
      </c>
      <c r="LE2" s="85" t="s">
        <v>1207</v>
      </c>
      <c r="LF2" s="85" t="s">
        <v>1207</v>
      </c>
      <c r="LG2" s="85" t="s">
        <v>1207</v>
      </c>
      <c r="LH2" s="85" t="s">
        <v>1207</v>
      </c>
      <c r="LI2" s="85" t="s">
        <v>1207</v>
      </c>
      <c r="LJ2" s="85" t="s">
        <v>1207</v>
      </c>
      <c r="LK2" s="85" t="s">
        <v>1207</v>
      </c>
      <c r="LL2" s="85" t="s">
        <v>1207</v>
      </c>
      <c r="LM2" s="85" t="s">
        <v>1207</v>
      </c>
      <c r="LN2" s="85" t="s">
        <v>1207</v>
      </c>
      <c r="LO2" s="85" t="s">
        <v>1207</v>
      </c>
      <c r="LP2" s="85" t="s">
        <v>1207</v>
      </c>
      <c r="LQ2" s="85" t="s">
        <v>1207</v>
      </c>
      <c r="LR2" s="85" t="s">
        <v>1207</v>
      </c>
      <c r="LS2" s="85" t="s">
        <v>1207</v>
      </c>
      <c r="LT2" s="85" t="s">
        <v>1207</v>
      </c>
      <c r="LU2" s="85" t="s">
        <v>1208</v>
      </c>
      <c r="LV2" s="85" t="s">
        <v>1209</v>
      </c>
      <c r="LW2" s="85" t="s">
        <v>1209</v>
      </c>
      <c r="LX2" s="85" t="s">
        <v>1209</v>
      </c>
      <c r="LY2" s="85" t="s">
        <v>1209</v>
      </c>
      <c r="LZ2" s="85" t="s">
        <v>1209</v>
      </c>
      <c r="MA2" s="85" t="s">
        <v>1209</v>
      </c>
      <c r="MB2" s="85" t="s">
        <v>1209</v>
      </c>
      <c r="MC2" s="85" t="s">
        <v>1209</v>
      </c>
      <c r="MD2" s="85" t="s">
        <v>1209</v>
      </c>
      <c r="ME2" s="85" t="s">
        <v>1209</v>
      </c>
      <c r="MF2" s="85" t="s">
        <v>1209</v>
      </c>
      <c r="MG2" s="85" t="s">
        <v>1209</v>
      </c>
      <c r="MH2" s="85" t="s">
        <v>1209</v>
      </c>
      <c r="MI2" s="85" t="s">
        <v>1209</v>
      </c>
      <c r="MJ2" s="85" t="s">
        <v>1209</v>
      </c>
      <c r="MK2" s="85" t="s">
        <v>1209</v>
      </c>
      <c r="ML2" s="85" t="s">
        <v>1210</v>
      </c>
    </row>
    <row r="3" ht="30.0" customHeight="1">
      <c r="A3" s="272" t="s">
        <v>618</v>
      </c>
      <c r="B3" s="173" t="s">
        <v>107</v>
      </c>
      <c r="C3" s="173" t="s">
        <v>619</v>
      </c>
      <c r="D3" s="173" t="s">
        <v>107</v>
      </c>
      <c r="E3" s="175" t="s">
        <v>190</v>
      </c>
      <c r="F3" s="175" t="s">
        <v>190</v>
      </c>
      <c r="G3" s="245" t="s">
        <v>190</v>
      </c>
      <c r="H3" s="245" t="s">
        <v>190</v>
      </c>
      <c r="I3" s="175" t="s">
        <v>190</v>
      </c>
      <c r="J3" s="175" t="s">
        <v>190</v>
      </c>
      <c r="K3" s="174" t="s">
        <v>190</v>
      </c>
      <c r="L3" s="174" t="s">
        <v>190</v>
      </c>
      <c r="M3" s="174" t="s">
        <v>190</v>
      </c>
      <c r="N3" s="174" t="s">
        <v>190</v>
      </c>
      <c r="O3" s="174" t="s">
        <v>190</v>
      </c>
      <c r="P3" s="174" t="s">
        <v>190</v>
      </c>
      <c r="Q3" s="174" t="s">
        <v>190</v>
      </c>
      <c r="R3" s="174" t="s">
        <v>190</v>
      </c>
      <c r="S3" s="174" t="s">
        <v>190</v>
      </c>
      <c r="T3" s="174" t="s">
        <v>190</v>
      </c>
      <c r="U3" s="174" t="s">
        <v>190</v>
      </c>
      <c r="V3" s="174" t="s">
        <v>190</v>
      </c>
      <c r="W3" s="174" t="s">
        <v>190</v>
      </c>
      <c r="X3" s="174" t="s">
        <v>190</v>
      </c>
      <c r="Y3" s="174" t="s">
        <v>190</v>
      </c>
      <c r="Z3" s="174" t="s">
        <v>190</v>
      </c>
      <c r="AA3" s="174" t="s">
        <v>190</v>
      </c>
      <c r="AB3" s="245" t="s">
        <v>190</v>
      </c>
      <c r="AC3" s="245" t="s">
        <v>190</v>
      </c>
      <c r="AD3" s="245" t="s">
        <v>190</v>
      </c>
      <c r="AE3" s="245" t="s">
        <v>190</v>
      </c>
      <c r="AF3" s="245" t="s">
        <v>190</v>
      </c>
      <c r="AG3" s="245" t="s">
        <v>190</v>
      </c>
      <c r="AH3" s="245" t="s">
        <v>190</v>
      </c>
      <c r="AI3" s="245" t="s">
        <v>190</v>
      </c>
      <c r="AJ3" s="245" t="s">
        <v>190</v>
      </c>
      <c r="AK3" s="245" t="s">
        <v>190</v>
      </c>
      <c r="AL3" s="245" t="s">
        <v>190</v>
      </c>
      <c r="AM3" s="245" t="s">
        <v>190</v>
      </c>
      <c r="AN3" s="245" t="s">
        <v>190</v>
      </c>
      <c r="AO3" s="245" t="s">
        <v>190</v>
      </c>
      <c r="AP3" s="245" t="s">
        <v>190</v>
      </c>
      <c r="AQ3" s="245" t="s">
        <v>190</v>
      </c>
      <c r="AR3" s="245" t="s">
        <v>190</v>
      </c>
      <c r="AS3" s="245" t="s">
        <v>190</v>
      </c>
      <c r="AT3" s="245" t="s">
        <v>190</v>
      </c>
      <c r="AU3" s="245" t="s">
        <v>190</v>
      </c>
      <c r="AV3" s="245" t="s">
        <v>190</v>
      </c>
      <c r="AW3" s="245" t="s">
        <v>190</v>
      </c>
      <c r="AX3" s="245" t="s">
        <v>190</v>
      </c>
      <c r="AY3" s="245" t="s">
        <v>190</v>
      </c>
      <c r="AZ3" s="245" t="s">
        <v>190</v>
      </c>
      <c r="BA3" s="245" t="s">
        <v>190</v>
      </c>
      <c r="BB3" s="245" t="s">
        <v>190</v>
      </c>
      <c r="BC3" s="245" t="s">
        <v>190</v>
      </c>
      <c r="BD3" s="245" t="s">
        <v>190</v>
      </c>
      <c r="BE3" s="245" t="s">
        <v>190</v>
      </c>
      <c r="BF3" s="245" t="s">
        <v>190</v>
      </c>
      <c r="BG3" s="245" t="s">
        <v>190</v>
      </c>
      <c r="BH3" s="245" t="s">
        <v>190</v>
      </c>
      <c r="BI3" s="245" t="s">
        <v>190</v>
      </c>
      <c r="BJ3" s="174" t="s">
        <v>190</v>
      </c>
      <c r="BK3" s="174" t="s">
        <v>190</v>
      </c>
      <c r="BL3" s="174" t="s">
        <v>190</v>
      </c>
      <c r="BM3" s="174" t="s">
        <v>190</v>
      </c>
      <c r="BN3" s="174" t="s">
        <v>190</v>
      </c>
      <c r="BO3" s="174" t="s">
        <v>190</v>
      </c>
      <c r="BP3" s="174" t="s">
        <v>190</v>
      </c>
      <c r="BQ3" s="174" t="s">
        <v>190</v>
      </c>
      <c r="BR3" s="174" t="s">
        <v>190</v>
      </c>
      <c r="BS3" s="174" t="s">
        <v>190</v>
      </c>
      <c r="BT3" s="174" t="s">
        <v>190</v>
      </c>
      <c r="BU3" s="174" t="s">
        <v>190</v>
      </c>
      <c r="BV3" s="174" t="s">
        <v>190</v>
      </c>
      <c r="BW3" s="174" t="s">
        <v>190</v>
      </c>
      <c r="BX3" s="174" t="s">
        <v>190</v>
      </c>
      <c r="BY3" s="174" t="s">
        <v>190</v>
      </c>
      <c r="BZ3" s="174" t="s">
        <v>190</v>
      </c>
      <c r="CA3" s="174" t="s">
        <v>190</v>
      </c>
      <c r="CB3" s="174" t="s">
        <v>190</v>
      </c>
      <c r="CC3" s="174" t="s">
        <v>190</v>
      </c>
      <c r="CD3" s="174" t="s">
        <v>190</v>
      </c>
      <c r="CE3" s="245" t="s">
        <v>190</v>
      </c>
      <c r="CF3" s="245" t="s">
        <v>190</v>
      </c>
      <c r="CG3" s="174" t="s">
        <v>190</v>
      </c>
      <c r="CH3" s="174" t="s">
        <v>190</v>
      </c>
      <c r="CI3" s="174" t="s">
        <v>190</v>
      </c>
      <c r="CJ3" s="174" t="s">
        <v>190</v>
      </c>
      <c r="CK3" s="174" t="s">
        <v>190</v>
      </c>
      <c r="CL3" s="174" t="s">
        <v>190</v>
      </c>
      <c r="CM3" s="174" t="s">
        <v>190</v>
      </c>
      <c r="CN3" s="174" t="s">
        <v>190</v>
      </c>
      <c r="CO3" s="174" t="s">
        <v>190</v>
      </c>
      <c r="CP3" s="174" t="s">
        <v>190</v>
      </c>
      <c r="CQ3" s="174" t="s">
        <v>190</v>
      </c>
      <c r="CR3" s="174" t="s">
        <v>190</v>
      </c>
      <c r="CS3" s="174" t="s">
        <v>190</v>
      </c>
      <c r="CT3" s="174" t="s">
        <v>190</v>
      </c>
      <c r="CU3" s="174" t="s">
        <v>190</v>
      </c>
      <c r="CV3" s="174" t="s">
        <v>190</v>
      </c>
      <c r="CW3" s="174" t="s">
        <v>190</v>
      </c>
      <c r="CX3" s="174" t="s">
        <v>190</v>
      </c>
      <c r="CY3" s="174" t="s">
        <v>190</v>
      </c>
      <c r="CZ3" s="174" t="s">
        <v>190</v>
      </c>
      <c r="DA3" s="174" t="s">
        <v>190</v>
      </c>
      <c r="DB3" s="174" t="s">
        <v>190</v>
      </c>
      <c r="DC3" s="174" t="s">
        <v>190</v>
      </c>
      <c r="DD3" s="174" t="s">
        <v>190</v>
      </c>
      <c r="DE3" s="174" t="s">
        <v>190</v>
      </c>
      <c r="DF3" s="174" t="s">
        <v>190</v>
      </c>
      <c r="DG3" s="245" t="s">
        <v>190</v>
      </c>
      <c r="DH3" s="174" t="s">
        <v>190</v>
      </c>
      <c r="DI3" s="174" t="s">
        <v>190</v>
      </c>
      <c r="DJ3" s="174" t="s">
        <v>190</v>
      </c>
      <c r="DK3" s="174" t="s">
        <v>190</v>
      </c>
      <c r="DL3" s="174" t="s">
        <v>190</v>
      </c>
      <c r="DM3" s="174" t="s">
        <v>190</v>
      </c>
      <c r="DN3" s="174" t="s">
        <v>190</v>
      </c>
      <c r="DO3" s="174" t="s">
        <v>190</v>
      </c>
      <c r="DP3" s="174" t="s">
        <v>190</v>
      </c>
      <c r="DQ3" s="174" t="s">
        <v>190</v>
      </c>
      <c r="DR3" s="174" t="s">
        <v>190</v>
      </c>
      <c r="DS3" s="174" t="s">
        <v>190</v>
      </c>
      <c r="DT3" s="174" t="s">
        <v>190</v>
      </c>
      <c r="DU3" s="174" t="s">
        <v>190</v>
      </c>
      <c r="DV3" s="174" t="s">
        <v>190</v>
      </c>
      <c r="DW3" s="174" t="s">
        <v>190</v>
      </c>
      <c r="DX3" s="174" t="s">
        <v>190</v>
      </c>
      <c r="DY3" s="174" t="s">
        <v>190</v>
      </c>
      <c r="DZ3" s="174" t="s">
        <v>190</v>
      </c>
      <c r="EA3" s="174" t="s">
        <v>190</v>
      </c>
      <c r="EB3" s="174" t="s">
        <v>190</v>
      </c>
      <c r="EC3" s="174" t="s">
        <v>190</v>
      </c>
      <c r="ED3" s="174" t="s">
        <v>190</v>
      </c>
      <c r="EE3" s="174" t="s">
        <v>190</v>
      </c>
      <c r="EF3" s="174" t="s">
        <v>190</v>
      </c>
      <c r="EG3" s="174" t="s">
        <v>190</v>
      </c>
      <c r="EH3" s="174" t="s">
        <v>190</v>
      </c>
      <c r="EI3" s="174" t="s">
        <v>190</v>
      </c>
      <c r="EJ3" s="174" t="s">
        <v>190</v>
      </c>
      <c r="EK3" s="174" t="s">
        <v>190</v>
      </c>
      <c r="EL3" s="174" t="s">
        <v>190</v>
      </c>
      <c r="EM3" s="174" t="s">
        <v>190</v>
      </c>
      <c r="EN3" s="174" t="s">
        <v>190</v>
      </c>
      <c r="EO3" s="174" t="s">
        <v>190</v>
      </c>
      <c r="EP3" s="174" t="s">
        <v>190</v>
      </c>
      <c r="EQ3" s="174" t="s">
        <v>190</v>
      </c>
      <c r="ER3" s="174" t="s">
        <v>190</v>
      </c>
      <c r="ES3" s="174" t="s">
        <v>190</v>
      </c>
      <c r="ET3" s="174" t="s">
        <v>190</v>
      </c>
      <c r="EU3" s="174" t="s">
        <v>190</v>
      </c>
      <c r="EV3" s="174" t="s">
        <v>190</v>
      </c>
      <c r="EW3" s="174" t="s">
        <v>190</v>
      </c>
      <c r="EX3" s="174" t="s">
        <v>190</v>
      </c>
      <c r="EY3" s="174" t="s">
        <v>190</v>
      </c>
      <c r="EZ3" s="174" t="s">
        <v>190</v>
      </c>
      <c r="FA3" s="174" t="s">
        <v>190</v>
      </c>
      <c r="FB3" s="174" t="s">
        <v>190</v>
      </c>
      <c r="FC3" s="174" t="s">
        <v>190</v>
      </c>
      <c r="FD3" s="174" t="s">
        <v>190</v>
      </c>
      <c r="FE3" s="174" t="s">
        <v>190</v>
      </c>
      <c r="FF3" s="174" t="s">
        <v>190</v>
      </c>
      <c r="FG3" s="174" t="s">
        <v>190</v>
      </c>
      <c r="FH3" s="245" t="s">
        <v>190</v>
      </c>
      <c r="FI3" s="245" t="s">
        <v>190</v>
      </c>
      <c r="FJ3" s="245" t="s">
        <v>190</v>
      </c>
      <c r="FK3" s="245" t="s">
        <v>190</v>
      </c>
      <c r="FL3" s="245" t="s">
        <v>190</v>
      </c>
      <c r="FM3" s="245" t="s">
        <v>190</v>
      </c>
      <c r="FN3" s="245" t="s">
        <v>190</v>
      </c>
      <c r="FO3" s="245" t="s">
        <v>190</v>
      </c>
      <c r="FP3" s="245" t="s">
        <v>190</v>
      </c>
      <c r="FQ3" s="245" t="s">
        <v>190</v>
      </c>
      <c r="FR3" s="245" t="s">
        <v>190</v>
      </c>
      <c r="FS3" s="245" t="s">
        <v>190</v>
      </c>
      <c r="FT3" s="245" t="s">
        <v>190</v>
      </c>
      <c r="FU3" s="245" t="s">
        <v>190</v>
      </c>
      <c r="FV3" s="245" t="s">
        <v>190</v>
      </c>
      <c r="FW3" s="245" t="s">
        <v>190</v>
      </c>
      <c r="FX3" s="245" t="s">
        <v>190</v>
      </c>
      <c r="FY3" s="174" t="s">
        <v>190</v>
      </c>
      <c r="FZ3" s="174" t="s">
        <v>190</v>
      </c>
      <c r="GA3" s="174" t="s">
        <v>190</v>
      </c>
      <c r="GB3" s="174" t="s">
        <v>190</v>
      </c>
      <c r="GC3" s="174" t="s">
        <v>190</v>
      </c>
      <c r="GD3" s="174" t="s">
        <v>190</v>
      </c>
      <c r="GE3" s="174" t="s">
        <v>190</v>
      </c>
      <c r="GF3" s="174" t="s">
        <v>190</v>
      </c>
      <c r="GG3" s="174" t="s">
        <v>190</v>
      </c>
      <c r="GH3" s="174" t="s">
        <v>190</v>
      </c>
      <c r="GI3" s="174" t="s">
        <v>190</v>
      </c>
      <c r="GJ3" s="174" t="s">
        <v>190</v>
      </c>
      <c r="GK3" s="174" t="s">
        <v>190</v>
      </c>
      <c r="GL3" s="174" t="s">
        <v>190</v>
      </c>
      <c r="GM3" s="174" t="s">
        <v>190</v>
      </c>
      <c r="GN3" s="174" t="s">
        <v>190</v>
      </c>
      <c r="GO3" s="174" t="s">
        <v>190</v>
      </c>
      <c r="GP3" s="174" t="s">
        <v>190</v>
      </c>
      <c r="GQ3" s="174" t="s">
        <v>190</v>
      </c>
      <c r="GR3" s="174" t="s">
        <v>190</v>
      </c>
      <c r="GS3" s="174" t="s">
        <v>190</v>
      </c>
      <c r="GT3" s="174" t="s">
        <v>190</v>
      </c>
      <c r="GU3" s="174" t="s">
        <v>190</v>
      </c>
      <c r="GV3" s="174" t="s">
        <v>190</v>
      </c>
      <c r="GW3" s="174" t="s">
        <v>190</v>
      </c>
      <c r="GX3" s="174" t="s">
        <v>190</v>
      </c>
      <c r="GY3" s="174" t="s">
        <v>190</v>
      </c>
      <c r="GZ3" s="174" t="s">
        <v>190</v>
      </c>
      <c r="HA3" s="174" t="s">
        <v>190</v>
      </c>
      <c r="HB3" s="174" t="s">
        <v>190</v>
      </c>
      <c r="HC3" s="174" t="s">
        <v>190</v>
      </c>
      <c r="HD3" s="174" t="s">
        <v>190</v>
      </c>
      <c r="HE3" s="174" t="s">
        <v>190</v>
      </c>
      <c r="HF3" s="174" t="s">
        <v>190</v>
      </c>
      <c r="HG3" s="174" t="s">
        <v>190</v>
      </c>
      <c r="HH3" s="174" t="s">
        <v>190</v>
      </c>
      <c r="HI3" s="174" t="s">
        <v>190</v>
      </c>
      <c r="HJ3" s="174" t="s">
        <v>190</v>
      </c>
      <c r="HK3" s="174" t="s">
        <v>190</v>
      </c>
      <c r="HL3" s="174" t="s">
        <v>190</v>
      </c>
      <c r="HM3" s="174" t="s">
        <v>190</v>
      </c>
      <c r="HN3" s="174" t="s">
        <v>190</v>
      </c>
      <c r="HO3" s="174" t="s">
        <v>190</v>
      </c>
      <c r="HP3" s="174" t="s">
        <v>190</v>
      </c>
      <c r="HQ3" s="174" t="s">
        <v>190</v>
      </c>
      <c r="HR3" s="174" t="s">
        <v>190</v>
      </c>
      <c r="HS3" s="174" t="s">
        <v>190</v>
      </c>
      <c r="HT3" s="174" t="s">
        <v>190</v>
      </c>
      <c r="HU3" s="174" t="s">
        <v>190</v>
      </c>
      <c r="HV3" s="174" t="s">
        <v>190</v>
      </c>
      <c r="HW3" s="174" t="s">
        <v>190</v>
      </c>
      <c r="HX3" s="174" t="s">
        <v>190</v>
      </c>
      <c r="HY3" s="245" t="s">
        <v>190</v>
      </c>
      <c r="HZ3" s="245" t="s">
        <v>190</v>
      </c>
      <c r="IA3" s="245" t="s">
        <v>190</v>
      </c>
      <c r="IB3" s="245" t="s">
        <v>190</v>
      </c>
      <c r="IC3" s="245" t="s">
        <v>190</v>
      </c>
      <c r="ID3" s="245" t="s">
        <v>190</v>
      </c>
      <c r="IE3" s="245" t="s">
        <v>190</v>
      </c>
      <c r="IF3" s="245" t="s">
        <v>190</v>
      </c>
      <c r="IG3" s="245" t="s">
        <v>190</v>
      </c>
      <c r="IH3" s="245" t="s">
        <v>190</v>
      </c>
      <c r="II3" s="245" t="s">
        <v>190</v>
      </c>
      <c r="IJ3" s="245" t="s">
        <v>190</v>
      </c>
      <c r="IK3" s="245" t="s">
        <v>190</v>
      </c>
      <c r="IL3" s="245" t="s">
        <v>190</v>
      </c>
      <c r="IM3" s="245" t="s">
        <v>190</v>
      </c>
      <c r="IN3" s="245" t="s">
        <v>190</v>
      </c>
      <c r="IO3" s="245" t="s">
        <v>190</v>
      </c>
      <c r="IP3" s="245" t="s">
        <v>190</v>
      </c>
      <c r="IQ3" s="245" t="s">
        <v>190</v>
      </c>
      <c r="IR3" s="245" t="s">
        <v>190</v>
      </c>
      <c r="IS3" s="245" t="s">
        <v>190</v>
      </c>
      <c r="IT3" s="245" t="s">
        <v>190</v>
      </c>
      <c r="IU3" s="245" t="s">
        <v>190</v>
      </c>
      <c r="IV3" s="245" t="s">
        <v>190</v>
      </c>
      <c r="IW3" s="245" t="s">
        <v>190</v>
      </c>
      <c r="IX3" s="245" t="s">
        <v>190</v>
      </c>
      <c r="IY3" s="245" t="s">
        <v>190</v>
      </c>
      <c r="IZ3" s="245" t="s">
        <v>190</v>
      </c>
      <c r="JA3" s="245" t="s">
        <v>190</v>
      </c>
      <c r="JB3" s="245" t="s">
        <v>190</v>
      </c>
      <c r="JC3" s="245" t="s">
        <v>190</v>
      </c>
      <c r="JD3" s="245" t="s">
        <v>190</v>
      </c>
      <c r="JE3" s="245" t="s">
        <v>190</v>
      </c>
      <c r="JF3" s="174" t="s">
        <v>190</v>
      </c>
      <c r="JG3" s="174" t="s">
        <v>190</v>
      </c>
      <c r="JH3" s="174" t="s">
        <v>190</v>
      </c>
      <c r="JI3" s="174" t="s">
        <v>190</v>
      </c>
      <c r="JJ3" s="174" t="s">
        <v>190</v>
      </c>
      <c r="JK3" s="174" t="s">
        <v>190</v>
      </c>
      <c r="JL3" s="174" t="s">
        <v>190</v>
      </c>
      <c r="JM3" s="174" t="s">
        <v>190</v>
      </c>
      <c r="JN3" s="174" t="s">
        <v>190</v>
      </c>
      <c r="JO3" s="174" t="s">
        <v>190</v>
      </c>
      <c r="JP3" s="174" t="s">
        <v>190</v>
      </c>
      <c r="JQ3" s="174" t="s">
        <v>190</v>
      </c>
      <c r="JR3" s="174" t="s">
        <v>190</v>
      </c>
      <c r="JS3" s="174" t="s">
        <v>190</v>
      </c>
      <c r="JT3" s="174" t="s">
        <v>190</v>
      </c>
      <c r="JU3" s="174" t="s">
        <v>190</v>
      </c>
      <c r="JV3" s="273" t="s">
        <v>190</v>
      </c>
      <c r="JW3" s="174" t="s">
        <v>190</v>
      </c>
      <c r="JX3" s="174" t="s">
        <v>190</v>
      </c>
      <c r="JY3" s="174" t="s">
        <v>190</v>
      </c>
      <c r="JZ3" s="174" t="s">
        <v>190</v>
      </c>
      <c r="KA3" s="174" t="s">
        <v>190</v>
      </c>
      <c r="KB3" s="174" t="s">
        <v>190</v>
      </c>
      <c r="KC3" s="174" t="s">
        <v>190</v>
      </c>
      <c r="KD3" s="174" t="s">
        <v>190</v>
      </c>
      <c r="KE3" s="174" t="s">
        <v>190</v>
      </c>
      <c r="KF3" s="174" t="s">
        <v>190</v>
      </c>
      <c r="KG3" s="174" t="s">
        <v>190</v>
      </c>
      <c r="KH3" s="174" t="s">
        <v>190</v>
      </c>
      <c r="KI3" s="174" t="s">
        <v>190</v>
      </c>
      <c r="KJ3" s="174" t="s">
        <v>190</v>
      </c>
      <c r="KK3" s="174" t="s">
        <v>190</v>
      </c>
      <c r="KL3" s="174" t="s">
        <v>190</v>
      </c>
      <c r="KM3" s="273" t="s">
        <v>190</v>
      </c>
      <c r="KN3" s="174" t="s">
        <v>190</v>
      </c>
      <c r="KO3" s="174" t="s">
        <v>190</v>
      </c>
      <c r="KP3" s="174" t="s">
        <v>190</v>
      </c>
      <c r="KQ3" s="174" t="s">
        <v>190</v>
      </c>
      <c r="KR3" s="174" t="s">
        <v>190</v>
      </c>
      <c r="KS3" s="174" t="s">
        <v>190</v>
      </c>
      <c r="KT3" s="174" t="s">
        <v>190</v>
      </c>
      <c r="KU3" s="174" t="s">
        <v>190</v>
      </c>
      <c r="KV3" s="174" t="s">
        <v>190</v>
      </c>
      <c r="KW3" s="174" t="s">
        <v>190</v>
      </c>
      <c r="KX3" s="174" t="s">
        <v>190</v>
      </c>
      <c r="KY3" s="174" t="s">
        <v>190</v>
      </c>
      <c r="KZ3" s="174" t="s">
        <v>190</v>
      </c>
      <c r="LA3" s="174" t="s">
        <v>190</v>
      </c>
      <c r="LB3" s="174" t="s">
        <v>190</v>
      </c>
      <c r="LC3" s="174" t="s">
        <v>190</v>
      </c>
      <c r="LD3" s="273" t="s">
        <v>190</v>
      </c>
      <c r="LE3" s="174" t="s">
        <v>190</v>
      </c>
      <c r="LF3" s="174" t="s">
        <v>190</v>
      </c>
      <c r="LG3" s="174" t="s">
        <v>190</v>
      </c>
      <c r="LH3" s="174" t="s">
        <v>190</v>
      </c>
      <c r="LI3" s="174" t="s">
        <v>190</v>
      </c>
      <c r="LJ3" s="174" t="s">
        <v>190</v>
      </c>
      <c r="LK3" s="174" t="s">
        <v>190</v>
      </c>
      <c r="LL3" s="174" t="s">
        <v>190</v>
      </c>
      <c r="LM3" s="174" t="s">
        <v>190</v>
      </c>
      <c r="LN3" s="174" t="s">
        <v>190</v>
      </c>
      <c r="LO3" s="174" t="s">
        <v>190</v>
      </c>
      <c r="LP3" s="174" t="s">
        <v>190</v>
      </c>
      <c r="LQ3" s="174" t="s">
        <v>190</v>
      </c>
      <c r="LR3" s="174" t="s">
        <v>190</v>
      </c>
      <c r="LS3" s="174" t="s">
        <v>190</v>
      </c>
      <c r="LT3" s="174" t="s">
        <v>190</v>
      </c>
      <c r="LU3" s="273" t="s">
        <v>190</v>
      </c>
      <c r="LV3" s="174" t="s">
        <v>190</v>
      </c>
      <c r="LW3" s="174" t="s">
        <v>190</v>
      </c>
      <c r="LX3" s="174" t="s">
        <v>190</v>
      </c>
      <c r="LY3" s="174" t="s">
        <v>190</v>
      </c>
      <c r="LZ3" s="174" t="s">
        <v>190</v>
      </c>
      <c r="MA3" s="174" t="s">
        <v>190</v>
      </c>
      <c r="MB3" s="174" t="s">
        <v>190</v>
      </c>
      <c r="MC3" s="174" t="s">
        <v>190</v>
      </c>
      <c r="MD3" s="174" t="s">
        <v>190</v>
      </c>
      <c r="ME3" s="174" t="s">
        <v>190</v>
      </c>
      <c r="MF3" s="174" t="s">
        <v>190</v>
      </c>
      <c r="MG3" s="174" t="s">
        <v>190</v>
      </c>
      <c r="MH3" s="174" t="s">
        <v>190</v>
      </c>
      <c r="MI3" s="174" t="s">
        <v>190</v>
      </c>
      <c r="MJ3" s="174" t="s">
        <v>190</v>
      </c>
      <c r="MK3" s="174" t="s">
        <v>190</v>
      </c>
      <c r="ML3" s="273" t="s">
        <v>190</v>
      </c>
    </row>
    <row r="4" ht="18.75" customHeight="1">
      <c r="A4" s="272" t="s">
        <v>87</v>
      </c>
      <c r="B4" s="177" t="s">
        <v>108</v>
      </c>
      <c r="C4" s="177" t="s">
        <v>114</v>
      </c>
      <c r="D4" s="177" t="s">
        <v>108</v>
      </c>
      <c r="E4" s="227" t="s">
        <v>191</v>
      </c>
      <c r="F4" s="227" t="s">
        <v>191</v>
      </c>
      <c r="G4" s="246" t="s">
        <v>191</v>
      </c>
      <c r="H4" s="246" t="s">
        <v>191</v>
      </c>
      <c r="I4" s="179" t="s">
        <v>191</v>
      </c>
      <c r="J4" s="179" t="s">
        <v>191</v>
      </c>
      <c r="K4" s="177" t="s">
        <v>191</v>
      </c>
      <c r="L4" s="177" t="s">
        <v>191</v>
      </c>
      <c r="M4" s="177" t="s">
        <v>191</v>
      </c>
      <c r="N4" s="177" t="s">
        <v>191</v>
      </c>
      <c r="O4" s="177" t="s">
        <v>191</v>
      </c>
      <c r="P4" s="177" t="s">
        <v>191</v>
      </c>
      <c r="Q4" s="177" t="s">
        <v>191</v>
      </c>
      <c r="R4" s="177" t="s">
        <v>191</v>
      </c>
      <c r="S4" s="177" t="s">
        <v>191</v>
      </c>
      <c r="T4" s="177" t="s">
        <v>191</v>
      </c>
      <c r="U4" s="177" t="s">
        <v>191</v>
      </c>
      <c r="V4" s="177" t="s">
        <v>191</v>
      </c>
      <c r="W4" s="177" t="s">
        <v>191</v>
      </c>
      <c r="X4" s="177" t="s">
        <v>191</v>
      </c>
      <c r="Y4" s="177" t="s">
        <v>191</v>
      </c>
      <c r="Z4" s="177" t="s">
        <v>191</v>
      </c>
      <c r="AA4" s="177" t="s">
        <v>191</v>
      </c>
      <c r="AB4" s="274" t="s">
        <v>191</v>
      </c>
      <c r="AC4" s="274" t="s">
        <v>191</v>
      </c>
      <c r="AD4" s="274" t="s">
        <v>191</v>
      </c>
      <c r="AE4" s="274" t="s">
        <v>191</v>
      </c>
      <c r="AF4" s="274" t="s">
        <v>191</v>
      </c>
      <c r="AG4" s="274" t="s">
        <v>191</v>
      </c>
      <c r="AH4" s="274" t="s">
        <v>191</v>
      </c>
      <c r="AI4" s="274" t="s">
        <v>191</v>
      </c>
      <c r="AJ4" s="274" t="s">
        <v>191</v>
      </c>
      <c r="AK4" s="274" t="s">
        <v>191</v>
      </c>
      <c r="AL4" s="274" t="s">
        <v>191</v>
      </c>
      <c r="AM4" s="274" t="s">
        <v>191</v>
      </c>
      <c r="AN4" s="274" t="s">
        <v>191</v>
      </c>
      <c r="AO4" s="274" t="s">
        <v>191</v>
      </c>
      <c r="AP4" s="274" t="s">
        <v>191</v>
      </c>
      <c r="AQ4" s="274" t="s">
        <v>191</v>
      </c>
      <c r="AR4" s="274" t="s">
        <v>191</v>
      </c>
      <c r="AS4" s="179" t="s">
        <v>191</v>
      </c>
      <c r="AT4" s="179" t="s">
        <v>191</v>
      </c>
      <c r="AU4" s="179" t="s">
        <v>191</v>
      </c>
      <c r="AV4" s="179" t="s">
        <v>191</v>
      </c>
      <c r="AW4" s="179" t="s">
        <v>191</v>
      </c>
      <c r="AX4" s="179" t="s">
        <v>191</v>
      </c>
      <c r="AY4" s="179" t="s">
        <v>191</v>
      </c>
      <c r="AZ4" s="179" t="s">
        <v>191</v>
      </c>
      <c r="BA4" s="179" t="s">
        <v>191</v>
      </c>
      <c r="BB4" s="179" t="s">
        <v>191</v>
      </c>
      <c r="BC4" s="179" t="s">
        <v>191</v>
      </c>
      <c r="BD4" s="179" t="s">
        <v>191</v>
      </c>
      <c r="BE4" s="179" t="s">
        <v>191</v>
      </c>
      <c r="BF4" s="179" t="s">
        <v>191</v>
      </c>
      <c r="BG4" s="179" t="s">
        <v>191</v>
      </c>
      <c r="BH4" s="179" t="s">
        <v>191</v>
      </c>
      <c r="BI4" s="179" t="s">
        <v>191</v>
      </c>
      <c r="BJ4" s="177" t="s">
        <v>191</v>
      </c>
      <c r="BK4" s="177" t="s">
        <v>191</v>
      </c>
      <c r="BL4" s="177" t="s">
        <v>191</v>
      </c>
      <c r="BM4" s="177" t="s">
        <v>191</v>
      </c>
      <c r="BN4" s="177" t="s">
        <v>191</v>
      </c>
      <c r="BO4" s="177" t="s">
        <v>191</v>
      </c>
      <c r="BP4" s="177" t="s">
        <v>191</v>
      </c>
      <c r="BQ4" s="177" t="s">
        <v>191</v>
      </c>
      <c r="BR4" s="177" t="s">
        <v>191</v>
      </c>
      <c r="BS4" s="177" t="s">
        <v>191</v>
      </c>
      <c r="BT4" s="177" t="s">
        <v>191</v>
      </c>
      <c r="BU4" s="177" t="s">
        <v>191</v>
      </c>
      <c r="BV4" s="177" t="s">
        <v>191</v>
      </c>
      <c r="BW4" s="177" t="s">
        <v>191</v>
      </c>
      <c r="BX4" s="177" t="s">
        <v>191</v>
      </c>
      <c r="BY4" s="177" t="s">
        <v>191</v>
      </c>
      <c r="BZ4" s="177" t="s">
        <v>191</v>
      </c>
      <c r="CA4" s="177" t="s">
        <v>191</v>
      </c>
      <c r="CB4" s="177" t="s">
        <v>191</v>
      </c>
      <c r="CC4" s="177" t="s">
        <v>191</v>
      </c>
      <c r="CD4" s="177" t="s">
        <v>191</v>
      </c>
      <c r="CE4" s="179" t="s">
        <v>191</v>
      </c>
      <c r="CF4" s="179" t="s">
        <v>191</v>
      </c>
      <c r="CG4" s="177" t="s">
        <v>191</v>
      </c>
      <c r="CH4" s="177" t="s">
        <v>191</v>
      </c>
      <c r="CI4" s="177" t="s">
        <v>191</v>
      </c>
      <c r="CJ4" s="177" t="s">
        <v>191</v>
      </c>
      <c r="CK4" s="177" t="s">
        <v>191</v>
      </c>
      <c r="CL4" s="177" t="s">
        <v>191</v>
      </c>
      <c r="CM4" s="177" t="s">
        <v>191</v>
      </c>
      <c r="CN4" s="177" t="s">
        <v>191</v>
      </c>
      <c r="CO4" s="177" t="s">
        <v>191</v>
      </c>
      <c r="CP4" s="177" t="s">
        <v>191</v>
      </c>
      <c r="CQ4" s="177" t="s">
        <v>191</v>
      </c>
      <c r="CR4" s="177" t="s">
        <v>191</v>
      </c>
      <c r="CS4" s="177" t="s">
        <v>191</v>
      </c>
      <c r="CT4" s="177" t="s">
        <v>191</v>
      </c>
      <c r="CU4" s="177" t="s">
        <v>191</v>
      </c>
      <c r="CV4" s="177" t="s">
        <v>191</v>
      </c>
      <c r="CW4" s="177" t="s">
        <v>191</v>
      </c>
      <c r="CX4" s="177" t="s">
        <v>191</v>
      </c>
      <c r="CY4" s="177" t="s">
        <v>191</v>
      </c>
      <c r="CZ4" s="177" t="s">
        <v>191</v>
      </c>
      <c r="DA4" s="177" t="s">
        <v>191</v>
      </c>
      <c r="DB4" s="177" t="s">
        <v>191</v>
      </c>
      <c r="DC4" s="177" t="s">
        <v>191</v>
      </c>
      <c r="DD4" s="177" t="s">
        <v>191</v>
      </c>
      <c r="DE4" s="177" t="s">
        <v>191</v>
      </c>
      <c r="DF4" s="177" t="s">
        <v>191</v>
      </c>
      <c r="DG4" s="179" t="s">
        <v>191</v>
      </c>
      <c r="DH4" s="177" t="s">
        <v>191</v>
      </c>
      <c r="DI4" s="177" t="s">
        <v>191</v>
      </c>
      <c r="DJ4" s="177" t="s">
        <v>191</v>
      </c>
      <c r="DK4" s="177" t="s">
        <v>191</v>
      </c>
      <c r="DL4" s="177" t="s">
        <v>191</v>
      </c>
      <c r="DM4" s="177" t="s">
        <v>191</v>
      </c>
      <c r="DN4" s="177" t="s">
        <v>191</v>
      </c>
      <c r="DO4" s="177" t="s">
        <v>191</v>
      </c>
      <c r="DP4" s="177" t="s">
        <v>191</v>
      </c>
      <c r="DQ4" s="177" t="s">
        <v>191</v>
      </c>
      <c r="DR4" s="177" t="s">
        <v>191</v>
      </c>
      <c r="DS4" s="177" t="s">
        <v>191</v>
      </c>
      <c r="DT4" s="177" t="s">
        <v>191</v>
      </c>
      <c r="DU4" s="177" t="s">
        <v>191</v>
      </c>
      <c r="DV4" s="177" t="s">
        <v>191</v>
      </c>
      <c r="DW4" s="177" t="s">
        <v>191</v>
      </c>
      <c r="DX4" s="177" t="s">
        <v>191</v>
      </c>
      <c r="DY4" s="177" t="s">
        <v>191</v>
      </c>
      <c r="DZ4" s="177" t="s">
        <v>191</v>
      </c>
      <c r="EA4" s="177" t="s">
        <v>191</v>
      </c>
      <c r="EB4" s="177" t="s">
        <v>191</v>
      </c>
      <c r="EC4" s="177" t="s">
        <v>191</v>
      </c>
      <c r="ED4" s="177" t="s">
        <v>191</v>
      </c>
      <c r="EE4" s="177" t="s">
        <v>191</v>
      </c>
      <c r="EF4" s="177" t="s">
        <v>191</v>
      </c>
      <c r="EG4" s="177" t="s">
        <v>191</v>
      </c>
      <c r="EH4" s="177" t="s">
        <v>191</v>
      </c>
      <c r="EI4" s="177" t="s">
        <v>191</v>
      </c>
      <c r="EJ4" s="177" t="s">
        <v>191</v>
      </c>
      <c r="EK4" s="177" t="s">
        <v>191</v>
      </c>
      <c r="EL4" s="177" t="s">
        <v>191</v>
      </c>
      <c r="EM4" s="177" t="s">
        <v>191</v>
      </c>
      <c r="EN4" s="177" t="s">
        <v>191</v>
      </c>
      <c r="EO4" s="177" t="s">
        <v>191</v>
      </c>
      <c r="EP4" s="177" t="s">
        <v>191</v>
      </c>
      <c r="EQ4" s="177" t="s">
        <v>191</v>
      </c>
      <c r="ER4" s="177" t="s">
        <v>191</v>
      </c>
      <c r="ES4" s="177" t="s">
        <v>191</v>
      </c>
      <c r="ET4" s="177" t="s">
        <v>191</v>
      </c>
      <c r="EU4" s="177" t="s">
        <v>191</v>
      </c>
      <c r="EV4" s="177" t="s">
        <v>191</v>
      </c>
      <c r="EW4" s="177" t="s">
        <v>191</v>
      </c>
      <c r="EX4" s="177" t="s">
        <v>191</v>
      </c>
      <c r="EY4" s="177" t="s">
        <v>191</v>
      </c>
      <c r="EZ4" s="177" t="s">
        <v>191</v>
      </c>
      <c r="FA4" s="177" t="s">
        <v>191</v>
      </c>
      <c r="FB4" s="177" t="s">
        <v>191</v>
      </c>
      <c r="FC4" s="177" t="s">
        <v>191</v>
      </c>
      <c r="FD4" s="177" t="s">
        <v>191</v>
      </c>
      <c r="FE4" s="177" t="s">
        <v>191</v>
      </c>
      <c r="FF4" s="177" t="s">
        <v>191</v>
      </c>
      <c r="FG4" s="177" t="s">
        <v>191</v>
      </c>
      <c r="FH4" s="179" t="s">
        <v>191</v>
      </c>
      <c r="FI4" s="179" t="s">
        <v>191</v>
      </c>
      <c r="FJ4" s="179" t="s">
        <v>191</v>
      </c>
      <c r="FK4" s="179" t="s">
        <v>191</v>
      </c>
      <c r="FL4" s="179" t="s">
        <v>191</v>
      </c>
      <c r="FM4" s="179" t="s">
        <v>191</v>
      </c>
      <c r="FN4" s="179" t="s">
        <v>191</v>
      </c>
      <c r="FO4" s="179" t="s">
        <v>191</v>
      </c>
      <c r="FP4" s="179" t="s">
        <v>191</v>
      </c>
      <c r="FQ4" s="179" t="s">
        <v>191</v>
      </c>
      <c r="FR4" s="179" t="s">
        <v>191</v>
      </c>
      <c r="FS4" s="179" t="s">
        <v>191</v>
      </c>
      <c r="FT4" s="179" t="s">
        <v>191</v>
      </c>
      <c r="FU4" s="179" t="s">
        <v>191</v>
      </c>
      <c r="FV4" s="179" t="s">
        <v>191</v>
      </c>
      <c r="FW4" s="179" t="s">
        <v>191</v>
      </c>
      <c r="FX4" s="179" t="s">
        <v>191</v>
      </c>
      <c r="FY4" s="177" t="s">
        <v>191</v>
      </c>
      <c r="FZ4" s="177" t="s">
        <v>191</v>
      </c>
      <c r="GA4" s="177" t="s">
        <v>191</v>
      </c>
      <c r="GB4" s="177" t="s">
        <v>191</v>
      </c>
      <c r="GC4" s="177" t="s">
        <v>191</v>
      </c>
      <c r="GD4" s="177" t="s">
        <v>191</v>
      </c>
      <c r="GE4" s="177" t="s">
        <v>191</v>
      </c>
      <c r="GF4" s="177" t="s">
        <v>191</v>
      </c>
      <c r="GG4" s="177" t="s">
        <v>191</v>
      </c>
      <c r="GH4" s="177" t="s">
        <v>191</v>
      </c>
      <c r="GI4" s="177" t="s">
        <v>191</v>
      </c>
      <c r="GJ4" s="177" t="s">
        <v>191</v>
      </c>
      <c r="GK4" s="177" t="s">
        <v>191</v>
      </c>
      <c r="GL4" s="177" t="s">
        <v>191</v>
      </c>
      <c r="GM4" s="177" t="s">
        <v>191</v>
      </c>
      <c r="GN4" s="177" t="s">
        <v>191</v>
      </c>
      <c r="GO4" s="177" t="s">
        <v>191</v>
      </c>
      <c r="GP4" s="177" t="s">
        <v>191</v>
      </c>
      <c r="GQ4" s="177" t="s">
        <v>191</v>
      </c>
      <c r="GR4" s="177" t="s">
        <v>191</v>
      </c>
      <c r="GS4" s="177" t="s">
        <v>191</v>
      </c>
      <c r="GT4" s="177" t="s">
        <v>191</v>
      </c>
      <c r="GU4" s="177" t="s">
        <v>191</v>
      </c>
      <c r="GV4" s="177" t="s">
        <v>191</v>
      </c>
      <c r="GW4" s="177" t="s">
        <v>191</v>
      </c>
      <c r="GX4" s="177" t="s">
        <v>191</v>
      </c>
      <c r="GY4" s="177" t="s">
        <v>191</v>
      </c>
      <c r="GZ4" s="177" t="s">
        <v>191</v>
      </c>
      <c r="HA4" s="177" t="s">
        <v>191</v>
      </c>
      <c r="HB4" s="177" t="s">
        <v>191</v>
      </c>
      <c r="HC4" s="177" t="s">
        <v>191</v>
      </c>
      <c r="HD4" s="177" t="s">
        <v>191</v>
      </c>
      <c r="HE4" s="177" t="s">
        <v>191</v>
      </c>
      <c r="HF4" s="177" t="s">
        <v>191</v>
      </c>
      <c r="HG4" s="177" t="s">
        <v>191</v>
      </c>
      <c r="HH4" s="177" t="s">
        <v>191</v>
      </c>
      <c r="HI4" s="177" t="s">
        <v>191</v>
      </c>
      <c r="HJ4" s="177" t="s">
        <v>191</v>
      </c>
      <c r="HK4" s="177" t="s">
        <v>191</v>
      </c>
      <c r="HL4" s="177" t="s">
        <v>191</v>
      </c>
      <c r="HM4" s="177" t="s">
        <v>191</v>
      </c>
      <c r="HN4" s="177" t="s">
        <v>191</v>
      </c>
      <c r="HO4" s="177" t="s">
        <v>191</v>
      </c>
      <c r="HP4" s="177" t="s">
        <v>191</v>
      </c>
      <c r="HQ4" s="177" t="s">
        <v>191</v>
      </c>
      <c r="HR4" s="177" t="s">
        <v>191</v>
      </c>
      <c r="HS4" s="177" t="s">
        <v>191</v>
      </c>
      <c r="HT4" s="177" t="s">
        <v>191</v>
      </c>
      <c r="HU4" s="177" t="s">
        <v>191</v>
      </c>
      <c r="HV4" s="177" t="s">
        <v>191</v>
      </c>
      <c r="HW4" s="177" t="s">
        <v>191</v>
      </c>
      <c r="HX4" s="177" t="s">
        <v>191</v>
      </c>
      <c r="HY4" s="179" t="s">
        <v>191</v>
      </c>
      <c r="HZ4" s="179" t="s">
        <v>191</v>
      </c>
      <c r="IA4" s="179" t="s">
        <v>191</v>
      </c>
      <c r="IB4" s="179" t="s">
        <v>191</v>
      </c>
      <c r="IC4" s="179" t="s">
        <v>191</v>
      </c>
      <c r="ID4" s="179" t="s">
        <v>191</v>
      </c>
      <c r="IE4" s="179" t="s">
        <v>191</v>
      </c>
      <c r="IF4" s="179" t="s">
        <v>191</v>
      </c>
      <c r="IG4" s="179" t="s">
        <v>191</v>
      </c>
      <c r="IH4" s="179" t="s">
        <v>191</v>
      </c>
      <c r="II4" s="179" t="s">
        <v>191</v>
      </c>
      <c r="IJ4" s="179" t="s">
        <v>191</v>
      </c>
      <c r="IK4" s="179" t="s">
        <v>191</v>
      </c>
      <c r="IL4" s="179" t="s">
        <v>191</v>
      </c>
      <c r="IM4" s="179" t="s">
        <v>191</v>
      </c>
      <c r="IN4" s="179" t="s">
        <v>191</v>
      </c>
      <c r="IO4" s="274" t="s">
        <v>191</v>
      </c>
      <c r="IP4" s="274" t="s">
        <v>191</v>
      </c>
      <c r="IQ4" s="274" t="s">
        <v>191</v>
      </c>
      <c r="IR4" s="274" t="s">
        <v>191</v>
      </c>
      <c r="IS4" s="274" t="s">
        <v>191</v>
      </c>
      <c r="IT4" s="274" t="s">
        <v>191</v>
      </c>
      <c r="IU4" s="274" t="s">
        <v>191</v>
      </c>
      <c r="IV4" s="274" t="s">
        <v>191</v>
      </c>
      <c r="IW4" s="274" t="s">
        <v>191</v>
      </c>
      <c r="IX4" s="274" t="s">
        <v>191</v>
      </c>
      <c r="IY4" s="274" t="s">
        <v>191</v>
      </c>
      <c r="IZ4" s="274" t="s">
        <v>191</v>
      </c>
      <c r="JA4" s="274" t="s">
        <v>191</v>
      </c>
      <c r="JB4" s="274" t="s">
        <v>191</v>
      </c>
      <c r="JC4" s="274" t="s">
        <v>191</v>
      </c>
      <c r="JD4" s="274" t="s">
        <v>191</v>
      </c>
      <c r="JE4" s="274" t="s">
        <v>191</v>
      </c>
      <c r="JF4" s="177" t="s">
        <v>191</v>
      </c>
      <c r="JG4" s="177" t="s">
        <v>191</v>
      </c>
      <c r="JH4" s="177" t="s">
        <v>191</v>
      </c>
      <c r="JI4" s="177" t="s">
        <v>191</v>
      </c>
      <c r="JJ4" s="177" t="s">
        <v>191</v>
      </c>
      <c r="JK4" s="177" t="s">
        <v>191</v>
      </c>
      <c r="JL4" s="177" t="s">
        <v>191</v>
      </c>
      <c r="JM4" s="177" t="s">
        <v>191</v>
      </c>
      <c r="JN4" s="177" t="s">
        <v>191</v>
      </c>
      <c r="JO4" s="177" t="s">
        <v>191</v>
      </c>
      <c r="JP4" s="177" t="s">
        <v>191</v>
      </c>
      <c r="JQ4" s="177" t="s">
        <v>191</v>
      </c>
      <c r="JR4" s="177" t="s">
        <v>191</v>
      </c>
      <c r="JS4" s="177" t="s">
        <v>191</v>
      </c>
      <c r="JT4" s="177" t="s">
        <v>191</v>
      </c>
      <c r="JU4" s="177" t="s">
        <v>191</v>
      </c>
      <c r="JV4" s="275" t="s">
        <v>191</v>
      </c>
      <c r="JW4" s="177" t="s">
        <v>191</v>
      </c>
      <c r="JX4" s="177" t="s">
        <v>191</v>
      </c>
      <c r="JY4" s="177" t="s">
        <v>191</v>
      </c>
      <c r="JZ4" s="177" t="s">
        <v>191</v>
      </c>
      <c r="KA4" s="177" t="s">
        <v>191</v>
      </c>
      <c r="KB4" s="177" t="s">
        <v>191</v>
      </c>
      <c r="KC4" s="177" t="s">
        <v>191</v>
      </c>
      <c r="KD4" s="177" t="s">
        <v>191</v>
      </c>
      <c r="KE4" s="177" t="s">
        <v>191</v>
      </c>
      <c r="KF4" s="177" t="s">
        <v>191</v>
      </c>
      <c r="KG4" s="177" t="s">
        <v>191</v>
      </c>
      <c r="KH4" s="177" t="s">
        <v>191</v>
      </c>
      <c r="KI4" s="177" t="s">
        <v>191</v>
      </c>
      <c r="KJ4" s="177" t="s">
        <v>191</v>
      </c>
      <c r="KK4" s="177" t="s">
        <v>191</v>
      </c>
      <c r="KL4" s="177" t="s">
        <v>191</v>
      </c>
      <c r="KM4" s="275" t="s">
        <v>191</v>
      </c>
      <c r="KN4" s="177" t="s">
        <v>191</v>
      </c>
      <c r="KO4" s="177" t="s">
        <v>191</v>
      </c>
      <c r="KP4" s="177" t="s">
        <v>191</v>
      </c>
      <c r="KQ4" s="177" t="s">
        <v>191</v>
      </c>
      <c r="KR4" s="177" t="s">
        <v>191</v>
      </c>
      <c r="KS4" s="177" t="s">
        <v>191</v>
      </c>
      <c r="KT4" s="177" t="s">
        <v>191</v>
      </c>
      <c r="KU4" s="177" t="s">
        <v>191</v>
      </c>
      <c r="KV4" s="177" t="s">
        <v>191</v>
      </c>
      <c r="KW4" s="177" t="s">
        <v>191</v>
      </c>
      <c r="KX4" s="177" t="s">
        <v>191</v>
      </c>
      <c r="KY4" s="177" t="s">
        <v>191</v>
      </c>
      <c r="KZ4" s="177" t="s">
        <v>191</v>
      </c>
      <c r="LA4" s="177" t="s">
        <v>191</v>
      </c>
      <c r="LB4" s="177" t="s">
        <v>191</v>
      </c>
      <c r="LC4" s="177" t="s">
        <v>191</v>
      </c>
      <c r="LD4" s="275" t="s">
        <v>191</v>
      </c>
      <c r="LE4" s="177" t="s">
        <v>191</v>
      </c>
      <c r="LF4" s="177" t="s">
        <v>191</v>
      </c>
      <c r="LG4" s="177" t="s">
        <v>191</v>
      </c>
      <c r="LH4" s="177" t="s">
        <v>191</v>
      </c>
      <c r="LI4" s="177" t="s">
        <v>191</v>
      </c>
      <c r="LJ4" s="177" t="s">
        <v>191</v>
      </c>
      <c r="LK4" s="177" t="s">
        <v>191</v>
      </c>
      <c r="LL4" s="177" t="s">
        <v>191</v>
      </c>
      <c r="LM4" s="177" t="s">
        <v>191</v>
      </c>
      <c r="LN4" s="177" t="s">
        <v>191</v>
      </c>
      <c r="LO4" s="177" t="s">
        <v>191</v>
      </c>
      <c r="LP4" s="177" t="s">
        <v>191</v>
      </c>
      <c r="LQ4" s="177" t="s">
        <v>191</v>
      </c>
      <c r="LR4" s="177" t="s">
        <v>191</v>
      </c>
      <c r="LS4" s="177" t="s">
        <v>191</v>
      </c>
      <c r="LT4" s="177" t="s">
        <v>191</v>
      </c>
      <c r="LU4" s="275" t="s">
        <v>191</v>
      </c>
      <c r="LV4" s="177" t="s">
        <v>191</v>
      </c>
      <c r="LW4" s="177" t="s">
        <v>191</v>
      </c>
      <c r="LX4" s="177" t="s">
        <v>191</v>
      </c>
      <c r="LY4" s="177" t="s">
        <v>191</v>
      </c>
      <c r="LZ4" s="177" t="s">
        <v>191</v>
      </c>
      <c r="MA4" s="177" t="s">
        <v>191</v>
      </c>
      <c r="MB4" s="177" t="s">
        <v>191</v>
      </c>
      <c r="MC4" s="177" t="s">
        <v>191</v>
      </c>
      <c r="MD4" s="177" t="s">
        <v>191</v>
      </c>
      <c r="ME4" s="177" t="s">
        <v>191</v>
      </c>
      <c r="MF4" s="177" t="s">
        <v>191</v>
      </c>
      <c r="MG4" s="177" t="s">
        <v>191</v>
      </c>
      <c r="MH4" s="177" t="s">
        <v>191</v>
      </c>
      <c r="MI4" s="177" t="s">
        <v>191</v>
      </c>
      <c r="MJ4" s="177" t="s">
        <v>191</v>
      </c>
      <c r="MK4" s="177" t="s">
        <v>191</v>
      </c>
      <c r="ML4" s="275" t="s">
        <v>191</v>
      </c>
    </row>
    <row r="5" ht="25.5" customHeight="1">
      <c r="A5" s="272" t="s">
        <v>620</v>
      </c>
      <c r="B5" s="178" t="s">
        <v>109</v>
      </c>
      <c r="C5" s="178" t="s">
        <v>109</v>
      </c>
      <c r="D5" s="178" t="s">
        <v>109</v>
      </c>
      <c r="E5" s="181" t="s">
        <v>155</v>
      </c>
      <c r="F5" s="181" t="s">
        <v>155</v>
      </c>
      <c r="G5" s="247" t="s">
        <v>155</v>
      </c>
      <c r="H5" s="247" t="s">
        <v>155</v>
      </c>
      <c r="I5" s="181" t="s">
        <v>622</v>
      </c>
      <c r="J5" s="181" t="s">
        <v>621</v>
      </c>
      <c r="K5" s="276" t="s">
        <v>1211</v>
      </c>
      <c r="L5" s="276" t="s">
        <v>1211</v>
      </c>
      <c r="M5" s="276" t="s">
        <v>1211</v>
      </c>
      <c r="N5" s="276" t="s">
        <v>1211</v>
      </c>
      <c r="O5" s="276" t="s">
        <v>1211</v>
      </c>
      <c r="P5" s="276" t="s">
        <v>1211</v>
      </c>
      <c r="Q5" s="276" t="s">
        <v>1211</v>
      </c>
      <c r="R5" s="276" t="s">
        <v>1211</v>
      </c>
      <c r="S5" s="276" t="s">
        <v>1211</v>
      </c>
      <c r="T5" s="276" t="s">
        <v>1211</v>
      </c>
      <c r="U5" s="276" t="s">
        <v>1211</v>
      </c>
      <c r="V5" s="276" t="s">
        <v>1211</v>
      </c>
      <c r="W5" s="276" t="s">
        <v>1211</v>
      </c>
      <c r="X5" s="276" t="s">
        <v>1211</v>
      </c>
      <c r="Y5" s="276" t="s">
        <v>1211</v>
      </c>
      <c r="Z5" s="276" t="s">
        <v>1211</v>
      </c>
      <c r="AA5" s="276" t="s">
        <v>1211</v>
      </c>
      <c r="AB5" s="277" t="s">
        <v>1211</v>
      </c>
      <c r="AC5" s="277" t="s">
        <v>1211</v>
      </c>
      <c r="AD5" s="277" t="s">
        <v>1211</v>
      </c>
      <c r="AE5" s="277" t="s">
        <v>1211</v>
      </c>
      <c r="AF5" s="277" t="s">
        <v>1211</v>
      </c>
      <c r="AG5" s="277" t="s">
        <v>1211</v>
      </c>
      <c r="AH5" s="277" t="s">
        <v>1211</v>
      </c>
      <c r="AI5" s="277" t="s">
        <v>1211</v>
      </c>
      <c r="AJ5" s="277" t="s">
        <v>1211</v>
      </c>
      <c r="AK5" s="277" t="s">
        <v>1211</v>
      </c>
      <c r="AL5" s="277" t="s">
        <v>1211</v>
      </c>
      <c r="AM5" s="277" t="s">
        <v>1211</v>
      </c>
      <c r="AN5" s="277" t="s">
        <v>1211</v>
      </c>
      <c r="AO5" s="277" t="s">
        <v>1211</v>
      </c>
      <c r="AP5" s="277" t="s">
        <v>1211</v>
      </c>
      <c r="AQ5" s="277" t="s">
        <v>1211</v>
      </c>
      <c r="AR5" s="277" t="s">
        <v>1211</v>
      </c>
      <c r="AS5" s="278" t="s">
        <v>1211</v>
      </c>
      <c r="AT5" s="278" t="s">
        <v>1211</v>
      </c>
      <c r="AU5" s="278" t="s">
        <v>1211</v>
      </c>
      <c r="AV5" s="278" t="s">
        <v>1211</v>
      </c>
      <c r="AW5" s="278" t="s">
        <v>1211</v>
      </c>
      <c r="AX5" s="278" t="s">
        <v>1211</v>
      </c>
      <c r="AY5" s="278" t="s">
        <v>1211</v>
      </c>
      <c r="AZ5" s="278" t="s">
        <v>1211</v>
      </c>
      <c r="BA5" s="278" t="s">
        <v>1211</v>
      </c>
      <c r="BB5" s="278" t="s">
        <v>1211</v>
      </c>
      <c r="BC5" s="278" t="s">
        <v>1211</v>
      </c>
      <c r="BD5" s="278" t="s">
        <v>1211</v>
      </c>
      <c r="BE5" s="278" t="s">
        <v>1211</v>
      </c>
      <c r="BF5" s="278" t="s">
        <v>1211</v>
      </c>
      <c r="BG5" s="278" t="s">
        <v>1211</v>
      </c>
      <c r="BH5" s="278" t="s">
        <v>1211</v>
      </c>
      <c r="BI5" s="278" t="s">
        <v>1211</v>
      </c>
      <c r="BJ5" s="276" t="s">
        <v>1211</v>
      </c>
      <c r="BK5" s="276" t="s">
        <v>1211</v>
      </c>
      <c r="BL5" s="276" t="s">
        <v>1211</v>
      </c>
      <c r="BM5" s="276" t="s">
        <v>1211</v>
      </c>
      <c r="BN5" s="276" t="s">
        <v>1211</v>
      </c>
      <c r="BO5" s="276" t="s">
        <v>1211</v>
      </c>
      <c r="BP5" s="276" t="s">
        <v>1211</v>
      </c>
      <c r="BQ5" s="276" t="s">
        <v>1211</v>
      </c>
      <c r="BR5" s="276" t="s">
        <v>1211</v>
      </c>
      <c r="BS5" s="276" t="s">
        <v>1211</v>
      </c>
      <c r="BT5" s="276" t="s">
        <v>1211</v>
      </c>
      <c r="BU5" s="276" t="s">
        <v>1211</v>
      </c>
      <c r="BV5" s="276" t="s">
        <v>1211</v>
      </c>
      <c r="BW5" s="276" t="s">
        <v>1211</v>
      </c>
      <c r="BX5" s="276" t="s">
        <v>1211</v>
      </c>
      <c r="BY5" s="276" t="s">
        <v>1211</v>
      </c>
      <c r="BZ5" s="276" t="s">
        <v>1211</v>
      </c>
      <c r="CA5" s="178" t="s">
        <v>1212</v>
      </c>
      <c r="CB5" s="178" t="s">
        <v>1212</v>
      </c>
      <c r="CC5" s="178" t="s">
        <v>1212</v>
      </c>
      <c r="CD5" s="178" t="s">
        <v>1212</v>
      </c>
      <c r="CE5" s="178" t="s">
        <v>1212</v>
      </c>
      <c r="CF5" s="178" t="s">
        <v>1212</v>
      </c>
      <c r="CG5" s="178" t="s">
        <v>1212</v>
      </c>
      <c r="CH5" s="178" t="s">
        <v>1212</v>
      </c>
      <c r="CI5" s="178" t="s">
        <v>1212</v>
      </c>
      <c r="CJ5" s="178" t="s">
        <v>1212</v>
      </c>
      <c r="CK5" s="178" t="s">
        <v>1212</v>
      </c>
      <c r="CL5" s="178" t="s">
        <v>1212</v>
      </c>
      <c r="CM5" s="178" t="s">
        <v>1212</v>
      </c>
      <c r="CN5" s="178" t="s">
        <v>1212</v>
      </c>
      <c r="CO5" s="178" t="s">
        <v>1212</v>
      </c>
      <c r="CP5" s="178" t="s">
        <v>1212</v>
      </c>
      <c r="CQ5" s="178" t="s">
        <v>1212</v>
      </c>
      <c r="CR5" s="276" t="s">
        <v>1213</v>
      </c>
      <c r="CS5" s="276" t="s">
        <v>1213</v>
      </c>
      <c r="CT5" s="276" t="s">
        <v>1213</v>
      </c>
      <c r="CU5" s="276" t="s">
        <v>1213</v>
      </c>
      <c r="CV5" s="276" t="s">
        <v>1213</v>
      </c>
      <c r="CW5" s="276" t="s">
        <v>1213</v>
      </c>
      <c r="CX5" s="276" t="s">
        <v>1213</v>
      </c>
      <c r="CY5" s="276" t="s">
        <v>1213</v>
      </c>
      <c r="CZ5" s="276" t="s">
        <v>1213</v>
      </c>
      <c r="DA5" s="276" t="s">
        <v>1213</v>
      </c>
      <c r="DB5" s="276" t="s">
        <v>1213</v>
      </c>
      <c r="DC5" s="276" t="s">
        <v>1213</v>
      </c>
      <c r="DD5" s="276" t="s">
        <v>1213</v>
      </c>
      <c r="DE5" s="276" t="s">
        <v>1213</v>
      </c>
      <c r="DF5" s="276" t="s">
        <v>1213</v>
      </c>
      <c r="DG5" s="278" t="s">
        <v>1213</v>
      </c>
      <c r="DH5" s="276" t="s">
        <v>1213</v>
      </c>
      <c r="DI5" s="178" t="s">
        <v>1214</v>
      </c>
      <c r="DJ5" s="178" t="s">
        <v>1214</v>
      </c>
      <c r="DK5" s="178" t="s">
        <v>1214</v>
      </c>
      <c r="DL5" s="178" t="s">
        <v>1214</v>
      </c>
      <c r="DM5" s="178" t="s">
        <v>1214</v>
      </c>
      <c r="DN5" s="178" t="s">
        <v>1214</v>
      </c>
      <c r="DO5" s="178" t="s">
        <v>1214</v>
      </c>
      <c r="DP5" s="178" t="s">
        <v>1214</v>
      </c>
      <c r="DQ5" s="178" t="s">
        <v>1214</v>
      </c>
      <c r="DR5" s="178" t="s">
        <v>1214</v>
      </c>
      <c r="DS5" s="178" t="s">
        <v>1214</v>
      </c>
      <c r="DT5" s="178" t="s">
        <v>1214</v>
      </c>
      <c r="DU5" s="178" t="s">
        <v>1214</v>
      </c>
      <c r="DV5" s="178" t="s">
        <v>1214</v>
      </c>
      <c r="DW5" s="178" t="s">
        <v>1214</v>
      </c>
      <c r="DX5" s="178" t="s">
        <v>1214</v>
      </c>
      <c r="DY5" s="178" t="s">
        <v>1214</v>
      </c>
      <c r="DZ5" s="178" t="s">
        <v>1215</v>
      </c>
      <c r="EA5" s="178" t="s">
        <v>1215</v>
      </c>
      <c r="EB5" s="178" t="s">
        <v>1215</v>
      </c>
      <c r="EC5" s="178" t="s">
        <v>1215</v>
      </c>
      <c r="ED5" s="178" t="s">
        <v>1215</v>
      </c>
      <c r="EE5" s="178" t="s">
        <v>1215</v>
      </c>
      <c r="EF5" s="178" t="s">
        <v>1215</v>
      </c>
      <c r="EG5" s="178" t="s">
        <v>1215</v>
      </c>
      <c r="EH5" s="178" t="s">
        <v>1215</v>
      </c>
      <c r="EI5" s="178" t="s">
        <v>1215</v>
      </c>
      <c r="EJ5" s="178" t="s">
        <v>1215</v>
      </c>
      <c r="EK5" s="178" t="s">
        <v>1215</v>
      </c>
      <c r="EL5" s="178" t="s">
        <v>1215</v>
      </c>
      <c r="EM5" s="178" t="s">
        <v>1215</v>
      </c>
      <c r="EN5" s="178" t="s">
        <v>1215</v>
      </c>
      <c r="EO5" s="178" t="s">
        <v>1215</v>
      </c>
      <c r="EP5" s="178" t="s">
        <v>1215</v>
      </c>
      <c r="EQ5" s="178" t="s">
        <v>1214</v>
      </c>
      <c r="ER5" s="178" t="s">
        <v>1214</v>
      </c>
      <c r="ES5" s="178" t="s">
        <v>1214</v>
      </c>
      <c r="ET5" s="178" t="s">
        <v>1214</v>
      </c>
      <c r="EU5" s="178" t="s">
        <v>1214</v>
      </c>
      <c r="EV5" s="178" t="s">
        <v>1214</v>
      </c>
      <c r="EW5" s="178" t="s">
        <v>1214</v>
      </c>
      <c r="EX5" s="178" t="s">
        <v>1214</v>
      </c>
      <c r="EY5" s="178" t="s">
        <v>1214</v>
      </c>
      <c r="EZ5" s="178" t="s">
        <v>1214</v>
      </c>
      <c r="FA5" s="178" t="s">
        <v>1214</v>
      </c>
      <c r="FB5" s="178" t="s">
        <v>1214</v>
      </c>
      <c r="FC5" s="178" t="s">
        <v>1214</v>
      </c>
      <c r="FD5" s="178" t="s">
        <v>1214</v>
      </c>
      <c r="FE5" s="178" t="s">
        <v>1214</v>
      </c>
      <c r="FF5" s="178" t="s">
        <v>1214</v>
      </c>
      <c r="FG5" s="178" t="s">
        <v>1214</v>
      </c>
      <c r="FH5" s="178" t="s">
        <v>1216</v>
      </c>
      <c r="FI5" s="178" t="s">
        <v>1216</v>
      </c>
      <c r="FJ5" s="178" t="s">
        <v>1216</v>
      </c>
      <c r="FK5" s="178" t="s">
        <v>1216</v>
      </c>
      <c r="FL5" s="178" t="s">
        <v>1216</v>
      </c>
      <c r="FM5" s="178" t="s">
        <v>1216</v>
      </c>
      <c r="FN5" s="178" t="s">
        <v>1216</v>
      </c>
      <c r="FO5" s="178" t="s">
        <v>1216</v>
      </c>
      <c r="FP5" s="178" t="s">
        <v>1216</v>
      </c>
      <c r="FQ5" s="178" t="s">
        <v>1216</v>
      </c>
      <c r="FR5" s="178" t="s">
        <v>1216</v>
      </c>
      <c r="FS5" s="178" t="s">
        <v>1216</v>
      </c>
      <c r="FT5" s="178" t="s">
        <v>1216</v>
      </c>
      <c r="FU5" s="178" t="s">
        <v>1216</v>
      </c>
      <c r="FV5" s="178" t="s">
        <v>1216</v>
      </c>
      <c r="FW5" s="178" t="s">
        <v>1216</v>
      </c>
      <c r="FX5" s="178" t="s">
        <v>1216</v>
      </c>
      <c r="FY5" s="279" t="s">
        <v>1217</v>
      </c>
      <c r="FZ5" s="279" t="s">
        <v>1217</v>
      </c>
      <c r="GA5" s="279" t="s">
        <v>1217</v>
      </c>
      <c r="GB5" s="279" t="s">
        <v>1217</v>
      </c>
      <c r="GC5" s="279" t="s">
        <v>1217</v>
      </c>
      <c r="GD5" s="279" t="s">
        <v>1217</v>
      </c>
      <c r="GE5" s="279" t="s">
        <v>1217</v>
      </c>
      <c r="GF5" s="279" t="s">
        <v>1217</v>
      </c>
      <c r="GG5" s="279" t="s">
        <v>1217</v>
      </c>
      <c r="GH5" s="279" t="s">
        <v>1217</v>
      </c>
      <c r="GI5" s="279" t="s">
        <v>1217</v>
      </c>
      <c r="GJ5" s="279" t="s">
        <v>1217</v>
      </c>
      <c r="GK5" s="279" t="s">
        <v>1217</v>
      </c>
      <c r="GL5" s="279" t="s">
        <v>1217</v>
      </c>
      <c r="GM5" s="279" t="s">
        <v>1217</v>
      </c>
      <c r="GN5" s="279" t="s">
        <v>1217</v>
      </c>
      <c r="GO5" s="279" t="s">
        <v>1217</v>
      </c>
      <c r="GP5" s="180" t="s">
        <v>1218</v>
      </c>
      <c r="GQ5" s="180" t="s">
        <v>1218</v>
      </c>
      <c r="GR5" s="180" t="s">
        <v>1218</v>
      </c>
      <c r="GS5" s="180" t="s">
        <v>1218</v>
      </c>
      <c r="GT5" s="180" t="s">
        <v>1218</v>
      </c>
      <c r="GU5" s="180" t="s">
        <v>1218</v>
      </c>
      <c r="GV5" s="180" t="s">
        <v>1218</v>
      </c>
      <c r="GW5" s="180" t="s">
        <v>1218</v>
      </c>
      <c r="GX5" s="180" t="s">
        <v>1218</v>
      </c>
      <c r="GY5" s="180" t="s">
        <v>1218</v>
      </c>
      <c r="GZ5" s="180" t="s">
        <v>1218</v>
      </c>
      <c r="HA5" s="180" t="s">
        <v>1218</v>
      </c>
      <c r="HB5" s="180" t="s">
        <v>1218</v>
      </c>
      <c r="HC5" s="180" t="s">
        <v>1218</v>
      </c>
      <c r="HD5" s="180" t="s">
        <v>1218</v>
      </c>
      <c r="HE5" s="180" t="s">
        <v>1218</v>
      </c>
      <c r="HF5" s="180" t="s">
        <v>1218</v>
      </c>
      <c r="HG5" s="180" t="s">
        <v>1219</v>
      </c>
      <c r="HH5" s="180" t="s">
        <v>1219</v>
      </c>
      <c r="HI5" s="180" t="s">
        <v>1219</v>
      </c>
      <c r="HJ5" s="180" t="s">
        <v>1219</v>
      </c>
      <c r="HK5" s="180" t="s">
        <v>1219</v>
      </c>
      <c r="HL5" s="180" t="s">
        <v>1219</v>
      </c>
      <c r="HM5" s="180" t="s">
        <v>1219</v>
      </c>
      <c r="HN5" s="180" t="s">
        <v>1219</v>
      </c>
      <c r="HO5" s="180" t="s">
        <v>1219</v>
      </c>
      <c r="HP5" s="180" t="s">
        <v>1219</v>
      </c>
      <c r="HQ5" s="180" t="s">
        <v>1219</v>
      </c>
      <c r="HR5" s="180" t="s">
        <v>1219</v>
      </c>
      <c r="HS5" s="180" t="s">
        <v>1219</v>
      </c>
      <c r="HT5" s="180" t="s">
        <v>1219</v>
      </c>
      <c r="HU5" s="180" t="s">
        <v>1219</v>
      </c>
      <c r="HV5" s="180" t="s">
        <v>1219</v>
      </c>
      <c r="HW5" s="180" t="s">
        <v>1219</v>
      </c>
      <c r="HX5" s="180" t="s">
        <v>1220</v>
      </c>
      <c r="HY5" s="180" t="s">
        <v>1220</v>
      </c>
      <c r="HZ5" s="180" t="s">
        <v>1220</v>
      </c>
      <c r="IA5" s="180" t="s">
        <v>1220</v>
      </c>
      <c r="IB5" s="180" t="s">
        <v>1220</v>
      </c>
      <c r="IC5" s="180" t="s">
        <v>1220</v>
      </c>
      <c r="ID5" s="180" t="s">
        <v>1220</v>
      </c>
      <c r="IE5" s="180" t="s">
        <v>1220</v>
      </c>
      <c r="IF5" s="180" t="s">
        <v>1220</v>
      </c>
      <c r="IG5" s="180" t="s">
        <v>1220</v>
      </c>
      <c r="IH5" s="180" t="s">
        <v>1220</v>
      </c>
      <c r="II5" s="180" t="s">
        <v>1220</v>
      </c>
      <c r="IJ5" s="180" t="s">
        <v>1220</v>
      </c>
      <c r="IK5" s="180" t="s">
        <v>1220</v>
      </c>
      <c r="IL5" s="180" t="s">
        <v>1220</v>
      </c>
      <c r="IM5" s="180" t="s">
        <v>1220</v>
      </c>
      <c r="IN5" s="180" t="s">
        <v>1220</v>
      </c>
      <c r="IO5" s="280" t="s">
        <v>1221</v>
      </c>
      <c r="IP5" s="280" t="s">
        <v>1221</v>
      </c>
      <c r="IQ5" s="280" t="s">
        <v>1221</v>
      </c>
      <c r="IR5" s="280" t="s">
        <v>1221</v>
      </c>
      <c r="IS5" s="280" t="s">
        <v>1221</v>
      </c>
      <c r="IT5" s="280" t="s">
        <v>1221</v>
      </c>
      <c r="IU5" s="280" t="s">
        <v>1221</v>
      </c>
      <c r="IV5" s="280" t="s">
        <v>1221</v>
      </c>
      <c r="IW5" s="280" t="s">
        <v>1221</v>
      </c>
      <c r="IX5" s="280" t="s">
        <v>1221</v>
      </c>
      <c r="IY5" s="280" t="s">
        <v>1221</v>
      </c>
      <c r="IZ5" s="280" t="s">
        <v>1221</v>
      </c>
      <c r="JA5" s="280" t="s">
        <v>1221</v>
      </c>
      <c r="JB5" s="280" t="s">
        <v>1221</v>
      </c>
      <c r="JC5" s="280" t="s">
        <v>1221</v>
      </c>
      <c r="JD5" s="280" t="s">
        <v>1221</v>
      </c>
      <c r="JE5" s="280" t="s">
        <v>1221</v>
      </c>
      <c r="JF5" s="178" t="s">
        <v>1222</v>
      </c>
      <c r="JG5" s="178" t="s">
        <v>1222</v>
      </c>
      <c r="JH5" s="178" t="s">
        <v>1222</v>
      </c>
      <c r="JI5" s="178" t="s">
        <v>1222</v>
      </c>
      <c r="JJ5" s="178" t="s">
        <v>1222</v>
      </c>
      <c r="JK5" s="178" t="s">
        <v>1222</v>
      </c>
      <c r="JL5" s="178" t="s">
        <v>1222</v>
      </c>
      <c r="JM5" s="178" t="s">
        <v>1222</v>
      </c>
      <c r="JN5" s="178" t="s">
        <v>1222</v>
      </c>
      <c r="JO5" s="178" t="s">
        <v>1222</v>
      </c>
      <c r="JP5" s="178" t="s">
        <v>1222</v>
      </c>
      <c r="JQ5" s="178" t="s">
        <v>1222</v>
      </c>
      <c r="JR5" s="178" t="s">
        <v>1222</v>
      </c>
      <c r="JS5" s="178" t="s">
        <v>1222</v>
      </c>
      <c r="JT5" s="178" t="s">
        <v>1222</v>
      </c>
      <c r="JU5" s="178" t="s">
        <v>1222</v>
      </c>
      <c r="JV5" s="178" t="s">
        <v>1222</v>
      </c>
      <c r="JW5" s="178" t="s">
        <v>1221</v>
      </c>
      <c r="JX5" s="178" t="s">
        <v>1221</v>
      </c>
      <c r="JY5" s="178" t="s">
        <v>1221</v>
      </c>
      <c r="JZ5" s="178" t="s">
        <v>1221</v>
      </c>
      <c r="KA5" s="178" t="s">
        <v>1221</v>
      </c>
      <c r="KB5" s="178" t="s">
        <v>1221</v>
      </c>
      <c r="KC5" s="178" t="s">
        <v>1221</v>
      </c>
      <c r="KD5" s="178" t="s">
        <v>1221</v>
      </c>
      <c r="KE5" s="178" t="s">
        <v>1221</v>
      </c>
      <c r="KF5" s="178" t="s">
        <v>1221</v>
      </c>
      <c r="KG5" s="178" t="s">
        <v>1221</v>
      </c>
      <c r="KH5" s="178" t="s">
        <v>1221</v>
      </c>
      <c r="KI5" s="178" t="s">
        <v>1221</v>
      </c>
      <c r="KJ5" s="178" t="s">
        <v>1221</v>
      </c>
      <c r="KK5" s="178" t="s">
        <v>1221</v>
      </c>
      <c r="KL5" s="178" t="s">
        <v>1221</v>
      </c>
      <c r="KM5" s="178" t="s">
        <v>1221</v>
      </c>
      <c r="KN5" s="178" t="s">
        <v>1221</v>
      </c>
      <c r="KO5" s="178" t="s">
        <v>1221</v>
      </c>
      <c r="KP5" s="178" t="s">
        <v>1221</v>
      </c>
      <c r="KQ5" s="178" t="s">
        <v>1221</v>
      </c>
      <c r="KR5" s="178" t="s">
        <v>1221</v>
      </c>
      <c r="KS5" s="178" t="s">
        <v>1221</v>
      </c>
      <c r="KT5" s="178" t="s">
        <v>1221</v>
      </c>
      <c r="KU5" s="178" t="s">
        <v>1221</v>
      </c>
      <c r="KV5" s="178" t="s">
        <v>1221</v>
      </c>
      <c r="KW5" s="178" t="s">
        <v>1221</v>
      </c>
      <c r="KX5" s="178" t="s">
        <v>1221</v>
      </c>
      <c r="KY5" s="178" t="s">
        <v>1221</v>
      </c>
      <c r="KZ5" s="178" t="s">
        <v>1221</v>
      </c>
      <c r="LA5" s="178" t="s">
        <v>1221</v>
      </c>
      <c r="LB5" s="178" t="s">
        <v>1221</v>
      </c>
      <c r="LC5" s="178" t="s">
        <v>1221</v>
      </c>
      <c r="LD5" s="178" t="s">
        <v>1221</v>
      </c>
      <c r="LE5" s="178" t="s">
        <v>1221</v>
      </c>
      <c r="LF5" s="178" t="s">
        <v>1221</v>
      </c>
      <c r="LG5" s="178" t="s">
        <v>1221</v>
      </c>
      <c r="LH5" s="178" t="s">
        <v>1221</v>
      </c>
      <c r="LI5" s="178" t="s">
        <v>1221</v>
      </c>
      <c r="LJ5" s="178" t="s">
        <v>1221</v>
      </c>
      <c r="LK5" s="178" t="s">
        <v>1221</v>
      </c>
      <c r="LL5" s="178" t="s">
        <v>1221</v>
      </c>
      <c r="LM5" s="178" t="s">
        <v>1221</v>
      </c>
      <c r="LN5" s="178" t="s">
        <v>1221</v>
      </c>
      <c r="LO5" s="178" t="s">
        <v>1221</v>
      </c>
      <c r="LP5" s="178" t="s">
        <v>1221</v>
      </c>
      <c r="LQ5" s="178" t="s">
        <v>1221</v>
      </c>
      <c r="LR5" s="178" t="s">
        <v>1221</v>
      </c>
      <c r="LS5" s="178" t="s">
        <v>1221</v>
      </c>
      <c r="LT5" s="178" t="s">
        <v>1221</v>
      </c>
      <c r="LU5" s="178" t="s">
        <v>1221</v>
      </c>
      <c r="LV5" s="178" t="s">
        <v>1221</v>
      </c>
      <c r="LW5" s="178" t="s">
        <v>1221</v>
      </c>
      <c r="LX5" s="178" t="s">
        <v>1221</v>
      </c>
      <c r="LY5" s="178" t="s">
        <v>1221</v>
      </c>
      <c r="LZ5" s="178" t="s">
        <v>1221</v>
      </c>
      <c r="MA5" s="178" t="s">
        <v>1221</v>
      </c>
      <c r="MB5" s="178" t="s">
        <v>1221</v>
      </c>
      <c r="MC5" s="178" t="s">
        <v>1221</v>
      </c>
      <c r="MD5" s="178" t="s">
        <v>1221</v>
      </c>
      <c r="ME5" s="178" t="s">
        <v>1221</v>
      </c>
      <c r="MF5" s="178" t="s">
        <v>1221</v>
      </c>
      <c r="MG5" s="178" t="s">
        <v>1221</v>
      </c>
      <c r="MH5" s="178" t="s">
        <v>1221</v>
      </c>
      <c r="MI5" s="178" t="s">
        <v>1221</v>
      </c>
      <c r="MJ5" s="178" t="s">
        <v>1221</v>
      </c>
      <c r="MK5" s="178" t="s">
        <v>1221</v>
      </c>
      <c r="ML5" s="178" t="s">
        <v>1221</v>
      </c>
    </row>
    <row r="6" ht="18.75" customHeight="1">
      <c r="A6" s="272" t="s">
        <v>89</v>
      </c>
      <c r="B6" s="183" t="s">
        <v>35</v>
      </c>
      <c r="C6" s="183" t="s">
        <v>35</v>
      </c>
      <c r="D6" s="183" t="s">
        <v>35</v>
      </c>
      <c r="E6" s="183" t="s">
        <v>35</v>
      </c>
      <c r="F6" s="183" t="s">
        <v>35</v>
      </c>
      <c r="G6" s="183" t="s">
        <v>35</v>
      </c>
      <c r="H6" s="183" t="s">
        <v>35</v>
      </c>
      <c r="I6" s="183" t="s">
        <v>35</v>
      </c>
      <c r="J6" s="183" t="s">
        <v>35</v>
      </c>
      <c r="K6" s="183" t="s">
        <v>37</v>
      </c>
      <c r="L6" s="183" t="s">
        <v>39</v>
      </c>
      <c r="M6" s="183" t="s">
        <v>39</v>
      </c>
      <c r="N6" s="183" t="s">
        <v>39</v>
      </c>
      <c r="O6" s="183" t="s">
        <v>39</v>
      </c>
      <c r="P6" s="183" t="s">
        <v>39</v>
      </c>
      <c r="Q6" s="183" t="s">
        <v>39</v>
      </c>
      <c r="R6" s="183" t="s">
        <v>39</v>
      </c>
      <c r="S6" s="183" t="s">
        <v>39</v>
      </c>
      <c r="T6" s="183" t="s">
        <v>39</v>
      </c>
      <c r="U6" s="183" t="s">
        <v>39</v>
      </c>
      <c r="V6" s="183" t="s">
        <v>39</v>
      </c>
      <c r="W6" s="183" t="s">
        <v>39</v>
      </c>
      <c r="X6" s="183" t="s">
        <v>39</v>
      </c>
      <c r="Y6" s="183" t="s">
        <v>39</v>
      </c>
      <c r="Z6" s="183" t="s">
        <v>39</v>
      </c>
      <c r="AA6" s="183" t="s">
        <v>37</v>
      </c>
      <c r="AB6" s="248" t="s">
        <v>39</v>
      </c>
      <c r="AC6" s="248" t="s">
        <v>39</v>
      </c>
      <c r="AD6" s="248" t="s">
        <v>39</v>
      </c>
      <c r="AE6" s="248" t="s">
        <v>39</v>
      </c>
      <c r="AF6" s="248" t="s">
        <v>39</v>
      </c>
      <c r="AG6" s="248" t="s">
        <v>39</v>
      </c>
      <c r="AH6" s="248" t="s">
        <v>39</v>
      </c>
      <c r="AI6" s="248" t="s">
        <v>39</v>
      </c>
      <c r="AJ6" s="248" t="s">
        <v>39</v>
      </c>
      <c r="AK6" s="248" t="s">
        <v>39</v>
      </c>
      <c r="AL6" s="248" t="s">
        <v>39</v>
      </c>
      <c r="AM6" s="248" t="s">
        <v>39</v>
      </c>
      <c r="AN6" s="248" t="s">
        <v>39</v>
      </c>
      <c r="AO6" s="248" t="s">
        <v>39</v>
      </c>
      <c r="AP6" s="248" t="s">
        <v>39</v>
      </c>
      <c r="AQ6" s="248" t="s">
        <v>39</v>
      </c>
      <c r="AR6" s="248" t="s">
        <v>39</v>
      </c>
      <c r="AS6" s="248" t="s">
        <v>39</v>
      </c>
      <c r="AT6" s="248" t="s">
        <v>39</v>
      </c>
      <c r="AU6" s="248" t="s">
        <v>39</v>
      </c>
      <c r="AV6" s="248" t="s">
        <v>39</v>
      </c>
      <c r="AW6" s="248" t="s">
        <v>39</v>
      </c>
      <c r="AX6" s="248" t="s">
        <v>39</v>
      </c>
      <c r="AY6" s="248" t="s">
        <v>39</v>
      </c>
      <c r="AZ6" s="248" t="s">
        <v>39</v>
      </c>
      <c r="BA6" s="248" t="s">
        <v>39</v>
      </c>
      <c r="BB6" s="248" t="s">
        <v>39</v>
      </c>
      <c r="BC6" s="248" t="s">
        <v>39</v>
      </c>
      <c r="BD6" s="248" t="s">
        <v>39</v>
      </c>
      <c r="BE6" s="248" t="s">
        <v>39</v>
      </c>
      <c r="BF6" s="248" t="s">
        <v>39</v>
      </c>
      <c r="BG6" s="248" t="s">
        <v>39</v>
      </c>
      <c r="BH6" s="248" t="s">
        <v>39</v>
      </c>
      <c r="BI6" s="248" t="s">
        <v>39</v>
      </c>
      <c r="BJ6" s="183" t="s">
        <v>39</v>
      </c>
      <c r="BK6" s="183" t="s">
        <v>39</v>
      </c>
      <c r="BL6" s="183" t="s">
        <v>39</v>
      </c>
      <c r="BM6" s="183" t="s">
        <v>39</v>
      </c>
      <c r="BN6" s="183" t="s">
        <v>39</v>
      </c>
      <c r="BO6" s="183" t="s">
        <v>39</v>
      </c>
      <c r="BP6" s="183" t="s">
        <v>39</v>
      </c>
      <c r="BQ6" s="183" t="s">
        <v>39</v>
      </c>
      <c r="BR6" s="183" t="s">
        <v>39</v>
      </c>
      <c r="BS6" s="183" t="s">
        <v>39</v>
      </c>
      <c r="BT6" s="183" t="s">
        <v>39</v>
      </c>
      <c r="BU6" s="183" t="s">
        <v>39</v>
      </c>
      <c r="BV6" s="183" t="s">
        <v>39</v>
      </c>
      <c r="BW6" s="183" t="s">
        <v>39</v>
      </c>
      <c r="BX6" s="183" t="s">
        <v>39</v>
      </c>
      <c r="BY6" s="183" t="s">
        <v>39</v>
      </c>
      <c r="BZ6" s="183" t="s">
        <v>39</v>
      </c>
      <c r="CA6" s="183" t="s">
        <v>41</v>
      </c>
      <c r="CB6" s="183" t="s">
        <v>41</v>
      </c>
      <c r="CC6" s="183" t="s">
        <v>41</v>
      </c>
      <c r="CD6" s="183" t="s">
        <v>41</v>
      </c>
      <c r="CE6" s="281" t="s">
        <v>41</v>
      </c>
      <c r="CF6" s="281" t="s">
        <v>41</v>
      </c>
      <c r="CG6" s="183" t="s">
        <v>41</v>
      </c>
      <c r="CH6" s="183" t="s">
        <v>41</v>
      </c>
      <c r="CI6" s="183" t="s">
        <v>41</v>
      </c>
      <c r="CJ6" s="183" t="s">
        <v>41</v>
      </c>
      <c r="CK6" s="183" t="s">
        <v>41</v>
      </c>
      <c r="CL6" s="183" t="s">
        <v>41</v>
      </c>
      <c r="CM6" s="183" t="s">
        <v>41</v>
      </c>
      <c r="CN6" s="183" t="s">
        <v>41</v>
      </c>
      <c r="CO6" s="183" t="s">
        <v>41</v>
      </c>
      <c r="CP6" s="183" t="s">
        <v>41</v>
      </c>
      <c r="CQ6" s="183" t="s">
        <v>41</v>
      </c>
      <c r="CR6" s="183" t="s">
        <v>41</v>
      </c>
      <c r="CS6" s="183" t="s">
        <v>41</v>
      </c>
      <c r="CT6" s="183" t="s">
        <v>41</v>
      </c>
      <c r="CU6" s="183" t="s">
        <v>41</v>
      </c>
      <c r="CV6" s="183" t="s">
        <v>41</v>
      </c>
      <c r="CW6" s="183" t="s">
        <v>41</v>
      </c>
      <c r="CX6" s="183" t="s">
        <v>41</v>
      </c>
      <c r="CY6" s="183" t="s">
        <v>41</v>
      </c>
      <c r="CZ6" s="183" t="s">
        <v>41</v>
      </c>
      <c r="DA6" s="183" t="s">
        <v>41</v>
      </c>
      <c r="DB6" s="183" t="s">
        <v>41</v>
      </c>
      <c r="DC6" s="183" t="s">
        <v>41</v>
      </c>
      <c r="DD6" s="183" t="s">
        <v>41</v>
      </c>
      <c r="DE6" s="183" t="s">
        <v>41</v>
      </c>
      <c r="DF6" s="183" t="s">
        <v>41</v>
      </c>
      <c r="DG6" s="281" t="s">
        <v>41</v>
      </c>
      <c r="DH6" s="183" t="s">
        <v>41</v>
      </c>
      <c r="DI6" s="183" t="s">
        <v>41</v>
      </c>
      <c r="DJ6" s="183" t="s">
        <v>41</v>
      </c>
      <c r="DK6" s="183" t="s">
        <v>41</v>
      </c>
      <c r="DL6" s="183" t="s">
        <v>41</v>
      </c>
      <c r="DM6" s="183" t="s">
        <v>41</v>
      </c>
      <c r="DN6" s="183" t="s">
        <v>41</v>
      </c>
      <c r="DO6" s="183" t="s">
        <v>41</v>
      </c>
      <c r="DP6" s="183" t="s">
        <v>41</v>
      </c>
      <c r="DQ6" s="183" t="s">
        <v>41</v>
      </c>
      <c r="DR6" s="183" t="s">
        <v>41</v>
      </c>
      <c r="DS6" s="183" t="s">
        <v>41</v>
      </c>
      <c r="DT6" s="183" t="s">
        <v>41</v>
      </c>
      <c r="DU6" s="183" t="s">
        <v>41</v>
      </c>
      <c r="DV6" s="183" t="s">
        <v>41</v>
      </c>
      <c r="DW6" s="183" t="s">
        <v>41</v>
      </c>
      <c r="DX6" s="183" t="s">
        <v>41</v>
      </c>
      <c r="DY6" s="183" t="s">
        <v>41</v>
      </c>
      <c r="DZ6" s="183" t="s">
        <v>41</v>
      </c>
      <c r="EA6" s="183" t="s">
        <v>41</v>
      </c>
      <c r="EB6" s="183" t="s">
        <v>41</v>
      </c>
      <c r="EC6" s="183" t="s">
        <v>41</v>
      </c>
      <c r="ED6" s="183" t="s">
        <v>41</v>
      </c>
      <c r="EE6" s="183" t="s">
        <v>41</v>
      </c>
      <c r="EF6" s="183" t="s">
        <v>41</v>
      </c>
      <c r="EG6" s="183" t="s">
        <v>41</v>
      </c>
      <c r="EH6" s="183" t="s">
        <v>41</v>
      </c>
      <c r="EI6" s="183" t="s">
        <v>41</v>
      </c>
      <c r="EJ6" s="183" t="s">
        <v>41</v>
      </c>
      <c r="EK6" s="183" t="s">
        <v>41</v>
      </c>
      <c r="EL6" s="183" t="s">
        <v>41</v>
      </c>
      <c r="EM6" s="183" t="s">
        <v>41</v>
      </c>
      <c r="EN6" s="183" t="s">
        <v>41</v>
      </c>
      <c r="EO6" s="183" t="s">
        <v>41</v>
      </c>
      <c r="EP6" s="183" t="s">
        <v>41</v>
      </c>
      <c r="EQ6" s="183" t="s">
        <v>41</v>
      </c>
      <c r="ER6" s="183" t="s">
        <v>41</v>
      </c>
      <c r="ES6" s="183" t="s">
        <v>41</v>
      </c>
      <c r="ET6" s="183" t="s">
        <v>41</v>
      </c>
      <c r="EU6" s="183" t="s">
        <v>41</v>
      </c>
      <c r="EV6" s="183" t="s">
        <v>41</v>
      </c>
      <c r="EW6" s="183" t="s">
        <v>41</v>
      </c>
      <c r="EX6" s="183" t="s">
        <v>41</v>
      </c>
      <c r="EY6" s="183" t="s">
        <v>41</v>
      </c>
      <c r="EZ6" s="183" t="s">
        <v>41</v>
      </c>
      <c r="FA6" s="183" t="s">
        <v>41</v>
      </c>
      <c r="FB6" s="183" t="s">
        <v>41</v>
      </c>
      <c r="FC6" s="183" t="s">
        <v>41</v>
      </c>
      <c r="FD6" s="183" t="s">
        <v>41</v>
      </c>
      <c r="FE6" s="183" t="s">
        <v>41</v>
      </c>
      <c r="FF6" s="183" t="s">
        <v>41</v>
      </c>
      <c r="FG6" s="183" t="s">
        <v>41</v>
      </c>
      <c r="FH6" s="281" t="s">
        <v>41</v>
      </c>
      <c r="FI6" s="281" t="s">
        <v>41</v>
      </c>
      <c r="FJ6" s="281" t="s">
        <v>41</v>
      </c>
      <c r="FK6" s="281" t="s">
        <v>41</v>
      </c>
      <c r="FL6" s="281" t="s">
        <v>41</v>
      </c>
      <c r="FM6" s="281" t="s">
        <v>41</v>
      </c>
      <c r="FN6" s="281" t="s">
        <v>41</v>
      </c>
      <c r="FO6" s="281" t="s">
        <v>41</v>
      </c>
      <c r="FP6" s="281" t="s">
        <v>41</v>
      </c>
      <c r="FQ6" s="281" t="s">
        <v>41</v>
      </c>
      <c r="FR6" s="281" t="s">
        <v>41</v>
      </c>
      <c r="FS6" s="281" t="s">
        <v>41</v>
      </c>
      <c r="FT6" s="281" t="s">
        <v>41</v>
      </c>
      <c r="FU6" s="281" t="s">
        <v>41</v>
      </c>
      <c r="FV6" s="281" t="s">
        <v>41</v>
      </c>
      <c r="FW6" s="281" t="s">
        <v>41</v>
      </c>
      <c r="FX6" s="281" t="s">
        <v>41</v>
      </c>
      <c r="FY6" s="183" t="s">
        <v>41</v>
      </c>
      <c r="FZ6" s="183" t="s">
        <v>41</v>
      </c>
      <c r="GA6" s="183" t="s">
        <v>41</v>
      </c>
      <c r="GB6" s="183" t="s">
        <v>41</v>
      </c>
      <c r="GC6" s="183" t="s">
        <v>41</v>
      </c>
      <c r="GD6" s="183" t="s">
        <v>41</v>
      </c>
      <c r="GE6" s="183" t="s">
        <v>41</v>
      </c>
      <c r="GF6" s="183" t="s">
        <v>41</v>
      </c>
      <c r="GG6" s="183" t="s">
        <v>41</v>
      </c>
      <c r="GH6" s="183" t="s">
        <v>41</v>
      </c>
      <c r="GI6" s="183" t="s">
        <v>41</v>
      </c>
      <c r="GJ6" s="183" t="s">
        <v>41</v>
      </c>
      <c r="GK6" s="183" t="s">
        <v>41</v>
      </c>
      <c r="GL6" s="183" t="s">
        <v>41</v>
      </c>
      <c r="GM6" s="183" t="s">
        <v>41</v>
      </c>
      <c r="GN6" s="183" t="s">
        <v>41</v>
      </c>
      <c r="GO6" s="183" t="s">
        <v>41</v>
      </c>
      <c r="GP6" s="183" t="s">
        <v>41</v>
      </c>
      <c r="GQ6" s="183" t="s">
        <v>41</v>
      </c>
      <c r="GR6" s="183" t="s">
        <v>41</v>
      </c>
      <c r="GS6" s="183" t="s">
        <v>41</v>
      </c>
      <c r="GT6" s="183" t="s">
        <v>41</v>
      </c>
      <c r="GU6" s="183" t="s">
        <v>41</v>
      </c>
      <c r="GV6" s="183" t="s">
        <v>41</v>
      </c>
      <c r="GW6" s="183" t="s">
        <v>41</v>
      </c>
      <c r="GX6" s="183" t="s">
        <v>41</v>
      </c>
      <c r="GY6" s="183" t="s">
        <v>41</v>
      </c>
      <c r="GZ6" s="183" t="s">
        <v>41</v>
      </c>
      <c r="HA6" s="183" t="s">
        <v>41</v>
      </c>
      <c r="HB6" s="183" t="s">
        <v>41</v>
      </c>
      <c r="HC6" s="183" t="s">
        <v>41</v>
      </c>
      <c r="HD6" s="183" t="s">
        <v>41</v>
      </c>
      <c r="HE6" s="183" t="s">
        <v>41</v>
      </c>
      <c r="HF6" s="183" t="s">
        <v>41</v>
      </c>
      <c r="HG6" s="183" t="s">
        <v>41</v>
      </c>
      <c r="HH6" s="183" t="s">
        <v>41</v>
      </c>
      <c r="HI6" s="183" t="s">
        <v>41</v>
      </c>
      <c r="HJ6" s="183" t="s">
        <v>41</v>
      </c>
      <c r="HK6" s="183" t="s">
        <v>41</v>
      </c>
      <c r="HL6" s="183" t="s">
        <v>41</v>
      </c>
      <c r="HM6" s="183" t="s">
        <v>41</v>
      </c>
      <c r="HN6" s="183" t="s">
        <v>41</v>
      </c>
      <c r="HO6" s="183" t="s">
        <v>41</v>
      </c>
      <c r="HP6" s="183" t="s">
        <v>41</v>
      </c>
      <c r="HQ6" s="183" t="s">
        <v>41</v>
      </c>
      <c r="HR6" s="183" t="s">
        <v>41</v>
      </c>
      <c r="HS6" s="183" t="s">
        <v>41</v>
      </c>
      <c r="HT6" s="183" t="s">
        <v>41</v>
      </c>
      <c r="HU6" s="183" t="s">
        <v>41</v>
      </c>
      <c r="HV6" s="183" t="s">
        <v>41</v>
      </c>
      <c r="HW6" s="183" t="s">
        <v>41</v>
      </c>
      <c r="HX6" s="183" t="s">
        <v>41</v>
      </c>
      <c r="HY6" s="281" t="s">
        <v>41</v>
      </c>
      <c r="HZ6" s="281" t="s">
        <v>41</v>
      </c>
      <c r="IA6" s="281" t="s">
        <v>41</v>
      </c>
      <c r="IB6" s="281" t="s">
        <v>41</v>
      </c>
      <c r="IC6" s="281" t="s">
        <v>41</v>
      </c>
      <c r="ID6" s="281" t="s">
        <v>41</v>
      </c>
      <c r="IE6" s="281" t="s">
        <v>41</v>
      </c>
      <c r="IF6" s="281" t="s">
        <v>41</v>
      </c>
      <c r="IG6" s="281" t="s">
        <v>41</v>
      </c>
      <c r="IH6" s="281" t="s">
        <v>41</v>
      </c>
      <c r="II6" s="281" t="s">
        <v>41</v>
      </c>
      <c r="IJ6" s="281" t="s">
        <v>41</v>
      </c>
      <c r="IK6" s="281" t="s">
        <v>41</v>
      </c>
      <c r="IL6" s="281" t="s">
        <v>41</v>
      </c>
      <c r="IM6" s="281" t="s">
        <v>41</v>
      </c>
      <c r="IN6" s="281" t="s">
        <v>41</v>
      </c>
      <c r="IO6" s="281" t="s">
        <v>41</v>
      </c>
      <c r="IP6" s="281" t="s">
        <v>41</v>
      </c>
      <c r="IQ6" s="281" t="s">
        <v>41</v>
      </c>
      <c r="IR6" s="281" t="s">
        <v>41</v>
      </c>
      <c r="IS6" s="281" t="s">
        <v>41</v>
      </c>
      <c r="IT6" s="281" t="s">
        <v>41</v>
      </c>
      <c r="IU6" s="281" t="s">
        <v>41</v>
      </c>
      <c r="IV6" s="281" t="s">
        <v>41</v>
      </c>
      <c r="IW6" s="281" t="s">
        <v>41</v>
      </c>
      <c r="IX6" s="281" t="s">
        <v>41</v>
      </c>
      <c r="IY6" s="281" t="s">
        <v>41</v>
      </c>
      <c r="IZ6" s="281" t="s">
        <v>41</v>
      </c>
      <c r="JA6" s="281" t="s">
        <v>41</v>
      </c>
      <c r="JB6" s="281" t="s">
        <v>41</v>
      </c>
      <c r="JC6" s="281" t="s">
        <v>41</v>
      </c>
      <c r="JD6" s="281" t="s">
        <v>41</v>
      </c>
      <c r="JE6" s="281" t="s">
        <v>41</v>
      </c>
      <c r="JF6" s="183" t="s">
        <v>41</v>
      </c>
      <c r="JG6" s="183" t="s">
        <v>41</v>
      </c>
      <c r="JH6" s="183" t="s">
        <v>41</v>
      </c>
      <c r="JI6" s="183" t="s">
        <v>41</v>
      </c>
      <c r="JJ6" s="183" t="s">
        <v>41</v>
      </c>
      <c r="JK6" s="183" t="s">
        <v>41</v>
      </c>
      <c r="JL6" s="183" t="s">
        <v>41</v>
      </c>
      <c r="JM6" s="183" t="s">
        <v>41</v>
      </c>
      <c r="JN6" s="183" t="s">
        <v>41</v>
      </c>
      <c r="JO6" s="183" t="s">
        <v>41</v>
      </c>
      <c r="JP6" s="183" t="s">
        <v>41</v>
      </c>
      <c r="JQ6" s="183" t="s">
        <v>41</v>
      </c>
      <c r="JR6" s="183" t="s">
        <v>41</v>
      </c>
      <c r="JS6" s="183" t="s">
        <v>41</v>
      </c>
      <c r="JT6" s="183" t="s">
        <v>41</v>
      </c>
      <c r="JU6" s="183" t="s">
        <v>41</v>
      </c>
      <c r="JV6" s="282" t="s">
        <v>41</v>
      </c>
      <c r="JW6" s="183" t="s">
        <v>41</v>
      </c>
      <c r="JX6" s="183" t="s">
        <v>41</v>
      </c>
      <c r="JY6" s="183" t="s">
        <v>41</v>
      </c>
      <c r="JZ6" s="183" t="s">
        <v>41</v>
      </c>
      <c r="KA6" s="183" t="s">
        <v>41</v>
      </c>
      <c r="KB6" s="183" t="s">
        <v>41</v>
      </c>
      <c r="KC6" s="183" t="s">
        <v>41</v>
      </c>
      <c r="KD6" s="183" t="s">
        <v>41</v>
      </c>
      <c r="KE6" s="183" t="s">
        <v>41</v>
      </c>
      <c r="KF6" s="183" t="s">
        <v>41</v>
      </c>
      <c r="KG6" s="183" t="s">
        <v>41</v>
      </c>
      <c r="KH6" s="183" t="s">
        <v>41</v>
      </c>
      <c r="KI6" s="183" t="s">
        <v>41</v>
      </c>
      <c r="KJ6" s="183" t="s">
        <v>41</v>
      </c>
      <c r="KK6" s="183" t="s">
        <v>41</v>
      </c>
      <c r="KL6" s="183" t="s">
        <v>41</v>
      </c>
      <c r="KM6" s="282" t="s">
        <v>41</v>
      </c>
      <c r="KN6" s="183" t="s">
        <v>41</v>
      </c>
      <c r="KO6" s="183" t="s">
        <v>41</v>
      </c>
      <c r="KP6" s="183" t="s">
        <v>41</v>
      </c>
      <c r="KQ6" s="183" t="s">
        <v>41</v>
      </c>
      <c r="KR6" s="183" t="s">
        <v>41</v>
      </c>
      <c r="KS6" s="183" t="s">
        <v>41</v>
      </c>
      <c r="KT6" s="183" t="s">
        <v>41</v>
      </c>
      <c r="KU6" s="183" t="s">
        <v>41</v>
      </c>
      <c r="KV6" s="183" t="s">
        <v>41</v>
      </c>
      <c r="KW6" s="183" t="s">
        <v>41</v>
      </c>
      <c r="KX6" s="183" t="s">
        <v>41</v>
      </c>
      <c r="KY6" s="183" t="s">
        <v>41</v>
      </c>
      <c r="KZ6" s="183" t="s">
        <v>41</v>
      </c>
      <c r="LA6" s="183" t="s">
        <v>41</v>
      </c>
      <c r="LB6" s="183" t="s">
        <v>41</v>
      </c>
      <c r="LC6" s="183" t="s">
        <v>41</v>
      </c>
      <c r="LD6" s="282" t="s">
        <v>41</v>
      </c>
      <c r="LE6" s="183" t="s">
        <v>41</v>
      </c>
      <c r="LF6" s="183" t="s">
        <v>41</v>
      </c>
      <c r="LG6" s="183" t="s">
        <v>41</v>
      </c>
      <c r="LH6" s="183" t="s">
        <v>41</v>
      </c>
      <c r="LI6" s="183" t="s">
        <v>41</v>
      </c>
      <c r="LJ6" s="183" t="s">
        <v>41</v>
      </c>
      <c r="LK6" s="183" t="s">
        <v>41</v>
      </c>
      <c r="LL6" s="183" t="s">
        <v>41</v>
      </c>
      <c r="LM6" s="183" t="s">
        <v>41</v>
      </c>
      <c r="LN6" s="183" t="s">
        <v>41</v>
      </c>
      <c r="LO6" s="183" t="s">
        <v>41</v>
      </c>
      <c r="LP6" s="183" t="s">
        <v>41</v>
      </c>
      <c r="LQ6" s="183" t="s">
        <v>41</v>
      </c>
      <c r="LR6" s="183" t="s">
        <v>41</v>
      </c>
      <c r="LS6" s="183" t="s">
        <v>41</v>
      </c>
      <c r="LT6" s="183" t="s">
        <v>41</v>
      </c>
      <c r="LU6" s="282" t="s">
        <v>41</v>
      </c>
      <c r="LV6" s="183" t="s">
        <v>41</v>
      </c>
      <c r="LW6" s="183" t="s">
        <v>41</v>
      </c>
      <c r="LX6" s="183" t="s">
        <v>41</v>
      </c>
      <c r="LY6" s="183" t="s">
        <v>41</v>
      </c>
      <c r="LZ6" s="183" t="s">
        <v>41</v>
      </c>
      <c r="MA6" s="183" t="s">
        <v>41</v>
      </c>
      <c r="MB6" s="183" t="s">
        <v>41</v>
      </c>
      <c r="MC6" s="183" t="s">
        <v>41</v>
      </c>
      <c r="MD6" s="183" t="s">
        <v>41</v>
      </c>
      <c r="ME6" s="183" t="s">
        <v>41</v>
      </c>
      <c r="MF6" s="183" t="s">
        <v>41</v>
      </c>
      <c r="MG6" s="183" t="s">
        <v>41</v>
      </c>
      <c r="MH6" s="183" t="s">
        <v>41</v>
      </c>
      <c r="MI6" s="183" t="s">
        <v>41</v>
      </c>
      <c r="MJ6" s="183" t="s">
        <v>41</v>
      </c>
      <c r="MK6" s="183" t="s">
        <v>41</v>
      </c>
      <c r="ML6" s="282" t="s">
        <v>41</v>
      </c>
    </row>
    <row r="7" ht="90.0" customHeight="1">
      <c r="A7" s="182" t="s">
        <v>712</v>
      </c>
      <c r="B7" s="230" t="s">
        <v>1223</v>
      </c>
      <c r="C7" s="230" t="s">
        <v>1224</v>
      </c>
      <c r="D7" s="230" t="s">
        <v>1225</v>
      </c>
      <c r="E7" s="230" t="s">
        <v>1226</v>
      </c>
      <c r="F7" s="230" t="s">
        <v>1227</v>
      </c>
      <c r="G7" s="230" t="s">
        <v>1228</v>
      </c>
      <c r="H7" s="230" t="s">
        <v>1229</v>
      </c>
      <c r="I7" s="230" t="s">
        <v>1230</v>
      </c>
      <c r="J7" s="230" t="s">
        <v>1231</v>
      </c>
      <c r="K7" s="83"/>
      <c r="L7" s="83"/>
      <c r="M7" s="83"/>
      <c r="N7" s="83"/>
      <c r="O7" s="83"/>
      <c r="P7" s="83"/>
      <c r="Q7" s="83"/>
      <c r="R7" s="83"/>
      <c r="S7" s="83"/>
      <c r="T7" s="83"/>
      <c r="U7" s="83"/>
      <c r="V7" s="83"/>
      <c r="W7" s="83"/>
      <c r="X7" s="83"/>
      <c r="Y7" s="83"/>
      <c r="Z7" s="83"/>
      <c r="AA7" s="83" t="s">
        <v>1232</v>
      </c>
      <c r="AB7" s="83" t="s">
        <v>1232</v>
      </c>
      <c r="AC7" s="83" t="s">
        <v>1232</v>
      </c>
      <c r="AD7" s="83" t="s">
        <v>1232</v>
      </c>
      <c r="AE7" s="83" t="s">
        <v>1232</v>
      </c>
      <c r="AF7" s="83" t="s">
        <v>1232</v>
      </c>
      <c r="AG7" s="83" t="s">
        <v>1232</v>
      </c>
      <c r="AH7" s="83" t="s">
        <v>1232</v>
      </c>
      <c r="AI7" s="83" t="s">
        <v>1232</v>
      </c>
      <c r="AJ7" s="83" t="s">
        <v>1232</v>
      </c>
      <c r="AK7" s="83" t="s">
        <v>1232</v>
      </c>
      <c r="AL7" s="83" t="s">
        <v>1232</v>
      </c>
      <c r="AM7" s="83" t="s">
        <v>1232</v>
      </c>
      <c r="AN7" s="83" t="s">
        <v>1232</v>
      </c>
      <c r="AO7" s="83" t="s">
        <v>1232</v>
      </c>
      <c r="AP7" s="83" t="s">
        <v>1232</v>
      </c>
      <c r="AQ7" s="83" t="s">
        <v>1232</v>
      </c>
      <c r="AR7" s="83" t="s">
        <v>1232</v>
      </c>
      <c r="AS7" s="83" t="s">
        <v>1232</v>
      </c>
      <c r="AT7" s="83" t="s">
        <v>1232</v>
      </c>
      <c r="AU7" s="83" t="s">
        <v>1232</v>
      </c>
      <c r="AV7" s="83" t="s">
        <v>1232</v>
      </c>
      <c r="AW7" s="83" t="s">
        <v>1232</v>
      </c>
      <c r="AX7" s="83" t="s">
        <v>1232</v>
      </c>
      <c r="AY7" s="83" t="s">
        <v>1232</v>
      </c>
      <c r="AZ7" s="83" t="s">
        <v>1232</v>
      </c>
      <c r="BA7" s="83" t="s">
        <v>1232</v>
      </c>
      <c r="BB7" s="83" t="s">
        <v>1232</v>
      </c>
      <c r="BC7" s="83" t="s">
        <v>1232</v>
      </c>
      <c r="BD7" s="83" t="s">
        <v>1232</v>
      </c>
      <c r="BE7" s="83" t="s">
        <v>1232</v>
      </c>
      <c r="BF7" s="83" t="s">
        <v>1232</v>
      </c>
      <c r="BG7" s="83" t="s">
        <v>1232</v>
      </c>
      <c r="BH7" s="83" t="s">
        <v>1232</v>
      </c>
      <c r="BI7" s="83" t="s">
        <v>1232</v>
      </c>
      <c r="BJ7" s="83" t="s">
        <v>1232</v>
      </c>
      <c r="BK7" s="83" t="s">
        <v>1232</v>
      </c>
      <c r="BL7" s="83" t="s">
        <v>1232</v>
      </c>
      <c r="BM7" s="83" t="s">
        <v>1232</v>
      </c>
      <c r="BN7" s="83" t="s">
        <v>1232</v>
      </c>
      <c r="BO7" s="83" t="s">
        <v>1232</v>
      </c>
      <c r="BP7" s="83" t="s">
        <v>1232</v>
      </c>
      <c r="BQ7" s="83" t="s">
        <v>1232</v>
      </c>
      <c r="BR7" s="83" t="s">
        <v>1232</v>
      </c>
      <c r="BS7" s="83" t="s">
        <v>1232</v>
      </c>
      <c r="BT7" s="83" t="s">
        <v>1232</v>
      </c>
      <c r="BU7" s="83" t="s">
        <v>1232</v>
      </c>
      <c r="BV7" s="83" t="s">
        <v>1232</v>
      </c>
      <c r="BW7" s="83" t="s">
        <v>1232</v>
      </c>
      <c r="BX7" s="83" t="s">
        <v>1232</v>
      </c>
      <c r="BY7" s="83" t="s">
        <v>1232</v>
      </c>
      <c r="BZ7" s="83" t="s">
        <v>1232</v>
      </c>
      <c r="CA7" s="83" t="s">
        <v>1232</v>
      </c>
      <c r="CB7" s="83" t="s">
        <v>1232</v>
      </c>
      <c r="CC7" s="83" t="s">
        <v>1232</v>
      </c>
      <c r="CD7" s="83" t="s">
        <v>1232</v>
      </c>
      <c r="CE7" s="83" t="s">
        <v>1232</v>
      </c>
      <c r="CF7" s="83" t="s">
        <v>1232</v>
      </c>
      <c r="CG7" s="83" t="s">
        <v>1232</v>
      </c>
      <c r="CH7" s="83" t="s">
        <v>1232</v>
      </c>
      <c r="CI7" s="83" t="s">
        <v>1232</v>
      </c>
      <c r="CJ7" s="83" t="s">
        <v>1232</v>
      </c>
      <c r="CK7" s="83" t="s">
        <v>1232</v>
      </c>
      <c r="CL7" s="83" t="s">
        <v>1232</v>
      </c>
      <c r="CM7" s="83" t="s">
        <v>1232</v>
      </c>
      <c r="CN7" s="83" t="s">
        <v>1232</v>
      </c>
      <c r="CO7" s="83" t="s">
        <v>1232</v>
      </c>
      <c r="CP7" s="83" t="s">
        <v>1232</v>
      </c>
      <c r="CQ7" s="83" t="s">
        <v>1232</v>
      </c>
      <c r="CR7" s="83" t="s">
        <v>1232</v>
      </c>
      <c r="CS7" s="83" t="s">
        <v>1232</v>
      </c>
      <c r="CT7" s="83" t="s">
        <v>1232</v>
      </c>
      <c r="CU7" s="83" t="s">
        <v>1232</v>
      </c>
      <c r="CV7" s="83" t="s">
        <v>1232</v>
      </c>
      <c r="CW7" s="83" t="s">
        <v>1232</v>
      </c>
      <c r="CX7" s="83" t="s">
        <v>1232</v>
      </c>
      <c r="CY7" s="83" t="s">
        <v>1232</v>
      </c>
      <c r="CZ7" s="83" t="s">
        <v>1232</v>
      </c>
      <c r="DA7" s="83" t="s">
        <v>1232</v>
      </c>
      <c r="DB7" s="83" t="s">
        <v>1232</v>
      </c>
      <c r="DC7" s="83" t="s">
        <v>1232</v>
      </c>
      <c r="DD7" s="83" t="s">
        <v>1232</v>
      </c>
      <c r="DE7" s="83" t="s">
        <v>1232</v>
      </c>
      <c r="DF7" s="83" t="s">
        <v>1232</v>
      </c>
      <c r="DG7" s="83" t="s">
        <v>1232</v>
      </c>
      <c r="DH7" s="83" t="s">
        <v>1232</v>
      </c>
      <c r="DI7" s="83" t="s">
        <v>1232</v>
      </c>
      <c r="DJ7" s="83" t="s">
        <v>1232</v>
      </c>
      <c r="DK7" s="83" t="s">
        <v>1232</v>
      </c>
      <c r="DL7" s="83" t="s">
        <v>1232</v>
      </c>
      <c r="DM7" s="83" t="s">
        <v>1232</v>
      </c>
      <c r="DN7" s="83" t="s">
        <v>1232</v>
      </c>
      <c r="DO7" s="83" t="s">
        <v>1232</v>
      </c>
      <c r="DP7" s="83" t="s">
        <v>1232</v>
      </c>
      <c r="DQ7" s="83" t="s">
        <v>1232</v>
      </c>
      <c r="DR7" s="83" t="s">
        <v>1232</v>
      </c>
      <c r="DS7" s="83" t="s">
        <v>1232</v>
      </c>
      <c r="DT7" s="83" t="s">
        <v>1232</v>
      </c>
      <c r="DU7" s="83" t="s">
        <v>1232</v>
      </c>
      <c r="DV7" s="83" t="s">
        <v>1232</v>
      </c>
      <c r="DW7" s="83" t="s">
        <v>1232</v>
      </c>
      <c r="DX7" s="83" t="s">
        <v>1232</v>
      </c>
      <c r="DY7" s="83" t="s">
        <v>1232</v>
      </c>
      <c r="DZ7" s="83" t="s">
        <v>1232</v>
      </c>
      <c r="EA7" s="83" t="s">
        <v>1232</v>
      </c>
      <c r="EB7" s="83" t="s">
        <v>1232</v>
      </c>
      <c r="EC7" s="83" t="s">
        <v>1232</v>
      </c>
      <c r="ED7" s="83" t="s">
        <v>1232</v>
      </c>
      <c r="EE7" s="83" t="s">
        <v>1232</v>
      </c>
      <c r="EF7" s="83" t="s">
        <v>1232</v>
      </c>
      <c r="EG7" s="83" t="s">
        <v>1232</v>
      </c>
      <c r="EH7" s="83" t="s">
        <v>1232</v>
      </c>
      <c r="EI7" s="83" t="s">
        <v>1232</v>
      </c>
      <c r="EJ7" s="83" t="s">
        <v>1232</v>
      </c>
      <c r="EK7" s="83" t="s">
        <v>1232</v>
      </c>
      <c r="EL7" s="83" t="s">
        <v>1232</v>
      </c>
      <c r="EM7" s="83" t="s">
        <v>1232</v>
      </c>
      <c r="EN7" s="83" t="s">
        <v>1232</v>
      </c>
      <c r="EO7" s="83" t="s">
        <v>1232</v>
      </c>
      <c r="EP7" s="83" t="s">
        <v>1232</v>
      </c>
      <c r="EQ7" s="83" t="s">
        <v>1232</v>
      </c>
      <c r="ER7" s="83" t="s">
        <v>1232</v>
      </c>
      <c r="ES7" s="83" t="s">
        <v>1232</v>
      </c>
      <c r="ET7" s="83" t="s">
        <v>1232</v>
      </c>
      <c r="EU7" s="83" t="s">
        <v>1232</v>
      </c>
      <c r="EV7" s="83" t="s">
        <v>1232</v>
      </c>
      <c r="EW7" s="83" t="s">
        <v>1232</v>
      </c>
      <c r="EX7" s="83" t="s">
        <v>1232</v>
      </c>
      <c r="EY7" s="83" t="s">
        <v>1232</v>
      </c>
      <c r="EZ7" s="83" t="s">
        <v>1232</v>
      </c>
      <c r="FA7" s="83" t="s">
        <v>1232</v>
      </c>
      <c r="FB7" s="83" t="s">
        <v>1232</v>
      </c>
      <c r="FC7" s="83" t="s">
        <v>1232</v>
      </c>
      <c r="FD7" s="83" t="s">
        <v>1232</v>
      </c>
      <c r="FE7" s="83" t="s">
        <v>1232</v>
      </c>
      <c r="FF7" s="83" t="s">
        <v>1232</v>
      </c>
      <c r="FG7" s="83" t="s">
        <v>1232</v>
      </c>
      <c r="FH7" s="83" t="s">
        <v>1232</v>
      </c>
      <c r="FI7" s="83" t="s">
        <v>1232</v>
      </c>
      <c r="FJ7" s="83" t="s">
        <v>1232</v>
      </c>
      <c r="FK7" s="83" t="s">
        <v>1232</v>
      </c>
      <c r="FL7" s="83" t="s">
        <v>1232</v>
      </c>
      <c r="FM7" s="83" t="s">
        <v>1232</v>
      </c>
      <c r="FN7" s="83" t="s">
        <v>1232</v>
      </c>
      <c r="FO7" s="83" t="s">
        <v>1232</v>
      </c>
      <c r="FP7" s="83" t="s">
        <v>1232</v>
      </c>
      <c r="FQ7" s="83" t="s">
        <v>1232</v>
      </c>
      <c r="FR7" s="83" t="s">
        <v>1232</v>
      </c>
      <c r="FS7" s="83" t="s">
        <v>1232</v>
      </c>
      <c r="FT7" s="83" t="s">
        <v>1232</v>
      </c>
      <c r="FU7" s="83" t="s">
        <v>1232</v>
      </c>
      <c r="FV7" s="83" t="s">
        <v>1232</v>
      </c>
      <c r="FW7" s="83" t="s">
        <v>1232</v>
      </c>
      <c r="FX7" s="83" t="s">
        <v>1232</v>
      </c>
      <c r="FY7" s="83" t="s">
        <v>1232</v>
      </c>
      <c r="FZ7" s="83" t="s">
        <v>1232</v>
      </c>
      <c r="GA7" s="83" t="s">
        <v>1232</v>
      </c>
      <c r="GB7" s="83" t="s">
        <v>1232</v>
      </c>
      <c r="GC7" s="83" t="s">
        <v>1232</v>
      </c>
      <c r="GD7" s="83" t="s">
        <v>1232</v>
      </c>
      <c r="GE7" s="83" t="s">
        <v>1232</v>
      </c>
      <c r="GF7" s="83" t="s">
        <v>1232</v>
      </c>
      <c r="GG7" s="83" t="s">
        <v>1232</v>
      </c>
      <c r="GH7" s="83" t="s">
        <v>1232</v>
      </c>
      <c r="GI7" s="83" t="s">
        <v>1232</v>
      </c>
      <c r="GJ7" s="83" t="s">
        <v>1232</v>
      </c>
      <c r="GK7" s="83" t="s">
        <v>1232</v>
      </c>
      <c r="GL7" s="83" t="s">
        <v>1232</v>
      </c>
      <c r="GM7" s="83" t="s">
        <v>1232</v>
      </c>
      <c r="GN7" s="83" t="s">
        <v>1232</v>
      </c>
      <c r="GO7" s="83" t="s">
        <v>1232</v>
      </c>
      <c r="GP7" s="83" t="s">
        <v>1232</v>
      </c>
      <c r="GQ7" s="83" t="s">
        <v>1232</v>
      </c>
      <c r="GR7" s="83" t="s">
        <v>1232</v>
      </c>
      <c r="GS7" s="83" t="s">
        <v>1232</v>
      </c>
      <c r="GT7" s="83" t="s">
        <v>1232</v>
      </c>
      <c r="GU7" s="83" t="s">
        <v>1232</v>
      </c>
      <c r="GV7" s="83" t="s">
        <v>1232</v>
      </c>
      <c r="GW7" s="83" t="s">
        <v>1232</v>
      </c>
      <c r="GX7" s="83" t="s">
        <v>1232</v>
      </c>
      <c r="GY7" s="83" t="s">
        <v>1232</v>
      </c>
      <c r="GZ7" s="83" t="s">
        <v>1232</v>
      </c>
      <c r="HA7" s="83" t="s">
        <v>1232</v>
      </c>
      <c r="HB7" s="83" t="s">
        <v>1232</v>
      </c>
      <c r="HC7" s="83" t="s">
        <v>1232</v>
      </c>
      <c r="HD7" s="83" t="s">
        <v>1232</v>
      </c>
      <c r="HE7" s="83" t="s">
        <v>1232</v>
      </c>
      <c r="HF7" s="83" t="s">
        <v>1232</v>
      </c>
      <c r="HG7" s="83" t="s">
        <v>1232</v>
      </c>
      <c r="HH7" s="83" t="s">
        <v>1232</v>
      </c>
      <c r="HI7" s="83" t="s">
        <v>1232</v>
      </c>
      <c r="HJ7" s="83" t="s">
        <v>1232</v>
      </c>
      <c r="HK7" s="83" t="s">
        <v>1232</v>
      </c>
      <c r="HL7" s="83" t="s">
        <v>1232</v>
      </c>
      <c r="HM7" s="83" t="s">
        <v>1232</v>
      </c>
      <c r="HN7" s="83" t="s">
        <v>1232</v>
      </c>
      <c r="HO7" s="83" t="s">
        <v>1232</v>
      </c>
      <c r="HP7" s="83" t="s">
        <v>1232</v>
      </c>
      <c r="HQ7" s="83" t="s">
        <v>1232</v>
      </c>
      <c r="HR7" s="83" t="s">
        <v>1232</v>
      </c>
      <c r="HS7" s="83" t="s">
        <v>1232</v>
      </c>
      <c r="HT7" s="83" t="s">
        <v>1232</v>
      </c>
      <c r="HU7" s="83" t="s">
        <v>1232</v>
      </c>
      <c r="HV7" s="83" t="s">
        <v>1232</v>
      </c>
      <c r="HW7" s="83" t="s">
        <v>1232</v>
      </c>
      <c r="HX7" s="83" t="s">
        <v>1232</v>
      </c>
      <c r="HY7" s="83" t="s">
        <v>1232</v>
      </c>
      <c r="HZ7" s="83" t="s">
        <v>1232</v>
      </c>
      <c r="IA7" s="83" t="s">
        <v>1232</v>
      </c>
      <c r="IB7" s="83" t="s">
        <v>1232</v>
      </c>
      <c r="IC7" s="83" t="s">
        <v>1232</v>
      </c>
      <c r="ID7" s="83" t="s">
        <v>1232</v>
      </c>
      <c r="IE7" s="83" t="s">
        <v>1232</v>
      </c>
      <c r="IF7" s="83" t="s">
        <v>1232</v>
      </c>
      <c r="IG7" s="83" t="s">
        <v>1232</v>
      </c>
      <c r="IH7" s="83" t="s">
        <v>1232</v>
      </c>
      <c r="II7" s="83" t="s">
        <v>1232</v>
      </c>
      <c r="IJ7" s="83" t="s">
        <v>1232</v>
      </c>
      <c r="IK7" s="83" t="s">
        <v>1232</v>
      </c>
      <c r="IL7" s="83" t="s">
        <v>1232</v>
      </c>
      <c r="IM7" s="83" t="s">
        <v>1232</v>
      </c>
      <c r="IN7" s="83" t="s">
        <v>1232</v>
      </c>
      <c r="IO7" s="83" t="s">
        <v>1232</v>
      </c>
      <c r="IP7" s="83" t="s">
        <v>1232</v>
      </c>
      <c r="IQ7" s="83" t="s">
        <v>1232</v>
      </c>
      <c r="IR7" s="83" t="s">
        <v>1232</v>
      </c>
      <c r="IS7" s="83" t="s">
        <v>1232</v>
      </c>
      <c r="IT7" s="83" t="s">
        <v>1232</v>
      </c>
      <c r="IU7" s="83" t="s">
        <v>1232</v>
      </c>
      <c r="IV7" s="83" t="s">
        <v>1232</v>
      </c>
      <c r="IW7" s="83" t="s">
        <v>1232</v>
      </c>
      <c r="IX7" s="83" t="s">
        <v>1232</v>
      </c>
      <c r="IY7" s="83" t="s">
        <v>1232</v>
      </c>
      <c r="IZ7" s="83" t="s">
        <v>1232</v>
      </c>
      <c r="JA7" s="83" t="s">
        <v>1232</v>
      </c>
      <c r="JB7" s="83" t="s">
        <v>1232</v>
      </c>
      <c r="JC7" s="83" t="s">
        <v>1232</v>
      </c>
      <c r="JD7" s="83" t="s">
        <v>1232</v>
      </c>
      <c r="JE7" s="83" t="s">
        <v>1232</v>
      </c>
      <c r="JF7" s="83" t="s">
        <v>1232</v>
      </c>
      <c r="JG7" s="83" t="s">
        <v>1232</v>
      </c>
      <c r="JH7" s="83" t="s">
        <v>1232</v>
      </c>
      <c r="JI7" s="83" t="s">
        <v>1232</v>
      </c>
      <c r="JJ7" s="83" t="s">
        <v>1232</v>
      </c>
      <c r="JK7" s="83" t="s">
        <v>1232</v>
      </c>
      <c r="JL7" s="83" t="s">
        <v>1232</v>
      </c>
      <c r="JM7" s="83" t="s">
        <v>1232</v>
      </c>
      <c r="JN7" s="83" t="s">
        <v>1232</v>
      </c>
      <c r="JO7" s="83" t="s">
        <v>1232</v>
      </c>
      <c r="JP7" s="83" t="s">
        <v>1232</v>
      </c>
      <c r="JQ7" s="83" t="s">
        <v>1232</v>
      </c>
      <c r="JR7" s="83" t="s">
        <v>1232</v>
      </c>
      <c r="JS7" s="83" t="s">
        <v>1232</v>
      </c>
      <c r="JT7" s="83" t="s">
        <v>1232</v>
      </c>
      <c r="JU7" s="83" t="s">
        <v>1232</v>
      </c>
      <c r="JV7" s="83" t="s">
        <v>1232</v>
      </c>
      <c r="JW7" s="83" t="s">
        <v>1232</v>
      </c>
      <c r="JX7" s="83" t="s">
        <v>1232</v>
      </c>
      <c r="JY7" s="83" t="s">
        <v>1232</v>
      </c>
      <c r="JZ7" s="83" t="s">
        <v>1232</v>
      </c>
      <c r="KA7" s="83" t="s">
        <v>1232</v>
      </c>
      <c r="KB7" s="83" t="s">
        <v>1232</v>
      </c>
      <c r="KC7" s="83" t="s">
        <v>1232</v>
      </c>
      <c r="KD7" s="83" t="s">
        <v>1232</v>
      </c>
      <c r="KE7" s="83" t="s">
        <v>1232</v>
      </c>
      <c r="KF7" s="83" t="s">
        <v>1232</v>
      </c>
      <c r="KG7" s="83" t="s">
        <v>1232</v>
      </c>
      <c r="KH7" s="83" t="s">
        <v>1232</v>
      </c>
      <c r="KI7" s="83" t="s">
        <v>1232</v>
      </c>
      <c r="KJ7" s="83" t="s">
        <v>1232</v>
      </c>
      <c r="KK7" s="83" t="s">
        <v>1232</v>
      </c>
      <c r="KL7" s="83" t="s">
        <v>1232</v>
      </c>
      <c r="KM7" s="83" t="s">
        <v>1232</v>
      </c>
      <c r="KN7" s="83" t="s">
        <v>1232</v>
      </c>
      <c r="KO7" s="83" t="s">
        <v>1232</v>
      </c>
      <c r="KP7" s="83" t="s">
        <v>1232</v>
      </c>
      <c r="KQ7" s="83" t="s">
        <v>1232</v>
      </c>
      <c r="KR7" s="83" t="s">
        <v>1232</v>
      </c>
      <c r="KS7" s="83" t="s">
        <v>1232</v>
      </c>
      <c r="KT7" s="83" t="s">
        <v>1232</v>
      </c>
      <c r="KU7" s="83" t="s">
        <v>1232</v>
      </c>
      <c r="KV7" s="83" t="s">
        <v>1232</v>
      </c>
      <c r="KW7" s="83" t="s">
        <v>1232</v>
      </c>
      <c r="KX7" s="83" t="s">
        <v>1232</v>
      </c>
      <c r="KY7" s="83" t="s">
        <v>1232</v>
      </c>
      <c r="KZ7" s="83" t="s">
        <v>1232</v>
      </c>
      <c r="LA7" s="83" t="s">
        <v>1232</v>
      </c>
      <c r="LB7" s="83" t="s">
        <v>1232</v>
      </c>
      <c r="LC7" s="83" t="s">
        <v>1232</v>
      </c>
      <c r="LD7" s="83" t="s">
        <v>1232</v>
      </c>
      <c r="LE7" s="83" t="s">
        <v>1232</v>
      </c>
      <c r="LF7" s="83" t="s">
        <v>1232</v>
      </c>
      <c r="LG7" s="83" t="s">
        <v>1232</v>
      </c>
      <c r="LH7" s="83" t="s">
        <v>1232</v>
      </c>
      <c r="LI7" s="83" t="s">
        <v>1232</v>
      </c>
      <c r="LJ7" s="83" t="s">
        <v>1232</v>
      </c>
      <c r="LK7" s="83" t="s">
        <v>1232</v>
      </c>
      <c r="LL7" s="83" t="s">
        <v>1232</v>
      </c>
      <c r="LM7" s="83" t="s">
        <v>1232</v>
      </c>
      <c r="LN7" s="83" t="s">
        <v>1232</v>
      </c>
      <c r="LO7" s="83" t="s">
        <v>1232</v>
      </c>
      <c r="LP7" s="83" t="s">
        <v>1232</v>
      </c>
      <c r="LQ7" s="83" t="s">
        <v>1232</v>
      </c>
      <c r="LR7" s="83" t="s">
        <v>1232</v>
      </c>
      <c r="LS7" s="83" t="s">
        <v>1232</v>
      </c>
      <c r="LT7" s="83" t="s">
        <v>1232</v>
      </c>
      <c r="LU7" s="83" t="s">
        <v>1232</v>
      </c>
      <c r="LV7" s="83" t="s">
        <v>1232</v>
      </c>
      <c r="LW7" s="83" t="s">
        <v>1232</v>
      </c>
      <c r="LX7" s="83" t="s">
        <v>1232</v>
      </c>
      <c r="LY7" s="83" t="s">
        <v>1232</v>
      </c>
      <c r="LZ7" s="83" t="s">
        <v>1232</v>
      </c>
      <c r="MA7" s="83" t="s">
        <v>1232</v>
      </c>
      <c r="MB7" s="83" t="s">
        <v>1232</v>
      </c>
      <c r="MC7" s="83" t="s">
        <v>1232</v>
      </c>
      <c r="MD7" s="83" t="s">
        <v>1232</v>
      </c>
      <c r="ME7" s="83" t="s">
        <v>1232</v>
      </c>
      <c r="MF7" s="83" t="s">
        <v>1232</v>
      </c>
      <c r="MG7" s="83" t="s">
        <v>1232</v>
      </c>
      <c r="MH7" s="83" t="s">
        <v>1232</v>
      </c>
      <c r="MI7" s="83" t="s">
        <v>1232</v>
      </c>
      <c r="MJ7" s="83" t="s">
        <v>1232</v>
      </c>
      <c r="MK7" s="83" t="s">
        <v>1232</v>
      </c>
      <c r="ML7" s="83" t="s">
        <v>1232</v>
      </c>
    </row>
    <row r="8" ht="18.75" customHeight="1">
      <c r="A8" s="182" t="s">
        <v>84</v>
      </c>
      <c r="B8" s="186" t="s">
        <v>637</v>
      </c>
      <c r="C8" s="186" t="s">
        <v>638</v>
      </c>
      <c r="D8" s="186" t="s">
        <v>639</v>
      </c>
      <c r="E8" s="186" t="s">
        <v>740</v>
      </c>
      <c r="F8" s="186" t="s">
        <v>741</v>
      </c>
      <c r="G8" s="186" t="s">
        <v>742</v>
      </c>
      <c r="H8" s="186" t="s">
        <v>743</v>
      </c>
      <c r="I8" s="186" t="s">
        <v>744</v>
      </c>
      <c r="J8" s="186" t="s">
        <v>641</v>
      </c>
      <c r="K8" s="186" t="s">
        <v>1233</v>
      </c>
      <c r="L8" s="186" t="s">
        <v>1234</v>
      </c>
      <c r="M8" s="186" t="s">
        <v>1235</v>
      </c>
      <c r="N8" s="186" t="s">
        <v>1236</v>
      </c>
      <c r="O8" s="186" t="s">
        <v>1237</v>
      </c>
      <c r="P8" s="186" t="s">
        <v>1238</v>
      </c>
      <c r="Q8" s="186" t="s">
        <v>1239</v>
      </c>
      <c r="R8" s="186" t="s">
        <v>1240</v>
      </c>
      <c r="S8" s="186" t="s">
        <v>1241</v>
      </c>
      <c r="T8" s="186" t="s">
        <v>1242</v>
      </c>
      <c r="U8" s="186" t="s">
        <v>1243</v>
      </c>
      <c r="V8" s="186" t="s">
        <v>1244</v>
      </c>
      <c r="W8" s="186" t="s">
        <v>1245</v>
      </c>
      <c r="X8" s="186" t="s">
        <v>1246</v>
      </c>
      <c r="Y8" s="186" t="s">
        <v>1247</v>
      </c>
      <c r="Z8" s="186" t="s">
        <v>1248</v>
      </c>
      <c r="AA8" s="186" t="s">
        <v>1249</v>
      </c>
      <c r="AB8" s="186" t="s">
        <v>1250</v>
      </c>
      <c r="AC8" s="186" t="s">
        <v>1251</v>
      </c>
      <c r="AD8" s="186" t="s">
        <v>1252</v>
      </c>
      <c r="AE8" s="186" t="s">
        <v>1253</v>
      </c>
      <c r="AF8" s="186" t="s">
        <v>1254</v>
      </c>
      <c r="AG8" s="186" t="s">
        <v>1255</v>
      </c>
      <c r="AH8" s="186" t="s">
        <v>1256</v>
      </c>
      <c r="AI8" s="186" t="s">
        <v>1257</v>
      </c>
      <c r="AJ8" s="186" t="s">
        <v>1258</v>
      </c>
      <c r="AK8" s="186" t="s">
        <v>1259</v>
      </c>
      <c r="AL8" s="186" t="s">
        <v>1260</v>
      </c>
      <c r="AM8" s="186" t="s">
        <v>1261</v>
      </c>
      <c r="AN8" s="186" t="s">
        <v>1262</v>
      </c>
      <c r="AO8" s="186" t="s">
        <v>1263</v>
      </c>
      <c r="AP8" s="186" t="s">
        <v>1264</v>
      </c>
      <c r="AQ8" s="186" t="s">
        <v>1265</v>
      </c>
      <c r="AR8" s="186" t="s">
        <v>1266</v>
      </c>
      <c r="AS8" s="186" t="s">
        <v>1267</v>
      </c>
      <c r="AT8" s="186" t="s">
        <v>1268</v>
      </c>
      <c r="AU8" s="186" t="s">
        <v>1269</v>
      </c>
      <c r="AV8" s="186" t="s">
        <v>1270</v>
      </c>
      <c r="AW8" s="186" t="s">
        <v>1271</v>
      </c>
      <c r="AX8" s="186" t="s">
        <v>1272</v>
      </c>
      <c r="AY8" s="186" t="s">
        <v>1273</v>
      </c>
      <c r="AZ8" s="186" t="s">
        <v>1274</v>
      </c>
      <c r="BA8" s="186" t="s">
        <v>1275</v>
      </c>
      <c r="BB8" s="186" t="s">
        <v>1276</v>
      </c>
      <c r="BC8" s="186" t="s">
        <v>1277</v>
      </c>
      <c r="BD8" s="186" t="s">
        <v>1278</v>
      </c>
      <c r="BE8" s="186" t="s">
        <v>1279</v>
      </c>
      <c r="BF8" s="186" t="s">
        <v>1280</v>
      </c>
      <c r="BG8" s="186" t="s">
        <v>1281</v>
      </c>
      <c r="BH8" s="186" t="s">
        <v>1282</v>
      </c>
      <c r="BI8" s="186" t="s">
        <v>1283</v>
      </c>
      <c r="BJ8" s="186" t="s">
        <v>1284</v>
      </c>
      <c r="BK8" s="186" t="s">
        <v>1285</v>
      </c>
      <c r="BL8" s="186" t="s">
        <v>1286</v>
      </c>
      <c r="BM8" s="186" t="s">
        <v>1287</v>
      </c>
      <c r="BN8" s="186" t="s">
        <v>1288</v>
      </c>
      <c r="BO8" s="186" t="s">
        <v>1289</v>
      </c>
      <c r="BP8" s="186" t="s">
        <v>1290</v>
      </c>
      <c r="BQ8" s="186" t="s">
        <v>1291</v>
      </c>
      <c r="BR8" s="186" t="s">
        <v>1292</v>
      </c>
      <c r="BS8" s="186" t="s">
        <v>1293</v>
      </c>
      <c r="BT8" s="186" t="s">
        <v>1294</v>
      </c>
      <c r="BU8" s="186" t="s">
        <v>1295</v>
      </c>
      <c r="BV8" s="186" t="s">
        <v>1296</v>
      </c>
      <c r="BW8" s="186" t="s">
        <v>1297</v>
      </c>
      <c r="BX8" s="186" t="s">
        <v>1298</v>
      </c>
      <c r="BY8" s="186" t="s">
        <v>1299</v>
      </c>
      <c r="BZ8" s="186" t="s">
        <v>1300</v>
      </c>
      <c r="CA8" s="186" t="s">
        <v>1301</v>
      </c>
      <c r="CB8" s="186" t="s">
        <v>1302</v>
      </c>
      <c r="CC8" s="186" t="s">
        <v>1303</v>
      </c>
      <c r="CD8" s="186" t="s">
        <v>1304</v>
      </c>
      <c r="CE8" s="186" t="s">
        <v>1305</v>
      </c>
      <c r="CF8" s="186" t="s">
        <v>1306</v>
      </c>
      <c r="CG8" s="186" t="s">
        <v>1307</v>
      </c>
      <c r="CH8" s="186" t="s">
        <v>1308</v>
      </c>
      <c r="CI8" s="186" t="s">
        <v>1309</v>
      </c>
      <c r="CJ8" s="186" t="s">
        <v>1310</v>
      </c>
      <c r="CK8" s="186" t="s">
        <v>1311</v>
      </c>
      <c r="CL8" s="186" t="s">
        <v>1312</v>
      </c>
      <c r="CM8" s="186" t="s">
        <v>1313</v>
      </c>
      <c r="CN8" s="186" t="s">
        <v>1314</v>
      </c>
      <c r="CO8" s="186" t="s">
        <v>1315</v>
      </c>
      <c r="CP8" s="186" t="s">
        <v>1316</v>
      </c>
      <c r="CQ8" s="186" t="s">
        <v>1317</v>
      </c>
      <c r="CR8" s="186" t="s">
        <v>1318</v>
      </c>
      <c r="CS8" s="186" t="s">
        <v>1319</v>
      </c>
      <c r="CT8" s="186" t="s">
        <v>1320</v>
      </c>
      <c r="CU8" s="186" t="s">
        <v>1321</v>
      </c>
      <c r="CV8" s="186" t="s">
        <v>1322</v>
      </c>
      <c r="CW8" s="186" t="s">
        <v>1323</v>
      </c>
      <c r="CX8" s="186" t="s">
        <v>1324</v>
      </c>
      <c r="CY8" s="186" t="s">
        <v>1325</v>
      </c>
      <c r="CZ8" s="186" t="s">
        <v>1326</v>
      </c>
      <c r="DA8" s="186" t="s">
        <v>1327</v>
      </c>
      <c r="DB8" s="186" t="s">
        <v>1328</v>
      </c>
      <c r="DC8" s="186" t="s">
        <v>1329</v>
      </c>
      <c r="DD8" s="186" t="s">
        <v>1330</v>
      </c>
      <c r="DE8" s="186" t="s">
        <v>1331</v>
      </c>
      <c r="DF8" s="186" t="s">
        <v>1332</v>
      </c>
      <c r="DG8" s="186" t="s">
        <v>1333</v>
      </c>
      <c r="DH8" s="186" t="s">
        <v>1334</v>
      </c>
      <c r="DI8" s="186" t="s">
        <v>1335</v>
      </c>
      <c r="DJ8" s="186" t="s">
        <v>1336</v>
      </c>
      <c r="DK8" s="186" t="s">
        <v>1337</v>
      </c>
      <c r="DL8" s="186" t="s">
        <v>1338</v>
      </c>
      <c r="DM8" s="186" t="s">
        <v>1339</v>
      </c>
      <c r="DN8" s="186" t="s">
        <v>1340</v>
      </c>
      <c r="DO8" s="186" t="s">
        <v>1341</v>
      </c>
      <c r="DP8" s="186" t="s">
        <v>1342</v>
      </c>
      <c r="DQ8" s="186" t="s">
        <v>1343</v>
      </c>
      <c r="DR8" s="186" t="s">
        <v>1344</v>
      </c>
      <c r="DS8" s="186" t="s">
        <v>1345</v>
      </c>
      <c r="DT8" s="186" t="s">
        <v>1346</v>
      </c>
      <c r="DU8" s="186" t="s">
        <v>1347</v>
      </c>
      <c r="DV8" s="186" t="s">
        <v>1348</v>
      </c>
      <c r="DW8" s="186" t="s">
        <v>1349</v>
      </c>
      <c r="DX8" s="186" t="s">
        <v>1350</v>
      </c>
      <c r="DY8" s="186" t="s">
        <v>1351</v>
      </c>
      <c r="DZ8" s="186" t="s">
        <v>1352</v>
      </c>
      <c r="EA8" s="186" t="s">
        <v>1353</v>
      </c>
      <c r="EB8" s="186" t="s">
        <v>1354</v>
      </c>
      <c r="EC8" s="186" t="s">
        <v>1355</v>
      </c>
      <c r="ED8" s="186" t="s">
        <v>1356</v>
      </c>
      <c r="EE8" s="186" t="s">
        <v>1357</v>
      </c>
      <c r="EF8" s="186" t="s">
        <v>1358</v>
      </c>
      <c r="EG8" s="186" t="s">
        <v>1359</v>
      </c>
      <c r="EH8" s="186" t="s">
        <v>1360</v>
      </c>
      <c r="EI8" s="186" t="s">
        <v>1361</v>
      </c>
      <c r="EJ8" s="186" t="s">
        <v>1362</v>
      </c>
      <c r="EK8" s="186" t="s">
        <v>1363</v>
      </c>
      <c r="EL8" s="186" t="s">
        <v>1364</v>
      </c>
      <c r="EM8" s="186" t="s">
        <v>1365</v>
      </c>
      <c r="EN8" s="186" t="s">
        <v>1366</v>
      </c>
      <c r="EO8" s="186" t="s">
        <v>1367</v>
      </c>
      <c r="EP8" s="186" t="s">
        <v>1368</v>
      </c>
      <c r="EQ8" s="186" t="s">
        <v>1369</v>
      </c>
      <c r="ER8" s="186" t="s">
        <v>1370</v>
      </c>
      <c r="ES8" s="186" t="s">
        <v>1371</v>
      </c>
      <c r="ET8" s="186" t="s">
        <v>1372</v>
      </c>
      <c r="EU8" s="186" t="s">
        <v>1373</v>
      </c>
      <c r="EV8" s="186" t="s">
        <v>1374</v>
      </c>
      <c r="EW8" s="186" t="s">
        <v>1375</v>
      </c>
      <c r="EX8" s="186" t="s">
        <v>1376</v>
      </c>
      <c r="EY8" s="186" t="s">
        <v>1377</v>
      </c>
      <c r="EZ8" s="186" t="s">
        <v>1378</v>
      </c>
      <c r="FA8" s="186" t="s">
        <v>1379</v>
      </c>
      <c r="FB8" s="186" t="s">
        <v>1380</v>
      </c>
      <c r="FC8" s="186" t="s">
        <v>1381</v>
      </c>
      <c r="FD8" s="186" t="s">
        <v>1382</v>
      </c>
      <c r="FE8" s="186" t="s">
        <v>1383</v>
      </c>
      <c r="FF8" s="186" t="s">
        <v>1384</v>
      </c>
      <c r="FG8" s="186" t="s">
        <v>1385</v>
      </c>
      <c r="FH8" s="185" t="s">
        <v>1386</v>
      </c>
      <c r="FI8" s="185" t="s">
        <v>1387</v>
      </c>
      <c r="FJ8" s="185" t="s">
        <v>1388</v>
      </c>
      <c r="FK8" s="185" t="s">
        <v>1389</v>
      </c>
      <c r="FL8" s="185" t="s">
        <v>1390</v>
      </c>
      <c r="FM8" s="185" t="s">
        <v>1391</v>
      </c>
      <c r="FN8" s="185" t="s">
        <v>1392</v>
      </c>
      <c r="FO8" s="185" t="s">
        <v>1393</v>
      </c>
      <c r="FP8" s="185" t="s">
        <v>1394</v>
      </c>
      <c r="FQ8" s="185" t="s">
        <v>1395</v>
      </c>
      <c r="FR8" s="185" t="s">
        <v>1396</v>
      </c>
      <c r="FS8" s="185" t="s">
        <v>1397</v>
      </c>
      <c r="FT8" s="185" t="s">
        <v>1398</v>
      </c>
      <c r="FU8" s="185" t="s">
        <v>1399</v>
      </c>
      <c r="FV8" s="185" t="s">
        <v>1400</v>
      </c>
      <c r="FW8" s="185" t="s">
        <v>1401</v>
      </c>
      <c r="FX8" s="185" t="s">
        <v>1402</v>
      </c>
      <c r="FY8" s="185" t="s">
        <v>1403</v>
      </c>
      <c r="FZ8" s="185" t="s">
        <v>1404</v>
      </c>
      <c r="GA8" s="185" t="s">
        <v>1405</v>
      </c>
      <c r="GB8" s="185" t="s">
        <v>1406</v>
      </c>
      <c r="GC8" s="185" t="s">
        <v>1407</v>
      </c>
      <c r="GD8" s="185" t="s">
        <v>1408</v>
      </c>
      <c r="GE8" s="185" t="s">
        <v>1409</v>
      </c>
      <c r="GF8" s="185" t="s">
        <v>1410</v>
      </c>
      <c r="GG8" s="185" t="s">
        <v>1411</v>
      </c>
      <c r="GH8" s="185" t="s">
        <v>1412</v>
      </c>
      <c r="GI8" s="185" t="s">
        <v>1413</v>
      </c>
      <c r="GJ8" s="185" t="s">
        <v>1414</v>
      </c>
      <c r="GK8" s="185" t="s">
        <v>1415</v>
      </c>
      <c r="GL8" s="185" t="s">
        <v>1416</v>
      </c>
      <c r="GM8" s="185" t="s">
        <v>1417</v>
      </c>
      <c r="GN8" s="185" t="s">
        <v>1418</v>
      </c>
      <c r="GO8" s="185" t="s">
        <v>1419</v>
      </c>
      <c r="GP8" s="186" t="s">
        <v>1420</v>
      </c>
      <c r="GQ8" s="186" t="s">
        <v>1421</v>
      </c>
      <c r="GR8" s="186" t="s">
        <v>1422</v>
      </c>
      <c r="GS8" s="186" t="s">
        <v>1423</v>
      </c>
      <c r="GT8" s="186" t="s">
        <v>1424</v>
      </c>
      <c r="GU8" s="186" t="s">
        <v>1425</v>
      </c>
      <c r="GV8" s="186" t="s">
        <v>1426</v>
      </c>
      <c r="GW8" s="186" t="s">
        <v>1427</v>
      </c>
      <c r="GX8" s="186" t="s">
        <v>1428</v>
      </c>
      <c r="GY8" s="186" t="s">
        <v>1429</v>
      </c>
      <c r="GZ8" s="186" t="s">
        <v>1430</v>
      </c>
      <c r="HA8" s="186" t="s">
        <v>1431</v>
      </c>
      <c r="HB8" s="186" t="s">
        <v>1432</v>
      </c>
      <c r="HC8" s="186" t="s">
        <v>1433</v>
      </c>
      <c r="HD8" s="186" t="s">
        <v>1434</v>
      </c>
      <c r="HE8" s="186" t="s">
        <v>1435</v>
      </c>
      <c r="HF8" s="186" t="s">
        <v>1436</v>
      </c>
      <c r="HG8" s="186" t="s">
        <v>1437</v>
      </c>
      <c r="HH8" s="186" t="s">
        <v>1438</v>
      </c>
      <c r="HI8" s="186" t="s">
        <v>1439</v>
      </c>
      <c r="HJ8" s="186" t="s">
        <v>1440</v>
      </c>
      <c r="HK8" s="186" t="s">
        <v>1441</v>
      </c>
      <c r="HL8" s="186" t="s">
        <v>1442</v>
      </c>
      <c r="HM8" s="186" t="s">
        <v>1443</v>
      </c>
      <c r="HN8" s="186" t="s">
        <v>1444</v>
      </c>
      <c r="HO8" s="186" t="s">
        <v>1445</v>
      </c>
      <c r="HP8" s="186" t="s">
        <v>1446</v>
      </c>
      <c r="HQ8" s="186" t="s">
        <v>1447</v>
      </c>
      <c r="HR8" s="186" t="s">
        <v>1448</v>
      </c>
      <c r="HS8" s="186" t="s">
        <v>1449</v>
      </c>
      <c r="HT8" s="186" t="s">
        <v>1450</v>
      </c>
      <c r="HU8" s="186" t="s">
        <v>1451</v>
      </c>
      <c r="HV8" s="186" t="s">
        <v>1452</v>
      </c>
      <c r="HW8" s="186" t="s">
        <v>1453</v>
      </c>
      <c r="HX8" s="186" t="s">
        <v>1454</v>
      </c>
      <c r="HY8" s="186" t="s">
        <v>1455</v>
      </c>
      <c r="HZ8" s="186" t="s">
        <v>1456</v>
      </c>
      <c r="IA8" s="186" t="s">
        <v>1457</v>
      </c>
      <c r="IB8" s="186" t="s">
        <v>1458</v>
      </c>
      <c r="IC8" s="186" t="s">
        <v>1459</v>
      </c>
      <c r="ID8" s="186" t="s">
        <v>1460</v>
      </c>
      <c r="IE8" s="186" t="s">
        <v>1461</v>
      </c>
      <c r="IF8" s="186" t="s">
        <v>1462</v>
      </c>
      <c r="IG8" s="186" t="s">
        <v>1463</v>
      </c>
      <c r="IH8" s="186" t="s">
        <v>1464</v>
      </c>
      <c r="II8" s="186" t="s">
        <v>1465</v>
      </c>
      <c r="IJ8" s="186" t="s">
        <v>1466</v>
      </c>
      <c r="IK8" s="186" t="s">
        <v>1467</v>
      </c>
      <c r="IL8" s="186" t="s">
        <v>1468</v>
      </c>
      <c r="IM8" s="186" t="s">
        <v>1469</v>
      </c>
      <c r="IN8" s="186" t="s">
        <v>1470</v>
      </c>
      <c r="IO8" s="186" t="s">
        <v>1471</v>
      </c>
      <c r="IP8" s="186" t="s">
        <v>1472</v>
      </c>
      <c r="IQ8" s="186" t="s">
        <v>1473</v>
      </c>
      <c r="IR8" s="186" t="s">
        <v>1474</v>
      </c>
      <c r="IS8" s="186" t="s">
        <v>1475</v>
      </c>
      <c r="IT8" s="186" t="s">
        <v>1476</v>
      </c>
      <c r="IU8" s="186" t="s">
        <v>1477</v>
      </c>
      <c r="IV8" s="186" t="s">
        <v>1478</v>
      </c>
      <c r="IW8" s="186" t="s">
        <v>1479</v>
      </c>
      <c r="IX8" s="186" t="s">
        <v>1480</v>
      </c>
      <c r="IY8" s="186" t="s">
        <v>1481</v>
      </c>
      <c r="IZ8" s="186" t="s">
        <v>1482</v>
      </c>
      <c r="JA8" s="186" t="s">
        <v>1483</v>
      </c>
      <c r="JB8" s="186" t="s">
        <v>1484</v>
      </c>
      <c r="JC8" s="186" t="s">
        <v>1485</v>
      </c>
      <c r="JD8" s="186" t="s">
        <v>1486</v>
      </c>
      <c r="JE8" s="186" t="s">
        <v>1487</v>
      </c>
      <c r="JF8" s="186" t="s">
        <v>1488</v>
      </c>
      <c r="JG8" s="186" t="s">
        <v>1489</v>
      </c>
      <c r="JH8" s="186" t="s">
        <v>1490</v>
      </c>
      <c r="JI8" s="186" t="s">
        <v>1491</v>
      </c>
      <c r="JJ8" s="186" t="s">
        <v>1492</v>
      </c>
      <c r="JK8" s="186" t="s">
        <v>1493</v>
      </c>
      <c r="JL8" s="186" t="s">
        <v>1494</v>
      </c>
      <c r="JM8" s="186" t="s">
        <v>1495</v>
      </c>
      <c r="JN8" s="186" t="s">
        <v>1496</v>
      </c>
      <c r="JO8" s="186" t="s">
        <v>1497</v>
      </c>
      <c r="JP8" s="186" t="s">
        <v>1498</v>
      </c>
      <c r="JQ8" s="186" t="s">
        <v>1499</v>
      </c>
      <c r="JR8" s="186" t="s">
        <v>1500</v>
      </c>
      <c r="JS8" s="186" t="s">
        <v>1501</v>
      </c>
      <c r="JT8" s="186" t="s">
        <v>1502</v>
      </c>
      <c r="JU8" s="186" t="s">
        <v>1503</v>
      </c>
      <c r="JV8" s="186" t="s">
        <v>1504</v>
      </c>
      <c r="JW8" s="186" t="s">
        <v>1505</v>
      </c>
      <c r="JX8" s="186" t="s">
        <v>1506</v>
      </c>
      <c r="JY8" s="186" t="s">
        <v>1507</v>
      </c>
      <c r="JZ8" s="186" t="s">
        <v>1508</v>
      </c>
      <c r="KA8" s="186" t="s">
        <v>1509</v>
      </c>
      <c r="KB8" s="186" t="s">
        <v>1510</v>
      </c>
      <c r="KC8" s="186" t="s">
        <v>1511</v>
      </c>
      <c r="KD8" s="186" t="s">
        <v>1512</v>
      </c>
      <c r="KE8" s="186" t="s">
        <v>1513</v>
      </c>
      <c r="KF8" s="186" t="s">
        <v>1514</v>
      </c>
      <c r="KG8" s="186" t="s">
        <v>1515</v>
      </c>
      <c r="KH8" s="186" t="s">
        <v>1516</v>
      </c>
      <c r="KI8" s="186" t="s">
        <v>1517</v>
      </c>
      <c r="KJ8" s="186" t="s">
        <v>1518</v>
      </c>
      <c r="KK8" s="186" t="s">
        <v>1519</v>
      </c>
      <c r="KL8" s="186" t="s">
        <v>1520</v>
      </c>
      <c r="KM8" s="186" t="s">
        <v>1521</v>
      </c>
      <c r="KN8" s="186" t="s">
        <v>1522</v>
      </c>
      <c r="KO8" s="186" t="s">
        <v>1523</v>
      </c>
      <c r="KP8" s="186" t="s">
        <v>1524</v>
      </c>
      <c r="KQ8" s="186" t="s">
        <v>1525</v>
      </c>
      <c r="KR8" s="186" t="s">
        <v>1526</v>
      </c>
      <c r="KS8" s="186" t="s">
        <v>1527</v>
      </c>
      <c r="KT8" s="186" t="s">
        <v>1528</v>
      </c>
      <c r="KU8" s="186" t="s">
        <v>1529</v>
      </c>
      <c r="KV8" s="186" t="s">
        <v>1530</v>
      </c>
      <c r="KW8" s="186" t="s">
        <v>1531</v>
      </c>
      <c r="KX8" s="186" t="s">
        <v>1532</v>
      </c>
      <c r="KY8" s="186" t="s">
        <v>1533</v>
      </c>
      <c r="KZ8" s="186" t="s">
        <v>1534</v>
      </c>
      <c r="LA8" s="186" t="s">
        <v>1535</v>
      </c>
      <c r="LB8" s="186" t="s">
        <v>1536</v>
      </c>
      <c r="LC8" s="186" t="s">
        <v>1537</v>
      </c>
      <c r="LD8" s="186" t="s">
        <v>1538</v>
      </c>
      <c r="LE8" s="186" t="s">
        <v>1539</v>
      </c>
      <c r="LF8" s="186" t="s">
        <v>1540</v>
      </c>
      <c r="LG8" s="186" t="s">
        <v>1541</v>
      </c>
      <c r="LH8" s="186" t="s">
        <v>1542</v>
      </c>
      <c r="LI8" s="186" t="s">
        <v>1543</v>
      </c>
      <c r="LJ8" s="186" t="s">
        <v>1544</v>
      </c>
      <c r="LK8" s="186" t="s">
        <v>1545</v>
      </c>
      <c r="LL8" s="186" t="s">
        <v>1546</v>
      </c>
      <c r="LM8" s="186" t="s">
        <v>1547</v>
      </c>
      <c r="LN8" s="186" t="s">
        <v>1548</v>
      </c>
      <c r="LO8" s="186" t="s">
        <v>1549</v>
      </c>
      <c r="LP8" s="186" t="s">
        <v>1550</v>
      </c>
      <c r="LQ8" s="186" t="s">
        <v>1551</v>
      </c>
      <c r="LR8" s="186" t="s">
        <v>1552</v>
      </c>
      <c r="LS8" s="186" t="s">
        <v>1553</v>
      </c>
      <c r="LT8" s="186" t="s">
        <v>1554</v>
      </c>
      <c r="LU8" s="186" t="s">
        <v>1555</v>
      </c>
      <c r="LV8" s="186" t="s">
        <v>1556</v>
      </c>
      <c r="LW8" s="186" t="s">
        <v>1557</v>
      </c>
      <c r="LX8" s="186" t="s">
        <v>1558</v>
      </c>
      <c r="LY8" s="186" t="s">
        <v>1559</v>
      </c>
      <c r="LZ8" s="186" t="s">
        <v>1560</v>
      </c>
      <c r="MA8" s="186" t="s">
        <v>1561</v>
      </c>
      <c r="MB8" s="186" t="s">
        <v>1562</v>
      </c>
      <c r="MC8" s="186" t="s">
        <v>1563</v>
      </c>
      <c r="MD8" s="186" t="s">
        <v>1564</v>
      </c>
      <c r="ME8" s="186" t="s">
        <v>1565</v>
      </c>
      <c r="MF8" s="186" t="s">
        <v>1566</v>
      </c>
      <c r="MG8" s="186" t="s">
        <v>1567</v>
      </c>
      <c r="MH8" s="186" t="s">
        <v>1568</v>
      </c>
      <c r="MI8" s="186" t="s">
        <v>1569</v>
      </c>
      <c r="MJ8" s="186" t="s">
        <v>1570</v>
      </c>
      <c r="MK8" s="186" t="s">
        <v>1571</v>
      </c>
      <c r="ML8" s="186" t="s">
        <v>1572</v>
      </c>
    </row>
    <row r="9" ht="18.75" customHeight="1">
      <c r="A9" s="283"/>
      <c r="B9" s="234" t="str">
        <f>'Building Bill of Materials_SLIM'!P9</f>
        <v/>
      </c>
      <c r="C9" s="234" t="str">
        <f>'Building Bill of Materials_SLIM'!Q9</f>
        <v/>
      </c>
      <c r="D9" s="234" t="str">
        <f>'Building Bill of Materials_SLIM'!R9</f>
        <v/>
      </c>
      <c r="E9" s="234" t="str">
        <f>'Building Bill of Materials_SLIM'!S9</f>
        <v/>
      </c>
      <c r="F9" s="284" t="str">
        <f>'Building Bill of Materials_SLIM'!U9</f>
        <v/>
      </c>
      <c r="G9" s="234"/>
      <c r="H9" s="234"/>
      <c r="I9" s="234"/>
      <c r="J9" s="234" t="str">
        <f>'Building Bill of Materials_SLIM'!V9</f>
        <v/>
      </c>
      <c r="K9" s="235"/>
      <c r="L9" s="235"/>
      <c r="M9" s="235"/>
      <c r="N9" s="235"/>
      <c r="O9" s="235"/>
      <c r="P9" s="235"/>
      <c r="Q9" s="235"/>
      <c r="R9" s="235"/>
      <c r="S9" s="235"/>
      <c r="T9" s="235"/>
      <c r="U9" s="235"/>
      <c r="V9" s="235"/>
      <c r="W9" s="235"/>
      <c r="X9" s="235"/>
      <c r="Y9" s="235"/>
      <c r="Z9" s="235"/>
      <c r="AA9" s="192"/>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35"/>
      <c r="BK9" s="235"/>
      <c r="BL9" s="235"/>
      <c r="BM9" s="235"/>
      <c r="BN9" s="235"/>
      <c r="BO9" s="235"/>
      <c r="BP9" s="235"/>
      <c r="BQ9" s="235"/>
      <c r="BR9" s="235"/>
      <c r="BS9" s="235"/>
      <c r="BT9" s="235"/>
      <c r="BU9" s="235"/>
      <c r="BV9" s="235"/>
      <c r="BW9" s="235"/>
      <c r="BX9" s="235"/>
      <c r="BY9" s="235"/>
      <c r="BZ9" s="235"/>
      <c r="CA9" s="235"/>
      <c r="CB9" s="235"/>
      <c r="CC9" s="235"/>
      <c r="CD9" s="235"/>
      <c r="CE9" s="254"/>
      <c r="CF9" s="254"/>
      <c r="CG9" s="235"/>
      <c r="CH9" s="235"/>
      <c r="CI9" s="235"/>
      <c r="CJ9" s="235"/>
      <c r="CK9" s="235"/>
      <c r="CL9" s="235"/>
      <c r="CM9" s="235"/>
      <c r="CN9" s="235"/>
      <c r="CO9" s="235"/>
      <c r="CP9" s="235"/>
      <c r="CQ9" s="235"/>
      <c r="CR9" s="235"/>
      <c r="CS9" s="235"/>
      <c r="CT9" s="235"/>
      <c r="CU9" s="235"/>
      <c r="CV9" s="235"/>
      <c r="CW9" s="235"/>
      <c r="CX9" s="235"/>
      <c r="CY9" s="235"/>
      <c r="CZ9" s="235"/>
      <c r="DA9" s="235"/>
      <c r="DB9" s="235"/>
      <c r="DC9" s="235"/>
      <c r="DD9" s="235"/>
      <c r="DE9" s="235"/>
      <c r="DF9" s="235"/>
      <c r="DG9" s="254"/>
      <c r="DH9" s="235"/>
      <c r="DI9" s="235"/>
      <c r="DJ9" s="235"/>
      <c r="DK9" s="235"/>
      <c r="DL9" s="235"/>
      <c r="DM9" s="235"/>
      <c r="DN9" s="235"/>
      <c r="DO9" s="235"/>
      <c r="DP9" s="235"/>
      <c r="DQ9" s="235"/>
      <c r="DR9" s="235"/>
      <c r="DS9" s="235"/>
      <c r="DT9" s="235"/>
      <c r="DU9" s="235"/>
      <c r="DV9" s="235"/>
      <c r="DW9" s="235"/>
      <c r="DX9" s="235"/>
      <c r="DY9" s="235"/>
      <c r="DZ9" s="235"/>
      <c r="EA9" s="235"/>
      <c r="EB9" s="235"/>
      <c r="EC9" s="235"/>
      <c r="ED9" s="235"/>
      <c r="EE9" s="235"/>
      <c r="EF9" s="235"/>
      <c r="EG9" s="235"/>
      <c r="EH9" s="235"/>
      <c r="EI9" s="235"/>
      <c r="EJ9" s="235"/>
      <c r="EK9" s="235"/>
      <c r="EL9" s="235"/>
      <c r="EM9" s="235"/>
      <c r="EN9" s="235"/>
      <c r="EO9" s="235"/>
      <c r="EP9" s="235"/>
      <c r="EQ9" s="235"/>
      <c r="ER9" s="235"/>
      <c r="ES9" s="235"/>
      <c r="ET9" s="235"/>
      <c r="EU9" s="235"/>
      <c r="EV9" s="235"/>
      <c r="EW9" s="235"/>
      <c r="EX9" s="235"/>
      <c r="EY9" s="235"/>
      <c r="EZ9" s="235"/>
      <c r="FA9" s="235"/>
      <c r="FB9" s="235"/>
      <c r="FC9" s="235"/>
      <c r="FD9" s="235"/>
      <c r="FE9" s="235"/>
      <c r="FF9" s="235"/>
      <c r="FG9" s="235"/>
      <c r="FH9" s="254"/>
      <c r="FI9" s="254"/>
      <c r="FJ9" s="254"/>
      <c r="FK9" s="254"/>
      <c r="FL9" s="254"/>
      <c r="FM9" s="254"/>
      <c r="FN9" s="254"/>
      <c r="FO9" s="254"/>
      <c r="FP9" s="254"/>
      <c r="FQ9" s="254"/>
      <c r="FR9" s="254"/>
      <c r="FS9" s="254"/>
      <c r="FT9" s="254"/>
      <c r="FU9" s="254"/>
      <c r="FV9" s="254"/>
      <c r="FW9" s="254"/>
      <c r="FX9" s="254"/>
      <c r="FY9" s="235"/>
      <c r="FZ9" s="235"/>
      <c r="GA9" s="235"/>
      <c r="GB9" s="235"/>
      <c r="GC9" s="235"/>
      <c r="GD9" s="235"/>
      <c r="GE9" s="235"/>
      <c r="GF9" s="235"/>
      <c r="GG9" s="235"/>
      <c r="GH9" s="235"/>
      <c r="GI9" s="235"/>
      <c r="GJ9" s="235"/>
      <c r="GK9" s="235"/>
      <c r="GL9" s="235"/>
      <c r="GM9" s="235"/>
      <c r="GN9" s="235"/>
      <c r="GO9" s="235"/>
      <c r="GP9" s="235"/>
      <c r="GQ9" s="235"/>
      <c r="GR9" s="235"/>
      <c r="GS9" s="235"/>
      <c r="GT9" s="235"/>
      <c r="GU9" s="235"/>
      <c r="GV9" s="235"/>
      <c r="GW9" s="235"/>
      <c r="GX9" s="235"/>
      <c r="GY9" s="235"/>
      <c r="GZ9" s="235"/>
      <c r="HA9" s="235"/>
      <c r="HB9" s="235"/>
      <c r="HC9" s="235"/>
      <c r="HD9" s="235"/>
      <c r="HE9" s="235"/>
      <c r="HF9" s="235"/>
      <c r="HG9" s="235"/>
      <c r="HH9" s="235"/>
      <c r="HI9" s="235"/>
      <c r="HJ9" s="235"/>
      <c r="HK9" s="235"/>
      <c r="HL9" s="235"/>
      <c r="HM9" s="235"/>
      <c r="HN9" s="235"/>
      <c r="HO9" s="235"/>
      <c r="HP9" s="235"/>
      <c r="HQ9" s="235"/>
      <c r="HR9" s="235"/>
      <c r="HS9" s="235"/>
      <c r="HT9" s="235"/>
      <c r="HU9" s="235"/>
      <c r="HV9" s="235"/>
      <c r="HW9" s="235"/>
      <c r="HX9" s="254"/>
      <c r="HY9" s="254"/>
      <c r="HZ9" s="254"/>
      <c r="IA9" s="254"/>
      <c r="IB9" s="254"/>
      <c r="IC9" s="254"/>
      <c r="ID9" s="254"/>
      <c r="IE9" s="254"/>
      <c r="IF9" s="254"/>
      <c r="IG9" s="254"/>
      <c r="IH9" s="254"/>
      <c r="II9" s="254"/>
      <c r="IJ9" s="254"/>
      <c r="IK9" s="254"/>
      <c r="IL9" s="254"/>
      <c r="IM9" s="254"/>
      <c r="IN9" s="254"/>
      <c r="IO9" s="254"/>
      <c r="IP9" s="254"/>
      <c r="IQ9" s="254"/>
      <c r="IR9" s="254"/>
      <c r="IS9" s="254"/>
      <c r="IT9" s="254"/>
      <c r="IU9" s="254"/>
      <c r="IV9" s="254"/>
      <c r="IW9" s="254"/>
      <c r="IX9" s="254"/>
      <c r="IY9" s="254"/>
      <c r="IZ9" s="254"/>
      <c r="JA9" s="254"/>
      <c r="JB9" s="254"/>
      <c r="JC9" s="254"/>
      <c r="JD9" s="254"/>
      <c r="JE9" s="254"/>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5"/>
      <c r="LX9" s="235"/>
      <c r="LY9" s="235"/>
      <c r="LZ9" s="235"/>
      <c r="MA9" s="235"/>
      <c r="MB9" s="235"/>
      <c r="MC9" s="235"/>
      <c r="MD9" s="235"/>
      <c r="ME9" s="235"/>
      <c r="MF9" s="235"/>
      <c r="MG9" s="235"/>
      <c r="MH9" s="235"/>
      <c r="MI9" s="235"/>
      <c r="MJ9" s="235"/>
      <c r="MK9" s="235"/>
      <c r="ML9" s="235"/>
    </row>
    <row r="10" ht="18.75" customHeight="1">
      <c r="A10" s="283"/>
      <c r="B10" s="234" t="str">
        <f>'Building Bill of Materials_SLIM'!P10</f>
        <v/>
      </c>
      <c r="C10" s="234" t="str">
        <f>'Building Bill of Materials_SLIM'!Q10</f>
        <v/>
      </c>
      <c r="D10" s="234" t="str">
        <f>'Building Bill of Materials_SLIM'!R10</f>
        <v/>
      </c>
      <c r="E10" s="234" t="str">
        <f>'Building Bill of Materials_SLIM'!S10</f>
        <v/>
      </c>
      <c r="F10" s="284" t="str">
        <f>'Building Bill of Materials_SLIM'!U10</f>
        <v/>
      </c>
      <c r="G10" s="234"/>
      <c r="H10" s="234"/>
      <c r="I10" s="234"/>
      <c r="J10" s="234" t="str">
        <f>'Building Bill of Materials_SLIM'!V10</f>
        <v/>
      </c>
      <c r="K10" s="238"/>
      <c r="L10" s="238"/>
      <c r="M10" s="238"/>
      <c r="N10" s="238"/>
      <c r="O10" s="238"/>
      <c r="P10" s="238"/>
      <c r="Q10" s="238"/>
      <c r="R10" s="238"/>
      <c r="S10" s="238"/>
      <c r="T10" s="238"/>
      <c r="U10" s="238"/>
      <c r="V10" s="238"/>
      <c r="W10" s="238"/>
      <c r="X10" s="238"/>
      <c r="Y10" s="238"/>
      <c r="Z10" s="238"/>
      <c r="AA10" s="192"/>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7"/>
      <c r="BD10" s="257"/>
      <c r="BE10" s="257"/>
      <c r="BF10" s="257"/>
      <c r="BG10" s="257"/>
      <c r="BH10" s="257"/>
      <c r="BI10" s="257"/>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57"/>
      <c r="CF10" s="257"/>
      <c r="CG10" s="238"/>
      <c r="CH10" s="238"/>
      <c r="CI10" s="238"/>
      <c r="CJ10" s="238"/>
      <c r="CK10" s="238"/>
      <c r="CL10" s="238"/>
      <c r="CM10" s="238"/>
      <c r="CN10" s="238"/>
      <c r="CO10" s="238"/>
      <c r="CP10" s="238"/>
      <c r="CQ10" s="238"/>
      <c r="CR10" s="238"/>
      <c r="CS10" s="238"/>
      <c r="CT10" s="238"/>
      <c r="CU10" s="238"/>
      <c r="CV10" s="238"/>
      <c r="CW10" s="238"/>
      <c r="CX10" s="238"/>
      <c r="CY10" s="238"/>
      <c r="CZ10" s="238"/>
      <c r="DA10" s="238"/>
      <c r="DB10" s="238"/>
      <c r="DC10" s="238"/>
      <c r="DD10" s="238"/>
      <c r="DE10" s="238"/>
      <c r="DF10" s="238"/>
      <c r="DG10" s="257"/>
      <c r="DH10" s="238"/>
      <c r="DI10" s="238"/>
      <c r="DJ10" s="238"/>
      <c r="DK10" s="238"/>
      <c r="DL10" s="238"/>
      <c r="DM10" s="238"/>
      <c r="DN10" s="238"/>
      <c r="DO10" s="238"/>
      <c r="DP10" s="238"/>
      <c r="DQ10" s="238"/>
      <c r="DR10" s="238"/>
      <c r="DS10" s="238"/>
      <c r="DT10" s="238"/>
      <c r="DU10" s="238"/>
      <c r="DV10" s="238"/>
      <c r="DW10" s="238"/>
      <c r="DX10" s="238"/>
      <c r="DY10" s="238"/>
      <c r="DZ10" s="238"/>
      <c r="EA10" s="238"/>
      <c r="EB10" s="238"/>
      <c r="EC10" s="238"/>
      <c r="ED10" s="238"/>
      <c r="EE10" s="238"/>
      <c r="EF10" s="238"/>
      <c r="EG10" s="238"/>
      <c r="EH10" s="238"/>
      <c r="EI10" s="238"/>
      <c r="EJ10" s="238"/>
      <c r="EK10" s="238"/>
      <c r="EL10" s="238"/>
      <c r="EM10" s="238"/>
      <c r="EN10" s="238"/>
      <c r="EO10" s="238"/>
      <c r="EP10" s="238"/>
      <c r="EQ10" s="238"/>
      <c r="ER10" s="238"/>
      <c r="ES10" s="238"/>
      <c r="ET10" s="238"/>
      <c r="EU10" s="238"/>
      <c r="EV10" s="238"/>
      <c r="EW10" s="238"/>
      <c r="EX10" s="238"/>
      <c r="EY10" s="238"/>
      <c r="EZ10" s="238"/>
      <c r="FA10" s="238"/>
      <c r="FB10" s="238"/>
      <c r="FC10" s="238"/>
      <c r="FD10" s="238"/>
      <c r="FE10" s="238"/>
      <c r="FF10" s="238"/>
      <c r="FG10" s="238"/>
      <c r="FH10" s="257"/>
      <c r="FI10" s="257"/>
      <c r="FJ10" s="257"/>
      <c r="FK10" s="257"/>
      <c r="FL10" s="257"/>
      <c r="FM10" s="257"/>
      <c r="FN10" s="257"/>
      <c r="FO10" s="257"/>
      <c r="FP10" s="257"/>
      <c r="FQ10" s="257"/>
      <c r="FR10" s="257"/>
      <c r="FS10" s="257"/>
      <c r="FT10" s="257"/>
      <c r="FU10" s="257"/>
      <c r="FV10" s="257"/>
      <c r="FW10" s="257"/>
      <c r="FX10" s="257"/>
      <c r="FY10" s="238"/>
      <c r="FZ10" s="238"/>
      <c r="GA10" s="238"/>
      <c r="GB10" s="238"/>
      <c r="GC10" s="238"/>
      <c r="GD10" s="238"/>
      <c r="GE10" s="238"/>
      <c r="GF10" s="238"/>
      <c r="GG10" s="238"/>
      <c r="GH10" s="238"/>
      <c r="GI10" s="238"/>
      <c r="GJ10" s="238"/>
      <c r="GK10" s="238"/>
      <c r="GL10" s="238"/>
      <c r="GM10" s="238"/>
      <c r="GN10" s="238"/>
      <c r="GO10" s="238"/>
      <c r="GP10" s="238"/>
      <c r="GQ10" s="238"/>
      <c r="GR10" s="238"/>
      <c r="GS10" s="238"/>
      <c r="GT10" s="238"/>
      <c r="GU10" s="238"/>
      <c r="GV10" s="238"/>
      <c r="GW10" s="238"/>
      <c r="GX10" s="238"/>
      <c r="GY10" s="238"/>
      <c r="GZ10" s="238"/>
      <c r="HA10" s="238"/>
      <c r="HB10" s="238"/>
      <c r="HC10" s="238"/>
      <c r="HD10" s="238"/>
      <c r="HE10" s="238"/>
      <c r="HF10" s="238"/>
      <c r="HG10" s="238"/>
      <c r="HH10" s="238"/>
      <c r="HI10" s="238"/>
      <c r="HJ10" s="238"/>
      <c r="HK10" s="238"/>
      <c r="HL10" s="238"/>
      <c r="HM10" s="238"/>
      <c r="HN10" s="238"/>
      <c r="HO10" s="238"/>
      <c r="HP10" s="238"/>
      <c r="HQ10" s="238"/>
      <c r="HR10" s="238"/>
      <c r="HS10" s="238"/>
      <c r="HT10" s="238"/>
      <c r="HU10" s="238"/>
      <c r="HV10" s="238"/>
      <c r="HW10" s="238"/>
      <c r="HX10" s="257"/>
      <c r="HY10" s="257"/>
      <c r="HZ10" s="257"/>
      <c r="IA10" s="257"/>
      <c r="IB10" s="257"/>
      <c r="IC10" s="257"/>
      <c r="ID10" s="257"/>
      <c r="IE10" s="257"/>
      <c r="IF10" s="257"/>
      <c r="IG10" s="257"/>
      <c r="IH10" s="257"/>
      <c r="II10" s="257"/>
      <c r="IJ10" s="257"/>
      <c r="IK10" s="257"/>
      <c r="IL10" s="257"/>
      <c r="IM10" s="257"/>
      <c r="IN10" s="257"/>
      <c r="IO10" s="257"/>
      <c r="IP10" s="257"/>
      <c r="IQ10" s="257"/>
      <c r="IR10" s="257"/>
      <c r="IS10" s="257"/>
      <c r="IT10" s="257"/>
      <c r="IU10" s="257"/>
      <c r="IV10" s="257"/>
      <c r="IW10" s="257"/>
      <c r="IX10" s="257"/>
      <c r="IY10" s="257"/>
      <c r="IZ10" s="257"/>
      <c r="JA10" s="257"/>
      <c r="JB10" s="257"/>
      <c r="JC10" s="257"/>
      <c r="JD10" s="257"/>
      <c r="JE10" s="257"/>
      <c r="JF10" s="238"/>
      <c r="JG10" s="238"/>
      <c r="JH10" s="238"/>
      <c r="JI10" s="238"/>
      <c r="JJ10" s="238"/>
      <c r="JK10" s="238"/>
      <c r="JL10" s="238"/>
      <c r="JM10" s="238"/>
      <c r="JN10" s="238"/>
      <c r="JO10" s="238"/>
      <c r="JP10" s="238"/>
      <c r="JQ10" s="238"/>
      <c r="JR10" s="238"/>
      <c r="JS10" s="238"/>
      <c r="JT10" s="238"/>
      <c r="JU10" s="238"/>
      <c r="JV10" s="238"/>
      <c r="JW10" s="238"/>
      <c r="JX10" s="238"/>
      <c r="JY10" s="238"/>
      <c r="JZ10" s="238"/>
      <c r="KA10" s="238"/>
      <c r="KB10" s="238"/>
      <c r="KC10" s="238"/>
      <c r="KD10" s="238"/>
      <c r="KE10" s="238"/>
      <c r="KF10" s="238"/>
      <c r="KG10" s="238"/>
      <c r="KH10" s="238"/>
      <c r="KI10" s="238"/>
      <c r="KJ10" s="238"/>
      <c r="KK10" s="238"/>
      <c r="KL10" s="238"/>
      <c r="KM10" s="238"/>
      <c r="KN10" s="238"/>
      <c r="KO10" s="238"/>
      <c r="KP10" s="238"/>
      <c r="KQ10" s="238"/>
      <c r="KR10" s="238"/>
      <c r="KS10" s="238"/>
      <c r="KT10" s="238"/>
      <c r="KU10" s="238"/>
      <c r="KV10" s="238"/>
      <c r="KW10" s="238"/>
      <c r="KX10" s="238"/>
      <c r="KY10" s="238"/>
      <c r="KZ10" s="238"/>
      <c r="LA10" s="238"/>
      <c r="LB10" s="238"/>
      <c r="LC10" s="238"/>
      <c r="LD10" s="238"/>
      <c r="LE10" s="238"/>
      <c r="LF10" s="238"/>
      <c r="LG10" s="238"/>
      <c r="LH10" s="238"/>
      <c r="LI10" s="238"/>
      <c r="LJ10" s="238"/>
      <c r="LK10" s="238"/>
      <c r="LL10" s="238"/>
      <c r="LM10" s="238"/>
      <c r="LN10" s="238"/>
      <c r="LO10" s="238"/>
      <c r="LP10" s="238"/>
      <c r="LQ10" s="238"/>
      <c r="LR10" s="238"/>
      <c r="LS10" s="238"/>
      <c r="LT10" s="238"/>
      <c r="LU10" s="238"/>
      <c r="LV10" s="238"/>
      <c r="LW10" s="238"/>
      <c r="LX10" s="238"/>
      <c r="LY10" s="238"/>
      <c r="LZ10" s="238"/>
      <c r="MA10" s="238"/>
      <c r="MB10" s="238"/>
      <c r="MC10" s="238"/>
      <c r="MD10" s="238"/>
      <c r="ME10" s="238"/>
      <c r="MF10" s="238"/>
      <c r="MG10" s="238"/>
      <c r="MH10" s="238"/>
      <c r="MI10" s="238"/>
      <c r="MJ10" s="238"/>
      <c r="MK10" s="238"/>
      <c r="ML10" s="238"/>
    </row>
    <row r="11" ht="18.75" customHeight="1">
      <c r="A11" s="283"/>
      <c r="B11" s="234" t="str">
        <f>'Building Bill of Materials_SLIM'!P11</f>
        <v/>
      </c>
      <c r="C11" s="234" t="str">
        <f>'Building Bill of Materials_SLIM'!Q11</f>
        <v/>
      </c>
      <c r="D11" s="234" t="str">
        <f>'Building Bill of Materials_SLIM'!R11</f>
        <v/>
      </c>
      <c r="E11" s="234" t="str">
        <f>'Building Bill of Materials_SLIM'!S11</f>
        <v/>
      </c>
      <c r="F11" s="284" t="str">
        <f>'Building Bill of Materials_SLIM'!U11</f>
        <v/>
      </c>
      <c r="G11" s="234"/>
      <c r="H11" s="234"/>
      <c r="I11" s="234"/>
      <c r="J11" s="234" t="str">
        <f>'Building Bill of Materials_SLIM'!V11</f>
        <v/>
      </c>
      <c r="K11" s="238"/>
      <c r="L11" s="238"/>
      <c r="M11" s="238"/>
      <c r="N11" s="238"/>
      <c r="O11" s="238"/>
      <c r="P11" s="238"/>
      <c r="Q11" s="238"/>
      <c r="R11" s="238"/>
      <c r="S11" s="238"/>
      <c r="T11" s="238"/>
      <c r="U11" s="238"/>
      <c r="V11" s="238"/>
      <c r="W11" s="238"/>
      <c r="X11" s="238"/>
      <c r="Y11" s="238"/>
      <c r="Z11" s="238"/>
      <c r="AA11" s="192"/>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38"/>
      <c r="BK11" s="238"/>
      <c r="BL11" s="238"/>
      <c r="BM11" s="238"/>
      <c r="BN11" s="238"/>
      <c r="BO11" s="238"/>
      <c r="BP11" s="238"/>
      <c r="BQ11" s="238"/>
      <c r="BR11" s="238"/>
      <c r="BS11" s="238"/>
      <c r="BT11" s="238"/>
      <c r="BU11" s="238"/>
      <c r="BV11" s="238"/>
      <c r="BW11" s="238"/>
      <c r="BX11" s="238"/>
      <c r="BY11" s="238"/>
      <c r="BZ11" s="238"/>
      <c r="CA11" s="238"/>
      <c r="CB11" s="238"/>
      <c r="CC11" s="238"/>
      <c r="CD11" s="238"/>
      <c r="CE11" s="257"/>
      <c r="CF11" s="257"/>
      <c r="CG11" s="238"/>
      <c r="CH11" s="238"/>
      <c r="CI11" s="238"/>
      <c r="CJ11" s="238"/>
      <c r="CK11" s="238"/>
      <c r="CL11" s="238"/>
      <c r="CM11" s="238"/>
      <c r="CN11" s="238"/>
      <c r="CO11" s="238"/>
      <c r="CP11" s="238"/>
      <c r="CQ11" s="238"/>
      <c r="CR11" s="238"/>
      <c r="CS11" s="238"/>
      <c r="CT11" s="238"/>
      <c r="CU11" s="238"/>
      <c r="CV11" s="238"/>
      <c r="CW11" s="238"/>
      <c r="CX11" s="238"/>
      <c r="CY11" s="238"/>
      <c r="CZ11" s="238"/>
      <c r="DA11" s="238"/>
      <c r="DB11" s="238"/>
      <c r="DC11" s="238"/>
      <c r="DD11" s="238"/>
      <c r="DE11" s="238"/>
      <c r="DF11" s="238"/>
      <c r="DG11" s="257"/>
      <c r="DH11" s="238"/>
      <c r="DI11" s="238"/>
      <c r="DJ11" s="238"/>
      <c r="DK11" s="238"/>
      <c r="DL11" s="238"/>
      <c r="DM11" s="238"/>
      <c r="DN11" s="238"/>
      <c r="DO11" s="238"/>
      <c r="DP11" s="238"/>
      <c r="DQ11" s="238"/>
      <c r="DR11" s="238"/>
      <c r="DS11" s="238"/>
      <c r="DT11" s="238"/>
      <c r="DU11" s="238"/>
      <c r="DV11" s="238"/>
      <c r="DW11" s="238"/>
      <c r="DX11" s="238"/>
      <c r="DY11" s="238"/>
      <c r="DZ11" s="238"/>
      <c r="EA11" s="238"/>
      <c r="EB11" s="238"/>
      <c r="EC11" s="238"/>
      <c r="ED11" s="238"/>
      <c r="EE11" s="238"/>
      <c r="EF11" s="238"/>
      <c r="EG11" s="238"/>
      <c r="EH11" s="238"/>
      <c r="EI11" s="238"/>
      <c r="EJ11" s="238"/>
      <c r="EK11" s="238"/>
      <c r="EL11" s="238"/>
      <c r="EM11" s="238"/>
      <c r="EN11" s="238"/>
      <c r="EO11" s="238"/>
      <c r="EP11" s="238"/>
      <c r="EQ11" s="238"/>
      <c r="ER11" s="238"/>
      <c r="ES11" s="238"/>
      <c r="ET11" s="238"/>
      <c r="EU11" s="238"/>
      <c r="EV11" s="238"/>
      <c r="EW11" s="238"/>
      <c r="EX11" s="238"/>
      <c r="EY11" s="238"/>
      <c r="EZ11" s="238"/>
      <c r="FA11" s="238"/>
      <c r="FB11" s="238"/>
      <c r="FC11" s="238"/>
      <c r="FD11" s="238"/>
      <c r="FE11" s="238"/>
      <c r="FF11" s="238"/>
      <c r="FG11" s="238"/>
      <c r="FH11" s="257"/>
      <c r="FI11" s="257"/>
      <c r="FJ11" s="257"/>
      <c r="FK11" s="257"/>
      <c r="FL11" s="257"/>
      <c r="FM11" s="257"/>
      <c r="FN11" s="257"/>
      <c r="FO11" s="257"/>
      <c r="FP11" s="257"/>
      <c r="FQ11" s="257"/>
      <c r="FR11" s="257"/>
      <c r="FS11" s="257"/>
      <c r="FT11" s="257"/>
      <c r="FU11" s="257"/>
      <c r="FV11" s="257"/>
      <c r="FW11" s="257"/>
      <c r="FX11" s="257"/>
      <c r="FY11" s="238"/>
      <c r="FZ11" s="238"/>
      <c r="GA11" s="238"/>
      <c r="GB11" s="238"/>
      <c r="GC11" s="238"/>
      <c r="GD11" s="238"/>
      <c r="GE11" s="238"/>
      <c r="GF11" s="238"/>
      <c r="GG11" s="238"/>
      <c r="GH11" s="238"/>
      <c r="GI11" s="238"/>
      <c r="GJ11" s="238"/>
      <c r="GK11" s="238"/>
      <c r="GL11" s="238"/>
      <c r="GM11" s="238"/>
      <c r="GN11" s="238"/>
      <c r="GO11" s="238"/>
      <c r="GP11" s="238"/>
      <c r="GQ11" s="238"/>
      <c r="GR11" s="238"/>
      <c r="GS11" s="238"/>
      <c r="GT11" s="238"/>
      <c r="GU11" s="238"/>
      <c r="GV11" s="238"/>
      <c r="GW11" s="238"/>
      <c r="GX11" s="238"/>
      <c r="GY11" s="238"/>
      <c r="GZ11" s="238"/>
      <c r="HA11" s="238"/>
      <c r="HB11" s="238"/>
      <c r="HC11" s="238"/>
      <c r="HD11" s="238"/>
      <c r="HE11" s="238"/>
      <c r="HF11" s="238"/>
      <c r="HG11" s="238"/>
      <c r="HH11" s="238"/>
      <c r="HI11" s="238"/>
      <c r="HJ11" s="238"/>
      <c r="HK11" s="238"/>
      <c r="HL11" s="238"/>
      <c r="HM11" s="238"/>
      <c r="HN11" s="238"/>
      <c r="HO11" s="238"/>
      <c r="HP11" s="238"/>
      <c r="HQ11" s="238"/>
      <c r="HR11" s="238"/>
      <c r="HS11" s="238"/>
      <c r="HT11" s="238"/>
      <c r="HU11" s="238"/>
      <c r="HV11" s="238"/>
      <c r="HW11" s="238"/>
      <c r="HX11" s="257"/>
      <c r="HY11" s="257"/>
      <c r="HZ11" s="257"/>
      <c r="IA11" s="257"/>
      <c r="IB11" s="257"/>
      <c r="IC11" s="257"/>
      <c r="ID11" s="257"/>
      <c r="IE11" s="257"/>
      <c r="IF11" s="257"/>
      <c r="IG11" s="257"/>
      <c r="IH11" s="257"/>
      <c r="II11" s="257"/>
      <c r="IJ11" s="257"/>
      <c r="IK11" s="257"/>
      <c r="IL11" s="257"/>
      <c r="IM11" s="257"/>
      <c r="IN11" s="257"/>
      <c r="IO11" s="257"/>
      <c r="IP11" s="257"/>
      <c r="IQ11" s="257"/>
      <c r="IR11" s="257"/>
      <c r="IS11" s="257"/>
      <c r="IT11" s="257"/>
      <c r="IU11" s="257"/>
      <c r="IV11" s="257"/>
      <c r="IW11" s="257"/>
      <c r="IX11" s="257"/>
      <c r="IY11" s="257"/>
      <c r="IZ11" s="257"/>
      <c r="JA11" s="257"/>
      <c r="JB11" s="257"/>
      <c r="JC11" s="257"/>
      <c r="JD11" s="257"/>
      <c r="JE11" s="257"/>
      <c r="JF11" s="238"/>
      <c r="JG11" s="238"/>
      <c r="JH11" s="238"/>
      <c r="JI11" s="238"/>
      <c r="JJ11" s="238"/>
      <c r="JK11" s="238"/>
      <c r="JL11" s="238"/>
      <c r="JM11" s="238"/>
      <c r="JN11" s="238"/>
      <c r="JO11" s="238"/>
      <c r="JP11" s="238"/>
      <c r="JQ11" s="238"/>
      <c r="JR11" s="238"/>
      <c r="JS11" s="238"/>
      <c r="JT11" s="238"/>
      <c r="JU11" s="238"/>
      <c r="JV11" s="238"/>
      <c r="JW11" s="238"/>
      <c r="JX11" s="238"/>
      <c r="JY11" s="238"/>
      <c r="JZ11" s="238"/>
      <c r="KA11" s="238"/>
      <c r="KB11" s="238"/>
      <c r="KC11" s="238"/>
      <c r="KD11" s="238"/>
      <c r="KE11" s="238"/>
      <c r="KF11" s="238"/>
      <c r="KG11" s="238"/>
      <c r="KH11" s="238"/>
      <c r="KI11" s="238"/>
      <c r="KJ11" s="238"/>
      <c r="KK11" s="238"/>
      <c r="KL11" s="238"/>
      <c r="KM11" s="238"/>
      <c r="KN11" s="238"/>
      <c r="KO11" s="238"/>
      <c r="KP11" s="238"/>
      <c r="KQ11" s="238"/>
      <c r="KR11" s="238"/>
      <c r="KS11" s="238"/>
      <c r="KT11" s="238"/>
      <c r="KU11" s="238"/>
      <c r="KV11" s="238"/>
      <c r="KW11" s="238"/>
      <c r="KX11" s="238"/>
      <c r="KY11" s="238"/>
      <c r="KZ11" s="238"/>
      <c r="LA11" s="238"/>
      <c r="LB11" s="238"/>
      <c r="LC11" s="238"/>
      <c r="LD11" s="238"/>
      <c r="LE11" s="238"/>
      <c r="LF11" s="238"/>
      <c r="LG11" s="238"/>
      <c r="LH11" s="238"/>
      <c r="LI11" s="238"/>
      <c r="LJ11" s="238"/>
      <c r="LK11" s="238"/>
      <c r="LL11" s="238"/>
      <c r="LM11" s="238"/>
      <c r="LN11" s="238"/>
      <c r="LO11" s="238"/>
      <c r="LP11" s="238"/>
      <c r="LQ11" s="238"/>
      <c r="LR11" s="238"/>
      <c r="LS11" s="238"/>
      <c r="LT11" s="238"/>
      <c r="LU11" s="238"/>
      <c r="LV11" s="238"/>
      <c r="LW11" s="238"/>
      <c r="LX11" s="238"/>
      <c r="LY11" s="238"/>
      <c r="LZ11" s="238"/>
      <c r="MA11" s="238"/>
      <c r="MB11" s="238"/>
      <c r="MC11" s="238"/>
      <c r="MD11" s="238"/>
      <c r="ME11" s="238"/>
      <c r="MF11" s="238"/>
      <c r="MG11" s="238"/>
      <c r="MH11" s="238"/>
      <c r="MI11" s="238"/>
      <c r="MJ11" s="238"/>
      <c r="MK11" s="238"/>
      <c r="ML11" s="238"/>
    </row>
    <row r="12" ht="18.75" customHeight="1">
      <c r="A12" s="283"/>
      <c r="B12" s="234" t="str">
        <f>'Building Bill of Materials_SLIM'!P12</f>
        <v/>
      </c>
      <c r="C12" s="234" t="str">
        <f>'Building Bill of Materials_SLIM'!Q12</f>
        <v/>
      </c>
      <c r="D12" s="234" t="str">
        <f>'Building Bill of Materials_SLIM'!R12</f>
        <v/>
      </c>
      <c r="E12" s="234" t="str">
        <f>'Building Bill of Materials_SLIM'!S12</f>
        <v/>
      </c>
      <c r="F12" s="284" t="str">
        <f>'Building Bill of Materials_SLIM'!U12</f>
        <v/>
      </c>
      <c r="G12" s="234"/>
      <c r="H12" s="234"/>
      <c r="I12" s="234"/>
      <c r="J12" s="234" t="str">
        <f>'Building Bill of Materials_SLIM'!V12</f>
        <v/>
      </c>
      <c r="K12" s="238"/>
      <c r="L12" s="238"/>
      <c r="M12" s="238"/>
      <c r="N12" s="238"/>
      <c r="O12" s="238"/>
      <c r="P12" s="238"/>
      <c r="Q12" s="238"/>
      <c r="R12" s="238"/>
      <c r="S12" s="238"/>
      <c r="T12" s="238"/>
      <c r="U12" s="238"/>
      <c r="V12" s="238"/>
      <c r="W12" s="238"/>
      <c r="X12" s="238"/>
      <c r="Y12" s="238"/>
      <c r="Z12" s="238"/>
      <c r="AA12" s="192"/>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38"/>
      <c r="BK12" s="238"/>
      <c r="BL12" s="238"/>
      <c r="BM12" s="238"/>
      <c r="BN12" s="238"/>
      <c r="BO12" s="238"/>
      <c r="BP12" s="238"/>
      <c r="BQ12" s="238"/>
      <c r="BR12" s="238"/>
      <c r="BS12" s="238"/>
      <c r="BT12" s="238"/>
      <c r="BU12" s="238"/>
      <c r="BV12" s="238"/>
      <c r="BW12" s="238"/>
      <c r="BX12" s="238"/>
      <c r="BY12" s="238"/>
      <c r="BZ12" s="238"/>
      <c r="CA12" s="238"/>
      <c r="CB12" s="238"/>
      <c r="CC12" s="238"/>
      <c r="CD12" s="238"/>
      <c r="CE12" s="257"/>
      <c r="CF12" s="257"/>
      <c r="CG12" s="238"/>
      <c r="CH12" s="238"/>
      <c r="CI12" s="238"/>
      <c r="CJ12" s="238"/>
      <c r="CK12" s="238"/>
      <c r="CL12" s="238"/>
      <c r="CM12" s="238"/>
      <c r="CN12" s="238"/>
      <c r="CO12" s="238"/>
      <c r="CP12" s="238"/>
      <c r="CQ12" s="238"/>
      <c r="CR12" s="238"/>
      <c r="CS12" s="238"/>
      <c r="CT12" s="238"/>
      <c r="CU12" s="238"/>
      <c r="CV12" s="238"/>
      <c r="CW12" s="238"/>
      <c r="CX12" s="238"/>
      <c r="CY12" s="238"/>
      <c r="CZ12" s="238"/>
      <c r="DA12" s="238"/>
      <c r="DB12" s="238"/>
      <c r="DC12" s="238"/>
      <c r="DD12" s="238"/>
      <c r="DE12" s="238"/>
      <c r="DF12" s="238"/>
      <c r="DG12" s="257"/>
      <c r="DH12" s="238"/>
      <c r="DI12" s="238"/>
      <c r="DJ12" s="238"/>
      <c r="DK12" s="238"/>
      <c r="DL12" s="238"/>
      <c r="DM12" s="238"/>
      <c r="DN12" s="238"/>
      <c r="DO12" s="238"/>
      <c r="DP12" s="238"/>
      <c r="DQ12" s="238"/>
      <c r="DR12" s="238"/>
      <c r="DS12" s="238"/>
      <c r="DT12" s="238"/>
      <c r="DU12" s="238"/>
      <c r="DV12" s="238"/>
      <c r="DW12" s="238"/>
      <c r="DX12" s="238"/>
      <c r="DY12" s="238"/>
      <c r="DZ12" s="238"/>
      <c r="EA12" s="238"/>
      <c r="EB12" s="238"/>
      <c r="EC12" s="238"/>
      <c r="ED12" s="238"/>
      <c r="EE12" s="238"/>
      <c r="EF12" s="238"/>
      <c r="EG12" s="238"/>
      <c r="EH12" s="238"/>
      <c r="EI12" s="238"/>
      <c r="EJ12" s="238"/>
      <c r="EK12" s="238"/>
      <c r="EL12" s="238"/>
      <c r="EM12" s="238"/>
      <c r="EN12" s="238"/>
      <c r="EO12" s="238"/>
      <c r="EP12" s="238"/>
      <c r="EQ12" s="238"/>
      <c r="ER12" s="238"/>
      <c r="ES12" s="238"/>
      <c r="ET12" s="238"/>
      <c r="EU12" s="238"/>
      <c r="EV12" s="238"/>
      <c r="EW12" s="238"/>
      <c r="EX12" s="238"/>
      <c r="EY12" s="238"/>
      <c r="EZ12" s="238"/>
      <c r="FA12" s="238"/>
      <c r="FB12" s="238"/>
      <c r="FC12" s="238"/>
      <c r="FD12" s="238"/>
      <c r="FE12" s="238"/>
      <c r="FF12" s="238"/>
      <c r="FG12" s="238"/>
      <c r="FH12" s="257"/>
      <c r="FI12" s="257"/>
      <c r="FJ12" s="257"/>
      <c r="FK12" s="257"/>
      <c r="FL12" s="257"/>
      <c r="FM12" s="257"/>
      <c r="FN12" s="257"/>
      <c r="FO12" s="257"/>
      <c r="FP12" s="257"/>
      <c r="FQ12" s="257"/>
      <c r="FR12" s="257"/>
      <c r="FS12" s="257"/>
      <c r="FT12" s="257"/>
      <c r="FU12" s="257"/>
      <c r="FV12" s="257"/>
      <c r="FW12" s="257"/>
      <c r="FX12" s="257"/>
      <c r="FY12" s="238"/>
      <c r="FZ12" s="238"/>
      <c r="GA12" s="238"/>
      <c r="GB12" s="238"/>
      <c r="GC12" s="238"/>
      <c r="GD12" s="238"/>
      <c r="GE12" s="238"/>
      <c r="GF12" s="238"/>
      <c r="GG12" s="238"/>
      <c r="GH12" s="238"/>
      <c r="GI12" s="238"/>
      <c r="GJ12" s="238"/>
      <c r="GK12" s="238"/>
      <c r="GL12" s="238"/>
      <c r="GM12" s="238"/>
      <c r="GN12" s="238"/>
      <c r="GO12" s="238"/>
      <c r="GP12" s="238"/>
      <c r="GQ12" s="238"/>
      <c r="GR12" s="238"/>
      <c r="GS12" s="238"/>
      <c r="GT12" s="238"/>
      <c r="GU12" s="238"/>
      <c r="GV12" s="238"/>
      <c r="GW12" s="238"/>
      <c r="GX12" s="238"/>
      <c r="GY12" s="238"/>
      <c r="GZ12" s="238"/>
      <c r="HA12" s="238"/>
      <c r="HB12" s="238"/>
      <c r="HC12" s="238"/>
      <c r="HD12" s="238"/>
      <c r="HE12" s="238"/>
      <c r="HF12" s="238"/>
      <c r="HG12" s="238"/>
      <c r="HH12" s="238"/>
      <c r="HI12" s="238"/>
      <c r="HJ12" s="238"/>
      <c r="HK12" s="238"/>
      <c r="HL12" s="238"/>
      <c r="HM12" s="238"/>
      <c r="HN12" s="238"/>
      <c r="HO12" s="238"/>
      <c r="HP12" s="238"/>
      <c r="HQ12" s="238"/>
      <c r="HR12" s="238"/>
      <c r="HS12" s="238"/>
      <c r="HT12" s="238"/>
      <c r="HU12" s="238"/>
      <c r="HV12" s="238"/>
      <c r="HW12" s="238"/>
      <c r="HX12" s="257"/>
      <c r="HY12" s="257"/>
      <c r="HZ12" s="257"/>
      <c r="IA12" s="257"/>
      <c r="IB12" s="257"/>
      <c r="IC12" s="257"/>
      <c r="ID12" s="257"/>
      <c r="IE12" s="257"/>
      <c r="IF12" s="257"/>
      <c r="IG12" s="257"/>
      <c r="IH12" s="257"/>
      <c r="II12" s="257"/>
      <c r="IJ12" s="257"/>
      <c r="IK12" s="257"/>
      <c r="IL12" s="257"/>
      <c r="IM12" s="257"/>
      <c r="IN12" s="257"/>
      <c r="IO12" s="257"/>
      <c r="IP12" s="257"/>
      <c r="IQ12" s="257"/>
      <c r="IR12" s="257"/>
      <c r="IS12" s="257"/>
      <c r="IT12" s="257"/>
      <c r="IU12" s="257"/>
      <c r="IV12" s="257"/>
      <c r="IW12" s="257"/>
      <c r="IX12" s="257"/>
      <c r="IY12" s="257"/>
      <c r="IZ12" s="257"/>
      <c r="JA12" s="257"/>
      <c r="JB12" s="257"/>
      <c r="JC12" s="257"/>
      <c r="JD12" s="257"/>
      <c r="JE12" s="257"/>
      <c r="JF12" s="238"/>
      <c r="JG12" s="238"/>
      <c r="JH12" s="238"/>
      <c r="JI12" s="238"/>
      <c r="JJ12" s="238"/>
      <c r="JK12" s="238"/>
      <c r="JL12" s="238"/>
      <c r="JM12" s="238"/>
      <c r="JN12" s="238"/>
      <c r="JO12" s="238"/>
      <c r="JP12" s="238"/>
      <c r="JQ12" s="238"/>
      <c r="JR12" s="238"/>
      <c r="JS12" s="238"/>
      <c r="JT12" s="238"/>
      <c r="JU12" s="238"/>
      <c r="JV12" s="238"/>
      <c r="JW12" s="238"/>
      <c r="JX12" s="238"/>
      <c r="JY12" s="238"/>
      <c r="JZ12" s="238"/>
      <c r="KA12" s="238"/>
      <c r="KB12" s="238"/>
      <c r="KC12" s="238"/>
      <c r="KD12" s="238"/>
      <c r="KE12" s="238"/>
      <c r="KF12" s="238"/>
      <c r="KG12" s="238"/>
      <c r="KH12" s="238"/>
      <c r="KI12" s="238"/>
      <c r="KJ12" s="238"/>
      <c r="KK12" s="238"/>
      <c r="KL12" s="238"/>
      <c r="KM12" s="238"/>
      <c r="KN12" s="238"/>
      <c r="KO12" s="238"/>
      <c r="KP12" s="238"/>
      <c r="KQ12" s="238"/>
      <c r="KR12" s="238"/>
      <c r="KS12" s="238"/>
      <c r="KT12" s="238"/>
      <c r="KU12" s="238"/>
      <c r="KV12" s="238"/>
      <c r="KW12" s="238"/>
      <c r="KX12" s="238"/>
      <c r="KY12" s="238"/>
      <c r="KZ12" s="238"/>
      <c r="LA12" s="238"/>
      <c r="LB12" s="238"/>
      <c r="LC12" s="238"/>
      <c r="LD12" s="238"/>
      <c r="LE12" s="238"/>
      <c r="LF12" s="238"/>
      <c r="LG12" s="238"/>
      <c r="LH12" s="238"/>
      <c r="LI12" s="238"/>
      <c r="LJ12" s="238"/>
      <c r="LK12" s="238"/>
      <c r="LL12" s="238"/>
      <c r="LM12" s="238"/>
      <c r="LN12" s="238"/>
      <c r="LO12" s="238"/>
      <c r="LP12" s="238"/>
      <c r="LQ12" s="238"/>
      <c r="LR12" s="238"/>
      <c r="LS12" s="238"/>
      <c r="LT12" s="238"/>
      <c r="LU12" s="238"/>
      <c r="LV12" s="238"/>
      <c r="LW12" s="238"/>
      <c r="LX12" s="238"/>
      <c r="LY12" s="238"/>
      <c r="LZ12" s="238"/>
      <c r="MA12" s="238"/>
      <c r="MB12" s="238"/>
      <c r="MC12" s="238"/>
      <c r="MD12" s="238"/>
      <c r="ME12" s="238"/>
      <c r="MF12" s="238"/>
      <c r="MG12" s="238"/>
      <c r="MH12" s="238"/>
      <c r="MI12" s="238"/>
      <c r="MJ12" s="238"/>
      <c r="MK12" s="238"/>
      <c r="ML12" s="238"/>
    </row>
    <row r="13" ht="18.75" customHeight="1">
      <c r="A13" s="283"/>
      <c r="B13" s="234" t="str">
        <f>'Building Bill of Materials_SLIM'!P13</f>
        <v/>
      </c>
      <c r="C13" s="234" t="str">
        <f>'Building Bill of Materials_SLIM'!Q13</f>
        <v/>
      </c>
      <c r="D13" s="234" t="str">
        <f>'Building Bill of Materials_SLIM'!R13</f>
        <v/>
      </c>
      <c r="E13" s="234" t="str">
        <f>'Building Bill of Materials_SLIM'!S13</f>
        <v/>
      </c>
      <c r="F13" s="284" t="str">
        <f>'Building Bill of Materials_SLIM'!U13</f>
        <v/>
      </c>
      <c r="G13" s="234"/>
      <c r="H13" s="234"/>
      <c r="I13" s="234"/>
      <c r="J13" s="234" t="str">
        <f>'Building Bill of Materials_SLIM'!V13</f>
        <v/>
      </c>
      <c r="K13" s="238"/>
      <c r="L13" s="238"/>
      <c r="M13" s="238"/>
      <c r="N13" s="238"/>
      <c r="O13" s="238"/>
      <c r="P13" s="238"/>
      <c r="Q13" s="238"/>
      <c r="R13" s="238"/>
      <c r="S13" s="238"/>
      <c r="T13" s="238"/>
      <c r="U13" s="238"/>
      <c r="V13" s="238"/>
      <c r="W13" s="238"/>
      <c r="X13" s="238"/>
      <c r="Y13" s="238"/>
      <c r="Z13" s="238"/>
      <c r="AA13" s="192"/>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38"/>
      <c r="BK13" s="238"/>
      <c r="BL13" s="238"/>
      <c r="BM13" s="238"/>
      <c r="BN13" s="238"/>
      <c r="BO13" s="238"/>
      <c r="BP13" s="238"/>
      <c r="BQ13" s="238"/>
      <c r="BR13" s="238"/>
      <c r="BS13" s="238"/>
      <c r="BT13" s="238"/>
      <c r="BU13" s="238"/>
      <c r="BV13" s="238"/>
      <c r="BW13" s="238"/>
      <c r="BX13" s="238"/>
      <c r="BY13" s="238"/>
      <c r="BZ13" s="238"/>
      <c r="CA13" s="238"/>
      <c r="CB13" s="238"/>
      <c r="CC13" s="238"/>
      <c r="CD13" s="238"/>
      <c r="CE13" s="257"/>
      <c r="CF13" s="257"/>
      <c r="CG13" s="238"/>
      <c r="CH13" s="238"/>
      <c r="CI13" s="238"/>
      <c r="CJ13" s="238"/>
      <c r="CK13" s="238"/>
      <c r="CL13" s="238"/>
      <c r="CM13" s="238"/>
      <c r="CN13" s="238"/>
      <c r="CO13" s="238"/>
      <c r="CP13" s="238"/>
      <c r="CQ13" s="238"/>
      <c r="CR13" s="238"/>
      <c r="CS13" s="238"/>
      <c r="CT13" s="238"/>
      <c r="CU13" s="238"/>
      <c r="CV13" s="238"/>
      <c r="CW13" s="238"/>
      <c r="CX13" s="238"/>
      <c r="CY13" s="238"/>
      <c r="CZ13" s="238"/>
      <c r="DA13" s="238"/>
      <c r="DB13" s="238"/>
      <c r="DC13" s="238"/>
      <c r="DD13" s="238"/>
      <c r="DE13" s="238"/>
      <c r="DF13" s="238"/>
      <c r="DG13" s="257"/>
      <c r="DH13" s="238"/>
      <c r="DI13" s="238"/>
      <c r="DJ13" s="238"/>
      <c r="DK13" s="238"/>
      <c r="DL13" s="238"/>
      <c r="DM13" s="238"/>
      <c r="DN13" s="238"/>
      <c r="DO13" s="238"/>
      <c r="DP13" s="238"/>
      <c r="DQ13" s="238"/>
      <c r="DR13" s="238"/>
      <c r="DS13" s="238"/>
      <c r="DT13" s="238"/>
      <c r="DU13" s="238"/>
      <c r="DV13" s="238"/>
      <c r="DW13" s="238"/>
      <c r="DX13" s="238"/>
      <c r="DY13" s="238"/>
      <c r="DZ13" s="238"/>
      <c r="EA13" s="238"/>
      <c r="EB13" s="238"/>
      <c r="EC13" s="238"/>
      <c r="ED13" s="238"/>
      <c r="EE13" s="238"/>
      <c r="EF13" s="238"/>
      <c r="EG13" s="238"/>
      <c r="EH13" s="238"/>
      <c r="EI13" s="238"/>
      <c r="EJ13" s="238"/>
      <c r="EK13" s="238"/>
      <c r="EL13" s="238"/>
      <c r="EM13" s="238"/>
      <c r="EN13" s="238"/>
      <c r="EO13" s="238"/>
      <c r="EP13" s="238"/>
      <c r="EQ13" s="238"/>
      <c r="ER13" s="238"/>
      <c r="ES13" s="238"/>
      <c r="ET13" s="238"/>
      <c r="EU13" s="238"/>
      <c r="EV13" s="238"/>
      <c r="EW13" s="238"/>
      <c r="EX13" s="238"/>
      <c r="EY13" s="238"/>
      <c r="EZ13" s="238"/>
      <c r="FA13" s="238"/>
      <c r="FB13" s="238"/>
      <c r="FC13" s="238"/>
      <c r="FD13" s="238"/>
      <c r="FE13" s="238"/>
      <c r="FF13" s="238"/>
      <c r="FG13" s="238"/>
      <c r="FH13" s="257"/>
      <c r="FI13" s="257"/>
      <c r="FJ13" s="257"/>
      <c r="FK13" s="257"/>
      <c r="FL13" s="257"/>
      <c r="FM13" s="257"/>
      <c r="FN13" s="257"/>
      <c r="FO13" s="257"/>
      <c r="FP13" s="257"/>
      <c r="FQ13" s="257"/>
      <c r="FR13" s="257"/>
      <c r="FS13" s="257"/>
      <c r="FT13" s="257"/>
      <c r="FU13" s="257"/>
      <c r="FV13" s="257"/>
      <c r="FW13" s="257"/>
      <c r="FX13" s="257"/>
      <c r="FY13" s="238"/>
      <c r="FZ13" s="238"/>
      <c r="GA13" s="238"/>
      <c r="GB13" s="238"/>
      <c r="GC13" s="238"/>
      <c r="GD13" s="238"/>
      <c r="GE13" s="238"/>
      <c r="GF13" s="238"/>
      <c r="GG13" s="238"/>
      <c r="GH13" s="238"/>
      <c r="GI13" s="238"/>
      <c r="GJ13" s="238"/>
      <c r="GK13" s="238"/>
      <c r="GL13" s="238"/>
      <c r="GM13" s="238"/>
      <c r="GN13" s="238"/>
      <c r="GO13" s="238"/>
      <c r="GP13" s="238"/>
      <c r="GQ13" s="238"/>
      <c r="GR13" s="238"/>
      <c r="GS13" s="238"/>
      <c r="GT13" s="238"/>
      <c r="GU13" s="238"/>
      <c r="GV13" s="238"/>
      <c r="GW13" s="238"/>
      <c r="GX13" s="238"/>
      <c r="GY13" s="238"/>
      <c r="GZ13" s="238"/>
      <c r="HA13" s="238"/>
      <c r="HB13" s="238"/>
      <c r="HC13" s="238"/>
      <c r="HD13" s="238"/>
      <c r="HE13" s="238"/>
      <c r="HF13" s="238"/>
      <c r="HG13" s="238"/>
      <c r="HH13" s="238"/>
      <c r="HI13" s="238"/>
      <c r="HJ13" s="238"/>
      <c r="HK13" s="238"/>
      <c r="HL13" s="238"/>
      <c r="HM13" s="238"/>
      <c r="HN13" s="238"/>
      <c r="HO13" s="238"/>
      <c r="HP13" s="238"/>
      <c r="HQ13" s="238"/>
      <c r="HR13" s="238"/>
      <c r="HS13" s="238"/>
      <c r="HT13" s="238"/>
      <c r="HU13" s="238"/>
      <c r="HV13" s="238"/>
      <c r="HW13" s="238"/>
      <c r="HX13" s="257"/>
      <c r="HY13" s="257"/>
      <c r="HZ13" s="257"/>
      <c r="IA13" s="257"/>
      <c r="IB13" s="257"/>
      <c r="IC13" s="257"/>
      <c r="ID13" s="257"/>
      <c r="IE13" s="257"/>
      <c r="IF13" s="257"/>
      <c r="IG13" s="257"/>
      <c r="IH13" s="257"/>
      <c r="II13" s="257"/>
      <c r="IJ13" s="257"/>
      <c r="IK13" s="257"/>
      <c r="IL13" s="257"/>
      <c r="IM13" s="257"/>
      <c r="IN13" s="257"/>
      <c r="IO13" s="257"/>
      <c r="IP13" s="257"/>
      <c r="IQ13" s="257"/>
      <c r="IR13" s="257"/>
      <c r="IS13" s="257"/>
      <c r="IT13" s="257"/>
      <c r="IU13" s="257"/>
      <c r="IV13" s="257"/>
      <c r="IW13" s="257"/>
      <c r="IX13" s="257"/>
      <c r="IY13" s="257"/>
      <c r="IZ13" s="257"/>
      <c r="JA13" s="257"/>
      <c r="JB13" s="257"/>
      <c r="JC13" s="257"/>
      <c r="JD13" s="257"/>
      <c r="JE13" s="257"/>
      <c r="JF13" s="238"/>
      <c r="JG13" s="238"/>
      <c r="JH13" s="238"/>
      <c r="JI13" s="238"/>
      <c r="JJ13" s="238"/>
      <c r="JK13" s="238"/>
      <c r="JL13" s="238"/>
      <c r="JM13" s="238"/>
      <c r="JN13" s="238"/>
      <c r="JO13" s="238"/>
      <c r="JP13" s="238"/>
      <c r="JQ13" s="238"/>
      <c r="JR13" s="238"/>
      <c r="JS13" s="238"/>
      <c r="JT13" s="238"/>
      <c r="JU13" s="238"/>
      <c r="JV13" s="238"/>
      <c r="JW13" s="238"/>
      <c r="JX13" s="238"/>
      <c r="JY13" s="238"/>
      <c r="JZ13" s="238"/>
      <c r="KA13" s="238"/>
      <c r="KB13" s="238"/>
      <c r="KC13" s="238"/>
      <c r="KD13" s="238"/>
      <c r="KE13" s="238"/>
      <c r="KF13" s="238"/>
      <c r="KG13" s="238"/>
      <c r="KH13" s="238"/>
      <c r="KI13" s="238"/>
      <c r="KJ13" s="238"/>
      <c r="KK13" s="238"/>
      <c r="KL13" s="238"/>
      <c r="KM13" s="238"/>
      <c r="KN13" s="238"/>
      <c r="KO13" s="238"/>
      <c r="KP13" s="238"/>
      <c r="KQ13" s="238"/>
      <c r="KR13" s="238"/>
      <c r="KS13" s="238"/>
      <c r="KT13" s="238"/>
      <c r="KU13" s="238"/>
      <c r="KV13" s="238"/>
      <c r="KW13" s="238"/>
      <c r="KX13" s="238"/>
      <c r="KY13" s="238"/>
      <c r="KZ13" s="238"/>
      <c r="LA13" s="238"/>
      <c r="LB13" s="238"/>
      <c r="LC13" s="238"/>
      <c r="LD13" s="238"/>
      <c r="LE13" s="238"/>
      <c r="LF13" s="238"/>
      <c r="LG13" s="238"/>
      <c r="LH13" s="238"/>
      <c r="LI13" s="238"/>
      <c r="LJ13" s="238"/>
      <c r="LK13" s="238"/>
      <c r="LL13" s="238"/>
      <c r="LM13" s="238"/>
      <c r="LN13" s="238"/>
      <c r="LO13" s="238"/>
      <c r="LP13" s="238"/>
      <c r="LQ13" s="238"/>
      <c r="LR13" s="238"/>
      <c r="LS13" s="238"/>
      <c r="LT13" s="238"/>
      <c r="LU13" s="238"/>
      <c r="LV13" s="238"/>
      <c r="LW13" s="238"/>
      <c r="LX13" s="238"/>
      <c r="LY13" s="238"/>
      <c r="LZ13" s="238"/>
      <c r="MA13" s="238"/>
      <c r="MB13" s="238"/>
      <c r="MC13" s="238"/>
      <c r="MD13" s="238"/>
      <c r="ME13" s="238"/>
      <c r="MF13" s="238"/>
      <c r="MG13" s="238"/>
      <c r="MH13" s="238"/>
      <c r="MI13" s="238"/>
      <c r="MJ13" s="238"/>
      <c r="MK13" s="238"/>
      <c r="ML13" s="238"/>
    </row>
    <row r="14" ht="18.75" customHeight="1">
      <c r="A14" s="283"/>
      <c r="B14" s="234" t="str">
        <f>'Building Bill of Materials_SLIM'!P14</f>
        <v/>
      </c>
      <c r="C14" s="234" t="str">
        <f>'Building Bill of Materials_SLIM'!Q14</f>
        <v/>
      </c>
      <c r="D14" s="234" t="str">
        <f>'Building Bill of Materials_SLIM'!R14</f>
        <v/>
      </c>
      <c r="E14" s="234" t="str">
        <f>'Building Bill of Materials_SLIM'!S14</f>
        <v/>
      </c>
      <c r="F14" s="284" t="str">
        <f>'Building Bill of Materials_SLIM'!U14</f>
        <v/>
      </c>
      <c r="G14" s="234"/>
      <c r="H14" s="234"/>
      <c r="I14" s="234"/>
      <c r="J14" s="234" t="str">
        <f>'Building Bill of Materials_SLIM'!V14</f>
        <v/>
      </c>
      <c r="K14" s="238"/>
      <c r="L14" s="238"/>
      <c r="M14" s="238"/>
      <c r="N14" s="238"/>
      <c r="O14" s="238"/>
      <c r="P14" s="238"/>
      <c r="Q14" s="238"/>
      <c r="R14" s="238"/>
      <c r="S14" s="238"/>
      <c r="T14" s="238"/>
      <c r="U14" s="238"/>
      <c r="V14" s="238"/>
      <c r="W14" s="238"/>
      <c r="X14" s="238"/>
      <c r="Y14" s="238"/>
      <c r="Z14" s="238"/>
      <c r="AA14" s="192"/>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7"/>
      <c r="BD14" s="257"/>
      <c r="BE14" s="257"/>
      <c r="BF14" s="257"/>
      <c r="BG14" s="257"/>
      <c r="BH14" s="257"/>
      <c r="BI14" s="257"/>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57"/>
      <c r="CF14" s="257"/>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57"/>
      <c r="DH14" s="238"/>
      <c r="DI14" s="238"/>
      <c r="DJ14" s="238"/>
      <c r="DK14" s="238"/>
      <c r="DL14" s="238"/>
      <c r="DM14" s="238"/>
      <c r="DN14" s="238"/>
      <c r="DO14" s="238"/>
      <c r="DP14" s="238"/>
      <c r="DQ14" s="238"/>
      <c r="DR14" s="238"/>
      <c r="DS14" s="238"/>
      <c r="DT14" s="238"/>
      <c r="DU14" s="238"/>
      <c r="DV14" s="238"/>
      <c r="DW14" s="238"/>
      <c r="DX14" s="238"/>
      <c r="DY14" s="238"/>
      <c r="DZ14" s="238"/>
      <c r="EA14" s="238"/>
      <c r="EB14" s="238"/>
      <c r="EC14" s="238"/>
      <c r="ED14" s="238"/>
      <c r="EE14" s="238"/>
      <c r="EF14" s="238"/>
      <c r="EG14" s="238"/>
      <c r="EH14" s="238"/>
      <c r="EI14" s="238"/>
      <c r="EJ14" s="238"/>
      <c r="EK14" s="238"/>
      <c r="EL14" s="238"/>
      <c r="EM14" s="238"/>
      <c r="EN14" s="238"/>
      <c r="EO14" s="238"/>
      <c r="EP14" s="238"/>
      <c r="EQ14" s="238"/>
      <c r="ER14" s="238"/>
      <c r="ES14" s="238"/>
      <c r="ET14" s="238"/>
      <c r="EU14" s="238"/>
      <c r="EV14" s="238"/>
      <c r="EW14" s="238"/>
      <c r="EX14" s="238"/>
      <c r="EY14" s="238"/>
      <c r="EZ14" s="238"/>
      <c r="FA14" s="238"/>
      <c r="FB14" s="238"/>
      <c r="FC14" s="238"/>
      <c r="FD14" s="238"/>
      <c r="FE14" s="238"/>
      <c r="FF14" s="238"/>
      <c r="FG14" s="238"/>
      <c r="FH14" s="257"/>
      <c r="FI14" s="257"/>
      <c r="FJ14" s="257"/>
      <c r="FK14" s="257"/>
      <c r="FL14" s="257"/>
      <c r="FM14" s="257"/>
      <c r="FN14" s="257"/>
      <c r="FO14" s="257"/>
      <c r="FP14" s="257"/>
      <c r="FQ14" s="257"/>
      <c r="FR14" s="257"/>
      <c r="FS14" s="257"/>
      <c r="FT14" s="257"/>
      <c r="FU14" s="257"/>
      <c r="FV14" s="257"/>
      <c r="FW14" s="257"/>
      <c r="FX14" s="257"/>
      <c r="FY14" s="238"/>
      <c r="FZ14" s="238"/>
      <c r="GA14" s="238"/>
      <c r="GB14" s="238"/>
      <c r="GC14" s="238"/>
      <c r="GD14" s="238"/>
      <c r="GE14" s="238"/>
      <c r="GF14" s="238"/>
      <c r="GG14" s="238"/>
      <c r="GH14" s="238"/>
      <c r="GI14" s="238"/>
      <c r="GJ14" s="238"/>
      <c r="GK14" s="238"/>
      <c r="GL14" s="238"/>
      <c r="GM14" s="238"/>
      <c r="GN14" s="238"/>
      <c r="GO14" s="238"/>
      <c r="GP14" s="238"/>
      <c r="GQ14" s="238"/>
      <c r="GR14" s="238"/>
      <c r="GS14" s="238"/>
      <c r="GT14" s="238"/>
      <c r="GU14" s="238"/>
      <c r="GV14" s="238"/>
      <c r="GW14" s="238"/>
      <c r="GX14" s="238"/>
      <c r="GY14" s="238"/>
      <c r="GZ14" s="238"/>
      <c r="HA14" s="238"/>
      <c r="HB14" s="238"/>
      <c r="HC14" s="238"/>
      <c r="HD14" s="238"/>
      <c r="HE14" s="238"/>
      <c r="HF14" s="238"/>
      <c r="HG14" s="238"/>
      <c r="HH14" s="238"/>
      <c r="HI14" s="238"/>
      <c r="HJ14" s="238"/>
      <c r="HK14" s="238"/>
      <c r="HL14" s="238"/>
      <c r="HM14" s="238"/>
      <c r="HN14" s="238"/>
      <c r="HO14" s="238"/>
      <c r="HP14" s="238"/>
      <c r="HQ14" s="238"/>
      <c r="HR14" s="238"/>
      <c r="HS14" s="238"/>
      <c r="HT14" s="238"/>
      <c r="HU14" s="238"/>
      <c r="HV14" s="238"/>
      <c r="HW14" s="238"/>
      <c r="HX14" s="257"/>
      <c r="HY14" s="257"/>
      <c r="HZ14" s="257"/>
      <c r="IA14" s="257"/>
      <c r="IB14" s="257"/>
      <c r="IC14" s="257"/>
      <c r="ID14" s="257"/>
      <c r="IE14" s="257"/>
      <c r="IF14" s="257"/>
      <c r="IG14" s="257"/>
      <c r="IH14" s="257"/>
      <c r="II14" s="257"/>
      <c r="IJ14" s="257"/>
      <c r="IK14" s="257"/>
      <c r="IL14" s="257"/>
      <c r="IM14" s="257"/>
      <c r="IN14" s="257"/>
      <c r="IO14" s="257"/>
      <c r="IP14" s="257"/>
      <c r="IQ14" s="257"/>
      <c r="IR14" s="257"/>
      <c r="IS14" s="257"/>
      <c r="IT14" s="257"/>
      <c r="IU14" s="257"/>
      <c r="IV14" s="257"/>
      <c r="IW14" s="257"/>
      <c r="IX14" s="257"/>
      <c r="IY14" s="257"/>
      <c r="IZ14" s="257"/>
      <c r="JA14" s="257"/>
      <c r="JB14" s="257"/>
      <c r="JC14" s="257"/>
      <c r="JD14" s="257"/>
      <c r="JE14" s="257"/>
      <c r="JF14" s="238"/>
      <c r="JG14" s="238"/>
      <c r="JH14" s="238"/>
      <c r="JI14" s="238"/>
      <c r="JJ14" s="238"/>
      <c r="JK14" s="238"/>
      <c r="JL14" s="238"/>
      <c r="JM14" s="238"/>
      <c r="JN14" s="238"/>
      <c r="JO14" s="238"/>
      <c r="JP14" s="238"/>
      <c r="JQ14" s="238"/>
      <c r="JR14" s="238"/>
      <c r="JS14" s="238"/>
      <c r="JT14" s="238"/>
      <c r="JU14" s="238"/>
      <c r="JV14" s="238"/>
      <c r="JW14" s="238"/>
      <c r="JX14" s="238"/>
      <c r="JY14" s="238"/>
      <c r="JZ14" s="238"/>
      <c r="KA14" s="238"/>
      <c r="KB14" s="238"/>
      <c r="KC14" s="238"/>
      <c r="KD14" s="238"/>
      <c r="KE14" s="238"/>
      <c r="KF14" s="238"/>
      <c r="KG14" s="238"/>
      <c r="KH14" s="238"/>
      <c r="KI14" s="238"/>
      <c r="KJ14" s="238"/>
      <c r="KK14" s="238"/>
      <c r="KL14" s="238"/>
      <c r="KM14" s="238"/>
      <c r="KN14" s="238"/>
      <c r="KO14" s="238"/>
      <c r="KP14" s="238"/>
      <c r="KQ14" s="238"/>
      <c r="KR14" s="238"/>
      <c r="KS14" s="238"/>
      <c r="KT14" s="238"/>
      <c r="KU14" s="238"/>
      <c r="KV14" s="238"/>
      <c r="KW14" s="238"/>
      <c r="KX14" s="238"/>
      <c r="KY14" s="238"/>
      <c r="KZ14" s="238"/>
      <c r="LA14" s="238"/>
      <c r="LB14" s="238"/>
      <c r="LC14" s="238"/>
      <c r="LD14" s="238"/>
      <c r="LE14" s="238"/>
      <c r="LF14" s="238"/>
      <c r="LG14" s="238"/>
      <c r="LH14" s="238"/>
      <c r="LI14" s="238"/>
      <c r="LJ14" s="238"/>
      <c r="LK14" s="238"/>
      <c r="LL14" s="238"/>
      <c r="LM14" s="238"/>
      <c r="LN14" s="238"/>
      <c r="LO14" s="238"/>
      <c r="LP14" s="238"/>
      <c r="LQ14" s="238"/>
      <c r="LR14" s="238"/>
      <c r="LS14" s="238"/>
      <c r="LT14" s="238"/>
      <c r="LU14" s="238"/>
      <c r="LV14" s="238"/>
      <c r="LW14" s="238"/>
      <c r="LX14" s="238"/>
      <c r="LY14" s="238"/>
      <c r="LZ14" s="238"/>
      <c r="MA14" s="238"/>
      <c r="MB14" s="238"/>
      <c r="MC14" s="238"/>
      <c r="MD14" s="238"/>
      <c r="ME14" s="238"/>
      <c r="MF14" s="238"/>
      <c r="MG14" s="238"/>
      <c r="MH14" s="238"/>
      <c r="MI14" s="238"/>
      <c r="MJ14" s="238"/>
      <c r="MK14" s="238"/>
      <c r="ML14" s="238"/>
    </row>
    <row r="15" ht="18.75" customHeight="1">
      <c r="A15" s="283"/>
      <c r="B15" s="234" t="str">
        <f>'Building Bill of Materials_SLIM'!P15</f>
        <v/>
      </c>
      <c r="C15" s="234" t="str">
        <f>'Building Bill of Materials_SLIM'!Q15</f>
        <v/>
      </c>
      <c r="D15" s="234" t="str">
        <f>'Building Bill of Materials_SLIM'!R15</f>
        <v/>
      </c>
      <c r="E15" s="234" t="str">
        <f>'Building Bill of Materials_SLIM'!S15</f>
        <v/>
      </c>
      <c r="F15" s="284" t="str">
        <f>'Building Bill of Materials_SLIM'!U15</f>
        <v/>
      </c>
      <c r="G15" s="234"/>
      <c r="H15" s="234"/>
      <c r="I15" s="234"/>
      <c r="J15" s="234" t="str">
        <f>'Building Bill of Materials_SLIM'!V15</f>
        <v/>
      </c>
      <c r="K15" s="238"/>
      <c r="L15" s="238"/>
      <c r="M15" s="238"/>
      <c r="N15" s="238"/>
      <c r="O15" s="238"/>
      <c r="P15" s="238"/>
      <c r="Q15" s="238"/>
      <c r="R15" s="238"/>
      <c r="S15" s="238"/>
      <c r="T15" s="238"/>
      <c r="U15" s="238"/>
      <c r="V15" s="238"/>
      <c r="W15" s="238"/>
      <c r="X15" s="238"/>
      <c r="Y15" s="238"/>
      <c r="Z15" s="238"/>
      <c r="AA15" s="192"/>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7"/>
      <c r="BD15" s="257"/>
      <c r="BE15" s="257"/>
      <c r="BF15" s="257"/>
      <c r="BG15" s="257"/>
      <c r="BH15" s="257"/>
      <c r="BI15" s="257"/>
      <c r="BJ15" s="238"/>
      <c r="BK15" s="238"/>
      <c r="BL15" s="238"/>
      <c r="BM15" s="238"/>
      <c r="BN15" s="238"/>
      <c r="BO15" s="238"/>
      <c r="BP15" s="238"/>
      <c r="BQ15" s="238"/>
      <c r="BR15" s="238"/>
      <c r="BS15" s="238"/>
      <c r="BT15" s="238"/>
      <c r="BU15" s="238"/>
      <c r="BV15" s="238"/>
      <c r="BW15" s="238"/>
      <c r="BX15" s="238"/>
      <c r="BY15" s="238"/>
      <c r="BZ15" s="238"/>
      <c r="CA15" s="238"/>
      <c r="CB15" s="238"/>
      <c r="CC15" s="238"/>
      <c r="CD15" s="238"/>
      <c r="CE15" s="257"/>
      <c r="CF15" s="257"/>
      <c r="CG15" s="238"/>
      <c r="CH15" s="238"/>
      <c r="CI15" s="238"/>
      <c r="CJ15" s="238"/>
      <c r="CK15" s="238"/>
      <c r="CL15" s="238"/>
      <c r="CM15" s="238"/>
      <c r="CN15" s="238"/>
      <c r="CO15" s="238"/>
      <c r="CP15" s="238"/>
      <c r="CQ15" s="238"/>
      <c r="CR15" s="238"/>
      <c r="CS15" s="238"/>
      <c r="CT15" s="238"/>
      <c r="CU15" s="238"/>
      <c r="CV15" s="238"/>
      <c r="CW15" s="238"/>
      <c r="CX15" s="238"/>
      <c r="CY15" s="238"/>
      <c r="CZ15" s="238"/>
      <c r="DA15" s="238"/>
      <c r="DB15" s="238"/>
      <c r="DC15" s="238"/>
      <c r="DD15" s="238"/>
      <c r="DE15" s="238"/>
      <c r="DF15" s="238"/>
      <c r="DG15" s="257"/>
      <c r="DH15" s="238"/>
      <c r="DI15" s="238"/>
      <c r="DJ15" s="238"/>
      <c r="DK15" s="238"/>
      <c r="DL15" s="238"/>
      <c r="DM15" s="238"/>
      <c r="DN15" s="238"/>
      <c r="DO15" s="238"/>
      <c r="DP15" s="238"/>
      <c r="DQ15" s="238"/>
      <c r="DR15" s="238"/>
      <c r="DS15" s="238"/>
      <c r="DT15" s="238"/>
      <c r="DU15" s="238"/>
      <c r="DV15" s="238"/>
      <c r="DW15" s="238"/>
      <c r="DX15" s="238"/>
      <c r="DY15" s="238"/>
      <c r="DZ15" s="238"/>
      <c r="EA15" s="238"/>
      <c r="EB15" s="238"/>
      <c r="EC15" s="238"/>
      <c r="ED15" s="238"/>
      <c r="EE15" s="238"/>
      <c r="EF15" s="238"/>
      <c r="EG15" s="238"/>
      <c r="EH15" s="238"/>
      <c r="EI15" s="238"/>
      <c r="EJ15" s="238"/>
      <c r="EK15" s="238"/>
      <c r="EL15" s="238"/>
      <c r="EM15" s="238"/>
      <c r="EN15" s="238"/>
      <c r="EO15" s="238"/>
      <c r="EP15" s="238"/>
      <c r="EQ15" s="238"/>
      <c r="ER15" s="238"/>
      <c r="ES15" s="238"/>
      <c r="ET15" s="238"/>
      <c r="EU15" s="238"/>
      <c r="EV15" s="238"/>
      <c r="EW15" s="238"/>
      <c r="EX15" s="238"/>
      <c r="EY15" s="238"/>
      <c r="EZ15" s="238"/>
      <c r="FA15" s="238"/>
      <c r="FB15" s="238"/>
      <c r="FC15" s="238"/>
      <c r="FD15" s="238"/>
      <c r="FE15" s="238"/>
      <c r="FF15" s="238"/>
      <c r="FG15" s="238"/>
      <c r="FH15" s="257"/>
      <c r="FI15" s="257"/>
      <c r="FJ15" s="257"/>
      <c r="FK15" s="257"/>
      <c r="FL15" s="257"/>
      <c r="FM15" s="257"/>
      <c r="FN15" s="257"/>
      <c r="FO15" s="257"/>
      <c r="FP15" s="257"/>
      <c r="FQ15" s="257"/>
      <c r="FR15" s="257"/>
      <c r="FS15" s="257"/>
      <c r="FT15" s="257"/>
      <c r="FU15" s="257"/>
      <c r="FV15" s="257"/>
      <c r="FW15" s="257"/>
      <c r="FX15" s="257"/>
      <c r="FY15" s="238"/>
      <c r="FZ15" s="238"/>
      <c r="GA15" s="238"/>
      <c r="GB15" s="238"/>
      <c r="GC15" s="238"/>
      <c r="GD15" s="238"/>
      <c r="GE15" s="238"/>
      <c r="GF15" s="238"/>
      <c r="GG15" s="238"/>
      <c r="GH15" s="238"/>
      <c r="GI15" s="238"/>
      <c r="GJ15" s="238"/>
      <c r="GK15" s="238"/>
      <c r="GL15" s="238"/>
      <c r="GM15" s="238"/>
      <c r="GN15" s="238"/>
      <c r="GO15" s="238"/>
      <c r="GP15" s="238"/>
      <c r="GQ15" s="238"/>
      <c r="GR15" s="238"/>
      <c r="GS15" s="238"/>
      <c r="GT15" s="238"/>
      <c r="GU15" s="238"/>
      <c r="GV15" s="238"/>
      <c r="GW15" s="238"/>
      <c r="GX15" s="238"/>
      <c r="GY15" s="238"/>
      <c r="GZ15" s="238"/>
      <c r="HA15" s="238"/>
      <c r="HB15" s="238"/>
      <c r="HC15" s="238"/>
      <c r="HD15" s="238"/>
      <c r="HE15" s="238"/>
      <c r="HF15" s="238"/>
      <c r="HG15" s="238"/>
      <c r="HH15" s="238"/>
      <c r="HI15" s="238"/>
      <c r="HJ15" s="238"/>
      <c r="HK15" s="238"/>
      <c r="HL15" s="238"/>
      <c r="HM15" s="238"/>
      <c r="HN15" s="238"/>
      <c r="HO15" s="238"/>
      <c r="HP15" s="238"/>
      <c r="HQ15" s="238"/>
      <c r="HR15" s="238"/>
      <c r="HS15" s="238"/>
      <c r="HT15" s="238"/>
      <c r="HU15" s="238"/>
      <c r="HV15" s="238"/>
      <c r="HW15" s="238"/>
      <c r="HX15" s="257"/>
      <c r="HY15" s="257"/>
      <c r="HZ15" s="257"/>
      <c r="IA15" s="257"/>
      <c r="IB15" s="257"/>
      <c r="IC15" s="257"/>
      <c r="ID15" s="257"/>
      <c r="IE15" s="257"/>
      <c r="IF15" s="257"/>
      <c r="IG15" s="257"/>
      <c r="IH15" s="257"/>
      <c r="II15" s="257"/>
      <c r="IJ15" s="257"/>
      <c r="IK15" s="257"/>
      <c r="IL15" s="257"/>
      <c r="IM15" s="257"/>
      <c r="IN15" s="257"/>
      <c r="IO15" s="257"/>
      <c r="IP15" s="257"/>
      <c r="IQ15" s="257"/>
      <c r="IR15" s="257"/>
      <c r="IS15" s="257"/>
      <c r="IT15" s="257"/>
      <c r="IU15" s="257"/>
      <c r="IV15" s="257"/>
      <c r="IW15" s="257"/>
      <c r="IX15" s="257"/>
      <c r="IY15" s="257"/>
      <c r="IZ15" s="257"/>
      <c r="JA15" s="257"/>
      <c r="JB15" s="257"/>
      <c r="JC15" s="257"/>
      <c r="JD15" s="257"/>
      <c r="JE15" s="257"/>
      <c r="JF15" s="238"/>
      <c r="JG15" s="238"/>
      <c r="JH15" s="238"/>
      <c r="JI15" s="238"/>
      <c r="JJ15" s="238"/>
      <c r="JK15" s="238"/>
      <c r="JL15" s="238"/>
      <c r="JM15" s="238"/>
      <c r="JN15" s="238"/>
      <c r="JO15" s="238"/>
      <c r="JP15" s="238"/>
      <c r="JQ15" s="238"/>
      <c r="JR15" s="238"/>
      <c r="JS15" s="238"/>
      <c r="JT15" s="238"/>
      <c r="JU15" s="238"/>
      <c r="JV15" s="238"/>
      <c r="JW15" s="238"/>
      <c r="JX15" s="238"/>
      <c r="JY15" s="238"/>
      <c r="JZ15" s="238"/>
      <c r="KA15" s="238"/>
      <c r="KB15" s="238"/>
      <c r="KC15" s="238"/>
      <c r="KD15" s="238"/>
      <c r="KE15" s="238"/>
      <c r="KF15" s="238"/>
      <c r="KG15" s="238"/>
      <c r="KH15" s="238"/>
      <c r="KI15" s="238"/>
      <c r="KJ15" s="238"/>
      <c r="KK15" s="238"/>
      <c r="KL15" s="238"/>
      <c r="KM15" s="238"/>
      <c r="KN15" s="238"/>
      <c r="KO15" s="238"/>
      <c r="KP15" s="238"/>
      <c r="KQ15" s="238"/>
      <c r="KR15" s="238"/>
      <c r="KS15" s="238"/>
      <c r="KT15" s="238"/>
      <c r="KU15" s="238"/>
      <c r="KV15" s="238"/>
      <c r="KW15" s="238"/>
      <c r="KX15" s="238"/>
      <c r="KY15" s="238"/>
      <c r="KZ15" s="238"/>
      <c r="LA15" s="238"/>
      <c r="LB15" s="238"/>
      <c r="LC15" s="238"/>
      <c r="LD15" s="238"/>
      <c r="LE15" s="238"/>
      <c r="LF15" s="238"/>
      <c r="LG15" s="238"/>
      <c r="LH15" s="238"/>
      <c r="LI15" s="238"/>
      <c r="LJ15" s="238"/>
      <c r="LK15" s="238"/>
      <c r="LL15" s="238"/>
      <c r="LM15" s="238"/>
      <c r="LN15" s="238"/>
      <c r="LO15" s="238"/>
      <c r="LP15" s="238"/>
      <c r="LQ15" s="238"/>
      <c r="LR15" s="238"/>
      <c r="LS15" s="238"/>
      <c r="LT15" s="238"/>
      <c r="LU15" s="238"/>
      <c r="LV15" s="238"/>
      <c r="LW15" s="238"/>
      <c r="LX15" s="238"/>
      <c r="LY15" s="238"/>
      <c r="LZ15" s="238"/>
      <c r="MA15" s="238"/>
      <c r="MB15" s="238"/>
      <c r="MC15" s="238"/>
      <c r="MD15" s="238"/>
      <c r="ME15" s="238"/>
      <c r="MF15" s="238"/>
      <c r="MG15" s="238"/>
      <c r="MH15" s="238"/>
      <c r="MI15" s="238"/>
      <c r="MJ15" s="238"/>
      <c r="MK15" s="238"/>
      <c r="ML15" s="238"/>
    </row>
    <row r="16" ht="18.75" customHeight="1">
      <c r="A16" s="283"/>
      <c r="B16" s="234" t="str">
        <f>'Building Bill of Materials_SLIM'!P16</f>
        <v/>
      </c>
      <c r="C16" s="234" t="str">
        <f>'Building Bill of Materials_SLIM'!Q16</f>
        <v/>
      </c>
      <c r="D16" s="234" t="str">
        <f>'Building Bill of Materials_SLIM'!R16</f>
        <v/>
      </c>
      <c r="E16" s="284" t="str">
        <f>'Building Bill of Materials_SLIM'!S16</f>
        <v/>
      </c>
      <c r="F16" s="234"/>
      <c r="G16" s="234"/>
      <c r="H16" s="234"/>
      <c r="I16" s="234"/>
      <c r="J16" s="284" t="str">
        <f>'Building Bill of Materials_SLIM'!V16</f>
        <v/>
      </c>
      <c r="K16" s="238"/>
      <c r="L16" s="238"/>
      <c r="M16" s="238"/>
      <c r="N16" s="238"/>
      <c r="O16" s="238"/>
      <c r="P16" s="238"/>
      <c r="Q16" s="238"/>
      <c r="R16" s="238"/>
      <c r="S16" s="238"/>
      <c r="T16" s="238"/>
      <c r="U16" s="238"/>
      <c r="V16" s="238"/>
      <c r="W16" s="238"/>
      <c r="X16" s="238"/>
      <c r="Y16" s="238"/>
      <c r="Z16" s="238"/>
      <c r="AA16" s="192"/>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57"/>
      <c r="CF16" s="257"/>
      <c r="CG16" s="238"/>
      <c r="CH16" s="238"/>
      <c r="CI16" s="238"/>
      <c r="CJ16" s="238"/>
      <c r="CK16" s="238"/>
      <c r="CL16" s="238"/>
      <c r="CM16" s="238"/>
      <c r="CN16" s="238"/>
      <c r="CO16" s="238"/>
      <c r="CP16" s="238"/>
      <c r="CQ16" s="238"/>
      <c r="CR16" s="238"/>
      <c r="CS16" s="238"/>
      <c r="CT16" s="238"/>
      <c r="CU16" s="238"/>
      <c r="CV16" s="238"/>
      <c r="CW16" s="238"/>
      <c r="CX16" s="238"/>
      <c r="CY16" s="238"/>
      <c r="CZ16" s="238"/>
      <c r="DA16" s="238"/>
      <c r="DB16" s="238"/>
      <c r="DC16" s="238"/>
      <c r="DD16" s="238"/>
      <c r="DE16" s="238"/>
      <c r="DF16" s="238"/>
      <c r="DG16" s="257"/>
      <c r="DH16" s="238"/>
      <c r="DI16" s="238"/>
      <c r="DJ16" s="238"/>
      <c r="DK16" s="238"/>
      <c r="DL16" s="238"/>
      <c r="DM16" s="238"/>
      <c r="DN16" s="238"/>
      <c r="DO16" s="238"/>
      <c r="DP16" s="238"/>
      <c r="DQ16" s="238"/>
      <c r="DR16" s="238"/>
      <c r="DS16" s="238"/>
      <c r="DT16" s="238"/>
      <c r="DU16" s="238"/>
      <c r="DV16" s="238"/>
      <c r="DW16" s="238"/>
      <c r="DX16" s="238"/>
      <c r="DY16" s="238"/>
      <c r="DZ16" s="238"/>
      <c r="EA16" s="238"/>
      <c r="EB16" s="238"/>
      <c r="EC16" s="238"/>
      <c r="ED16" s="238"/>
      <c r="EE16" s="238"/>
      <c r="EF16" s="238"/>
      <c r="EG16" s="238"/>
      <c r="EH16" s="238"/>
      <c r="EI16" s="238"/>
      <c r="EJ16" s="238"/>
      <c r="EK16" s="238"/>
      <c r="EL16" s="238"/>
      <c r="EM16" s="238"/>
      <c r="EN16" s="238"/>
      <c r="EO16" s="238"/>
      <c r="EP16" s="238"/>
      <c r="EQ16" s="238"/>
      <c r="ER16" s="238"/>
      <c r="ES16" s="238"/>
      <c r="ET16" s="238"/>
      <c r="EU16" s="238"/>
      <c r="EV16" s="238"/>
      <c r="EW16" s="238"/>
      <c r="EX16" s="238"/>
      <c r="EY16" s="238"/>
      <c r="EZ16" s="238"/>
      <c r="FA16" s="238"/>
      <c r="FB16" s="238"/>
      <c r="FC16" s="238"/>
      <c r="FD16" s="238"/>
      <c r="FE16" s="238"/>
      <c r="FF16" s="238"/>
      <c r="FG16" s="238"/>
      <c r="FH16" s="257"/>
      <c r="FI16" s="257"/>
      <c r="FJ16" s="257"/>
      <c r="FK16" s="257"/>
      <c r="FL16" s="257"/>
      <c r="FM16" s="257"/>
      <c r="FN16" s="257"/>
      <c r="FO16" s="257"/>
      <c r="FP16" s="257"/>
      <c r="FQ16" s="257"/>
      <c r="FR16" s="257"/>
      <c r="FS16" s="257"/>
      <c r="FT16" s="257"/>
      <c r="FU16" s="257"/>
      <c r="FV16" s="257"/>
      <c r="FW16" s="257"/>
      <c r="FX16" s="257"/>
      <c r="FY16" s="238"/>
      <c r="FZ16" s="238"/>
      <c r="GA16" s="238"/>
      <c r="GB16" s="238"/>
      <c r="GC16" s="238"/>
      <c r="GD16" s="238"/>
      <c r="GE16" s="238"/>
      <c r="GF16" s="238"/>
      <c r="GG16" s="238"/>
      <c r="GH16" s="238"/>
      <c r="GI16" s="238"/>
      <c r="GJ16" s="238"/>
      <c r="GK16" s="238"/>
      <c r="GL16" s="238"/>
      <c r="GM16" s="238"/>
      <c r="GN16" s="238"/>
      <c r="GO16" s="238"/>
      <c r="GP16" s="238"/>
      <c r="GQ16" s="238"/>
      <c r="GR16" s="238"/>
      <c r="GS16" s="238"/>
      <c r="GT16" s="238"/>
      <c r="GU16" s="238"/>
      <c r="GV16" s="238"/>
      <c r="GW16" s="238"/>
      <c r="GX16" s="238"/>
      <c r="GY16" s="238"/>
      <c r="GZ16" s="238"/>
      <c r="HA16" s="238"/>
      <c r="HB16" s="238"/>
      <c r="HC16" s="238"/>
      <c r="HD16" s="238"/>
      <c r="HE16" s="238"/>
      <c r="HF16" s="238"/>
      <c r="HG16" s="238"/>
      <c r="HH16" s="238"/>
      <c r="HI16" s="238"/>
      <c r="HJ16" s="238"/>
      <c r="HK16" s="238"/>
      <c r="HL16" s="238"/>
      <c r="HM16" s="238"/>
      <c r="HN16" s="238"/>
      <c r="HO16" s="238"/>
      <c r="HP16" s="238"/>
      <c r="HQ16" s="238"/>
      <c r="HR16" s="238"/>
      <c r="HS16" s="238"/>
      <c r="HT16" s="238"/>
      <c r="HU16" s="238"/>
      <c r="HV16" s="238"/>
      <c r="HW16" s="238"/>
      <c r="HX16" s="257"/>
      <c r="HY16" s="257"/>
      <c r="HZ16" s="257"/>
      <c r="IA16" s="257"/>
      <c r="IB16" s="257"/>
      <c r="IC16" s="257"/>
      <c r="ID16" s="257"/>
      <c r="IE16" s="257"/>
      <c r="IF16" s="257"/>
      <c r="IG16" s="257"/>
      <c r="IH16" s="257"/>
      <c r="II16" s="257"/>
      <c r="IJ16" s="257"/>
      <c r="IK16" s="257"/>
      <c r="IL16" s="257"/>
      <c r="IM16" s="257"/>
      <c r="IN16" s="257"/>
      <c r="IO16" s="257"/>
      <c r="IP16" s="257"/>
      <c r="IQ16" s="257"/>
      <c r="IR16" s="257"/>
      <c r="IS16" s="257"/>
      <c r="IT16" s="257"/>
      <c r="IU16" s="257"/>
      <c r="IV16" s="257"/>
      <c r="IW16" s="257"/>
      <c r="IX16" s="257"/>
      <c r="IY16" s="257"/>
      <c r="IZ16" s="257"/>
      <c r="JA16" s="257"/>
      <c r="JB16" s="257"/>
      <c r="JC16" s="257"/>
      <c r="JD16" s="257"/>
      <c r="JE16" s="257"/>
      <c r="JF16" s="238"/>
      <c r="JG16" s="238"/>
      <c r="JH16" s="238"/>
      <c r="JI16" s="238"/>
      <c r="JJ16" s="238"/>
      <c r="JK16" s="238"/>
      <c r="JL16" s="238"/>
      <c r="JM16" s="238"/>
      <c r="JN16" s="238"/>
      <c r="JO16" s="238"/>
      <c r="JP16" s="238"/>
      <c r="JQ16" s="238"/>
      <c r="JR16" s="238"/>
      <c r="JS16" s="238"/>
      <c r="JT16" s="238"/>
      <c r="JU16" s="238"/>
      <c r="JV16" s="238"/>
      <c r="JW16" s="238"/>
      <c r="JX16" s="238"/>
      <c r="JY16" s="238"/>
      <c r="JZ16" s="238"/>
      <c r="KA16" s="238"/>
      <c r="KB16" s="238"/>
      <c r="KC16" s="238"/>
      <c r="KD16" s="238"/>
      <c r="KE16" s="238"/>
      <c r="KF16" s="238"/>
      <c r="KG16" s="238"/>
      <c r="KH16" s="238"/>
      <c r="KI16" s="238"/>
      <c r="KJ16" s="238"/>
      <c r="KK16" s="238"/>
      <c r="KL16" s="238"/>
      <c r="KM16" s="238"/>
      <c r="KN16" s="238"/>
      <c r="KO16" s="238"/>
      <c r="KP16" s="238"/>
      <c r="KQ16" s="238"/>
      <c r="KR16" s="238"/>
      <c r="KS16" s="238"/>
      <c r="KT16" s="238"/>
      <c r="KU16" s="238"/>
      <c r="KV16" s="238"/>
      <c r="KW16" s="238"/>
      <c r="KX16" s="238"/>
      <c r="KY16" s="238"/>
      <c r="KZ16" s="238"/>
      <c r="LA16" s="238"/>
      <c r="LB16" s="238"/>
      <c r="LC16" s="238"/>
      <c r="LD16" s="238"/>
      <c r="LE16" s="238"/>
      <c r="LF16" s="238"/>
      <c r="LG16" s="238"/>
      <c r="LH16" s="238"/>
      <c r="LI16" s="238"/>
      <c r="LJ16" s="238"/>
      <c r="LK16" s="238"/>
      <c r="LL16" s="238"/>
      <c r="LM16" s="238"/>
      <c r="LN16" s="238"/>
      <c r="LO16" s="238"/>
      <c r="LP16" s="238"/>
      <c r="LQ16" s="238"/>
      <c r="LR16" s="238"/>
      <c r="LS16" s="238"/>
      <c r="LT16" s="238"/>
      <c r="LU16" s="238"/>
      <c r="LV16" s="238"/>
      <c r="LW16" s="238"/>
      <c r="LX16" s="238"/>
      <c r="LY16" s="238"/>
      <c r="LZ16" s="238"/>
      <c r="MA16" s="238"/>
      <c r="MB16" s="238"/>
      <c r="MC16" s="238"/>
      <c r="MD16" s="238"/>
      <c r="ME16" s="238"/>
      <c r="MF16" s="238"/>
      <c r="MG16" s="238"/>
      <c r="MH16" s="238"/>
      <c r="MI16" s="238"/>
      <c r="MJ16" s="238"/>
      <c r="MK16" s="238"/>
      <c r="ML16" s="238"/>
    </row>
    <row r="17" ht="18.75" customHeight="1">
      <c r="A17" s="283"/>
      <c r="B17" s="234" t="str">
        <f>'Building Bill of Materials_SLIM'!P17</f>
        <v/>
      </c>
      <c r="C17" s="234" t="str">
        <f>'Building Bill of Materials_SLIM'!Q17</f>
        <v/>
      </c>
      <c r="D17" s="234" t="str">
        <f>'Building Bill of Materials_SLIM'!R17</f>
        <v/>
      </c>
      <c r="E17" s="284" t="str">
        <f>'Building Bill of Materials_SLIM'!S17</f>
        <v/>
      </c>
      <c r="F17" s="234"/>
      <c r="G17" s="234"/>
      <c r="H17" s="234"/>
      <c r="I17" s="234"/>
      <c r="J17" s="284" t="str">
        <f>'Building Bill of Materials_SLIM'!V17</f>
        <v/>
      </c>
      <c r="K17" s="238"/>
      <c r="L17" s="238"/>
      <c r="M17" s="238"/>
      <c r="N17" s="238"/>
      <c r="O17" s="238"/>
      <c r="P17" s="238"/>
      <c r="Q17" s="238"/>
      <c r="R17" s="238"/>
      <c r="S17" s="238"/>
      <c r="T17" s="238"/>
      <c r="U17" s="238"/>
      <c r="V17" s="238"/>
      <c r="W17" s="238"/>
      <c r="X17" s="238"/>
      <c r="Y17" s="238"/>
      <c r="Z17" s="238"/>
      <c r="AA17" s="192"/>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57"/>
      <c r="CF17" s="257"/>
      <c r="CG17" s="238"/>
      <c r="CH17" s="238"/>
      <c r="CI17" s="238"/>
      <c r="CJ17" s="238"/>
      <c r="CK17" s="238"/>
      <c r="CL17" s="238"/>
      <c r="CM17" s="238"/>
      <c r="CN17" s="238"/>
      <c r="CO17" s="238"/>
      <c r="CP17" s="238"/>
      <c r="CQ17" s="238"/>
      <c r="CR17" s="238"/>
      <c r="CS17" s="238"/>
      <c r="CT17" s="238"/>
      <c r="CU17" s="238"/>
      <c r="CV17" s="238"/>
      <c r="CW17" s="238"/>
      <c r="CX17" s="238"/>
      <c r="CY17" s="238"/>
      <c r="CZ17" s="238"/>
      <c r="DA17" s="238"/>
      <c r="DB17" s="238"/>
      <c r="DC17" s="238"/>
      <c r="DD17" s="238"/>
      <c r="DE17" s="238"/>
      <c r="DF17" s="238"/>
      <c r="DG17" s="257"/>
      <c r="DH17" s="238"/>
      <c r="DI17" s="238"/>
      <c r="DJ17" s="238"/>
      <c r="DK17" s="238"/>
      <c r="DL17" s="238"/>
      <c r="DM17" s="238"/>
      <c r="DN17" s="238"/>
      <c r="DO17" s="238"/>
      <c r="DP17" s="238"/>
      <c r="DQ17" s="238"/>
      <c r="DR17" s="238"/>
      <c r="DS17" s="238"/>
      <c r="DT17" s="238"/>
      <c r="DU17" s="238"/>
      <c r="DV17" s="238"/>
      <c r="DW17" s="238"/>
      <c r="DX17" s="238"/>
      <c r="DY17" s="238"/>
      <c r="DZ17" s="238"/>
      <c r="EA17" s="238"/>
      <c r="EB17" s="238"/>
      <c r="EC17" s="238"/>
      <c r="ED17" s="238"/>
      <c r="EE17" s="238"/>
      <c r="EF17" s="238"/>
      <c r="EG17" s="238"/>
      <c r="EH17" s="238"/>
      <c r="EI17" s="238"/>
      <c r="EJ17" s="238"/>
      <c r="EK17" s="238"/>
      <c r="EL17" s="238"/>
      <c r="EM17" s="238"/>
      <c r="EN17" s="238"/>
      <c r="EO17" s="238"/>
      <c r="EP17" s="238"/>
      <c r="EQ17" s="238"/>
      <c r="ER17" s="238"/>
      <c r="ES17" s="238"/>
      <c r="ET17" s="238"/>
      <c r="EU17" s="238"/>
      <c r="EV17" s="238"/>
      <c r="EW17" s="238"/>
      <c r="EX17" s="238"/>
      <c r="EY17" s="238"/>
      <c r="EZ17" s="238"/>
      <c r="FA17" s="238"/>
      <c r="FB17" s="238"/>
      <c r="FC17" s="238"/>
      <c r="FD17" s="238"/>
      <c r="FE17" s="238"/>
      <c r="FF17" s="238"/>
      <c r="FG17" s="238"/>
      <c r="FH17" s="257"/>
      <c r="FI17" s="257"/>
      <c r="FJ17" s="257"/>
      <c r="FK17" s="257"/>
      <c r="FL17" s="257"/>
      <c r="FM17" s="257"/>
      <c r="FN17" s="257"/>
      <c r="FO17" s="257"/>
      <c r="FP17" s="257"/>
      <c r="FQ17" s="257"/>
      <c r="FR17" s="257"/>
      <c r="FS17" s="257"/>
      <c r="FT17" s="257"/>
      <c r="FU17" s="257"/>
      <c r="FV17" s="257"/>
      <c r="FW17" s="257"/>
      <c r="FX17" s="257"/>
      <c r="FY17" s="238"/>
      <c r="FZ17" s="238"/>
      <c r="GA17" s="238"/>
      <c r="GB17" s="238"/>
      <c r="GC17" s="238"/>
      <c r="GD17" s="238"/>
      <c r="GE17" s="238"/>
      <c r="GF17" s="238"/>
      <c r="GG17" s="238"/>
      <c r="GH17" s="238"/>
      <c r="GI17" s="238"/>
      <c r="GJ17" s="238"/>
      <c r="GK17" s="238"/>
      <c r="GL17" s="238"/>
      <c r="GM17" s="238"/>
      <c r="GN17" s="238"/>
      <c r="GO17" s="238"/>
      <c r="GP17" s="238"/>
      <c r="GQ17" s="238"/>
      <c r="GR17" s="238"/>
      <c r="GS17" s="238"/>
      <c r="GT17" s="238"/>
      <c r="GU17" s="238"/>
      <c r="GV17" s="238"/>
      <c r="GW17" s="238"/>
      <c r="GX17" s="238"/>
      <c r="GY17" s="238"/>
      <c r="GZ17" s="238"/>
      <c r="HA17" s="238"/>
      <c r="HB17" s="238"/>
      <c r="HC17" s="238"/>
      <c r="HD17" s="238"/>
      <c r="HE17" s="238"/>
      <c r="HF17" s="238"/>
      <c r="HG17" s="238"/>
      <c r="HH17" s="238"/>
      <c r="HI17" s="238"/>
      <c r="HJ17" s="238"/>
      <c r="HK17" s="238"/>
      <c r="HL17" s="238"/>
      <c r="HM17" s="238"/>
      <c r="HN17" s="238"/>
      <c r="HO17" s="238"/>
      <c r="HP17" s="238"/>
      <c r="HQ17" s="238"/>
      <c r="HR17" s="238"/>
      <c r="HS17" s="238"/>
      <c r="HT17" s="238"/>
      <c r="HU17" s="238"/>
      <c r="HV17" s="238"/>
      <c r="HW17" s="238"/>
      <c r="HX17" s="257"/>
      <c r="HY17" s="257"/>
      <c r="HZ17" s="257"/>
      <c r="IA17" s="257"/>
      <c r="IB17" s="257"/>
      <c r="IC17" s="257"/>
      <c r="ID17" s="257"/>
      <c r="IE17" s="257"/>
      <c r="IF17" s="257"/>
      <c r="IG17" s="257"/>
      <c r="IH17" s="257"/>
      <c r="II17" s="257"/>
      <c r="IJ17" s="257"/>
      <c r="IK17" s="257"/>
      <c r="IL17" s="257"/>
      <c r="IM17" s="257"/>
      <c r="IN17" s="257"/>
      <c r="IO17" s="257"/>
      <c r="IP17" s="257"/>
      <c r="IQ17" s="257"/>
      <c r="IR17" s="257"/>
      <c r="IS17" s="257"/>
      <c r="IT17" s="257"/>
      <c r="IU17" s="257"/>
      <c r="IV17" s="257"/>
      <c r="IW17" s="257"/>
      <c r="IX17" s="257"/>
      <c r="IY17" s="257"/>
      <c r="IZ17" s="257"/>
      <c r="JA17" s="257"/>
      <c r="JB17" s="257"/>
      <c r="JC17" s="257"/>
      <c r="JD17" s="257"/>
      <c r="JE17" s="257"/>
      <c r="JF17" s="238"/>
      <c r="JG17" s="238"/>
      <c r="JH17" s="238"/>
      <c r="JI17" s="238"/>
      <c r="JJ17" s="238"/>
      <c r="JK17" s="238"/>
      <c r="JL17" s="238"/>
      <c r="JM17" s="238"/>
      <c r="JN17" s="238"/>
      <c r="JO17" s="238"/>
      <c r="JP17" s="238"/>
      <c r="JQ17" s="238"/>
      <c r="JR17" s="238"/>
      <c r="JS17" s="238"/>
      <c r="JT17" s="238"/>
      <c r="JU17" s="238"/>
      <c r="JV17" s="238"/>
      <c r="JW17" s="238"/>
      <c r="JX17" s="238"/>
      <c r="JY17" s="238"/>
      <c r="JZ17" s="238"/>
      <c r="KA17" s="238"/>
      <c r="KB17" s="238"/>
      <c r="KC17" s="238"/>
      <c r="KD17" s="238"/>
      <c r="KE17" s="238"/>
      <c r="KF17" s="238"/>
      <c r="KG17" s="238"/>
      <c r="KH17" s="238"/>
      <c r="KI17" s="238"/>
      <c r="KJ17" s="238"/>
      <c r="KK17" s="238"/>
      <c r="KL17" s="238"/>
      <c r="KM17" s="238"/>
      <c r="KN17" s="238"/>
      <c r="KO17" s="238"/>
      <c r="KP17" s="238"/>
      <c r="KQ17" s="238"/>
      <c r="KR17" s="238"/>
      <c r="KS17" s="238"/>
      <c r="KT17" s="238"/>
      <c r="KU17" s="238"/>
      <c r="KV17" s="238"/>
      <c r="KW17" s="238"/>
      <c r="KX17" s="238"/>
      <c r="KY17" s="238"/>
      <c r="KZ17" s="238"/>
      <c r="LA17" s="238"/>
      <c r="LB17" s="238"/>
      <c r="LC17" s="238"/>
      <c r="LD17" s="238"/>
      <c r="LE17" s="238"/>
      <c r="LF17" s="238"/>
      <c r="LG17" s="238"/>
      <c r="LH17" s="238"/>
      <c r="LI17" s="238"/>
      <c r="LJ17" s="238"/>
      <c r="LK17" s="238"/>
      <c r="LL17" s="238"/>
      <c r="LM17" s="238"/>
      <c r="LN17" s="238"/>
      <c r="LO17" s="238"/>
      <c r="LP17" s="238"/>
      <c r="LQ17" s="238"/>
      <c r="LR17" s="238"/>
      <c r="LS17" s="238"/>
      <c r="LT17" s="238"/>
      <c r="LU17" s="238"/>
      <c r="LV17" s="238"/>
      <c r="LW17" s="238"/>
      <c r="LX17" s="238"/>
      <c r="LY17" s="238"/>
      <c r="LZ17" s="238"/>
      <c r="MA17" s="238"/>
      <c r="MB17" s="238"/>
      <c r="MC17" s="238"/>
      <c r="MD17" s="238"/>
      <c r="ME17" s="238"/>
      <c r="MF17" s="238"/>
      <c r="MG17" s="238"/>
      <c r="MH17" s="238"/>
      <c r="MI17" s="238"/>
      <c r="MJ17" s="238"/>
      <c r="MK17" s="238"/>
      <c r="ML17" s="238"/>
    </row>
    <row r="18" ht="18.75" customHeight="1">
      <c r="A18" s="283"/>
      <c r="B18" s="234" t="str">
        <f>'Building Bill of Materials_SLIM'!P18</f>
        <v/>
      </c>
      <c r="C18" s="234" t="str">
        <f>'Building Bill of Materials_SLIM'!Q18</f>
        <v/>
      </c>
      <c r="D18" s="234" t="str">
        <f>'Building Bill of Materials_SLIM'!R18</f>
        <v/>
      </c>
      <c r="E18" s="284" t="str">
        <f>'Building Bill of Materials_SLIM'!S18</f>
        <v/>
      </c>
      <c r="F18" s="234"/>
      <c r="G18" s="234"/>
      <c r="H18" s="234"/>
      <c r="I18" s="234"/>
      <c r="J18" s="284" t="str">
        <f>'Building Bill of Materials_SLIM'!V18</f>
        <v/>
      </c>
      <c r="K18" s="238"/>
      <c r="L18" s="238"/>
      <c r="M18" s="238"/>
      <c r="N18" s="238"/>
      <c r="O18" s="238"/>
      <c r="P18" s="238"/>
      <c r="Q18" s="238"/>
      <c r="R18" s="238"/>
      <c r="S18" s="238"/>
      <c r="T18" s="238"/>
      <c r="U18" s="238"/>
      <c r="V18" s="238"/>
      <c r="W18" s="238"/>
      <c r="X18" s="238"/>
      <c r="Y18" s="238"/>
      <c r="Z18" s="238"/>
      <c r="AA18" s="192"/>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57"/>
      <c r="CF18" s="257"/>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57"/>
      <c r="DH18" s="238"/>
      <c r="DI18" s="238"/>
      <c r="DJ18" s="238"/>
      <c r="DK18" s="238"/>
      <c r="DL18" s="238"/>
      <c r="DM18" s="238"/>
      <c r="DN18" s="238"/>
      <c r="DO18" s="238"/>
      <c r="DP18" s="238"/>
      <c r="DQ18" s="238"/>
      <c r="DR18" s="238"/>
      <c r="DS18" s="238"/>
      <c r="DT18" s="238"/>
      <c r="DU18" s="238"/>
      <c r="DV18" s="238"/>
      <c r="DW18" s="238"/>
      <c r="DX18" s="238"/>
      <c r="DY18" s="238"/>
      <c r="DZ18" s="238"/>
      <c r="EA18" s="238"/>
      <c r="EB18" s="238"/>
      <c r="EC18" s="238"/>
      <c r="ED18" s="238"/>
      <c r="EE18" s="238"/>
      <c r="EF18" s="238"/>
      <c r="EG18" s="238"/>
      <c r="EH18" s="238"/>
      <c r="EI18" s="238"/>
      <c r="EJ18" s="238"/>
      <c r="EK18" s="238"/>
      <c r="EL18" s="238"/>
      <c r="EM18" s="238"/>
      <c r="EN18" s="238"/>
      <c r="EO18" s="238"/>
      <c r="EP18" s="238"/>
      <c r="EQ18" s="238"/>
      <c r="ER18" s="238"/>
      <c r="ES18" s="238"/>
      <c r="ET18" s="238"/>
      <c r="EU18" s="238"/>
      <c r="EV18" s="238"/>
      <c r="EW18" s="238"/>
      <c r="EX18" s="238"/>
      <c r="EY18" s="238"/>
      <c r="EZ18" s="238"/>
      <c r="FA18" s="238"/>
      <c r="FB18" s="238"/>
      <c r="FC18" s="238"/>
      <c r="FD18" s="238"/>
      <c r="FE18" s="238"/>
      <c r="FF18" s="238"/>
      <c r="FG18" s="238"/>
      <c r="FH18" s="257"/>
      <c r="FI18" s="257"/>
      <c r="FJ18" s="257"/>
      <c r="FK18" s="257"/>
      <c r="FL18" s="257"/>
      <c r="FM18" s="257"/>
      <c r="FN18" s="257"/>
      <c r="FO18" s="257"/>
      <c r="FP18" s="257"/>
      <c r="FQ18" s="257"/>
      <c r="FR18" s="257"/>
      <c r="FS18" s="257"/>
      <c r="FT18" s="257"/>
      <c r="FU18" s="257"/>
      <c r="FV18" s="257"/>
      <c r="FW18" s="257"/>
      <c r="FX18" s="257"/>
      <c r="FY18" s="238"/>
      <c r="FZ18" s="238"/>
      <c r="GA18" s="238"/>
      <c r="GB18" s="238"/>
      <c r="GC18" s="238"/>
      <c r="GD18" s="238"/>
      <c r="GE18" s="238"/>
      <c r="GF18" s="238"/>
      <c r="GG18" s="238"/>
      <c r="GH18" s="238"/>
      <c r="GI18" s="238"/>
      <c r="GJ18" s="238"/>
      <c r="GK18" s="238"/>
      <c r="GL18" s="238"/>
      <c r="GM18" s="238"/>
      <c r="GN18" s="238"/>
      <c r="GO18" s="238"/>
      <c r="GP18" s="238"/>
      <c r="GQ18" s="238"/>
      <c r="GR18" s="238"/>
      <c r="GS18" s="238"/>
      <c r="GT18" s="238"/>
      <c r="GU18" s="238"/>
      <c r="GV18" s="238"/>
      <c r="GW18" s="238"/>
      <c r="GX18" s="238"/>
      <c r="GY18" s="238"/>
      <c r="GZ18" s="238"/>
      <c r="HA18" s="238"/>
      <c r="HB18" s="238"/>
      <c r="HC18" s="238"/>
      <c r="HD18" s="238"/>
      <c r="HE18" s="238"/>
      <c r="HF18" s="238"/>
      <c r="HG18" s="238"/>
      <c r="HH18" s="238"/>
      <c r="HI18" s="238"/>
      <c r="HJ18" s="238"/>
      <c r="HK18" s="238"/>
      <c r="HL18" s="238"/>
      <c r="HM18" s="238"/>
      <c r="HN18" s="238"/>
      <c r="HO18" s="238"/>
      <c r="HP18" s="238"/>
      <c r="HQ18" s="238"/>
      <c r="HR18" s="238"/>
      <c r="HS18" s="238"/>
      <c r="HT18" s="238"/>
      <c r="HU18" s="238"/>
      <c r="HV18" s="238"/>
      <c r="HW18" s="238"/>
      <c r="HX18" s="257"/>
      <c r="HY18" s="257"/>
      <c r="HZ18" s="257"/>
      <c r="IA18" s="257"/>
      <c r="IB18" s="257"/>
      <c r="IC18" s="257"/>
      <c r="ID18" s="257"/>
      <c r="IE18" s="257"/>
      <c r="IF18" s="257"/>
      <c r="IG18" s="257"/>
      <c r="IH18" s="257"/>
      <c r="II18" s="257"/>
      <c r="IJ18" s="257"/>
      <c r="IK18" s="257"/>
      <c r="IL18" s="257"/>
      <c r="IM18" s="257"/>
      <c r="IN18" s="257"/>
      <c r="IO18" s="257"/>
      <c r="IP18" s="257"/>
      <c r="IQ18" s="257"/>
      <c r="IR18" s="257"/>
      <c r="IS18" s="257"/>
      <c r="IT18" s="257"/>
      <c r="IU18" s="257"/>
      <c r="IV18" s="257"/>
      <c r="IW18" s="257"/>
      <c r="IX18" s="257"/>
      <c r="IY18" s="257"/>
      <c r="IZ18" s="257"/>
      <c r="JA18" s="257"/>
      <c r="JB18" s="257"/>
      <c r="JC18" s="257"/>
      <c r="JD18" s="257"/>
      <c r="JE18" s="257"/>
      <c r="JF18" s="238"/>
      <c r="JG18" s="238"/>
      <c r="JH18" s="238"/>
      <c r="JI18" s="238"/>
      <c r="JJ18" s="238"/>
      <c r="JK18" s="238"/>
      <c r="JL18" s="238"/>
      <c r="JM18" s="238"/>
      <c r="JN18" s="238"/>
      <c r="JO18" s="238"/>
      <c r="JP18" s="238"/>
      <c r="JQ18" s="238"/>
      <c r="JR18" s="238"/>
      <c r="JS18" s="238"/>
      <c r="JT18" s="238"/>
      <c r="JU18" s="238"/>
      <c r="JV18" s="238"/>
      <c r="JW18" s="238"/>
      <c r="JX18" s="238"/>
      <c r="JY18" s="238"/>
      <c r="JZ18" s="238"/>
      <c r="KA18" s="238"/>
      <c r="KB18" s="238"/>
      <c r="KC18" s="238"/>
      <c r="KD18" s="238"/>
      <c r="KE18" s="238"/>
      <c r="KF18" s="238"/>
      <c r="KG18" s="238"/>
      <c r="KH18" s="238"/>
      <c r="KI18" s="238"/>
      <c r="KJ18" s="238"/>
      <c r="KK18" s="238"/>
      <c r="KL18" s="238"/>
      <c r="KM18" s="238"/>
      <c r="KN18" s="238"/>
      <c r="KO18" s="238"/>
      <c r="KP18" s="238"/>
      <c r="KQ18" s="238"/>
      <c r="KR18" s="238"/>
      <c r="KS18" s="238"/>
      <c r="KT18" s="238"/>
      <c r="KU18" s="238"/>
      <c r="KV18" s="238"/>
      <c r="KW18" s="238"/>
      <c r="KX18" s="238"/>
      <c r="KY18" s="238"/>
      <c r="KZ18" s="238"/>
      <c r="LA18" s="238"/>
      <c r="LB18" s="238"/>
      <c r="LC18" s="238"/>
      <c r="LD18" s="238"/>
      <c r="LE18" s="238"/>
      <c r="LF18" s="238"/>
      <c r="LG18" s="238"/>
      <c r="LH18" s="238"/>
      <c r="LI18" s="238"/>
      <c r="LJ18" s="238"/>
      <c r="LK18" s="238"/>
      <c r="LL18" s="238"/>
      <c r="LM18" s="238"/>
      <c r="LN18" s="238"/>
      <c r="LO18" s="238"/>
      <c r="LP18" s="238"/>
      <c r="LQ18" s="238"/>
      <c r="LR18" s="238"/>
      <c r="LS18" s="238"/>
      <c r="LT18" s="238"/>
      <c r="LU18" s="238"/>
      <c r="LV18" s="238"/>
      <c r="LW18" s="238"/>
      <c r="LX18" s="238"/>
      <c r="LY18" s="238"/>
      <c r="LZ18" s="238"/>
      <c r="MA18" s="238"/>
      <c r="MB18" s="238"/>
      <c r="MC18" s="238"/>
      <c r="MD18" s="238"/>
      <c r="ME18" s="238"/>
      <c r="MF18" s="238"/>
      <c r="MG18" s="238"/>
      <c r="MH18" s="238"/>
      <c r="MI18" s="238"/>
      <c r="MJ18" s="238"/>
      <c r="MK18" s="238"/>
      <c r="ML18" s="238"/>
    </row>
    <row r="19" ht="18.75" customHeight="1">
      <c r="A19" s="283"/>
      <c r="B19" s="234" t="str">
        <f>'Building Bill of Materials_SLIM'!P19</f>
        <v/>
      </c>
      <c r="C19" s="234" t="str">
        <f>'Building Bill of Materials_SLIM'!Q19</f>
        <v/>
      </c>
      <c r="D19" s="234" t="str">
        <f>'Building Bill of Materials_SLIM'!R19</f>
        <v/>
      </c>
      <c r="E19" s="284" t="str">
        <f>'Building Bill of Materials_SLIM'!S19</f>
        <v/>
      </c>
      <c r="F19" s="234"/>
      <c r="G19" s="234"/>
      <c r="H19" s="234"/>
      <c r="I19" s="234"/>
      <c r="J19" s="284" t="str">
        <f>'Building Bill of Materials_SLIM'!V19</f>
        <v/>
      </c>
      <c r="K19" s="238"/>
      <c r="L19" s="238"/>
      <c r="M19" s="238"/>
      <c r="N19" s="238"/>
      <c r="O19" s="238"/>
      <c r="P19" s="238"/>
      <c r="Q19" s="238"/>
      <c r="R19" s="238"/>
      <c r="S19" s="238"/>
      <c r="T19" s="238"/>
      <c r="U19" s="238"/>
      <c r="V19" s="238"/>
      <c r="W19" s="238"/>
      <c r="X19" s="238"/>
      <c r="Y19" s="238"/>
      <c r="Z19" s="238"/>
      <c r="AA19" s="192"/>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7"/>
      <c r="BD19" s="257"/>
      <c r="BE19" s="257"/>
      <c r="BF19" s="257"/>
      <c r="BG19" s="257"/>
      <c r="BH19" s="257"/>
      <c r="BI19" s="257"/>
      <c r="BJ19" s="238"/>
      <c r="BK19" s="238"/>
      <c r="BL19" s="238"/>
      <c r="BM19" s="238"/>
      <c r="BN19" s="238"/>
      <c r="BO19" s="238"/>
      <c r="BP19" s="238"/>
      <c r="BQ19" s="238"/>
      <c r="BR19" s="238"/>
      <c r="BS19" s="238"/>
      <c r="BT19" s="238"/>
      <c r="BU19" s="238"/>
      <c r="BV19" s="238"/>
      <c r="BW19" s="238"/>
      <c r="BX19" s="238"/>
      <c r="BY19" s="238"/>
      <c r="BZ19" s="238"/>
      <c r="CA19" s="238"/>
      <c r="CB19" s="238"/>
      <c r="CC19" s="238"/>
      <c r="CD19" s="238"/>
      <c r="CE19" s="257"/>
      <c r="CF19" s="257"/>
      <c r="CG19" s="238"/>
      <c r="CH19" s="238"/>
      <c r="CI19" s="238"/>
      <c r="CJ19" s="238"/>
      <c r="CK19" s="238"/>
      <c r="CL19" s="238"/>
      <c r="CM19" s="238"/>
      <c r="CN19" s="238"/>
      <c r="CO19" s="238"/>
      <c r="CP19" s="238"/>
      <c r="CQ19" s="238"/>
      <c r="CR19" s="238"/>
      <c r="CS19" s="238"/>
      <c r="CT19" s="238"/>
      <c r="CU19" s="238"/>
      <c r="CV19" s="238"/>
      <c r="CW19" s="238"/>
      <c r="CX19" s="238"/>
      <c r="CY19" s="238"/>
      <c r="CZ19" s="238"/>
      <c r="DA19" s="238"/>
      <c r="DB19" s="238"/>
      <c r="DC19" s="238"/>
      <c r="DD19" s="238"/>
      <c r="DE19" s="238"/>
      <c r="DF19" s="238"/>
      <c r="DG19" s="257"/>
      <c r="DH19" s="238"/>
      <c r="DI19" s="238"/>
      <c r="DJ19" s="238"/>
      <c r="DK19" s="238"/>
      <c r="DL19" s="238"/>
      <c r="DM19" s="238"/>
      <c r="DN19" s="238"/>
      <c r="DO19" s="238"/>
      <c r="DP19" s="238"/>
      <c r="DQ19" s="238"/>
      <c r="DR19" s="238"/>
      <c r="DS19" s="238"/>
      <c r="DT19" s="238"/>
      <c r="DU19" s="238"/>
      <c r="DV19" s="238"/>
      <c r="DW19" s="238"/>
      <c r="DX19" s="238"/>
      <c r="DY19" s="238"/>
      <c r="DZ19" s="238"/>
      <c r="EA19" s="238"/>
      <c r="EB19" s="238"/>
      <c r="EC19" s="238"/>
      <c r="ED19" s="238"/>
      <c r="EE19" s="238"/>
      <c r="EF19" s="238"/>
      <c r="EG19" s="238"/>
      <c r="EH19" s="238"/>
      <c r="EI19" s="238"/>
      <c r="EJ19" s="238"/>
      <c r="EK19" s="238"/>
      <c r="EL19" s="238"/>
      <c r="EM19" s="238"/>
      <c r="EN19" s="238"/>
      <c r="EO19" s="238"/>
      <c r="EP19" s="238"/>
      <c r="EQ19" s="238"/>
      <c r="ER19" s="238"/>
      <c r="ES19" s="238"/>
      <c r="ET19" s="238"/>
      <c r="EU19" s="238"/>
      <c r="EV19" s="238"/>
      <c r="EW19" s="238"/>
      <c r="EX19" s="238"/>
      <c r="EY19" s="238"/>
      <c r="EZ19" s="238"/>
      <c r="FA19" s="238"/>
      <c r="FB19" s="238"/>
      <c r="FC19" s="238"/>
      <c r="FD19" s="238"/>
      <c r="FE19" s="238"/>
      <c r="FF19" s="238"/>
      <c r="FG19" s="238"/>
      <c r="FH19" s="257"/>
      <c r="FI19" s="257"/>
      <c r="FJ19" s="257"/>
      <c r="FK19" s="257"/>
      <c r="FL19" s="257"/>
      <c r="FM19" s="257"/>
      <c r="FN19" s="257"/>
      <c r="FO19" s="257"/>
      <c r="FP19" s="257"/>
      <c r="FQ19" s="257"/>
      <c r="FR19" s="257"/>
      <c r="FS19" s="257"/>
      <c r="FT19" s="257"/>
      <c r="FU19" s="257"/>
      <c r="FV19" s="257"/>
      <c r="FW19" s="257"/>
      <c r="FX19" s="257"/>
      <c r="FY19" s="238"/>
      <c r="FZ19" s="238"/>
      <c r="GA19" s="238"/>
      <c r="GB19" s="238"/>
      <c r="GC19" s="238"/>
      <c r="GD19" s="238"/>
      <c r="GE19" s="238"/>
      <c r="GF19" s="238"/>
      <c r="GG19" s="238"/>
      <c r="GH19" s="238"/>
      <c r="GI19" s="238"/>
      <c r="GJ19" s="238"/>
      <c r="GK19" s="238"/>
      <c r="GL19" s="238"/>
      <c r="GM19" s="238"/>
      <c r="GN19" s="238"/>
      <c r="GO19" s="238"/>
      <c r="GP19" s="238"/>
      <c r="GQ19" s="238"/>
      <c r="GR19" s="238"/>
      <c r="GS19" s="238"/>
      <c r="GT19" s="238"/>
      <c r="GU19" s="238"/>
      <c r="GV19" s="238"/>
      <c r="GW19" s="238"/>
      <c r="GX19" s="238"/>
      <c r="GY19" s="238"/>
      <c r="GZ19" s="238"/>
      <c r="HA19" s="238"/>
      <c r="HB19" s="238"/>
      <c r="HC19" s="238"/>
      <c r="HD19" s="238"/>
      <c r="HE19" s="238"/>
      <c r="HF19" s="238"/>
      <c r="HG19" s="238"/>
      <c r="HH19" s="238"/>
      <c r="HI19" s="238"/>
      <c r="HJ19" s="238"/>
      <c r="HK19" s="238"/>
      <c r="HL19" s="238"/>
      <c r="HM19" s="238"/>
      <c r="HN19" s="238"/>
      <c r="HO19" s="238"/>
      <c r="HP19" s="238"/>
      <c r="HQ19" s="238"/>
      <c r="HR19" s="238"/>
      <c r="HS19" s="238"/>
      <c r="HT19" s="238"/>
      <c r="HU19" s="238"/>
      <c r="HV19" s="238"/>
      <c r="HW19" s="238"/>
      <c r="HX19" s="257"/>
      <c r="HY19" s="257"/>
      <c r="HZ19" s="257"/>
      <c r="IA19" s="257"/>
      <c r="IB19" s="257"/>
      <c r="IC19" s="257"/>
      <c r="ID19" s="257"/>
      <c r="IE19" s="257"/>
      <c r="IF19" s="257"/>
      <c r="IG19" s="257"/>
      <c r="IH19" s="257"/>
      <c r="II19" s="257"/>
      <c r="IJ19" s="257"/>
      <c r="IK19" s="257"/>
      <c r="IL19" s="257"/>
      <c r="IM19" s="257"/>
      <c r="IN19" s="257"/>
      <c r="IO19" s="257"/>
      <c r="IP19" s="257"/>
      <c r="IQ19" s="257"/>
      <c r="IR19" s="257"/>
      <c r="IS19" s="257"/>
      <c r="IT19" s="257"/>
      <c r="IU19" s="257"/>
      <c r="IV19" s="257"/>
      <c r="IW19" s="257"/>
      <c r="IX19" s="257"/>
      <c r="IY19" s="257"/>
      <c r="IZ19" s="257"/>
      <c r="JA19" s="257"/>
      <c r="JB19" s="257"/>
      <c r="JC19" s="257"/>
      <c r="JD19" s="257"/>
      <c r="JE19" s="257"/>
      <c r="JF19" s="238"/>
      <c r="JG19" s="238"/>
      <c r="JH19" s="238"/>
      <c r="JI19" s="238"/>
      <c r="JJ19" s="238"/>
      <c r="JK19" s="238"/>
      <c r="JL19" s="238"/>
      <c r="JM19" s="238"/>
      <c r="JN19" s="238"/>
      <c r="JO19" s="238"/>
      <c r="JP19" s="238"/>
      <c r="JQ19" s="238"/>
      <c r="JR19" s="238"/>
      <c r="JS19" s="238"/>
      <c r="JT19" s="238"/>
      <c r="JU19" s="238"/>
      <c r="JV19" s="238"/>
      <c r="JW19" s="238"/>
      <c r="JX19" s="238"/>
      <c r="JY19" s="238"/>
      <c r="JZ19" s="238"/>
      <c r="KA19" s="238"/>
      <c r="KB19" s="238"/>
      <c r="KC19" s="238"/>
      <c r="KD19" s="238"/>
      <c r="KE19" s="238"/>
      <c r="KF19" s="238"/>
      <c r="KG19" s="238"/>
      <c r="KH19" s="238"/>
      <c r="KI19" s="238"/>
      <c r="KJ19" s="238"/>
      <c r="KK19" s="238"/>
      <c r="KL19" s="238"/>
      <c r="KM19" s="238"/>
      <c r="KN19" s="238"/>
      <c r="KO19" s="238"/>
      <c r="KP19" s="238"/>
      <c r="KQ19" s="238"/>
      <c r="KR19" s="238"/>
      <c r="KS19" s="238"/>
      <c r="KT19" s="238"/>
      <c r="KU19" s="238"/>
      <c r="KV19" s="238"/>
      <c r="KW19" s="238"/>
      <c r="KX19" s="238"/>
      <c r="KY19" s="238"/>
      <c r="KZ19" s="238"/>
      <c r="LA19" s="238"/>
      <c r="LB19" s="238"/>
      <c r="LC19" s="238"/>
      <c r="LD19" s="238"/>
      <c r="LE19" s="238"/>
      <c r="LF19" s="238"/>
      <c r="LG19" s="238"/>
      <c r="LH19" s="238"/>
      <c r="LI19" s="238"/>
      <c r="LJ19" s="238"/>
      <c r="LK19" s="238"/>
      <c r="LL19" s="238"/>
      <c r="LM19" s="238"/>
      <c r="LN19" s="238"/>
      <c r="LO19" s="238"/>
      <c r="LP19" s="238"/>
      <c r="LQ19" s="238"/>
      <c r="LR19" s="238"/>
      <c r="LS19" s="238"/>
      <c r="LT19" s="238"/>
      <c r="LU19" s="238"/>
      <c r="LV19" s="238"/>
      <c r="LW19" s="238"/>
      <c r="LX19" s="238"/>
      <c r="LY19" s="238"/>
      <c r="LZ19" s="238"/>
      <c r="MA19" s="238"/>
      <c r="MB19" s="238"/>
      <c r="MC19" s="238"/>
      <c r="MD19" s="238"/>
      <c r="ME19" s="238"/>
      <c r="MF19" s="238"/>
      <c r="MG19" s="238"/>
      <c r="MH19" s="238"/>
      <c r="MI19" s="238"/>
      <c r="MJ19" s="238"/>
      <c r="MK19" s="238"/>
      <c r="ML19" s="238"/>
    </row>
    <row r="20" ht="18.75" customHeight="1">
      <c r="A20" s="283"/>
      <c r="B20" s="234" t="str">
        <f>'Building Bill of Materials_SLIM'!P20</f>
        <v/>
      </c>
      <c r="C20" s="234" t="str">
        <f>'Building Bill of Materials_SLIM'!Q20</f>
        <v/>
      </c>
      <c r="D20" s="234" t="str">
        <f>'Building Bill of Materials_SLIM'!R20</f>
        <v/>
      </c>
      <c r="E20" s="234" t="str">
        <f>'Building Bill of Materials_SLIM'!S20</f>
        <v/>
      </c>
      <c r="F20" s="234"/>
      <c r="G20" s="234"/>
      <c r="H20" s="234"/>
      <c r="I20" s="234"/>
      <c r="J20" s="234" t="str">
        <f>'Building Bill of Materials_SLIM'!V20</f>
        <v/>
      </c>
      <c r="K20" s="238"/>
      <c r="L20" s="238"/>
      <c r="M20" s="238"/>
      <c r="N20" s="238"/>
      <c r="O20" s="238"/>
      <c r="P20" s="238"/>
      <c r="Q20" s="238"/>
      <c r="R20" s="238"/>
      <c r="S20" s="238"/>
      <c r="T20" s="238"/>
      <c r="U20" s="238"/>
      <c r="V20" s="238"/>
      <c r="W20" s="238"/>
      <c r="X20" s="238"/>
      <c r="Y20" s="238"/>
      <c r="Z20" s="238"/>
      <c r="AA20" s="192"/>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57"/>
      <c r="CF20" s="257"/>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57"/>
      <c r="DH20" s="238"/>
      <c r="DI20" s="238"/>
      <c r="DJ20" s="238"/>
      <c r="DK20" s="238"/>
      <c r="DL20" s="238"/>
      <c r="DM20" s="238"/>
      <c r="DN20" s="238"/>
      <c r="DO20" s="238"/>
      <c r="DP20" s="238"/>
      <c r="DQ20" s="238"/>
      <c r="DR20" s="238"/>
      <c r="DS20" s="238"/>
      <c r="DT20" s="238"/>
      <c r="DU20" s="238"/>
      <c r="DV20" s="238"/>
      <c r="DW20" s="238"/>
      <c r="DX20" s="238"/>
      <c r="DY20" s="238"/>
      <c r="DZ20" s="238"/>
      <c r="EA20" s="238"/>
      <c r="EB20" s="238"/>
      <c r="EC20" s="238"/>
      <c r="ED20" s="238"/>
      <c r="EE20" s="238"/>
      <c r="EF20" s="238"/>
      <c r="EG20" s="238"/>
      <c r="EH20" s="238"/>
      <c r="EI20" s="238"/>
      <c r="EJ20" s="238"/>
      <c r="EK20" s="238"/>
      <c r="EL20" s="238"/>
      <c r="EM20" s="238"/>
      <c r="EN20" s="238"/>
      <c r="EO20" s="238"/>
      <c r="EP20" s="238"/>
      <c r="EQ20" s="238"/>
      <c r="ER20" s="238"/>
      <c r="ES20" s="238"/>
      <c r="ET20" s="238"/>
      <c r="EU20" s="238"/>
      <c r="EV20" s="238"/>
      <c r="EW20" s="238"/>
      <c r="EX20" s="238"/>
      <c r="EY20" s="238"/>
      <c r="EZ20" s="238"/>
      <c r="FA20" s="238"/>
      <c r="FB20" s="238"/>
      <c r="FC20" s="238"/>
      <c r="FD20" s="238"/>
      <c r="FE20" s="238"/>
      <c r="FF20" s="238"/>
      <c r="FG20" s="238"/>
      <c r="FH20" s="257"/>
      <c r="FI20" s="257"/>
      <c r="FJ20" s="257"/>
      <c r="FK20" s="257"/>
      <c r="FL20" s="257"/>
      <c r="FM20" s="257"/>
      <c r="FN20" s="257"/>
      <c r="FO20" s="257"/>
      <c r="FP20" s="257"/>
      <c r="FQ20" s="257"/>
      <c r="FR20" s="257"/>
      <c r="FS20" s="257"/>
      <c r="FT20" s="257"/>
      <c r="FU20" s="257"/>
      <c r="FV20" s="257"/>
      <c r="FW20" s="257"/>
      <c r="FX20" s="257"/>
      <c r="FY20" s="238"/>
      <c r="FZ20" s="238"/>
      <c r="GA20" s="238"/>
      <c r="GB20" s="238"/>
      <c r="GC20" s="238"/>
      <c r="GD20" s="238"/>
      <c r="GE20" s="238"/>
      <c r="GF20" s="238"/>
      <c r="GG20" s="238"/>
      <c r="GH20" s="238"/>
      <c r="GI20" s="238"/>
      <c r="GJ20" s="238"/>
      <c r="GK20" s="238"/>
      <c r="GL20" s="238"/>
      <c r="GM20" s="238"/>
      <c r="GN20" s="238"/>
      <c r="GO20" s="238"/>
      <c r="GP20" s="238"/>
      <c r="GQ20" s="238"/>
      <c r="GR20" s="238"/>
      <c r="GS20" s="238"/>
      <c r="GT20" s="238"/>
      <c r="GU20" s="238"/>
      <c r="GV20" s="238"/>
      <c r="GW20" s="238"/>
      <c r="GX20" s="238"/>
      <c r="GY20" s="238"/>
      <c r="GZ20" s="238"/>
      <c r="HA20" s="238"/>
      <c r="HB20" s="238"/>
      <c r="HC20" s="238"/>
      <c r="HD20" s="238"/>
      <c r="HE20" s="238"/>
      <c r="HF20" s="238"/>
      <c r="HG20" s="238"/>
      <c r="HH20" s="238"/>
      <c r="HI20" s="238"/>
      <c r="HJ20" s="238"/>
      <c r="HK20" s="238"/>
      <c r="HL20" s="238"/>
      <c r="HM20" s="238"/>
      <c r="HN20" s="238"/>
      <c r="HO20" s="238"/>
      <c r="HP20" s="238"/>
      <c r="HQ20" s="238"/>
      <c r="HR20" s="238"/>
      <c r="HS20" s="238"/>
      <c r="HT20" s="238"/>
      <c r="HU20" s="238"/>
      <c r="HV20" s="238"/>
      <c r="HW20" s="238"/>
      <c r="HX20" s="257"/>
      <c r="HY20" s="257"/>
      <c r="HZ20" s="257"/>
      <c r="IA20" s="257"/>
      <c r="IB20" s="257"/>
      <c r="IC20" s="257"/>
      <c r="ID20" s="257"/>
      <c r="IE20" s="257"/>
      <c r="IF20" s="257"/>
      <c r="IG20" s="257"/>
      <c r="IH20" s="257"/>
      <c r="II20" s="257"/>
      <c r="IJ20" s="257"/>
      <c r="IK20" s="257"/>
      <c r="IL20" s="257"/>
      <c r="IM20" s="257"/>
      <c r="IN20" s="257"/>
      <c r="IO20" s="257"/>
      <c r="IP20" s="257"/>
      <c r="IQ20" s="257"/>
      <c r="IR20" s="257"/>
      <c r="IS20" s="257"/>
      <c r="IT20" s="257"/>
      <c r="IU20" s="257"/>
      <c r="IV20" s="257"/>
      <c r="IW20" s="257"/>
      <c r="IX20" s="257"/>
      <c r="IY20" s="257"/>
      <c r="IZ20" s="257"/>
      <c r="JA20" s="257"/>
      <c r="JB20" s="257"/>
      <c r="JC20" s="257"/>
      <c r="JD20" s="257"/>
      <c r="JE20" s="257"/>
      <c r="JF20" s="238"/>
      <c r="JG20" s="238"/>
      <c r="JH20" s="238"/>
      <c r="JI20" s="238"/>
      <c r="JJ20" s="238"/>
      <c r="JK20" s="238"/>
      <c r="JL20" s="238"/>
      <c r="JM20" s="238"/>
      <c r="JN20" s="238"/>
      <c r="JO20" s="238"/>
      <c r="JP20" s="238"/>
      <c r="JQ20" s="238"/>
      <c r="JR20" s="238"/>
      <c r="JS20" s="238"/>
      <c r="JT20" s="238"/>
      <c r="JU20" s="238"/>
      <c r="JV20" s="238"/>
      <c r="JW20" s="238"/>
      <c r="JX20" s="238"/>
      <c r="JY20" s="238"/>
      <c r="JZ20" s="238"/>
      <c r="KA20" s="238"/>
      <c r="KB20" s="238"/>
      <c r="KC20" s="238"/>
      <c r="KD20" s="238"/>
      <c r="KE20" s="238"/>
      <c r="KF20" s="238"/>
      <c r="KG20" s="238"/>
      <c r="KH20" s="238"/>
      <c r="KI20" s="238"/>
      <c r="KJ20" s="238"/>
      <c r="KK20" s="238"/>
      <c r="KL20" s="238"/>
      <c r="KM20" s="238"/>
      <c r="KN20" s="238"/>
      <c r="KO20" s="238"/>
      <c r="KP20" s="238"/>
      <c r="KQ20" s="238"/>
      <c r="KR20" s="238"/>
      <c r="KS20" s="238"/>
      <c r="KT20" s="238"/>
      <c r="KU20" s="238"/>
      <c r="KV20" s="238"/>
      <c r="KW20" s="238"/>
      <c r="KX20" s="238"/>
      <c r="KY20" s="238"/>
      <c r="KZ20" s="238"/>
      <c r="LA20" s="238"/>
      <c r="LB20" s="238"/>
      <c r="LC20" s="238"/>
      <c r="LD20" s="238"/>
      <c r="LE20" s="238"/>
      <c r="LF20" s="238"/>
      <c r="LG20" s="238"/>
      <c r="LH20" s="238"/>
      <c r="LI20" s="238"/>
      <c r="LJ20" s="238"/>
      <c r="LK20" s="238"/>
      <c r="LL20" s="238"/>
      <c r="LM20" s="238"/>
      <c r="LN20" s="238"/>
      <c r="LO20" s="238"/>
      <c r="LP20" s="238"/>
      <c r="LQ20" s="238"/>
      <c r="LR20" s="238"/>
      <c r="LS20" s="238"/>
      <c r="LT20" s="238"/>
      <c r="LU20" s="238"/>
      <c r="LV20" s="238"/>
      <c r="LW20" s="238"/>
      <c r="LX20" s="238"/>
      <c r="LY20" s="238"/>
      <c r="LZ20" s="238"/>
      <c r="MA20" s="238"/>
      <c r="MB20" s="238"/>
      <c r="MC20" s="238"/>
      <c r="MD20" s="238"/>
      <c r="ME20" s="238"/>
      <c r="MF20" s="238"/>
      <c r="MG20" s="238"/>
      <c r="MH20" s="238"/>
      <c r="MI20" s="238"/>
      <c r="MJ20" s="238"/>
      <c r="MK20" s="238"/>
      <c r="ML20" s="238"/>
    </row>
    <row r="21" ht="18.75" customHeight="1">
      <c r="A21" s="283"/>
      <c r="B21" s="234" t="str">
        <f>'Building Bill of Materials_SLIM'!P21</f>
        <v/>
      </c>
      <c r="C21" s="234" t="str">
        <f>'Building Bill of Materials_SLIM'!Q21</f>
        <v/>
      </c>
      <c r="D21" s="234" t="str">
        <f>'Building Bill of Materials_SLIM'!R21</f>
        <v/>
      </c>
      <c r="E21" s="284" t="str">
        <f>'Building Bill of Materials_SLIM'!S21</f>
        <v/>
      </c>
      <c r="F21" s="234"/>
      <c r="G21" s="234"/>
      <c r="H21" s="234"/>
      <c r="I21" s="234"/>
      <c r="J21" s="284" t="str">
        <f>'Building Bill of Materials_SLIM'!V21</f>
        <v/>
      </c>
      <c r="K21" s="238"/>
      <c r="L21" s="238"/>
      <c r="M21" s="238"/>
      <c r="N21" s="238"/>
      <c r="O21" s="238"/>
      <c r="P21" s="238"/>
      <c r="Q21" s="238"/>
      <c r="R21" s="238"/>
      <c r="S21" s="238"/>
      <c r="T21" s="238"/>
      <c r="U21" s="238"/>
      <c r="V21" s="238"/>
      <c r="W21" s="238"/>
      <c r="X21" s="238"/>
      <c r="Y21" s="238"/>
      <c r="Z21" s="238"/>
      <c r="AA21" s="192"/>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57"/>
      <c r="CF21" s="257"/>
      <c r="CG21" s="238"/>
      <c r="CH21" s="238"/>
      <c r="CI21" s="238"/>
      <c r="CJ21" s="238"/>
      <c r="CK21" s="238"/>
      <c r="CL21" s="238"/>
      <c r="CM21" s="238"/>
      <c r="CN21" s="238"/>
      <c r="CO21" s="238"/>
      <c r="CP21" s="238"/>
      <c r="CQ21" s="238"/>
      <c r="CR21" s="238"/>
      <c r="CS21" s="238"/>
      <c r="CT21" s="238"/>
      <c r="CU21" s="238"/>
      <c r="CV21" s="238"/>
      <c r="CW21" s="238"/>
      <c r="CX21" s="238"/>
      <c r="CY21" s="238"/>
      <c r="CZ21" s="238"/>
      <c r="DA21" s="238"/>
      <c r="DB21" s="238"/>
      <c r="DC21" s="238"/>
      <c r="DD21" s="238"/>
      <c r="DE21" s="238"/>
      <c r="DF21" s="238"/>
      <c r="DG21" s="257"/>
      <c r="DH21" s="238"/>
      <c r="DI21" s="238"/>
      <c r="DJ21" s="238"/>
      <c r="DK21" s="238"/>
      <c r="DL21" s="238"/>
      <c r="DM21" s="238"/>
      <c r="DN21" s="238"/>
      <c r="DO21" s="238"/>
      <c r="DP21" s="238"/>
      <c r="DQ21" s="238"/>
      <c r="DR21" s="238"/>
      <c r="DS21" s="238"/>
      <c r="DT21" s="238"/>
      <c r="DU21" s="238"/>
      <c r="DV21" s="238"/>
      <c r="DW21" s="238"/>
      <c r="DX21" s="238"/>
      <c r="DY21" s="238"/>
      <c r="DZ21" s="238"/>
      <c r="EA21" s="238"/>
      <c r="EB21" s="238"/>
      <c r="EC21" s="238"/>
      <c r="ED21" s="238"/>
      <c r="EE21" s="238"/>
      <c r="EF21" s="238"/>
      <c r="EG21" s="238"/>
      <c r="EH21" s="238"/>
      <c r="EI21" s="238"/>
      <c r="EJ21" s="238"/>
      <c r="EK21" s="238"/>
      <c r="EL21" s="238"/>
      <c r="EM21" s="238"/>
      <c r="EN21" s="238"/>
      <c r="EO21" s="238"/>
      <c r="EP21" s="238"/>
      <c r="EQ21" s="238"/>
      <c r="ER21" s="238"/>
      <c r="ES21" s="238"/>
      <c r="ET21" s="238"/>
      <c r="EU21" s="238"/>
      <c r="EV21" s="238"/>
      <c r="EW21" s="238"/>
      <c r="EX21" s="238"/>
      <c r="EY21" s="238"/>
      <c r="EZ21" s="238"/>
      <c r="FA21" s="238"/>
      <c r="FB21" s="238"/>
      <c r="FC21" s="238"/>
      <c r="FD21" s="238"/>
      <c r="FE21" s="238"/>
      <c r="FF21" s="238"/>
      <c r="FG21" s="238"/>
      <c r="FH21" s="257"/>
      <c r="FI21" s="257"/>
      <c r="FJ21" s="257"/>
      <c r="FK21" s="257"/>
      <c r="FL21" s="257"/>
      <c r="FM21" s="257"/>
      <c r="FN21" s="257"/>
      <c r="FO21" s="257"/>
      <c r="FP21" s="257"/>
      <c r="FQ21" s="257"/>
      <c r="FR21" s="257"/>
      <c r="FS21" s="257"/>
      <c r="FT21" s="257"/>
      <c r="FU21" s="257"/>
      <c r="FV21" s="257"/>
      <c r="FW21" s="257"/>
      <c r="FX21" s="257"/>
      <c r="FY21" s="238"/>
      <c r="FZ21" s="238"/>
      <c r="GA21" s="238"/>
      <c r="GB21" s="238"/>
      <c r="GC21" s="238"/>
      <c r="GD21" s="238"/>
      <c r="GE21" s="238"/>
      <c r="GF21" s="238"/>
      <c r="GG21" s="238"/>
      <c r="GH21" s="238"/>
      <c r="GI21" s="238"/>
      <c r="GJ21" s="238"/>
      <c r="GK21" s="238"/>
      <c r="GL21" s="238"/>
      <c r="GM21" s="238"/>
      <c r="GN21" s="238"/>
      <c r="GO21" s="238"/>
      <c r="GP21" s="238"/>
      <c r="GQ21" s="238"/>
      <c r="GR21" s="238"/>
      <c r="GS21" s="238"/>
      <c r="GT21" s="238"/>
      <c r="GU21" s="238"/>
      <c r="GV21" s="238"/>
      <c r="GW21" s="238"/>
      <c r="GX21" s="238"/>
      <c r="GY21" s="238"/>
      <c r="GZ21" s="238"/>
      <c r="HA21" s="238"/>
      <c r="HB21" s="238"/>
      <c r="HC21" s="238"/>
      <c r="HD21" s="238"/>
      <c r="HE21" s="238"/>
      <c r="HF21" s="238"/>
      <c r="HG21" s="238"/>
      <c r="HH21" s="238"/>
      <c r="HI21" s="238"/>
      <c r="HJ21" s="238"/>
      <c r="HK21" s="238"/>
      <c r="HL21" s="238"/>
      <c r="HM21" s="238"/>
      <c r="HN21" s="238"/>
      <c r="HO21" s="238"/>
      <c r="HP21" s="238"/>
      <c r="HQ21" s="238"/>
      <c r="HR21" s="238"/>
      <c r="HS21" s="238"/>
      <c r="HT21" s="238"/>
      <c r="HU21" s="238"/>
      <c r="HV21" s="238"/>
      <c r="HW21" s="238"/>
      <c r="HX21" s="257"/>
      <c r="HY21" s="257"/>
      <c r="HZ21" s="257"/>
      <c r="IA21" s="257"/>
      <c r="IB21" s="257"/>
      <c r="IC21" s="257"/>
      <c r="ID21" s="257"/>
      <c r="IE21" s="257"/>
      <c r="IF21" s="257"/>
      <c r="IG21" s="257"/>
      <c r="IH21" s="257"/>
      <c r="II21" s="257"/>
      <c r="IJ21" s="257"/>
      <c r="IK21" s="257"/>
      <c r="IL21" s="257"/>
      <c r="IM21" s="257"/>
      <c r="IN21" s="257"/>
      <c r="IO21" s="257"/>
      <c r="IP21" s="257"/>
      <c r="IQ21" s="257"/>
      <c r="IR21" s="257"/>
      <c r="IS21" s="257"/>
      <c r="IT21" s="257"/>
      <c r="IU21" s="257"/>
      <c r="IV21" s="257"/>
      <c r="IW21" s="257"/>
      <c r="IX21" s="257"/>
      <c r="IY21" s="257"/>
      <c r="IZ21" s="257"/>
      <c r="JA21" s="257"/>
      <c r="JB21" s="257"/>
      <c r="JC21" s="257"/>
      <c r="JD21" s="257"/>
      <c r="JE21" s="257"/>
      <c r="JF21" s="238"/>
      <c r="JG21" s="238"/>
      <c r="JH21" s="238"/>
      <c r="JI21" s="238"/>
      <c r="JJ21" s="238"/>
      <c r="JK21" s="238"/>
      <c r="JL21" s="238"/>
      <c r="JM21" s="238"/>
      <c r="JN21" s="238"/>
      <c r="JO21" s="238"/>
      <c r="JP21" s="238"/>
      <c r="JQ21" s="238"/>
      <c r="JR21" s="238"/>
      <c r="JS21" s="238"/>
      <c r="JT21" s="238"/>
      <c r="JU21" s="238"/>
      <c r="JV21" s="238"/>
      <c r="JW21" s="238"/>
      <c r="JX21" s="238"/>
      <c r="JY21" s="238"/>
      <c r="JZ21" s="238"/>
      <c r="KA21" s="238"/>
      <c r="KB21" s="238"/>
      <c r="KC21" s="238"/>
      <c r="KD21" s="238"/>
      <c r="KE21" s="238"/>
      <c r="KF21" s="238"/>
      <c r="KG21" s="238"/>
      <c r="KH21" s="238"/>
      <c r="KI21" s="238"/>
      <c r="KJ21" s="238"/>
      <c r="KK21" s="238"/>
      <c r="KL21" s="238"/>
      <c r="KM21" s="238"/>
      <c r="KN21" s="238"/>
      <c r="KO21" s="238"/>
      <c r="KP21" s="238"/>
      <c r="KQ21" s="238"/>
      <c r="KR21" s="238"/>
      <c r="KS21" s="238"/>
      <c r="KT21" s="238"/>
      <c r="KU21" s="238"/>
      <c r="KV21" s="238"/>
      <c r="KW21" s="238"/>
      <c r="KX21" s="238"/>
      <c r="KY21" s="238"/>
      <c r="KZ21" s="238"/>
      <c r="LA21" s="238"/>
      <c r="LB21" s="238"/>
      <c r="LC21" s="238"/>
      <c r="LD21" s="238"/>
      <c r="LE21" s="238"/>
      <c r="LF21" s="238"/>
      <c r="LG21" s="238"/>
      <c r="LH21" s="238"/>
      <c r="LI21" s="238"/>
      <c r="LJ21" s="238"/>
      <c r="LK21" s="238"/>
      <c r="LL21" s="238"/>
      <c r="LM21" s="238"/>
      <c r="LN21" s="238"/>
      <c r="LO21" s="238"/>
      <c r="LP21" s="238"/>
      <c r="LQ21" s="238"/>
      <c r="LR21" s="238"/>
      <c r="LS21" s="238"/>
      <c r="LT21" s="238"/>
      <c r="LU21" s="238"/>
      <c r="LV21" s="238"/>
      <c r="LW21" s="238"/>
      <c r="LX21" s="238"/>
      <c r="LY21" s="238"/>
      <c r="LZ21" s="238"/>
      <c r="MA21" s="238"/>
      <c r="MB21" s="238"/>
      <c r="MC21" s="238"/>
      <c r="MD21" s="238"/>
      <c r="ME21" s="238"/>
      <c r="MF21" s="238"/>
      <c r="MG21" s="238"/>
      <c r="MH21" s="238"/>
      <c r="MI21" s="238"/>
      <c r="MJ21" s="238"/>
      <c r="MK21" s="238"/>
      <c r="ML21" s="238"/>
    </row>
    <row r="22" ht="18.75" customHeight="1">
      <c r="A22" s="283"/>
      <c r="B22" s="234" t="str">
        <f>'Building Bill of Materials_SLIM'!P22</f>
        <v/>
      </c>
      <c r="C22" s="234" t="str">
        <f>'Building Bill of Materials_SLIM'!Q22</f>
        <v/>
      </c>
      <c r="D22" s="234" t="str">
        <f>'Building Bill of Materials_SLIM'!R22</f>
        <v/>
      </c>
      <c r="E22" s="234" t="str">
        <f>'Building Bill of Materials_SLIM'!S22</f>
        <v/>
      </c>
      <c r="F22" s="234"/>
      <c r="G22" s="234"/>
      <c r="H22" s="234"/>
      <c r="I22" s="234"/>
      <c r="J22" s="234" t="str">
        <f>'Building Bill of Materials_SLIM'!V22</f>
        <v/>
      </c>
      <c r="K22" s="238"/>
      <c r="L22" s="238"/>
      <c r="M22" s="238"/>
      <c r="N22" s="238"/>
      <c r="O22" s="238"/>
      <c r="P22" s="238"/>
      <c r="Q22" s="238"/>
      <c r="R22" s="238"/>
      <c r="S22" s="238"/>
      <c r="T22" s="238"/>
      <c r="U22" s="238"/>
      <c r="V22" s="238"/>
      <c r="W22" s="238"/>
      <c r="X22" s="238"/>
      <c r="Y22" s="238"/>
      <c r="Z22" s="238"/>
      <c r="AA22" s="192"/>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57"/>
      <c r="CF22" s="257"/>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57"/>
      <c r="DH22" s="238"/>
      <c r="DI22" s="238"/>
      <c r="DJ22" s="238"/>
      <c r="DK22" s="238"/>
      <c r="DL22" s="238"/>
      <c r="DM22" s="238"/>
      <c r="DN22" s="238"/>
      <c r="DO22" s="238"/>
      <c r="DP22" s="238"/>
      <c r="DQ22" s="238"/>
      <c r="DR22" s="238"/>
      <c r="DS22" s="238"/>
      <c r="DT22" s="238"/>
      <c r="DU22" s="238"/>
      <c r="DV22" s="238"/>
      <c r="DW22" s="238"/>
      <c r="DX22" s="238"/>
      <c r="DY22" s="238"/>
      <c r="DZ22" s="238"/>
      <c r="EA22" s="238"/>
      <c r="EB22" s="238"/>
      <c r="EC22" s="238"/>
      <c r="ED22" s="238"/>
      <c r="EE22" s="238"/>
      <c r="EF22" s="238"/>
      <c r="EG22" s="238"/>
      <c r="EH22" s="238"/>
      <c r="EI22" s="238"/>
      <c r="EJ22" s="238"/>
      <c r="EK22" s="238"/>
      <c r="EL22" s="238"/>
      <c r="EM22" s="238"/>
      <c r="EN22" s="238"/>
      <c r="EO22" s="238"/>
      <c r="EP22" s="238"/>
      <c r="EQ22" s="238"/>
      <c r="ER22" s="238"/>
      <c r="ES22" s="238"/>
      <c r="ET22" s="238"/>
      <c r="EU22" s="238"/>
      <c r="EV22" s="238"/>
      <c r="EW22" s="238"/>
      <c r="EX22" s="238"/>
      <c r="EY22" s="238"/>
      <c r="EZ22" s="238"/>
      <c r="FA22" s="238"/>
      <c r="FB22" s="238"/>
      <c r="FC22" s="238"/>
      <c r="FD22" s="238"/>
      <c r="FE22" s="238"/>
      <c r="FF22" s="238"/>
      <c r="FG22" s="238"/>
      <c r="FH22" s="257"/>
      <c r="FI22" s="257"/>
      <c r="FJ22" s="257"/>
      <c r="FK22" s="257"/>
      <c r="FL22" s="257"/>
      <c r="FM22" s="257"/>
      <c r="FN22" s="257"/>
      <c r="FO22" s="257"/>
      <c r="FP22" s="257"/>
      <c r="FQ22" s="257"/>
      <c r="FR22" s="257"/>
      <c r="FS22" s="257"/>
      <c r="FT22" s="257"/>
      <c r="FU22" s="257"/>
      <c r="FV22" s="257"/>
      <c r="FW22" s="257"/>
      <c r="FX22" s="257"/>
      <c r="FY22" s="238"/>
      <c r="FZ22" s="238"/>
      <c r="GA22" s="238"/>
      <c r="GB22" s="238"/>
      <c r="GC22" s="238"/>
      <c r="GD22" s="238"/>
      <c r="GE22" s="238"/>
      <c r="GF22" s="238"/>
      <c r="GG22" s="238"/>
      <c r="GH22" s="238"/>
      <c r="GI22" s="238"/>
      <c r="GJ22" s="238"/>
      <c r="GK22" s="238"/>
      <c r="GL22" s="238"/>
      <c r="GM22" s="238"/>
      <c r="GN22" s="238"/>
      <c r="GO22" s="238"/>
      <c r="GP22" s="238"/>
      <c r="GQ22" s="238"/>
      <c r="GR22" s="238"/>
      <c r="GS22" s="238"/>
      <c r="GT22" s="238"/>
      <c r="GU22" s="238"/>
      <c r="GV22" s="238"/>
      <c r="GW22" s="238"/>
      <c r="GX22" s="238"/>
      <c r="GY22" s="238"/>
      <c r="GZ22" s="238"/>
      <c r="HA22" s="238"/>
      <c r="HB22" s="238"/>
      <c r="HC22" s="238"/>
      <c r="HD22" s="238"/>
      <c r="HE22" s="238"/>
      <c r="HF22" s="238"/>
      <c r="HG22" s="238"/>
      <c r="HH22" s="238"/>
      <c r="HI22" s="238"/>
      <c r="HJ22" s="238"/>
      <c r="HK22" s="238"/>
      <c r="HL22" s="238"/>
      <c r="HM22" s="238"/>
      <c r="HN22" s="238"/>
      <c r="HO22" s="238"/>
      <c r="HP22" s="238"/>
      <c r="HQ22" s="238"/>
      <c r="HR22" s="238"/>
      <c r="HS22" s="238"/>
      <c r="HT22" s="238"/>
      <c r="HU22" s="238"/>
      <c r="HV22" s="238"/>
      <c r="HW22" s="238"/>
      <c r="HX22" s="257"/>
      <c r="HY22" s="257"/>
      <c r="HZ22" s="257"/>
      <c r="IA22" s="257"/>
      <c r="IB22" s="257"/>
      <c r="IC22" s="257"/>
      <c r="ID22" s="257"/>
      <c r="IE22" s="257"/>
      <c r="IF22" s="257"/>
      <c r="IG22" s="257"/>
      <c r="IH22" s="257"/>
      <c r="II22" s="257"/>
      <c r="IJ22" s="257"/>
      <c r="IK22" s="257"/>
      <c r="IL22" s="257"/>
      <c r="IM22" s="257"/>
      <c r="IN22" s="257"/>
      <c r="IO22" s="257"/>
      <c r="IP22" s="257"/>
      <c r="IQ22" s="257"/>
      <c r="IR22" s="257"/>
      <c r="IS22" s="257"/>
      <c r="IT22" s="257"/>
      <c r="IU22" s="257"/>
      <c r="IV22" s="257"/>
      <c r="IW22" s="257"/>
      <c r="IX22" s="257"/>
      <c r="IY22" s="257"/>
      <c r="IZ22" s="257"/>
      <c r="JA22" s="257"/>
      <c r="JB22" s="257"/>
      <c r="JC22" s="257"/>
      <c r="JD22" s="257"/>
      <c r="JE22" s="257"/>
      <c r="JF22" s="238"/>
      <c r="JG22" s="238"/>
      <c r="JH22" s="238"/>
      <c r="JI22" s="238"/>
      <c r="JJ22" s="238"/>
      <c r="JK22" s="238"/>
      <c r="JL22" s="238"/>
      <c r="JM22" s="238"/>
      <c r="JN22" s="238"/>
      <c r="JO22" s="238"/>
      <c r="JP22" s="238"/>
      <c r="JQ22" s="238"/>
      <c r="JR22" s="238"/>
      <c r="JS22" s="238"/>
      <c r="JT22" s="238"/>
      <c r="JU22" s="238"/>
      <c r="JV22" s="238"/>
      <c r="JW22" s="238"/>
      <c r="JX22" s="238"/>
      <c r="JY22" s="238"/>
      <c r="JZ22" s="238"/>
      <c r="KA22" s="238"/>
      <c r="KB22" s="238"/>
      <c r="KC22" s="238"/>
      <c r="KD22" s="238"/>
      <c r="KE22" s="238"/>
      <c r="KF22" s="238"/>
      <c r="KG22" s="238"/>
      <c r="KH22" s="238"/>
      <c r="KI22" s="238"/>
      <c r="KJ22" s="238"/>
      <c r="KK22" s="238"/>
      <c r="KL22" s="238"/>
      <c r="KM22" s="238"/>
      <c r="KN22" s="238"/>
      <c r="KO22" s="238"/>
      <c r="KP22" s="238"/>
      <c r="KQ22" s="238"/>
      <c r="KR22" s="238"/>
      <c r="KS22" s="238"/>
      <c r="KT22" s="238"/>
      <c r="KU22" s="238"/>
      <c r="KV22" s="238"/>
      <c r="KW22" s="238"/>
      <c r="KX22" s="238"/>
      <c r="KY22" s="238"/>
      <c r="KZ22" s="238"/>
      <c r="LA22" s="238"/>
      <c r="LB22" s="238"/>
      <c r="LC22" s="238"/>
      <c r="LD22" s="238"/>
      <c r="LE22" s="238"/>
      <c r="LF22" s="238"/>
      <c r="LG22" s="238"/>
      <c r="LH22" s="238"/>
      <c r="LI22" s="238"/>
      <c r="LJ22" s="238"/>
      <c r="LK22" s="238"/>
      <c r="LL22" s="238"/>
      <c r="LM22" s="238"/>
      <c r="LN22" s="238"/>
      <c r="LO22" s="238"/>
      <c r="LP22" s="238"/>
      <c r="LQ22" s="238"/>
      <c r="LR22" s="238"/>
      <c r="LS22" s="238"/>
      <c r="LT22" s="238"/>
      <c r="LU22" s="238"/>
      <c r="LV22" s="238"/>
      <c r="LW22" s="238"/>
      <c r="LX22" s="238"/>
      <c r="LY22" s="238"/>
      <c r="LZ22" s="238"/>
      <c r="MA22" s="238"/>
      <c r="MB22" s="238"/>
      <c r="MC22" s="238"/>
      <c r="MD22" s="238"/>
      <c r="ME22" s="238"/>
      <c r="MF22" s="238"/>
      <c r="MG22" s="238"/>
      <c r="MH22" s="238"/>
      <c r="MI22" s="238"/>
      <c r="MJ22" s="238"/>
      <c r="MK22" s="238"/>
      <c r="ML22" s="238"/>
    </row>
    <row r="23" ht="18.75" customHeight="1">
      <c r="A23" s="283"/>
      <c r="B23" s="234" t="str">
        <f>'Building Bill of Materials_SLIM'!P23</f>
        <v/>
      </c>
      <c r="C23" s="234" t="str">
        <f>'Building Bill of Materials_SLIM'!Q23</f>
        <v/>
      </c>
      <c r="D23" s="234" t="str">
        <f>'Building Bill of Materials_SLIM'!R23</f>
        <v/>
      </c>
      <c r="E23" s="284" t="str">
        <f>'Building Bill of Materials_SLIM'!S23</f>
        <v/>
      </c>
      <c r="F23" s="234"/>
      <c r="G23" s="234"/>
      <c r="H23" s="234"/>
      <c r="I23" s="234"/>
      <c r="J23" s="284" t="str">
        <f>'Building Bill of Materials_SLIM'!V23</f>
        <v/>
      </c>
      <c r="K23" s="238"/>
      <c r="L23" s="238"/>
      <c r="M23" s="238"/>
      <c r="N23" s="238"/>
      <c r="O23" s="238"/>
      <c r="P23" s="238"/>
      <c r="Q23" s="238"/>
      <c r="R23" s="238"/>
      <c r="S23" s="238"/>
      <c r="T23" s="238"/>
      <c r="U23" s="238"/>
      <c r="V23" s="238"/>
      <c r="W23" s="238"/>
      <c r="X23" s="238"/>
      <c r="Y23" s="238"/>
      <c r="Z23" s="238"/>
      <c r="AA23" s="192"/>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57"/>
      <c r="CF23" s="257"/>
      <c r="CG23" s="238"/>
      <c r="CH23" s="238"/>
      <c r="CI23" s="238"/>
      <c r="CJ23" s="238"/>
      <c r="CK23" s="238"/>
      <c r="CL23" s="238"/>
      <c r="CM23" s="238"/>
      <c r="CN23" s="238"/>
      <c r="CO23" s="238"/>
      <c r="CP23" s="238"/>
      <c r="CQ23" s="238"/>
      <c r="CR23" s="238"/>
      <c r="CS23" s="238"/>
      <c r="CT23" s="238"/>
      <c r="CU23" s="238"/>
      <c r="CV23" s="238"/>
      <c r="CW23" s="238"/>
      <c r="CX23" s="238"/>
      <c r="CY23" s="238"/>
      <c r="CZ23" s="238"/>
      <c r="DA23" s="238"/>
      <c r="DB23" s="238"/>
      <c r="DC23" s="238"/>
      <c r="DD23" s="238"/>
      <c r="DE23" s="238"/>
      <c r="DF23" s="238"/>
      <c r="DG23" s="257"/>
      <c r="DH23" s="238"/>
      <c r="DI23" s="238"/>
      <c r="DJ23" s="238"/>
      <c r="DK23" s="238"/>
      <c r="DL23" s="238"/>
      <c r="DM23" s="238"/>
      <c r="DN23" s="238"/>
      <c r="DO23" s="238"/>
      <c r="DP23" s="238"/>
      <c r="DQ23" s="238"/>
      <c r="DR23" s="238"/>
      <c r="DS23" s="238"/>
      <c r="DT23" s="238"/>
      <c r="DU23" s="238"/>
      <c r="DV23" s="238"/>
      <c r="DW23" s="238"/>
      <c r="DX23" s="238"/>
      <c r="DY23" s="238"/>
      <c r="DZ23" s="238"/>
      <c r="EA23" s="238"/>
      <c r="EB23" s="238"/>
      <c r="EC23" s="238"/>
      <c r="ED23" s="238"/>
      <c r="EE23" s="238"/>
      <c r="EF23" s="238"/>
      <c r="EG23" s="238"/>
      <c r="EH23" s="238"/>
      <c r="EI23" s="238"/>
      <c r="EJ23" s="238"/>
      <c r="EK23" s="238"/>
      <c r="EL23" s="238"/>
      <c r="EM23" s="238"/>
      <c r="EN23" s="238"/>
      <c r="EO23" s="238"/>
      <c r="EP23" s="238"/>
      <c r="EQ23" s="238"/>
      <c r="ER23" s="238"/>
      <c r="ES23" s="238"/>
      <c r="ET23" s="238"/>
      <c r="EU23" s="238"/>
      <c r="EV23" s="238"/>
      <c r="EW23" s="238"/>
      <c r="EX23" s="238"/>
      <c r="EY23" s="238"/>
      <c r="EZ23" s="238"/>
      <c r="FA23" s="238"/>
      <c r="FB23" s="238"/>
      <c r="FC23" s="238"/>
      <c r="FD23" s="238"/>
      <c r="FE23" s="238"/>
      <c r="FF23" s="238"/>
      <c r="FG23" s="238"/>
      <c r="FH23" s="257"/>
      <c r="FI23" s="257"/>
      <c r="FJ23" s="257"/>
      <c r="FK23" s="257"/>
      <c r="FL23" s="257"/>
      <c r="FM23" s="257"/>
      <c r="FN23" s="257"/>
      <c r="FO23" s="257"/>
      <c r="FP23" s="257"/>
      <c r="FQ23" s="257"/>
      <c r="FR23" s="257"/>
      <c r="FS23" s="257"/>
      <c r="FT23" s="257"/>
      <c r="FU23" s="257"/>
      <c r="FV23" s="257"/>
      <c r="FW23" s="257"/>
      <c r="FX23" s="257"/>
      <c r="FY23" s="238"/>
      <c r="FZ23" s="238"/>
      <c r="GA23" s="238"/>
      <c r="GB23" s="238"/>
      <c r="GC23" s="238"/>
      <c r="GD23" s="238"/>
      <c r="GE23" s="238"/>
      <c r="GF23" s="238"/>
      <c r="GG23" s="238"/>
      <c r="GH23" s="238"/>
      <c r="GI23" s="238"/>
      <c r="GJ23" s="238"/>
      <c r="GK23" s="238"/>
      <c r="GL23" s="238"/>
      <c r="GM23" s="238"/>
      <c r="GN23" s="238"/>
      <c r="GO23" s="238"/>
      <c r="GP23" s="238"/>
      <c r="GQ23" s="238"/>
      <c r="GR23" s="238"/>
      <c r="GS23" s="238"/>
      <c r="GT23" s="238"/>
      <c r="GU23" s="238"/>
      <c r="GV23" s="238"/>
      <c r="GW23" s="238"/>
      <c r="GX23" s="238"/>
      <c r="GY23" s="238"/>
      <c r="GZ23" s="238"/>
      <c r="HA23" s="238"/>
      <c r="HB23" s="238"/>
      <c r="HC23" s="238"/>
      <c r="HD23" s="238"/>
      <c r="HE23" s="238"/>
      <c r="HF23" s="238"/>
      <c r="HG23" s="238"/>
      <c r="HH23" s="238"/>
      <c r="HI23" s="238"/>
      <c r="HJ23" s="238"/>
      <c r="HK23" s="238"/>
      <c r="HL23" s="238"/>
      <c r="HM23" s="238"/>
      <c r="HN23" s="238"/>
      <c r="HO23" s="238"/>
      <c r="HP23" s="238"/>
      <c r="HQ23" s="238"/>
      <c r="HR23" s="238"/>
      <c r="HS23" s="238"/>
      <c r="HT23" s="238"/>
      <c r="HU23" s="238"/>
      <c r="HV23" s="238"/>
      <c r="HW23" s="238"/>
      <c r="HX23" s="257"/>
      <c r="HY23" s="257"/>
      <c r="HZ23" s="257"/>
      <c r="IA23" s="257"/>
      <c r="IB23" s="257"/>
      <c r="IC23" s="257"/>
      <c r="ID23" s="257"/>
      <c r="IE23" s="257"/>
      <c r="IF23" s="257"/>
      <c r="IG23" s="257"/>
      <c r="IH23" s="257"/>
      <c r="II23" s="257"/>
      <c r="IJ23" s="257"/>
      <c r="IK23" s="257"/>
      <c r="IL23" s="257"/>
      <c r="IM23" s="257"/>
      <c r="IN23" s="257"/>
      <c r="IO23" s="257"/>
      <c r="IP23" s="257"/>
      <c r="IQ23" s="257"/>
      <c r="IR23" s="257"/>
      <c r="IS23" s="257"/>
      <c r="IT23" s="257"/>
      <c r="IU23" s="257"/>
      <c r="IV23" s="257"/>
      <c r="IW23" s="257"/>
      <c r="IX23" s="257"/>
      <c r="IY23" s="257"/>
      <c r="IZ23" s="257"/>
      <c r="JA23" s="257"/>
      <c r="JB23" s="257"/>
      <c r="JC23" s="257"/>
      <c r="JD23" s="257"/>
      <c r="JE23" s="257"/>
      <c r="JF23" s="238"/>
      <c r="JG23" s="238"/>
      <c r="JH23" s="238"/>
      <c r="JI23" s="238"/>
      <c r="JJ23" s="238"/>
      <c r="JK23" s="238"/>
      <c r="JL23" s="238"/>
      <c r="JM23" s="238"/>
      <c r="JN23" s="238"/>
      <c r="JO23" s="238"/>
      <c r="JP23" s="238"/>
      <c r="JQ23" s="238"/>
      <c r="JR23" s="238"/>
      <c r="JS23" s="238"/>
      <c r="JT23" s="238"/>
      <c r="JU23" s="238"/>
      <c r="JV23" s="238"/>
      <c r="JW23" s="238"/>
      <c r="JX23" s="238"/>
      <c r="JY23" s="238"/>
      <c r="JZ23" s="238"/>
      <c r="KA23" s="238"/>
      <c r="KB23" s="238"/>
      <c r="KC23" s="238"/>
      <c r="KD23" s="238"/>
      <c r="KE23" s="238"/>
      <c r="KF23" s="238"/>
      <c r="KG23" s="238"/>
      <c r="KH23" s="238"/>
      <c r="KI23" s="238"/>
      <c r="KJ23" s="238"/>
      <c r="KK23" s="238"/>
      <c r="KL23" s="238"/>
      <c r="KM23" s="238"/>
      <c r="KN23" s="238"/>
      <c r="KO23" s="238"/>
      <c r="KP23" s="238"/>
      <c r="KQ23" s="238"/>
      <c r="KR23" s="238"/>
      <c r="KS23" s="238"/>
      <c r="KT23" s="238"/>
      <c r="KU23" s="238"/>
      <c r="KV23" s="238"/>
      <c r="KW23" s="238"/>
      <c r="KX23" s="238"/>
      <c r="KY23" s="238"/>
      <c r="KZ23" s="238"/>
      <c r="LA23" s="238"/>
      <c r="LB23" s="238"/>
      <c r="LC23" s="238"/>
      <c r="LD23" s="238"/>
      <c r="LE23" s="238"/>
      <c r="LF23" s="238"/>
      <c r="LG23" s="238"/>
      <c r="LH23" s="238"/>
      <c r="LI23" s="238"/>
      <c r="LJ23" s="238"/>
      <c r="LK23" s="238"/>
      <c r="LL23" s="238"/>
      <c r="LM23" s="238"/>
      <c r="LN23" s="238"/>
      <c r="LO23" s="238"/>
      <c r="LP23" s="238"/>
      <c r="LQ23" s="238"/>
      <c r="LR23" s="238"/>
      <c r="LS23" s="238"/>
      <c r="LT23" s="238"/>
      <c r="LU23" s="238"/>
      <c r="LV23" s="238"/>
      <c r="LW23" s="238"/>
      <c r="LX23" s="238"/>
      <c r="LY23" s="238"/>
      <c r="LZ23" s="238"/>
      <c r="MA23" s="238"/>
      <c r="MB23" s="238"/>
      <c r="MC23" s="238"/>
      <c r="MD23" s="238"/>
      <c r="ME23" s="238"/>
      <c r="MF23" s="238"/>
      <c r="MG23" s="238"/>
      <c r="MH23" s="238"/>
      <c r="MI23" s="238"/>
      <c r="MJ23" s="238"/>
      <c r="MK23" s="238"/>
      <c r="ML23" s="238"/>
    </row>
    <row r="24" ht="18.75" customHeight="1">
      <c r="A24" s="283"/>
      <c r="B24" s="234" t="str">
        <f>'Building Bill of Materials_SLIM'!P24</f>
        <v/>
      </c>
      <c r="C24" s="234" t="str">
        <f>'Building Bill of Materials_SLIM'!Q24</f>
        <v/>
      </c>
      <c r="D24" s="234" t="str">
        <f>'Building Bill of Materials_SLIM'!R24</f>
        <v/>
      </c>
      <c r="E24" s="234" t="str">
        <f>'Building Bill of Materials_SLIM'!S24</f>
        <v/>
      </c>
      <c r="F24" s="234"/>
      <c r="G24" s="234"/>
      <c r="H24" s="234"/>
      <c r="I24" s="234"/>
      <c r="J24" s="234" t="str">
        <f>'Building Bill of Materials_SLIM'!V24</f>
        <v/>
      </c>
      <c r="K24" s="238"/>
      <c r="L24" s="238"/>
      <c r="M24" s="238"/>
      <c r="N24" s="238"/>
      <c r="O24" s="238"/>
      <c r="P24" s="238"/>
      <c r="Q24" s="238"/>
      <c r="R24" s="238"/>
      <c r="S24" s="238"/>
      <c r="T24" s="238"/>
      <c r="U24" s="238"/>
      <c r="V24" s="238"/>
      <c r="W24" s="238"/>
      <c r="X24" s="238"/>
      <c r="Y24" s="238"/>
      <c r="Z24" s="238"/>
      <c r="AA24" s="192"/>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57"/>
      <c r="CF24" s="257"/>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57"/>
      <c r="DH24" s="238"/>
      <c r="DI24" s="238"/>
      <c r="DJ24" s="238"/>
      <c r="DK24" s="238"/>
      <c r="DL24" s="238"/>
      <c r="DM24" s="238"/>
      <c r="DN24" s="238"/>
      <c r="DO24" s="238"/>
      <c r="DP24" s="238"/>
      <c r="DQ24" s="238"/>
      <c r="DR24" s="238"/>
      <c r="DS24" s="238"/>
      <c r="DT24" s="238"/>
      <c r="DU24" s="238"/>
      <c r="DV24" s="238"/>
      <c r="DW24" s="238"/>
      <c r="DX24" s="238"/>
      <c r="DY24" s="238"/>
      <c r="DZ24" s="238"/>
      <c r="EA24" s="238"/>
      <c r="EB24" s="238"/>
      <c r="EC24" s="238"/>
      <c r="ED24" s="238"/>
      <c r="EE24" s="238"/>
      <c r="EF24" s="238"/>
      <c r="EG24" s="238"/>
      <c r="EH24" s="238"/>
      <c r="EI24" s="238"/>
      <c r="EJ24" s="238"/>
      <c r="EK24" s="238"/>
      <c r="EL24" s="238"/>
      <c r="EM24" s="238"/>
      <c r="EN24" s="238"/>
      <c r="EO24" s="238"/>
      <c r="EP24" s="238"/>
      <c r="EQ24" s="238"/>
      <c r="ER24" s="238"/>
      <c r="ES24" s="238"/>
      <c r="ET24" s="238"/>
      <c r="EU24" s="238"/>
      <c r="EV24" s="238"/>
      <c r="EW24" s="238"/>
      <c r="EX24" s="238"/>
      <c r="EY24" s="238"/>
      <c r="EZ24" s="238"/>
      <c r="FA24" s="238"/>
      <c r="FB24" s="238"/>
      <c r="FC24" s="238"/>
      <c r="FD24" s="238"/>
      <c r="FE24" s="238"/>
      <c r="FF24" s="238"/>
      <c r="FG24" s="238"/>
      <c r="FH24" s="257"/>
      <c r="FI24" s="257"/>
      <c r="FJ24" s="257"/>
      <c r="FK24" s="257"/>
      <c r="FL24" s="257"/>
      <c r="FM24" s="257"/>
      <c r="FN24" s="257"/>
      <c r="FO24" s="257"/>
      <c r="FP24" s="257"/>
      <c r="FQ24" s="257"/>
      <c r="FR24" s="257"/>
      <c r="FS24" s="257"/>
      <c r="FT24" s="257"/>
      <c r="FU24" s="257"/>
      <c r="FV24" s="257"/>
      <c r="FW24" s="257"/>
      <c r="FX24" s="257"/>
      <c r="FY24" s="238"/>
      <c r="FZ24" s="238"/>
      <c r="GA24" s="238"/>
      <c r="GB24" s="238"/>
      <c r="GC24" s="238"/>
      <c r="GD24" s="238"/>
      <c r="GE24" s="238"/>
      <c r="GF24" s="238"/>
      <c r="GG24" s="238"/>
      <c r="GH24" s="238"/>
      <c r="GI24" s="238"/>
      <c r="GJ24" s="238"/>
      <c r="GK24" s="238"/>
      <c r="GL24" s="238"/>
      <c r="GM24" s="238"/>
      <c r="GN24" s="238"/>
      <c r="GO24" s="238"/>
      <c r="GP24" s="238"/>
      <c r="GQ24" s="238"/>
      <c r="GR24" s="238"/>
      <c r="GS24" s="238"/>
      <c r="GT24" s="238"/>
      <c r="GU24" s="238"/>
      <c r="GV24" s="238"/>
      <c r="GW24" s="238"/>
      <c r="GX24" s="238"/>
      <c r="GY24" s="238"/>
      <c r="GZ24" s="238"/>
      <c r="HA24" s="238"/>
      <c r="HB24" s="238"/>
      <c r="HC24" s="238"/>
      <c r="HD24" s="238"/>
      <c r="HE24" s="238"/>
      <c r="HF24" s="238"/>
      <c r="HG24" s="238"/>
      <c r="HH24" s="238"/>
      <c r="HI24" s="238"/>
      <c r="HJ24" s="238"/>
      <c r="HK24" s="238"/>
      <c r="HL24" s="238"/>
      <c r="HM24" s="238"/>
      <c r="HN24" s="238"/>
      <c r="HO24" s="238"/>
      <c r="HP24" s="238"/>
      <c r="HQ24" s="238"/>
      <c r="HR24" s="238"/>
      <c r="HS24" s="238"/>
      <c r="HT24" s="238"/>
      <c r="HU24" s="238"/>
      <c r="HV24" s="238"/>
      <c r="HW24" s="238"/>
      <c r="HX24" s="257"/>
      <c r="HY24" s="257"/>
      <c r="HZ24" s="257"/>
      <c r="IA24" s="257"/>
      <c r="IB24" s="257"/>
      <c r="IC24" s="257"/>
      <c r="ID24" s="257"/>
      <c r="IE24" s="257"/>
      <c r="IF24" s="257"/>
      <c r="IG24" s="257"/>
      <c r="IH24" s="257"/>
      <c r="II24" s="257"/>
      <c r="IJ24" s="257"/>
      <c r="IK24" s="257"/>
      <c r="IL24" s="257"/>
      <c r="IM24" s="257"/>
      <c r="IN24" s="257"/>
      <c r="IO24" s="257"/>
      <c r="IP24" s="257"/>
      <c r="IQ24" s="257"/>
      <c r="IR24" s="257"/>
      <c r="IS24" s="257"/>
      <c r="IT24" s="257"/>
      <c r="IU24" s="257"/>
      <c r="IV24" s="257"/>
      <c r="IW24" s="257"/>
      <c r="IX24" s="257"/>
      <c r="IY24" s="257"/>
      <c r="IZ24" s="257"/>
      <c r="JA24" s="257"/>
      <c r="JB24" s="257"/>
      <c r="JC24" s="257"/>
      <c r="JD24" s="257"/>
      <c r="JE24" s="257"/>
      <c r="JF24" s="238"/>
      <c r="JG24" s="238"/>
      <c r="JH24" s="238"/>
      <c r="JI24" s="238"/>
      <c r="JJ24" s="238"/>
      <c r="JK24" s="238"/>
      <c r="JL24" s="238"/>
      <c r="JM24" s="238"/>
      <c r="JN24" s="238"/>
      <c r="JO24" s="238"/>
      <c r="JP24" s="238"/>
      <c r="JQ24" s="238"/>
      <c r="JR24" s="238"/>
      <c r="JS24" s="238"/>
      <c r="JT24" s="238"/>
      <c r="JU24" s="238"/>
      <c r="JV24" s="238"/>
      <c r="JW24" s="238"/>
      <c r="JX24" s="238"/>
      <c r="JY24" s="238"/>
      <c r="JZ24" s="238"/>
      <c r="KA24" s="238"/>
      <c r="KB24" s="238"/>
      <c r="KC24" s="238"/>
      <c r="KD24" s="238"/>
      <c r="KE24" s="238"/>
      <c r="KF24" s="238"/>
      <c r="KG24" s="238"/>
      <c r="KH24" s="238"/>
      <c r="KI24" s="238"/>
      <c r="KJ24" s="238"/>
      <c r="KK24" s="238"/>
      <c r="KL24" s="238"/>
      <c r="KM24" s="238"/>
      <c r="KN24" s="238"/>
      <c r="KO24" s="238"/>
      <c r="KP24" s="238"/>
      <c r="KQ24" s="238"/>
      <c r="KR24" s="238"/>
      <c r="KS24" s="238"/>
      <c r="KT24" s="238"/>
      <c r="KU24" s="238"/>
      <c r="KV24" s="238"/>
      <c r="KW24" s="238"/>
      <c r="KX24" s="238"/>
      <c r="KY24" s="238"/>
      <c r="KZ24" s="238"/>
      <c r="LA24" s="238"/>
      <c r="LB24" s="238"/>
      <c r="LC24" s="238"/>
      <c r="LD24" s="238"/>
      <c r="LE24" s="238"/>
      <c r="LF24" s="238"/>
      <c r="LG24" s="238"/>
      <c r="LH24" s="238"/>
      <c r="LI24" s="238"/>
      <c r="LJ24" s="238"/>
      <c r="LK24" s="238"/>
      <c r="LL24" s="238"/>
      <c r="LM24" s="238"/>
      <c r="LN24" s="238"/>
      <c r="LO24" s="238"/>
      <c r="LP24" s="238"/>
      <c r="LQ24" s="238"/>
      <c r="LR24" s="238"/>
      <c r="LS24" s="238"/>
      <c r="LT24" s="238"/>
      <c r="LU24" s="238"/>
      <c r="LV24" s="238"/>
      <c r="LW24" s="238"/>
      <c r="LX24" s="238"/>
      <c r="LY24" s="238"/>
      <c r="LZ24" s="238"/>
      <c r="MA24" s="238"/>
      <c r="MB24" s="238"/>
      <c r="MC24" s="238"/>
      <c r="MD24" s="238"/>
      <c r="ME24" s="238"/>
      <c r="MF24" s="238"/>
      <c r="MG24" s="238"/>
      <c r="MH24" s="238"/>
      <c r="MI24" s="238"/>
      <c r="MJ24" s="238"/>
      <c r="MK24" s="238"/>
      <c r="ML24" s="238"/>
    </row>
    <row r="25" ht="18.75" customHeight="1">
      <c r="A25" s="283"/>
      <c r="B25" s="234" t="str">
        <f>'Building Bill of Materials_SLIM'!P25</f>
        <v/>
      </c>
      <c r="C25" s="234" t="str">
        <f>'Building Bill of Materials_SLIM'!Q25</f>
        <v/>
      </c>
      <c r="D25" s="234" t="str">
        <f>'Building Bill of Materials_SLIM'!R25</f>
        <v/>
      </c>
      <c r="E25" s="234" t="str">
        <f>'Building Bill of Materials_SLIM'!S25</f>
        <v/>
      </c>
      <c r="F25" s="234"/>
      <c r="G25" s="234"/>
      <c r="H25" s="234"/>
      <c r="I25" s="234"/>
      <c r="J25" s="234" t="str">
        <f>'Building Bill of Materials_SLIM'!V25</f>
        <v/>
      </c>
      <c r="K25" s="238"/>
      <c r="L25" s="238"/>
      <c r="M25" s="238"/>
      <c r="N25" s="238"/>
      <c r="O25" s="238"/>
      <c r="P25" s="238"/>
      <c r="Q25" s="238"/>
      <c r="R25" s="238"/>
      <c r="S25" s="238"/>
      <c r="T25" s="238"/>
      <c r="U25" s="238"/>
      <c r="V25" s="238"/>
      <c r="W25" s="238"/>
      <c r="X25" s="238"/>
      <c r="Y25" s="238"/>
      <c r="Z25" s="238"/>
      <c r="AA25" s="192"/>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38"/>
      <c r="BK25" s="238"/>
      <c r="BL25" s="238"/>
      <c r="BM25" s="238"/>
      <c r="BN25" s="238"/>
      <c r="BO25" s="238"/>
      <c r="BP25" s="238"/>
      <c r="BQ25" s="238"/>
      <c r="BR25" s="238"/>
      <c r="BS25" s="238"/>
      <c r="BT25" s="238"/>
      <c r="BU25" s="238"/>
      <c r="BV25" s="238"/>
      <c r="BW25" s="238"/>
      <c r="BX25" s="238"/>
      <c r="BY25" s="238"/>
      <c r="BZ25" s="238"/>
      <c r="CA25" s="238"/>
      <c r="CB25" s="238"/>
      <c r="CC25" s="238"/>
      <c r="CD25" s="238"/>
      <c r="CE25" s="257"/>
      <c r="CF25" s="257"/>
      <c r="CG25" s="238"/>
      <c r="CH25" s="238"/>
      <c r="CI25" s="238"/>
      <c r="CJ25" s="238"/>
      <c r="CK25" s="238"/>
      <c r="CL25" s="238"/>
      <c r="CM25" s="238"/>
      <c r="CN25" s="238"/>
      <c r="CO25" s="238"/>
      <c r="CP25" s="238"/>
      <c r="CQ25" s="238"/>
      <c r="CR25" s="238"/>
      <c r="CS25" s="238"/>
      <c r="CT25" s="238"/>
      <c r="CU25" s="238"/>
      <c r="CV25" s="238"/>
      <c r="CW25" s="238"/>
      <c r="CX25" s="238"/>
      <c r="CY25" s="238"/>
      <c r="CZ25" s="238"/>
      <c r="DA25" s="238"/>
      <c r="DB25" s="238"/>
      <c r="DC25" s="238"/>
      <c r="DD25" s="238"/>
      <c r="DE25" s="238"/>
      <c r="DF25" s="238"/>
      <c r="DG25" s="257"/>
      <c r="DH25" s="238"/>
      <c r="DI25" s="238"/>
      <c r="DJ25" s="238"/>
      <c r="DK25" s="238"/>
      <c r="DL25" s="238"/>
      <c r="DM25" s="238"/>
      <c r="DN25" s="238"/>
      <c r="DO25" s="238"/>
      <c r="DP25" s="238"/>
      <c r="DQ25" s="238"/>
      <c r="DR25" s="238"/>
      <c r="DS25" s="238"/>
      <c r="DT25" s="238"/>
      <c r="DU25" s="238"/>
      <c r="DV25" s="238"/>
      <c r="DW25" s="238"/>
      <c r="DX25" s="238"/>
      <c r="DY25" s="238"/>
      <c r="DZ25" s="238"/>
      <c r="EA25" s="238"/>
      <c r="EB25" s="238"/>
      <c r="EC25" s="238"/>
      <c r="ED25" s="238"/>
      <c r="EE25" s="238"/>
      <c r="EF25" s="238"/>
      <c r="EG25" s="238"/>
      <c r="EH25" s="238"/>
      <c r="EI25" s="238"/>
      <c r="EJ25" s="238"/>
      <c r="EK25" s="238"/>
      <c r="EL25" s="238"/>
      <c r="EM25" s="238"/>
      <c r="EN25" s="238"/>
      <c r="EO25" s="238"/>
      <c r="EP25" s="238"/>
      <c r="EQ25" s="238"/>
      <c r="ER25" s="238"/>
      <c r="ES25" s="238"/>
      <c r="ET25" s="238"/>
      <c r="EU25" s="238"/>
      <c r="EV25" s="238"/>
      <c r="EW25" s="238"/>
      <c r="EX25" s="238"/>
      <c r="EY25" s="238"/>
      <c r="EZ25" s="238"/>
      <c r="FA25" s="238"/>
      <c r="FB25" s="238"/>
      <c r="FC25" s="238"/>
      <c r="FD25" s="238"/>
      <c r="FE25" s="238"/>
      <c r="FF25" s="238"/>
      <c r="FG25" s="238"/>
      <c r="FH25" s="257"/>
      <c r="FI25" s="257"/>
      <c r="FJ25" s="257"/>
      <c r="FK25" s="257"/>
      <c r="FL25" s="257"/>
      <c r="FM25" s="257"/>
      <c r="FN25" s="257"/>
      <c r="FO25" s="257"/>
      <c r="FP25" s="257"/>
      <c r="FQ25" s="257"/>
      <c r="FR25" s="257"/>
      <c r="FS25" s="257"/>
      <c r="FT25" s="257"/>
      <c r="FU25" s="257"/>
      <c r="FV25" s="257"/>
      <c r="FW25" s="257"/>
      <c r="FX25" s="257"/>
      <c r="FY25" s="238"/>
      <c r="FZ25" s="238"/>
      <c r="GA25" s="238"/>
      <c r="GB25" s="238"/>
      <c r="GC25" s="238"/>
      <c r="GD25" s="238"/>
      <c r="GE25" s="238"/>
      <c r="GF25" s="238"/>
      <c r="GG25" s="238"/>
      <c r="GH25" s="238"/>
      <c r="GI25" s="238"/>
      <c r="GJ25" s="238"/>
      <c r="GK25" s="238"/>
      <c r="GL25" s="238"/>
      <c r="GM25" s="238"/>
      <c r="GN25" s="238"/>
      <c r="GO25" s="238"/>
      <c r="GP25" s="238"/>
      <c r="GQ25" s="238"/>
      <c r="GR25" s="238"/>
      <c r="GS25" s="238"/>
      <c r="GT25" s="238"/>
      <c r="GU25" s="238"/>
      <c r="GV25" s="238"/>
      <c r="GW25" s="238"/>
      <c r="GX25" s="238"/>
      <c r="GY25" s="238"/>
      <c r="GZ25" s="238"/>
      <c r="HA25" s="238"/>
      <c r="HB25" s="238"/>
      <c r="HC25" s="238"/>
      <c r="HD25" s="238"/>
      <c r="HE25" s="238"/>
      <c r="HF25" s="238"/>
      <c r="HG25" s="238"/>
      <c r="HH25" s="238"/>
      <c r="HI25" s="238"/>
      <c r="HJ25" s="238"/>
      <c r="HK25" s="238"/>
      <c r="HL25" s="238"/>
      <c r="HM25" s="238"/>
      <c r="HN25" s="238"/>
      <c r="HO25" s="238"/>
      <c r="HP25" s="238"/>
      <c r="HQ25" s="238"/>
      <c r="HR25" s="238"/>
      <c r="HS25" s="238"/>
      <c r="HT25" s="238"/>
      <c r="HU25" s="238"/>
      <c r="HV25" s="238"/>
      <c r="HW25" s="238"/>
      <c r="HX25" s="257"/>
      <c r="HY25" s="257"/>
      <c r="HZ25" s="257"/>
      <c r="IA25" s="257"/>
      <c r="IB25" s="257"/>
      <c r="IC25" s="257"/>
      <c r="ID25" s="257"/>
      <c r="IE25" s="257"/>
      <c r="IF25" s="257"/>
      <c r="IG25" s="257"/>
      <c r="IH25" s="257"/>
      <c r="II25" s="257"/>
      <c r="IJ25" s="257"/>
      <c r="IK25" s="257"/>
      <c r="IL25" s="257"/>
      <c r="IM25" s="257"/>
      <c r="IN25" s="257"/>
      <c r="IO25" s="257"/>
      <c r="IP25" s="257"/>
      <c r="IQ25" s="257"/>
      <c r="IR25" s="257"/>
      <c r="IS25" s="257"/>
      <c r="IT25" s="257"/>
      <c r="IU25" s="257"/>
      <c r="IV25" s="257"/>
      <c r="IW25" s="257"/>
      <c r="IX25" s="257"/>
      <c r="IY25" s="257"/>
      <c r="IZ25" s="257"/>
      <c r="JA25" s="257"/>
      <c r="JB25" s="257"/>
      <c r="JC25" s="257"/>
      <c r="JD25" s="257"/>
      <c r="JE25" s="257"/>
      <c r="JF25" s="238"/>
      <c r="JG25" s="238"/>
      <c r="JH25" s="238"/>
      <c r="JI25" s="238"/>
      <c r="JJ25" s="238"/>
      <c r="JK25" s="238"/>
      <c r="JL25" s="238"/>
      <c r="JM25" s="238"/>
      <c r="JN25" s="238"/>
      <c r="JO25" s="238"/>
      <c r="JP25" s="238"/>
      <c r="JQ25" s="238"/>
      <c r="JR25" s="238"/>
      <c r="JS25" s="238"/>
      <c r="JT25" s="238"/>
      <c r="JU25" s="238"/>
      <c r="JV25" s="238"/>
      <c r="JW25" s="238"/>
      <c r="JX25" s="238"/>
      <c r="JY25" s="238"/>
      <c r="JZ25" s="238"/>
      <c r="KA25" s="238"/>
      <c r="KB25" s="238"/>
      <c r="KC25" s="238"/>
      <c r="KD25" s="238"/>
      <c r="KE25" s="238"/>
      <c r="KF25" s="238"/>
      <c r="KG25" s="238"/>
      <c r="KH25" s="238"/>
      <c r="KI25" s="238"/>
      <c r="KJ25" s="238"/>
      <c r="KK25" s="238"/>
      <c r="KL25" s="238"/>
      <c r="KM25" s="238"/>
      <c r="KN25" s="238"/>
      <c r="KO25" s="238"/>
      <c r="KP25" s="238"/>
      <c r="KQ25" s="238"/>
      <c r="KR25" s="238"/>
      <c r="KS25" s="238"/>
      <c r="KT25" s="238"/>
      <c r="KU25" s="238"/>
      <c r="KV25" s="238"/>
      <c r="KW25" s="238"/>
      <c r="KX25" s="238"/>
      <c r="KY25" s="238"/>
      <c r="KZ25" s="238"/>
      <c r="LA25" s="238"/>
      <c r="LB25" s="238"/>
      <c r="LC25" s="238"/>
      <c r="LD25" s="238"/>
      <c r="LE25" s="238"/>
      <c r="LF25" s="238"/>
      <c r="LG25" s="238"/>
      <c r="LH25" s="238"/>
      <c r="LI25" s="238"/>
      <c r="LJ25" s="238"/>
      <c r="LK25" s="238"/>
      <c r="LL25" s="238"/>
      <c r="LM25" s="238"/>
      <c r="LN25" s="238"/>
      <c r="LO25" s="238"/>
      <c r="LP25" s="238"/>
      <c r="LQ25" s="238"/>
      <c r="LR25" s="238"/>
      <c r="LS25" s="238"/>
      <c r="LT25" s="238"/>
      <c r="LU25" s="238"/>
      <c r="LV25" s="238"/>
      <c r="LW25" s="238"/>
      <c r="LX25" s="238"/>
      <c r="LY25" s="238"/>
      <c r="LZ25" s="238"/>
      <c r="MA25" s="238"/>
      <c r="MB25" s="238"/>
      <c r="MC25" s="238"/>
      <c r="MD25" s="238"/>
      <c r="ME25" s="238"/>
      <c r="MF25" s="238"/>
      <c r="MG25" s="238"/>
      <c r="MH25" s="238"/>
      <c r="MI25" s="238"/>
      <c r="MJ25" s="238"/>
      <c r="MK25" s="238"/>
      <c r="ML25" s="238"/>
    </row>
    <row r="26" ht="18.75" customHeight="1">
      <c r="A26" s="283"/>
      <c r="B26" s="234" t="str">
        <f>'Building Bill of Materials_SLIM'!P26</f>
        <v/>
      </c>
      <c r="C26" s="234" t="str">
        <f>'Building Bill of Materials_SLIM'!Q26</f>
        <v/>
      </c>
      <c r="D26" s="234" t="str">
        <f>'Building Bill of Materials_SLIM'!R26</f>
        <v/>
      </c>
      <c r="E26" s="284" t="str">
        <f>'Building Bill of Materials_SLIM'!S26</f>
        <v/>
      </c>
      <c r="F26" s="234"/>
      <c r="G26" s="234"/>
      <c r="H26" s="234"/>
      <c r="I26" s="234"/>
      <c r="J26" s="284" t="str">
        <f>'Building Bill of Materials_SLIM'!V26</f>
        <v/>
      </c>
      <c r="K26" s="238"/>
      <c r="L26" s="238"/>
      <c r="M26" s="238"/>
      <c r="N26" s="238"/>
      <c r="O26" s="238"/>
      <c r="P26" s="238"/>
      <c r="Q26" s="238"/>
      <c r="R26" s="238"/>
      <c r="S26" s="238"/>
      <c r="T26" s="238"/>
      <c r="U26" s="238"/>
      <c r="V26" s="238"/>
      <c r="W26" s="238"/>
      <c r="X26" s="238"/>
      <c r="Y26" s="238"/>
      <c r="Z26" s="238"/>
      <c r="AA26" s="192"/>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57"/>
      <c r="CF26" s="257"/>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57"/>
      <c r="DH26" s="238"/>
      <c r="DI26" s="238"/>
      <c r="DJ26" s="238"/>
      <c r="DK26" s="238"/>
      <c r="DL26" s="238"/>
      <c r="DM26" s="238"/>
      <c r="DN26" s="238"/>
      <c r="DO26" s="238"/>
      <c r="DP26" s="238"/>
      <c r="DQ26" s="238"/>
      <c r="DR26" s="238"/>
      <c r="DS26" s="238"/>
      <c r="DT26" s="238"/>
      <c r="DU26" s="238"/>
      <c r="DV26" s="238"/>
      <c r="DW26" s="238"/>
      <c r="DX26" s="238"/>
      <c r="DY26" s="238"/>
      <c r="DZ26" s="238"/>
      <c r="EA26" s="238"/>
      <c r="EB26" s="238"/>
      <c r="EC26" s="238"/>
      <c r="ED26" s="238"/>
      <c r="EE26" s="238"/>
      <c r="EF26" s="238"/>
      <c r="EG26" s="238"/>
      <c r="EH26" s="238"/>
      <c r="EI26" s="238"/>
      <c r="EJ26" s="238"/>
      <c r="EK26" s="238"/>
      <c r="EL26" s="238"/>
      <c r="EM26" s="238"/>
      <c r="EN26" s="238"/>
      <c r="EO26" s="238"/>
      <c r="EP26" s="238"/>
      <c r="EQ26" s="238"/>
      <c r="ER26" s="238"/>
      <c r="ES26" s="238"/>
      <c r="ET26" s="238"/>
      <c r="EU26" s="238"/>
      <c r="EV26" s="238"/>
      <c r="EW26" s="238"/>
      <c r="EX26" s="238"/>
      <c r="EY26" s="238"/>
      <c r="EZ26" s="238"/>
      <c r="FA26" s="238"/>
      <c r="FB26" s="238"/>
      <c r="FC26" s="238"/>
      <c r="FD26" s="238"/>
      <c r="FE26" s="238"/>
      <c r="FF26" s="238"/>
      <c r="FG26" s="238"/>
      <c r="FH26" s="257"/>
      <c r="FI26" s="257"/>
      <c r="FJ26" s="257"/>
      <c r="FK26" s="257"/>
      <c r="FL26" s="257"/>
      <c r="FM26" s="257"/>
      <c r="FN26" s="257"/>
      <c r="FO26" s="257"/>
      <c r="FP26" s="257"/>
      <c r="FQ26" s="257"/>
      <c r="FR26" s="257"/>
      <c r="FS26" s="257"/>
      <c r="FT26" s="257"/>
      <c r="FU26" s="257"/>
      <c r="FV26" s="257"/>
      <c r="FW26" s="257"/>
      <c r="FX26" s="257"/>
      <c r="FY26" s="238"/>
      <c r="FZ26" s="238"/>
      <c r="GA26" s="238"/>
      <c r="GB26" s="238"/>
      <c r="GC26" s="238"/>
      <c r="GD26" s="238"/>
      <c r="GE26" s="238"/>
      <c r="GF26" s="238"/>
      <c r="GG26" s="238"/>
      <c r="GH26" s="238"/>
      <c r="GI26" s="238"/>
      <c r="GJ26" s="238"/>
      <c r="GK26" s="238"/>
      <c r="GL26" s="238"/>
      <c r="GM26" s="238"/>
      <c r="GN26" s="238"/>
      <c r="GO26" s="238"/>
      <c r="GP26" s="238"/>
      <c r="GQ26" s="238"/>
      <c r="GR26" s="238"/>
      <c r="GS26" s="238"/>
      <c r="GT26" s="238"/>
      <c r="GU26" s="238"/>
      <c r="GV26" s="238"/>
      <c r="GW26" s="238"/>
      <c r="GX26" s="238"/>
      <c r="GY26" s="238"/>
      <c r="GZ26" s="238"/>
      <c r="HA26" s="238"/>
      <c r="HB26" s="238"/>
      <c r="HC26" s="238"/>
      <c r="HD26" s="238"/>
      <c r="HE26" s="238"/>
      <c r="HF26" s="238"/>
      <c r="HG26" s="238"/>
      <c r="HH26" s="238"/>
      <c r="HI26" s="238"/>
      <c r="HJ26" s="238"/>
      <c r="HK26" s="238"/>
      <c r="HL26" s="238"/>
      <c r="HM26" s="238"/>
      <c r="HN26" s="238"/>
      <c r="HO26" s="238"/>
      <c r="HP26" s="238"/>
      <c r="HQ26" s="238"/>
      <c r="HR26" s="238"/>
      <c r="HS26" s="238"/>
      <c r="HT26" s="238"/>
      <c r="HU26" s="238"/>
      <c r="HV26" s="238"/>
      <c r="HW26" s="238"/>
      <c r="HX26" s="257"/>
      <c r="HY26" s="257"/>
      <c r="HZ26" s="257"/>
      <c r="IA26" s="257"/>
      <c r="IB26" s="257"/>
      <c r="IC26" s="257"/>
      <c r="ID26" s="257"/>
      <c r="IE26" s="257"/>
      <c r="IF26" s="257"/>
      <c r="IG26" s="257"/>
      <c r="IH26" s="257"/>
      <c r="II26" s="257"/>
      <c r="IJ26" s="257"/>
      <c r="IK26" s="257"/>
      <c r="IL26" s="257"/>
      <c r="IM26" s="257"/>
      <c r="IN26" s="257"/>
      <c r="IO26" s="257"/>
      <c r="IP26" s="257"/>
      <c r="IQ26" s="257"/>
      <c r="IR26" s="257"/>
      <c r="IS26" s="257"/>
      <c r="IT26" s="257"/>
      <c r="IU26" s="257"/>
      <c r="IV26" s="257"/>
      <c r="IW26" s="257"/>
      <c r="IX26" s="257"/>
      <c r="IY26" s="257"/>
      <c r="IZ26" s="257"/>
      <c r="JA26" s="257"/>
      <c r="JB26" s="257"/>
      <c r="JC26" s="257"/>
      <c r="JD26" s="257"/>
      <c r="JE26" s="257"/>
      <c r="JF26" s="238"/>
      <c r="JG26" s="238"/>
      <c r="JH26" s="238"/>
      <c r="JI26" s="238"/>
      <c r="JJ26" s="238"/>
      <c r="JK26" s="238"/>
      <c r="JL26" s="238"/>
      <c r="JM26" s="238"/>
      <c r="JN26" s="238"/>
      <c r="JO26" s="238"/>
      <c r="JP26" s="238"/>
      <c r="JQ26" s="238"/>
      <c r="JR26" s="238"/>
      <c r="JS26" s="238"/>
      <c r="JT26" s="238"/>
      <c r="JU26" s="238"/>
      <c r="JV26" s="238"/>
      <c r="JW26" s="238"/>
      <c r="JX26" s="238"/>
      <c r="JY26" s="238"/>
      <c r="JZ26" s="238"/>
      <c r="KA26" s="238"/>
      <c r="KB26" s="238"/>
      <c r="KC26" s="238"/>
      <c r="KD26" s="238"/>
      <c r="KE26" s="238"/>
      <c r="KF26" s="238"/>
      <c r="KG26" s="238"/>
      <c r="KH26" s="238"/>
      <c r="KI26" s="238"/>
      <c r="KJ26" s="238"/>
      <c r="KK26" s="238"/>
      <c r="KL26" s="238"/>
      <c r="KM26" s="238"/>
      <c r="KN26" s="238"/>
      <c r="KO26" s="238"/>
      <c r="KP26" s="238"/>
      <c r="KQ26" s="238"/>
      <c r="KR26" s="238"/>
      <c r="KS26" s="238"/>
      <c r="KT26" s="238"/>
      <c r="KU26" s="238"/>
      <c r="KV26" s="238"/>
      <c r="KW26" s="238"/>
      <c r="KX26" s="238"/>
      <c r="KY26" s="238"/>
      <c r="KZ26" s="238"/>
      <c r="LA26" s="238"/>
      <c r="LB26" s="238"/>
      <c r="LC26" s="238"/>
      <c r="LD26" s="238"/>
      <c r="LE26" s="238"/>
      <c r="LF26" s="238"/>
      <c r="LG26" s="238"/>
      <c r="LH26" s="238"/>
      <c r="LI26" s="238"/>
      <c r="LJ26" s="238"/>
      <c r="LK26" s="238"/>
      <c r="LL26" s="238"/>
      <c r="LM26" s="238"/>
      <c r="LN26" s="238"/>
      <c r="LO26" s="238"/>
      <c r="LP26" s="238"/>
      <c r="LQ26" s="238"/>
      <c r="LR26" s="238"/>
      <c r="LS26" s="238"/>
      <c r="LT26" s="238"/>
      <c r="LU26" s="238"/>
      <c r="LV26" s="238"/>
      <c r="LW26" s="238"/>
      <c r="LX26" s="238"/>
      <c r="LY26" s="238"/>
      <c r="LZ26" s="238"/>
      <c r="MA26" s="238"/>
      <c r="MB26" s="238"/>
      <c r="MC26" s="238"/>
      <c r="MD26" s="238"/>
      <c r="ME26" s="238"/>
      <c r="MF26" s="238"/>
      <c r="MG26" s="238"/>
      <c r="MH26" s="238"/>
      <c r="MI26" s="238"/>
      <c r="MJ26" s="238"/>
      <c r="MK26" s="238"/>
      <c r="ML26" s="238"/>
    </row>
    <row r="27" ht="18.75" customHeight="1">
      <c r="A27" s="283"/>
      <c r="B27" s="234" t="str">
        <f>'Building Bill of Materials_SLIM'!P27</f>
        <v/>
      </c>
      <c r="C27" s="234" t="str">
        <f>'Building Bill of Materials_SLIM'!Q27</f>
        <v/>
      </c>
      <c r="D27" s="234" t="str">
        <f>'Building Bill of Materials_SLIM'!R27</f>
        <v/>
      </c>
      <c r="E27" s="284" t="str">
        <f>'Building Bill of Materials_SLIM'!S27</f>
        <v/>
      </c>
      <c r="F27" s="234"/>
      <c r="G27" s="234"/>
      <c r="H27" s="234"/>
      <c r="I27" s="234"/>
      <c r="J27" s="284" t="str">
        <f>'Building Bill of Materials_SLIM'!V27</f>
        <v/>
      </c>
      <c r="K27" s="238"/>
      <c r="L27" s="238"/>
      <c r="M27" s="238"/>
      <c r="N27" s="238"/>
      <c r="O27" s="238"/>
      <c r="P27" s="238"/>
      <c r="Q27" s="238"/>
      <c r="R27" s="238"/>
      <c r="S27" s="238"/>
      <c r="T27" s="238"/>
      <c r="U27" s="238"/>
      <c r="V27" s="238"/>
      <c r="W27" s="238"/>
      <c r="X27" s="238"/>
      <c r="Y27" s="238"/>
      <c r="Z27" s="238"/>
      <c r="AA27" s="192"/>
      <c r="AB27" s="257"/>
      <c r="AC27" s="257"/>
      <c r="AD27" s="257"/>
      <c r="AE27" s="257"/>
      <c r="AF27" s="257"/>
      <c r="AG27" s="257"/>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38"/>
      <c r="BK27" s="238"/>
      <c r="BL27" s="238"/>
      <c r="BM27" s="238"/>
      <c r="BN27" s="238"/>
      <c r="BO27" s="238"/>
      <c r="BP27" s="238"/>
      <c r="BQ27" s="238"/>
      <c r="BR27" s="238"/>
      <c r="BS27" s="238"/>
      <c r="BT27" s="238"/>
      <c r="BU27" s="238"/>
      <c r="BV27" s="238"/>
      <c r="BW27" s="238"/>
      <c r="BX27" s="238"/>
      <c r="BY27" s="238"/>
      <c r="BZ27" s="238"/>
      <c r="CA27" s="238"/>
      <c r="CB27" s="238"/>
      <c r="CC27" s="238"/>
      <c r="CD27" s="238"/>
      <c r="CE27" s="257"/>
      <c r="CF27" s="257"/>
      <c r="CG27" s="238"/>
      <c r="CH27" s="238"/>
      <c r="CI27" s="238"/>
      <c r="CJ27" s="238"/>
      <c r="CK27" s="238"/>
      <c r="CL27" s="238"/>
      <c r="CM27" s="238"/>
      <c r="CN27" s="238"/>
      <c r="CO27" s="238"/>
      <c r="CP27" s="238"/>
      <c r="CQ27" s="238"/>
      <c r="CR27" s="238"/>
      <c r="CS27" s="238"/>
      <c r="CT27" s="238"/>
      <c r="CU27" s="238"/>
      <c r="CV27" s="238"/>
      <c r="CW27" s="238"/>
      <c r="CX27" s="238"/>
      <c r="CY27" s="238"/>
      <c r="CZ27" s="238"/>
      <c r="DA27" s="238"/>
      <c r="DB27" s="238"/>
      <c r="DC27" s="238"/>
      <c r="DD27" s="238"/>
      <c r="DE27" s="238"/>
      <c r="DF27" s="238"/>
      <c r="DG27" s="257"/>
      <c r="DH27" s="238"/>
      <c r="DI27" s="238"/>
      <c r="DJ27" s="238"/>
      <c r="DK27" s="238"/>
      <c r="DL27" s="238"/>
      <c r="DM27" s="238"/>
      <c r="DN27" s="238"/>
      <c r="DO27" s="238"/>
      <c r="DP27" s="238"/>
      <c r="DQ27" s="238"/>
      <c r="DR27" s="238"/>
      <c r="DS27" s="238"/>
      <c r="DT27" s="238"/>
      <c r="DU27" s="238"/>
      <c r="DV27" s="238"/>
      <c r="DW27" s="238"/>
      <c r="DX27" s="238"/>
      <c r="DY27" s="238"/>
      <c r="DZ27" s="238"/>
      <c r="EA27" s="238"/>
      <c r="EB27" s="238"/>
      <c r="EC27" s="238"/>
      <c r="ED27" s="238"/>
      <c r="EE27" s="238"/>
      <c r="EF27" s="238"/>
      <c r="EG27" s="238"/>
      <c r="EH27" s="238"/>
      <c r="EI27" s="238"/>
      <c r="EJ27" s="238"/>
      <c r="EK27" s="238"/>
      <c r="EL27" s="238"/>
      <c r="EM27" s="238"/>
      <c r="EN27" s="238"/>
      <c r="EO27" s="238"/>
      <c r="EP27" s="238"/>
      <c r="EQ27" s="238"/>
      <c r="ER27" s="238"/>
      <c r="ES27" s="238"/>
      <c r="ET27" s="238"/>
      <c r="EU27" s="238"/>
      <c r="EV27" s="238"/>
      <c r="EW27" s="238"/>
      <c r="EX27" s="238"/>
      <c r="EY27" s="238"/>
      <c r="EZ27" s="238"/>
      <c r="FA27" s="238"/>
      <c r="FB27" s="238"/>
      <c r="FC27" s="238"/>
      <c r="FD27" s="238"/>
      <c r="FE27" s="238"/>
      <c r="FF27" s="238"/>
      <c r="FG27" s="238"/>
      <c r="FH27" s="257"/>
      <c r="FI27" s="257"/>
      <c r="FJ27" s="257"/>
      <c r="FK27" s="257"/>
      <c r="FL27" s="257"/>
      <c r="FM27" s="257"/>
      <c r="FN27" s="257"/>
      <c r="FO27" s="257"/>
      <c r="FP27" s="257"/>
      <c r="FQ27" s="257"/>
      <c r="FR27" s="257"/>
      <c r="FS27" s="257"/>
      <c r="FT27" s="257"/>
      <c r="FU27" s="257"/>
      <c r="FV27" s="257"/>
      <c r="FW27" s="257"/>
      <c r="FX27" s="257"/>
      <c r="FY27" s="238"/>
      <c r="FZ27" s="238"/>
      <c r="GA27" s="238"/>
      <c r="GB27" s="238"/>
      <c r="GC27" s="238"/>
      <c r="GD27" s="238"/>
      <c r="GE27" s="238"/>
      <c r="GF27" s="238"/>
      <c r="GG27" s="238"/>
      <c r="GH27" s="238"/>
      <c r="GI27" s="238"/>
      <c r="GJ27" s="238"/>
      <c r="GK27" s="238"/>
      <c r="GL27" s="238"/>
      <c r="GM27" s="238"/>
      <c r="GN27" s="238"/>
      <c r="GO27" s="238"/>
      <c r="GP27" s="238"/>
      <c r="GQ27" s="238"/>
      <c r="GR27" s="238"/>
      <c r="GS27" s="238"/>
      <c r="GT27" s="238"/>
      <c r="GU27" s="238"/>
      <c r="GV27" s="238"/>
      <c r="GW27" s="238"/>
      <c r="GX27" s="238"/>
      <c r="GY27" s="238"/>
      <c r="GZ27" s="238"/>
      <c r="HA27" s="238"/>
      <c r="HB27" s="238"/>
      <c r="HC27" s="238"/>
      <c r="HD27" s="238"/>
      <c r="HE27" s="238"/>
      <c r="HF27" s="238"/>
      <c r="HG27" s="238"/>
      <c r="HH27" s="238"/>
      <c r="HI27" s="238"/>
      <c r="HJ27" s="238"/>
      <c r="HK27" s="238"/>
      <c r="HL27" s="238"/>
      <c r="HM27" s="238"/>
      <c r="HN27" s="238"/>
      <c r="HO27" s="238"/>
      <c r="HP27" s="238"/>
      <c r="HQ27" s="238"/>
      <c r="HR27" s="238"/>
      <c r="HS27" s="238"/>
      <c r="HT27" s="238"/>
      <c r="HU27" s="238"/>
      <c r="HV27" s="238"/>
      <c r="HW27" s="238"/>
      <c r="HX27" s="257"/>
      <c r="HY27" s="257"/>
      <c r="HZ27" s="257"/>
      <c r="IA27" s="257"/>
      <c r="IB27" s="257"/>
      <c r="IC27" s="257"/>
      <c r="ID27" s="257"/>
      <c r="IE27" s="257"/>
      <c r="IF27" s="257"/>
      <c r="IG27" s="257"/>
      <c r="IH27" s="257"/>
      <c r="II27" s="257"/>
      <c r="IJ27" s="257"/>
      <c r="IK27" s="257"/>
      <c r="IL27" s="257"/>
      <c r="IM27" s="257"/>
      <c r="IN27" s="257"/>
      <c r="IO27" s="257"/>
      <c r="IP27" s="257"/>
      <c r="IQ27" s="257"/>
      <c r="IR27" s="257"/>
      <c r="IS27" s="257"/>
      <c r="IT27" s="257"/>
      <c r="IU27" s="257"/>
      <c r="IV27" s="257"/>
      <c r="IW27" s="257"/>
      <c r="IX27" s="257"/>
      <c r="IY27" s="257"/>
      <c r="IZ27" s="257"/>
      <c r="JA27" s="257"/>
      <c r="JB27" s="257"/>
      <c r="JC27" s="257"/>
      <c r="JD27" s="257"/>
      <c r="JE27" s="257"/>
      <c r="JF27" s="238"/>
      <c r="JG27" s="238"/>
      <c r="JH27" s="238"/>
      <c r="JI27" s="238"/>
      <c r="JJ27" s="238"/>
      <c r="JK27" s="238"/>
      <c r="JL27" s="238"/>
      <c r="JM27" s="238"/>
      <c r="JN27" s="238"/>
      <c r="JO27" s="238"/>
      <c r="JP27" s="238"/>
      <c r="JQ27" s="238"/>
      <c r="JR27" s="238"/>
      <c r="JS27" s="238"/>
      <c r="JT27" s="238"/>
      <c r="JU27" s="238"/>
      <c r="JV27" s="238"/>
      <c r="JW27" s="238"/>
      <c r="JX27" s="238"/>
      <c r="JY27" s="238"/>
      <c r="JZ27" s="238"/>
      <c r="KA27" s="238"/>
      <c r="KB27" s="238"/>
      <c r="KC27" s="238"/>
      <c r="KD27" s="238"/>
      <c r="KE27" s="238"/>
      <c r="KF27" s="238"/>
      <c r="KG27" s="238"/>
      <c r="KH27" s="238"/>
      <c r="KI27" s="238"/>
      <c r="KJ27" s="238"/>
      <c r="KK27" s="238"/>
      <c r="KL27" s="238"/>
      <c r="KM27" s="238"/>
      <c r="KN27" s="238"/>
      <c r="KO27" s="238"/>
      <c r="KP27" s="238"/>
      <c r="KQ27" s="238"/>
      <c r="KR27" s="238"/>
      <c r="KS27" s="238"/>
      <c r="KT27" s="238"/>
      <c r="KU27" s="238"/>
      <c r="KV27" s="238"/>
      <c r="KW27" s="238"/>
      <c r="KX27" s="238"/>
      <c r="KY27" s="238"/>
      <c r="KZ27" s="238"/>
      <c r="LA27" s="238"/>
      <c r="LB27" s="238"/>
      <c r="LC27" s="238"/>
      <c r="LD27" s="238"/>
      <c r="LE27" s="238"/>
      <c r="LF27" s="238"/>
      <c r="LG27" s="238"/>
      <c r="LH27" s="238"/>
      <c r="LI27" s="238"/>
      <c r="LJ27" s="238"/>
      <c r="LK27" s="238"/>
      <c r="LL27" s="238"/>
      <c r="LM27" s="238"/>
      <c r="LN27" s="238"/>
      <c r="LO27" s="238"/>
      <c r="LP27" s="238"/>
      <c r="LQ27" s="238"/>
      <c r="LR27" s="238"/>
      <c r="LS27" s="238"/>
      <c r="LT27" s="238"/>
      <c r="LU27" s="238"/>
      <c r="LV27" s="238"/>
      <c r="LW27" s="238"/>
      <c r="LX27" s="238"/>
      <c r="LY27" s="238"/>
      <c r="LZ27" s="238"/>
      <c r="MA27" s="238"/>
      <c r="MB27" s="238"/>
      <c r="MC27" s="238"/>
      <c r="MD27" s="238"/>
      <c r="ME27" s="238"/>
      <c r="MF27" s="238"/>
      <c r="MG27" s="238"/>
      <c r="MH27" s="238"/>
      <c r="MI27" s="238"/>
      <c r="MJ27" s="238"/>
      <c r="MK27" s="238"/>
      <c r="ML27" s="238"/>
    </row>
    <row r="28" ht="18.75" customHeight="1">
      <c r="A28" s="283"/>
      <c r="B28" s="234" t="str">
        <f>'Building Bill of Materials_SLIM'!P28</f>
        <v/>
      </c>
      <c r="C28" s="234" t="str">
        <f>'Building Bill of Materials_SLIM'!Q28</f>
        <v/>
      </c>
      <c r="D28" s="234" t="str">
        <f>'Building Bill of Materials_SLIM'!R28</f>
        <v/>
      </c>
      <c r="E28" s="234" t="str">
        <f>'Building Bill of Materials_SLIM'!S28</f>
        <v/>
      </c>
      <c r="F28" s="234"/>
      <c r="G28" s="234"/>
      <c r="H28" s="234"/>
      <c r="I28" s="234"/>
      <c r="J28" s="234" t="str">
        <f>'Building Bill of Materials_SLIM'!V28</f>
        <v/>
      </c>
      <c r="K28" s="238"/>
      <c r="L28" s="238"/>
      <c r="M28" s="238"/>
      <c r="N28" s="238"/>
      <c r="O28" s="238"/>
      <c r="P28" s="238"/>
      <c r="Q28" s="238"/>
      <c r="R28" s="238"/>
      <c r="S28" s="238"/>
      <c r="T28" s="238"/>
      <c r="U28" s="238"/>
      <c r="V28" s="238"/>
      <c r="W28" s="238"/>
      <c r="X28" s="238"/>
      <c r="Y28" s="238"/>
      <c r="Z28" s="238"/>
      <c r="AA28" s="192"/>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7"/>
      <c r="BD28" s="257"/>
      <c r="BE28" s="257"/>
      <c r="BF28" s="257"/>
      <c r="BG28" s="257"/>
      <c r="BH28" s="257"/>
      <c r="BI28" s="257"/>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57"/>
      <c r="CF28" s="257"/>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57"/>
      <c r="DH28" s="238"/>
      <c r="DI28" s="238"/>
      <c r="DJ28" s="238"/>
      <c r="DK28" s="238"/>
      <c r="DL28" s="238"/>
      <c r="DM28" s="238"/>
      <c r="DN28" s="238"/>
      <c r="DO28" s="238"/>
      <c r="DP28" s="238"/>
      <c r="DQ28" s="238"/>
      <c r="DR28" s="238"/>
      <c r="DS28" s="238"/>
      <c r="DT28" s="238"/>
      <c r="DU28" s="238"/>
      <c r="DV28" s="238"/>
      <c r="DW28" s="238"/>
      <c r="DX28" s="238"/>
      <c r="DY28" s="238"/>
      <c r="DZ28" s="238"/>
      <c r="EA28" s="238"/>
      <c r="EB28" s="238"/>
      <c r="EC28" s="238"/>
      <c r="ED28" s="238"/>
      <c r="EE28" s="238"/>
      <c r="EF28" s="238"/>
      <c r="EG28" s="238"/>
      <c r="EH28" s="238"/>
      <c r="EI28" s="238"/>
      <c r="EJ28" s="238"/>
      <c r="EK28" s="238"/>
      <c r="EL28" s="238"/>
      <c r="EM28" s="238"/>
      <c r="EN28" s="238"/>
      <c r="EO28" s="238"/>
      <c r="EP28" s="238"/>
      <c r="EQ28" s="238"/>
      <c r="ER28" s="238"/>
      <c r="ES28" s="238"/>
      <c r="ET28" s="238"/>
      <c r="EU28" s="238"/>
      <c r="EV28" s="238"/>
      <c r="EW28" s="238"/>
      <c r="EX28" s="238"/>
      <c r="EY28" s="238"/>
      <c r="EZ28" s="238"/>
      <c r="FA28" s="238"/>
      <c r="FB28" s="238"/>
      <c r="FC28" s="238"/>
      <c r="FD28" s="238"/>
      <c r="FE28" s="238"/>
      <c r="FF28" s="238"/>
      <c r="FG28" s="238"/>
      <c r="FH28" s="257"/>
      <c r="FI28" s="257"/>
      <c r="FJ28" s="257"/>
      <c r="FK28" s="257"/>
      <c r="FL28" s="257"/>
      <c r="FM28" s="257"/>
      <c r="FN28" s="257"/>
      <c r="FO28" s="257"/>
      <c r="FP28" s="257"/>
      <c r="FQ28" s="257"/>
      <c r="FR28" s="257"/>
      <c r="FS28" s="257"/>
      <c r="FT28" s="257"/>
      <c r="FU28" s="257"/>
      <c r="FV28" s="257"/>
      <c r="FW28" s="257"/>
      <c r="FX28" s="257"/>
      <c r="FY28" s="238"/>
      <c r="FZ28" s="238"/>
      <c r="GA28" s="238"/>
      <c r="GB28" s="238"/>
      <c r="GC28" s="238"/>
      <c r="GD28" s="238"/>
      <c r="GE28" s="238"/>
      <c r="GF28" s="238"/>
      <c r="GG28" s="238"/>
      <c r="GH28" s="238"/>
      <c r="GI28" s="238"/>
      <c r="GJ28" s="238"/>
      <c r="GK28" s="238"/>
      <c r="GL28" s="238"/>
      <c r="GM28" s="238"/>
      <c r="GN28" s="238"/>
      <c r="GO28" s="238"/>
      <c r="GP28" s="238"/>
      <c r="GQ28" s="238"/>
      <c r="GR28" s="238"/>
      <c r="GS28" s="238"/>
      <c r="GT28" s="238"/>
      <c r="GU28" s="238"/>
      <c r="GV28" s="238"/>
      <c r="GW28" s="238"/>
      <c r="GX28" s="238"/>
      <c r="GY28" s="238"/>
      <c r="GZ28" s="238"/>
      <c r="HA28" s="238"/>
      <c r="HB28" s="238"/>
      <c r="HC28" s="238"/>
      <c r="HD28" s="238"/>
      <c r="HE28" s="238"/>
      <c r="HF28" s="238"/>
      <c r="HG28" s="238"/>
      <c r="HH28" s="238"/>
      <c r="HI28" s="238"/>
      <c r="HJ28" s="238"/>
      <c r="HK28" s="238"/>
      <c r="HL28" s="238"/>
      <c r="HM28" s="238"/>
      <c r="HN28" s="238"/>
      <c r="HO28" s="238"/>
      <c r="HP28" s="238"/>
      <c r="HQ28" s="238"/>
      <c r="HR28" s="238"/>
      <c r="HS28" s="238"/>
      <c r="HT28" s="238"/>
      <c r="HU28" s="238"/>
      <c r="HV28" s="238"/>
      <c r="HW28" s="238"/>
      <c r="HX28" s="257"/>
      <c r="HY28" s="257"/>
      <c r="HZ28" s="257"/>
      <c r="IA28" s="257"/>
      <c r="IB28" s="257"/>
      <c r="IC28" s="257"/>
      <c r="ID28" s="257"/>
      <c r="IE28" s="257"/>
      <c r="IF28" s="257"/>
      <c r="IG28" s="257"/>
      <c r="IH28" s="257"/>
      <c r="II28" s="257"/>
      <c r="IJ28" s="257"/>
      <c r="IK28" s="257"/>
      <c r="IL28" s="257"/>
      <c r="IM28" s="257"/>
      <c r="IN28" s="257"/>
      <c r="IO28" s="257"/>
      <c r="IP28" s="257"/>
      <c r="IQ28" s="257"/>
      <c r="IR28" s="257"/>
      <c r="IS28" s="257"/>
      <c r="IT28" s="257"/>
      <c r="IU28" s="257"/>
      <c r="IV28" s="257"/>
      <c r="IW28" s="257"/>
      <c r="IX28" s="257"/>
      <c r="IY28" s="257"/>
      <c r="IZ28" s="257"/>
      <c r="JA28" s="257"/>
      <c r="JB28" s="257"/>
      <c r="JC28" s="257"/>
      <c r="JD28" s="257"/>
      <c r="JE28" s="257"/>
      <c r="JF28" s="238"/>
      <c r="JG28" s="238"/>
      <c r="JH28" s="238"/>
      <c r="JI28" s="238"/>
      <c r="JJ28" s="238"/>
      <c r="JK28" s="238"/>
      <c r="JL28" s="238"/>
      <c r="JM28" s="238"/>
      <c r="JN28" s="238"/>
      <c r="JO28" s="238"/>
      <c r="JP28" s="238"/>
      <c r="JQ28" s="238"/>
      <c r="JR28" s="238"/>
      <c r="JS28" s="238"/>
      <c r="JT28" s="238"/>
      <c r="JU28" s="238"/>
      <c r="JV28" s="238"/>
      <c r="JW28" s="238"/>
      <c r="JX28" s="238"/>
      <c r="JY28" s="238"/>
      <c r="JZ28" s="238"/>
      <c r="KA28" s="238"/>
      <c r="KB28" s="238"/>
      <c r="KC28" s="238"/>
      <c r="KD28" s="238"/>
      <c r="KE28" s="238"/>
      <c r="KF28" s="238"/>
      <c r="KG28" s="238"/>
      <c r="KH28" s="238"/>
      <c r="KI28" s="238"/>
      <c r="KJ28" s="238"/>
      <c r="KK28" s="238"/>
      <c r="KL28" s="238"/>
      <c r="KM28" s="238"/>
      <c r="KN28" s="238"/>
      <c r="KO28" s="238"/>
      <c r="KP28" s="238"/>
      <c r="KQ28" s="238"/>
      <c r="KR28" s="238"/>
      <c r="KS28" s="238"/>
      <c r="KT28" s="238"/>
      <c r="KU28" s="238"/>
      <c r="KV28" s="238"/>
      <c r="KW28" s="238"/>
      <c r="KX28" s="238"/>
      <c r="KY28" s="238"/>
      <c r="KZ28" s="238"/>
      <c r="LA28" s="238"/>
      <c r="LB28" s="238"/>
      <c r="LC28" s="238"/>
      <c r="LD28" s="238"/>
      <c r="LE28" s="238"/>
      <c r="LF28" s="238"/>
      <c r="LG28" s="238"/>
      <c r="LH28" s="238"/>
      <c r="LI28" s="238"/>
      <c r="LJ28" s="238"/>
      <c r="LK28" s="238"/>
      <c r="LL28" s="238"/>
      <c r="LM28" s="238"/>
      <c r="LN28" s="238"/>
      <c r="LO28" s="238"/>
      <c r="LP28" s="238"/>
      <c r="LQ28" s="238"/>
      <c r="LR28" s="238"/>
      <c r="LS28" s="238"/>
      <c r="LT28" s="238"/>
      <c r="LU28" s="238"/>
      <c r="LV28" s="238"/>
      <c r="LW28" s="238"/>
      <c r="LX28" s="238"/>
      <c r="LY28" s="238"/>
      <c r="LZ28" s="238"/>
      <c r="MA28" s="238"/>
      <c r="MB28" s="238"/>
      <c r="MC28" s="238"/>
      <c r="MD28" s="238"/>
      <c r="ME28" s="238"/>
      <c r="MF28" s="238"/>
      <c r="MG28" s="238"/>
      <c r="MH28" s="238"/>
      <c r="MI28" s="238"/>
      <c r="MJ28" s="238"/>
      <c r="MK28" s="238"/>
      <c r="ML28" s="238"/>
    </row>
    <row r="29" ht="18.75" customHeight="1">
      <c r="A29" s="283"/>
      <c r="B29" s="234" t="str">
        <f>'Building Bill of Materials_SLIM'!P29</f>
        <v/>
      </c>
      <c r="C29" s="234" t="str">
        <f>'Building Bill of Materials_SLIM'!Q29</f>
        <v/>
      </c>
      <c r="D29" s="234" t="str">
        <f>'Building Bill of Materials_SLIM'!R29</f>
        <v/>
      </c>
      <c r="E29" s="234" t="str">
        <f>'Building Bill of Materials_SLIM'!S29</f>
        <v/>
      </c>
      <c r="F29" s="234"/>
      <c r="G29" s="234"/>
      <c r="H29" s="234"/>
      <c r="I29" s="234"/>
      <c r="J29" s="234" t="str">
        <f>'Building Bill of Materials_SLIM'!V29</f>
        <v/>
      </c>
      <c r="K29" s="238"/>
      <c r="L29" s="238"/>
      <c r="M29" s="238"/>
      <c r="N29" s="238"/>
      <c r="O29" s="238"/>
      <c r="P29" s="238"/>
      <c r="Q29" s="238"/>
      <c r="R29" s="238"/>
      <c r="S29" s="238"/>
      <c r="T29" s="238"/>
      <c r="U29" s="238"/>
      <c r="V29" s="238"/>
      <c r="W29" s="238"/>
      <c r="X29" s="238"/>
      <c r="Y29" s="238"/>
      <c r="Z29" s="238"/>
      <c r="AA29" s="192"/>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57"/>
      <c r="CF29" s="257"/>
      <c r="CG29" s="238"/>
      <c r="CH29" s="238"/>
      <c r="CI29" s="238"/>
      <c r="CJ29" s="238"/>
      <c r="CK29" s="238"/>
      <c r="CL29" s="238"/>
      <c r="CM29" s="238"/>
      <c r="CN29" s="238"/>
      <c r="CO29" s="238"/>
      <c r="CP29" s="238"/>
      <c r="CQ29" s="238"/>
      <c r="CR29" s="238"/>
      <c r="CS29" s="238"/>
      <c r="CT29" s="238"/>
      <c r="CU29" s="238"/>
      <c r="CV29" s="238"/>
      <c r="CW29" s="238"/>
      <c r="CX29" s="238"/>
      <c r="CY29" s="238"/>
      <c r="CZ29" s="238"/>
      <c r="DA29" s="238"/>
      <c r="DB29" s="238"/>
      <c r="DC29" s="238"/>
      <c r="DD29" s="238"/>
      <c r="DE29" s="238"/>
      <c r="DF29" s="238"/>
      <c r="DG29" s="257"/>
      <c r="DH29" s="238"/>
      <c r="DI29" s="238"/>
      <c r="DJ29" s="238"/>
      <c r="DK29" s="238"/>
      <c r="DL29" s="238"/>
      <c r="DM29" s="238"/>
      <c r="DN29" s="238"/>
      <c r="DO29" s="238"/>
      <c r="DP29" s="238"/>
      <c r="DQ29" s="238"/>
      <c r="DR29" s="238"/>
      <c r="DS29" s="238"/>
      <c r="DT29" s="238"/>
      <c r="DU29" s="238"/>
      <c r="DV29" s="238"/>
      <c r="DW29" s="238"/>
      <c r="DX29" s="238"/>
      <c r="DY29" s="238"/>
      <c r="DZ29" s="238"/>
      <c r="EA29" s="238"/>
      <c r="EB29" s="238"/>
      <c r="EC29" s="238"/>
      <c r="ED29" s="238"/>
      <c r="EE29" s="238"/>
      <c r="EF29" s="238"/>
      <c r="EG29" s="238"/>
      <c r="EH29" s="238"/>
      <c r="EI29" s="238"/>
      <c r="EJ29" s="238"/>
      <c r="EK29" s="238"/>
      <c r="EL29" s="238"/>
      <c r="EM29" s="238"/>
      <c r="EN29" s="238"/>
      <c r="EO29" s="238"/>
      <c r="EP29" s="238"/>
      <c r="EQ29" s="238"/>
      <c r="ER29" s="238"/>
      <c r="ES29" s="238"/>
      <c r="ET29" s="238"/>
      <c r="EU29" s="238"/>
      <c r="EV29" s="238"/>
      <c r="EW29" s="238"/>
      <c r="EX29" s="238"/>
      <c r="EY29" s="238"/>
      <c r="EZ29" s="238"/>
      <c r="FA29" s="238"/>
      <c r="FB29" s="238"/>
      <c r="FC29" s="238"/>
      <c r="FD29" s="238"/>
      <c r="FE29" s="238"/>
      <c r="FF29" s="238"/>
      <c r="FG29" s="238"/>
      <c r="FH29" s="257"/>
      <c r="FI29" s="257"/>
      <c r="FJ29" s="257"/>
      <c r="FK29" s="257"/>
      <c r="FL29" s="257"/>
      <c r="FM29" s="257"/>
      <c r="FN29" s="257"/>
      <c r="FO29" s="257"/>
      <c r="FP29" s="257"/>
      <c r="FQ29" s="257"/>
      <c r="FR29" s="257"/>
      <c r="FS29" s="257"/>
      <c r="FT29" s="257"/>
      <c r="FU29" s="257"/>
      <c r="FV29" s="257"/>
      <c r="FW29" s="257"/>
      <c r="FX29" s="257"/>
      <c r="FY29" s="238"/>
      <c r="FZ29" s="238"/>
      <c r="GA29" s="238"/>
      <c r="GB29" s="238"/>
      <c r="GC29" s="238"/>
      <c r="GD29" s="238"/>
      <c r="GE29" s="238"/>
      <c r="GF29" s="238"/>
      <c r="GG29" s="238"/>
      <c r="GH29" s="238"/>
      <c r="GI29" s="238"/>
      <c r="GJ29" s="238"/>
      <c r="GK29" s="238"/>
      <c r="GL29" s="238"/>
      <c r="GM29" s="238"/>
      <c r="GN29" s="238"/>
      <c r="GO29" s="238"/>
      <c r="GP29" s="238"/>
      <c r="GQ29" s="238"/>
      <c r="GR29" s="238"/>
      <c r="GS29" s="238"/>
      <c r="GT29" s="238"/>
      <c r="GU29" s="238"/>
      <c r="GV29" s="238"/>
      <c r="GW29" s="238"/>
      <c r="GX29" s="238"/>
      <c r="GY29" s="238"/>
      <c r="GZ29" s="238"/>
      <c r="HA29" s="238"/>
      <c r="HB29" s="238"/>
      <c r="HC29" s="238"/>
      <c r="HD29" s="238"/>
      <c r="HE29" s="238"/>
      <c r="HF29" s="238"/>
      <c r="HG29" s="238"/>
      <c r="HH29" s="238"/>
      <c r="HI29" s="238"/>
      <c r="HJ29" s="238"/>
      <c r="HK29" s="238"/>
      <c r="HL29" s="238"/>
      <c r="HM29" s="238"/>
      <c r="HN29" s="238"/>
      <c r="HO29" s="238"/>
      <c r="HP29" s="238"/>
      <c r="HQ29" s="238"/>
      <c r="HR29" s="238"/>
      <c r="HS29" s="238"/>
      <c r="HT29" s="238"/>
      <c r="HU29" s="238"/>
      <c r="HV29" s="238"/>
      <c r="HW29" s="238"/>
      <c r="HX29" s="257"/>
      <c r="HY29" s="257"/>
      <c r="HZ29" s="257"/>
      <c r="IA29" s="257"/>
      <c r="IB29" s="257"/>
      <c r="IC29" s="257"/>
      <c r="ID29" s="257"/>
      <c r="IE29" s="257"/>
      <c r="IF29" s="257"/>
      <c r="IG29" s="257"/>
      <c r="IH29" s="257"/>
      <c r="II29" s="257"/>
      <c r="IJ29" s="257"/>
      <c r="IK29" s="257"/>
      <c r="IL29" s="257"/>
      <c r="IM29" s="257"/>
      <c r="IN29" s="257"/>
      <c r="IO29" s="257"/>
      <c r="IP29" s="257"/>
      <c r="IQ29" s="257"/>
      <c r="IR29" s="257"/>
      <c r="IS29" s="257"/>
      <c r="IT29" s="257"/>
      <c r="IU29" s="257"/>
      <c r="IV29" s="257"/>
      <c r="IW29" s="257"/>
      <c r="IX29" s="257"/>
      <c r="IY29" s="257"/>
      <c r="IZ29" s="257"/>
      <c r="JA29" s="257"/>
      <c r="JB29" s="257"/>
      <c r="JC29" s="257"/>
      <c r="JD29" s="257"/>
      <c r="JE29" s="257"/>
      <c r="JF29" s="238"/>
      <c r="JG29" s="238"/>
      <c r="JH29" s="238"/>
      <c r="JI29" s="238"/>
      <c r="JJ29" s="238"/>
      <c r="JK29" s="238"/>
      <c r="JL29" s="238"/>
      <c r="JM29" s="238"/>
      <c r="JN29" s="238"/>
      <c r="JO29" s="238"/>
      <c r="JP29" s="238"/>
      <c r="JQ29" s="238"/>
      <c r="JR29" s="238"/>
      <c r="JS29" s="238"/>
      <c r="JT29" s="238"/>
      <c r="JU29" s="238"/>
      <c r="JV29" s="238"/>
      <c r="JW29" s="238"/>
      <c r="JX29" s="238"/>
      <c r="JY29" s="238"/>
      <c r="JZ29" s="238"/>
      <c r="KA29" s="238"/>
      <c r="KB29" s="238"/>
      <c r="KC29" s="238"/>
      <c r="KD29" s="238"/>
      <c r="KE29" s="238"/>
      <c r="KF29" s="238"/>
      <c r="KG29" s="238"/>
      <c r="KH29" s="238"/>
      <c r="KI29" s="238"/>
      <c r="KJ29" s="238"/>
      <c r="KK29" s="238"/>
      <c r="KL29" s="238"/>
      <c r="KM29" s="238"/>
      <c r="KN29" s="238"/>
      <c r="KO29" s="238"/>
      <c r="KP29" s="238"/>
      <c r="KQ29" s="238"/>
      <c r="KR29" s="238"/>
      <c r="KS29" s="238"/>
      <c r="KT29" s="238"/>
      <c r="KU29" s="238"/>
      <c r="KV29" s="238"/>
      <c r="KW29" s="238"/>
      <c r="KX29" s="238"/>
      <c r="KY29" s="238"/>
      <c r="KZ29" s="238"/>
      <c r="LA29" s="238"/>
      <c r="LB29" s="238"/>
      <c r="LC29" s="238"/>
      <c r="LD29" s="238"/>
      <c r="LE29" s="238"/>
      <c r="LF29" s="238"/>
      <c r="LG29" s="238"/>
      <c r="LH29" s="238"/>
      <c r="LI29" s="238"/>
      <c r="LJ29" s="238"/>
      <c r="LK29" s="238"/>
      <c r="LL29" s="238"/>
      <c r="LM29" s="238"/>
      <c r="LN29" s="238"/>
      <c r="LO29" s="238"/>
      <c r="LP29" s="238"/>
      <c r="LQ29" s="238"/>
      <c r="LR29" s="238"/>
      <c r="LS29" s="238"/>
      <c r="LT29" s="238"/>
      <c r="LU29" s="238"/>
      <c r="LV29" s="238"/>
      <c r="LW29" s="238"/>
      <c r="LX29" s="238"/>
      <c r="LY29" s="238"/>
      <c r="LZ29" s="238"/>
      <c r="MA29" s="238"/>
      <c r="MB29" s="238"/>
      <c r="MC29" s="238"/>
      <c r="MD29" s="238"/>
      <c r="ME29" s="238"/>
      <c r="MF29" s="238"/>
      <c r="MG29" s="238"/>
      <c r="MH29" s="238"/>
      <c r="MI29" s="238"/>
      <c r="MJ29" s="238"/>
      <c r="MK29" s="238"/>
      <c r="ML29" s="238"/>
    </row>
    <row r="30" ht="18.75" customHeight="1">
      <c r="A30" s="283"/>
      <c r="B30" s="234" t="str">
        <f>'Building Bill of Materials_SLIM'!P30</f>
        <v/>
      </c>
      <c r="C30" s="234" t="str">
        <f>'Building Bill of Materials_SLIM'!Q30</f>
        <v/>
      </c>
      <c r="D30" s="234" t="str">
        <f>'Building Bill of Materials_SLIM'!R30</f>
        <v/>
      </c>
      <c r="E30" s="234" t="str">
        <f>'Building Bill of Materials_SLIM'!S30</f>
        <v/>
      </c>
      <c r="F30" s="234"/>
      <c r="G30" s="234"/>
      <c r="H30" s="234"/>
      <c r="I30" s="234"/>
      <c r="J30" s="234" t="str">
        <f>'Building Bill of Materials_SLIM'!V30</f>
        <v/>
      </c>
      <c r="K30" s="238"/>
      <c r="L30" s="238"/>
      <c r="M30" s="238"/>
      <c r="N30" s="238"/>
      <c r="O30" s="238"/>
      <c r="P30" s="238"/>
      <c r="Q30" s="238"/>
      <c r="R30" s="238"/>
      <c r="S30" s="238"/>
      <c r="T30" s="238"/>
      <c r="U30" s="238"/>
      <c r="V30" s="238"/>
      <c r="W30" s="238"/>
      <c r="X30" s="238"/>
      <c r="Y30" s="238"/>
      <c r="Z30" s="238"/>
      <c r="AA30" s="192"/>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7"/>
      <c r="BI30" s="257"/>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57"/>
      <c r="CF30" s="257"/>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57"/>
      <c r="DH30" s="238"/>
      <c r="DI30" s="238"/>
      <c r="DJ30" s="238"/>
      <c r="DK30" s="238"/>
      <c r="DL30" s="238"/>
      <c r="DM30" s="238"/>
      <c r="DN30" s="238"/>
      <c r="DO30" s="238"/>
      <c r="DP30" s="238"/>
      <c r="DQ30" s="238"/>
      <c r="DR30" s="238"/>
      <c r="DS30" s="238"/>
      <c r="DT30" s="238"/>
      <c r="DU30" s="238"/>
      <c r="DV30" s="238"/>
      <c r="DW30" s="238"/>
      <c r="DX30" s="238"/>
      <c r="DY30" s="238"/>
      <c r="DZ30" s="238"/>
      <c r="EA30" s="238"/>
      <c r="EB30" s="238"/>
      <c r="EC30" s="238"/>
      <c r="ED30" s="238"/>
      <c r="EE30" s="238"/>
      <c r="EF30" s="238"/>
      <c r="EG30" s="238"/>
      <c r="EH30" s="238"/>
      <c r="EI30" s="238"/>
      <c r="EJ30" s="238"/>
      <c r="EK30" s="238"/>
      <c r="EL30" s="238"/>
      <c r="EM30" s="238"/>
      <c r="EN30" s="238"/>
      <c r="EO30" s="238"/>
      <c r="EP30" s="238"/>
      <c r="EQ30" s="238"/>
      <c r="ER30" s="238"/>
      <c r="ES30" s="238"/>
      <c r="ET30" s="238"/>
      <c r="EU30" s="238"/>
      <c r="EV30" s="238"/>
      <c r="EW30" s="238"/>
      <c r="EX30" s="238"/>
      <c r="EY30" s="238"/>
      <c r="EZ30" s="238"/>
      <c r="FA30" s="238"/>
      <c r="FB30" s="238"/>
      <c r="FC30" s="238"/>
      <c r="FD30" s="238"/>
      <c r="FE30" s="238"/>
      <c r="FF30" s="238"/>
      <c r="FG30" s="238"/>
      <c r="FH30" s="257"/>
      <c r="FI30" s="257"/>
      <c r="FJ30" s="257"/>
      <c r="FK30" s="257"/>
      <c r="FL30" s="257"/>
      <c r="FM30" s="257"/>
      <c r="FN30" s="257"/>
      <c r="FO30" s="257"/>
      <c r="FP30" s="257"/>
      <c r="FQ30" s="257"/>
      <c r="FR30" s="257"/>
      <c r="FS30" s="257"/>
      <c r="FT30" s="257"/>
      <c r="FU30" s="257"/>
      <c r="FV30" s="257"/>
      <c r="FW30" s="257"/>
      <c r="FX30" s="257"/>
      <c r="FY30" s="238"/>
      <c r="FZ30" s="238"/>
      <c r="GA30" s="238"/>
      <c r="GB30" s="238"/>
      <c r="GC30" s="238"/>
      <c r="GD30" s="238"/>
      <c r="GE30" s="238"/>
      <c r="GF30" s="238"/>
      <c r="GG30" s="238"/>
      <c r="GH30" s="238"/>
      <c r="GI30" s="238"/>
      <c r="GJ30" s="238"/>
      <c r="GK30" s="238"/>
      <c r="GL30" s="238"/>
      <c r="GM30" s="238"/>
      <c r="GN30" s="238"/>
      <c r="GO30" s="238"/>
      <c r="GP30" s="238"/>
      <c r="GQ30" s="238"/>
      <c r="GR30" s="238"/>
      <c r="GS30" s="238"/>
      <c r="GT30" s="238"/>
      <c r="GU30" s="238"/>
      <c r="GV30" s="238"/>
      <c r="GW30" s="238"/>
      <c r="GX30" s="238"/>
      <c r="GY30" s="238"/>
      <c r="GZ30" s="238"/>
      <c r="HA30" s="238"/>
      <c r="HB30" s="238"/>
      <c r="HC30" s="238"/>
      <c r="HD30" s="238"/>
      <c r="HE30" s="238"/>
      <c r="HF30" s="238"/>
      <c r="HG30" s="238"/>
      <c r="HH30" s="238"/>
      <c r="HI30" s="238"/>
      <c r="HJ30" s="238"/>
      <c r="HK30" s="238"/>
      <c r="HL30" s="238"/>
      <c r="HM30" s="238"/>
      <c r="HN30" s="238"/>
      <c r="HO30" s="238"/>
      <c r="HP30" s="238"/>
      <c r="HQ30" s="238"/>
      <c r="HR30" s="238"/>
      <c r="HS30" s="238"/>
      <c r="HT30" s="238"/>
      <c r="HU30" s="238"/>
      <c r="HV30" s="238"/>
      <c r="HW30" s="238"/>
      <c r="HX30" s="257"/>
      <c r="HY30" s="257"/>
      <c r="HZ30" s="257"/>
      <c r="IA30" s="257"/>
      <c r="IB30" s="257"/>
      <c r="IC30" s="257"/>
      <c r="ID30" s="257"/>
      <c r="IE30" s="257"/>
      <c r="IF30" s="257"/>
      <c r="IG30" s="257"/>
      <c r="IH30" s="257"/>
      <c r="II30" s="257"/>
      <c r="IJ30" s="257"/>
      <c r="IK30" s="257"/>
      <c r="IL30" s="257"/>
      <c r="IM30" s="257"/>
      <c r="IN30" s="257"/>
      <c r="IO30" s="257"/>
      <c r="IP30" s="257"/>
      <c r="IQ30" s="257"/>
      <c r="IR30" s="257"/>
      <c r="IS30" s="257"/>
      <c r="IT30" s="257"/>
      <c r="IU30" s="257"/>
      <c r="IV30" s="257"/>
      <c r="IW30" s="257"/>
      <c r="IX30" s="257"/>
      <c r="IY30" s="257"/>
      <c r="IZ30" s="257"/>
      <c r="JA30" s="257"/>
      <c r="JB30" s="257"/>
      <c r="JC30" s="257"/>
      <c r="JD30" s="257"/>
      <c r="JE30" s="257"/>
      <c r="JF30" s="238"/>
      <c r="JG30" s="238"/>
      <c r="JH30" s="238"/>
      <c r="JI30" s="238"/>
      <c r="JJ30" s="238"/>
      <c r="JK30" s="238"/>
      <c r="JL30" s="238"/>
      <c r="JM30" s="238"/>
      <c r="JN30" s="238"/>
      <c r="JO30" s="238"/>
      <c r="JP30" s="238"/>
      <c r="JQ30" s="238"/>
      <c r="JR30" s="238"/>
      <c r="JS30" s="238"/>
      <c r="JT30" s="238"/>
      <c r="JU30" s="238"/>
      <c r="JV30" s="238"/>
      <c r="JW30" s="238"/>
      <c r="JX30" s="238"/>
      <c r="JY30" s="238"/>
      <c r="JZ30" s="238"/>
      <c r="KA30" s="238"/>
      <c r="KB30" s="238"/>
      <c r="KC30" s="238"/>
      <c r="KD30" s="238"/>
      <c r="KE30" s="238"/>
      <c r="KF30" s="238"/>
      <c r="KG30" s="238"/>
      <c r="KH30" s="238"/>
      <c r="KI30" s="238"/>
      <c r="KJ30" s="238"/>
      <c r="KK30" s="238"/>
      <c r="KL30" s="238"/>
      <c r="KM30" s="238"/>
      <c r="KN30" s="238"/>
      <c r="KO30" s="238"/>
      <c r="KP30" s="238"/>
      <c r="KQ30" s="238"/>
      <c r="KR30" s="238"/>
      <c r="KS30" s="238"/>
      <c r="KT30" s="238"/>
      <c r="KU30" s="238"/>
      <c r="KV30" s="238"/>
      <c r="KW30" s="238"/>
      <c r="KX30" s="238"/>
      <c r="KY30" s="238"/>
      <c r="KZ30" s="238"/>
      <c r="LA30" s="238"/>
      <c r="LB30" s="238"/>
      <c r="LC30" s="238"/>
      <c r="LD30" s="238"/>
      <c r="LE30" s="238"/>
      <c r="LF30" s="238"/>
      <c r="LG30" s="238"/>
      <c r="LH30" s="238"/>
      <c r="LI30" s="238"/>
      <c r="LJ30" s="238"/>
      <c r="LK30" s="238"/>
      <c r="LL30" s="238"/>
      <c r="LM30" s="238"/>
      <c r="LN30" s="238"/>
      <c r="LO30" s="238"/>
      <c r="LP30" s="238"/>
      <c r="LQ30" s="238"/>
      <c r="LR30" s="238"/>
      <c r="LS30" s="238"/>
      <c r="LT30" s="238"/>
      <c r="LU30" s="238"/>
      <c r="LV30" s="238"/>
      <c r="LW30" s="238"/>
      <c r="LX30" s="238"/>
      <c r="LY30" s="238"/>
      <c r="LZ30" s="238"/>
      <c r="MA30" s="238"/>
      <c r="MB30" s="238"/>
      <c r="MC30" s="238"/>
      <c r="MD30" s="238"/>
      <c r="ME30" s="238"/>
      <c r="MF30" s="238"/>
      <c r="MG30" s="238"/>
      <c r="MH30" s="238"/>
      <c r="MI30" s="238"/>
      <c r="MJ30" s="238"/>
      <c r="MK30" s="238"/>
      <c r="ML30" s="238"/>
    </row>
    <row r="31" ht="18.75" customHeight="1">
      <c r="A31" s="283"/>
      <c r="B31" s="234" t="str">
        <f>'Building Bill of Materials_SLIM'!P31</f>
        <v/>
      </c>
      <c r="C31" s="234" t="str">
        <f>'Building Bill of Materials_SLIM'!Q31</f>
        <v/>
      </c>
      <c r="D31" s="234" t="str">
        <f>'Building Bill of Materials_SLIM'!R31</f>
        <v/>
      </c>
      <c r="E31" s="234" t="str">
        <f>'Building Bill of Materials_SLIM'!S31</f>
        <v/>
      </c>
      <c r="F31" s="234"/>
      <c r="G31" s="234"/>
      <c r="H31" s="234"/>
      <c r="I31" s="234"/>
      <c r="J31" s="234" t="str">
        <f>'Building Bill of Materials_SLIM'!V31</f>
        <v/>
      </c>
      <c r="K31" s="238"/>
      <c r="L31" s="238"/>
      <c r="M31" s="238"/>
      <c r="N31" s="238"/>
      <c r="O31" s="238"/>
      <c r="P31" s="238"/>
      <c r="Q31" s="238"/>
      <c r="R31" s="238"/>
      <c r="S31" s="238"/>
      <c r="T31" s="238"/>
      <c r="U31" s="238"/>
      <c r="V31" s="238"/>
      <c r="W31" s="238"/>
      <c r="X31" s="238"/>
      <c r="Y31" s="238"/>
      <c r="Z31" s="238"/>
      <c r="AA31" s="192"/>
      <c r="AB31" s="257"/>
      <c r="AC31" s="257"/>
      <c r="AD31" s="257"/>
      <c r="AE31" s="257"/>
      <c r="AF31" s="257"/>
      <c r="AG31" s="257"/>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7"/>
      <c r="BD31" s="257"/>
      <c r="BE31" s="257"/>
      <c r="BF31" s="257"/>
      <c r="BG31" s="257"/>
      <c r="BH31" s="257"/>
      <c r="BI31" s="257"/>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57"/>
      <c r="CF31" s="257"/>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57"/>
      <c r="DH31" s="238"/>
      <c r="DI31" s="238"/>
      <c r="DJ31" s="238"/>
      <c r="DK31" s="238"/>
      <c r="DL31" s="238"/>
      <c r="DM31" s="238"/>
      <c r="DN31" s="238"/>
      <c r="DO31" s="238"/>
      <c r="DP31" s="238"/>
      <c r="DQ31" s="238"/>
      <c r="DR31" s="238"/>
      <c r="DS31" s="238"/>
      <c r="DT31" s="238"/>
      <c r="DU31" s="238"/>
      <c r="DV31" s="238"/>
      <c r="DW31" s="238"/>
      <c r="DX31" s="238"/>
      <c r="DY31" s="238"/>
      <c r="DZ31" s="238"/>
      <c r="EA31" s="238"/>
      <c r="EB31" s="238"/>
      <c r="EC31" s="238"/>
      <c r="ED31" s="238"/>
      <c r="EE31" s="238"/>
      <c r="EF31" s="238"/>
      <c r="EG31" s="238"/>
      <c r="EH31" s="238"/>
      <c r="EI31" s="238"/>
      <c r="EJ31" s="238"/>
      <c r="EK31" s="238"/>
      <c r="EL31" s="238"/>
      <c r="EM31" s="238"/>
      <c r="EN31" s="238"/>
      <c r="EO31" s="238"/>
      <c r="EP31" s="238"/>
      <c r="EQ31" s="238"/>
      <c r="ER31" s="238"/>
      <c r="ES31" s="238"/>
      <c r="ET31" s="238"/>
      <c r="EU31" s="238"/>
      <c r="EV31" s="238"/>
      <c r="EW31" s="238"/>
      <c r="EX31" s="238"/>
      <c r="EY31" s="238"/>
      <c r="EZ31" s="238"/>
      <c r="FA31" s="238"/>
      <c r="FB31" s="238"/>
      <c r="FC31" s="238"/>
      <c r="FD31" s="238"/>
      <c r="FE31" s="238"/>
      <c r="FF31" s="238"/>
      <c r="FG31" s="238"/>
      <c r="FH31" s="257"/>
      <c r="FI31" s="257"/>
      <c r="FJ31" s="257"/>
      <c r="FK31" s="257"/>
      <c r="FL31" s="257"/>
      <c r="FM31" s="257"/>
      <c r="FN31" s="257"/>
      <c r="FO31" s="257"/>
      <c r="FP31" s="257"/>
      <c r="FQ31" s="257"/>
      <c r="FR31" s="257"/>
      <c r="FS31" s="257"/>
      <c r="FT31" s="257"/>
      <c r="FU31" s="257"/>
      <c r="FV31" s="257"/>
      <c r="FW31" s="257"/>
      <c r="FX31" s="257"/>
      <c r="FY31" s="238"/>
      <c r="FZ31" s="238"/>
      <c r="GA31" s="238"/>
      <c r="GB31" s="238"/>
      <c r="GC31" s="238"/>
      <c r="GD31" s="238"/>
      <c r="GE31" s="238"/>
      <c r="GF31" s="238"/>
      <c r="GG31" s="238"/>
      <c r="GH31" s="238"/>
      <c r="GI31" s="238"/>
      <c r="GJ31" s="238"/>
      <c r="GK31" s="238"/>
      <c r="GL31" s="238"/>
      <c r="GM31" s="238"/>
      <c r="GN31" s="238"/>
      <c r="GO31" s="238"/>
      <c r="GP31" s="238"/>
      <c r="GQ31" s="238"/>
      <c r="GR31" s="238"/>
      <c r="GS31" s="238"/>
      <c r="GT31" s="238"/>
      <c r="GU31" s="238"/>
      <c r="GV31" s="238"/>
      <c r="GW31" s="238"/>
      <c r="GX31" s="238"/>
      <c r="GY31" s="238"/>
      <c r="GZ31" s="238"/>
      <c r="HA31" s="238"/>
      <c r="HB31" s="238"/>
      <c r="HC31" s="238"/>
      <c r="HD31" s="238"/>
      <c r="HE31" s="238"/>
      <c r="HF31" s="238"/>
      <c r="HG31" s="238"/>
      <c r="HH31" s="238"/>
      <c r="HI31" s="238"/>
      <c r="HJ31" s="238"/>
      <c r="HK31" s="238"/>
      <c r="HL31" s="238"/>
      <c r="HM31" s="238"/>
      <c r="HN31" s="238"/>
      <c r="HO31" s="238"/>
      <c r="HP31" s="238"/>
      <c r="HQ31" s="238"/>
      <c r="HR31" s="238"/>
      <c r="HS31" s="238"/>
      <c r="HT31" s="238"/>
      <c r="HU31" s="238"/>
      <c r="HV31" s="238"/>
      <c r="HW31" s="238"/>
      <c r="HX31" s="257"/>
      <c r="HY31" s="257"/>
      <c r="HZ31" s="257"/>
      <c r="IA31" s="257"/>
      <c r="IB31" s="257"/>
      <c r="IC31" s="257"/>
      <c r="ID31" s="257"/>
      <c r="IE31" s="257"/>
      <c r="IF31" s="257"/>
      <c r="IG31" s="257"/>
      <c r="IH31" s="257"/>
      <c r="II31" s="257"/>
      <c r="IJ31" s="257"/>
      <c r="IK31" s="257"/>
      <c r="IL31" s="257"/>
      <c r="IM31" s="257"/>
      <c r="IN31" s="257"/>
      <c r="IO31" s="257"/>
      <c r="IP31" s="257"/>
      <c r="IQ31" s="257"/>
      <c r="IR31" s="257"/>
      <c r="IS31" s="257"/>
      <c r="IT31" s="257"/>
      <c r="IU31" s="257"/>
      <c r="IV31" s="257"/>
      <c r="IW31" s="257"/>
      <c r="IX31" s="257"/>
      <c r="IY31" s="257"/>
      <c r="IZ31" s="257"/>
      <c r="JA31" s="257"/>
      <c r="JB31" s="257"/>
      <c r="JC31" s="257"/>
      <c r="JD31" s="257"/>
      <c r="JE31" s="257"/>
      <c r="JF31" s="238"/>
      <c r="JG31" s="238"/>
      <c r="JH31" s="238"/>
      <c r="JI31" s="238"/>
      <c r="JJ31" s="238"/>
      <c r="JK31" s="238"/>
      <c r="JL31" s="238"/>
      <c r="JM31" s="238"/>
      <c r="JN31" s="238"/>
      <c r="JO31" s="238"/>
      <c r="JP31" s="238"/>
      <c r="JQ31" s="238"/>
      <c r="JR31" s="238"/>
      <c r="JS31" s="238"/>
      <c r="JT31" s="238"/>
      <c r="JU31" s="238"/>
      <c r="JV31" s="238"/>
      <c r="JW31" s="238"/>
      <c r="JX31" s="238"/>
      <c r="JY31" s="238"/>
      <c r="JZ31" s="238"/>
      <c r="KA31" s="238"/>
      <c r="KB31" s="238"/>
      <c r="KC31" s="238"/>
      <c r="KD31" s="238"/>
      <c r="KE31" s="238"/>
      <c r="KF31" s="238"/>
      <c r="KG31" s="238"/>
      <c r="KH31" s="238"/>
      <c r="KI31" s="238"/>
      <c r="KJ31" s="238"/>
      <c r="KK31" s="238"/>
      <c r="KL31" s="238"/>
      <c r="KM31" s="238"/>
      <c r="KN31" s="238"/>
      <c r="KO31" s="238"/>
      <c r="KP31" s="238"/>
      <c r="KQ31" s="238"/>
      <c r="KR31" s="238"/>
      <c r="KS31" s="238"/>
      <c r="KT31" s="238"/>
      <c r="KU31" s="238"/>
      <c r="KV31" s="238"/>
      <c r="KW31" s="238"/>
      <c r="KX31" s="238"/>
      <c r="KY31" s="238"/>
      <c r="KZ31" s="238"/>
      <c r="LA31" s="238"/>
      <c r="LB31" s="238"/>
      <c r="LC31" s="238"/>
      <c r="LD31" s="238"/>
      <c r="LE31" s="238"/>
      <c r="LF31" s="238"/>
      <c r="LG31" s="238"/>
      <c r="LH31" s="238"/>
      <c r="LI31" s="238"/>
      <c r="LJ31" s="238"/>
      <c r="LK31" s="238"/>
      <c r="LL31" s="238"/>
      <c r="LM31" s="238"/>
      <c r="LN31" s="238"/>
      <c r="LO31" s="238"/>
      <c r="LP31" s="238"/>
      <c r="LQ31" s="238"/>
      <c r="LR31" s="238"/>
      <c r="LS31" s="238"/>
      <c r="LT31" s="238"/>
      <c r="LU31" s="238"/>
      <c r="LV31" s="238"/>
      <c r="LW31" s="238"/>
      <c r="LX31" s="238"/>
      <c r="LY31" s="238"/>
      <c r="LZ31" s="238"/>
      <c r="MA31" s="238"/>
      <c r="MB31" s="238"/>
      <c r="MC31" s="238"/>
      <c r="MD31" s="238"/>
      <c r="ME31" s="238"/>
      <c r="MF31" s="238"/>
      <c r="MG31" s="238"/>
      <c r="MH31" s="238"/>
      <c r="MI31" s="238"/>
      <c r="MJ31" s="238"/>
      <c r="MK31" s="238"/>
      <c r="ML31" s="238"/>
    </row>
    <row r="32" ht="18.75" customHeight="1">
      <c r="A32" s="283"/>
      <c r="B32" s="234" t="str">
        <f>'Building Bill of Materials_SLIM'!P32</f>
        <v/>
      </c>
      <c r="C32" s="234" t="str">
        <f>'Building Bill of Materials_SLIM'!Q32</f>
        <v/>
      </c>
      <c r="D32" s="234" t="str">
        <f>'Building Bill of Materials_SLIM'!R32</f>
        <v/>
      </c>
      <c r="E32" s="234" t="str">
        <f>'Building Bill of Materials_SLIM'!S32</f>
        <v/>
      </c>
      <c r="F32" s="234"/>
      <c r="G32" s="234"/>
      <c r="H32" s="234"/>
      <c r="I32" s="234"/>
      <c r="J32" s="234" t="str">
        <f>'Building Bill of Materials_SLIM'!V32</f>
        <v/>
      </c>
      <c r="K32" s="238"/>
      <c r="L32" s="238"/>
      <c r="M32" s="238"/>
      <c r="N32" s="238"/>
      <c r="O32" s="238"/>
      <c r="P32" s="238"/>
      <c r="Q32" s="238"/>
      <c r="R32" s="238"/>
      <c r="S32" s="238"/>
      <c r="T32" s="238"/>
      <c r="U32" s="238"/>
      <c r="V32" s="238"/>
      <c r="W32" s="238"/>
      <c r="X32" s="238"/>
      <c r="Y32" s="238"/>
      <c r="Z32" s="238"/>
      <c r="AA32" s="192"/>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7"/>
      <c r="BD32" s="257"/>
      <c r="BE32" s="257"/>
      <c r="BF32" s="257"/>
      <c r="BG32" s="257"/>
      <c r="BH32" s="257"/>
      <c r="BI32" s="257"/>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57"/>
      <c r="CF32" s="257"/>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57"/>
      <c r="DH32" s="238"/>
      <c r="DI32" s="238"/>
      <c r="DJ32" s="238"/>
      <c r="DK32" s="238"/>
      <c r="DL32" s="238"/>
      <c r="DM32" s="238"/>
      <c r="DN32" s="238"/>
      <c r="DO32" s="238"/>
      <c r="DP32" s="238"/>
      <c r="DQ32" s="238"/>
      <c r="DR32" s="238"/>
      <c r="DS32" s="238"/>
      <c r="DT32" s="238"/>
      <c r="DU32" s="238"/>
      <c r="DV32" s="238"/>
      <c r="DW32" s="238"/>
      <c r="DX32" s="238"/>
      <c r="DY32" s="238"/>
      <c r="DZ32" s="238"/>
      <c r="EA32" s="238"/>
      <c r="EB32" s="238"/>
      <c r="EC32" s="238"/>
      <c r="ED32" s="238"/>
      <c r="EE32" s="238"/>
      <c r="EF32" s="238"/>
      <c r="EG32" s="238"/>
      <c r="EH32" s="238"/>
      <c r="EI32" s="238"/>
      <c r="EJ32" s="238"/>
      <c r="EK32" s="238"/>
      <c r="EL32" s="238"/>
      <c r="EM32" s="238"/>
      <c r="EN32" s="238"/>
      <c r="EO32" s="238"/>
      <c r="EP32" s="238"/>
      <c r="EQ32" s="238"/>
      <c r="ER32" s="238"/>
      <c r="ES32" s="238"/>
      <c r="ET32" s="238"/>
      <c r="EU32" s="238"/>
      <c r="EV32" s="238"/>
      <c r="EW32" s="238"/>
      <c r="EX32" s="238"/>
      <c r="EY32" s="238"/>
      <c r="EZ32" s="238"/>
      <c r="FA32" s="238"/>
      <c r="FB32" s="238"/>
      <c r="FC32" s="238"/>
      <c r="FD32" s="238"/>
      <c r="FE32" s="238"/>
      <c r="FF32" s="238"/>
      <c r="FG32" s="238"/>
      <c r="FH32" s="257"/>
      <c r="FI32" s="257"/>
      <c r="FJ32" s="257"/>
      <c r="FK32" s="257"/>
      <c r="FL32" s="257"/>
      <c r="FM32" s="257"/>
      <c r="FN32" s="257"/>
      <c r="FO32" s="257"/>
      <c r="FP32" s="257"/>
      <c r="FQ32" s="257"/>
      <c r="FR32" s="257"/>
      <c r="FS32" s="257"/>
      <c r="FT32" s="257"/>
      <c r="FU32" s="257"/>
      <c r="FV32" s="257"/>
      <c r="FW32" s="257"/>
      <c r="FX32" s="257"/>
      <c r="FY32" s="238"/>
      <c r="FZ32" s="238"/>
      <c r="GA32" s="238"/>
      <c r="GB32" s="238"/>
      <c r="GC32" s="238"/>
      <c r="GD32" s="238"/>
      <c r="GE32" s="238"/>
      <c r="GF32" s="238"/>
      <c r="GG32" s="238"/>
      <c r="GH32" s="238"/>
      <c r="GI32" s="238"/>
      <c r="GJ32" s="238"/>
      <c r="GK32" s="238"/>
      <c r="GL32" s="238"/>
      <c r="GM32" s="238"/>
      <c r="GN32" s="238"/>
      <c r="GO32" s="238"/>
      <c r="GP32" s="238"/>
      <c r="GQ32" s="238"/>
      <c r="GR32" s="238"/>
      <c r="GS32" s="238"/>
      <c r="GT32" s="238"/>
      <c r="GU32" s="238"/>
      <c r="GV32" s="238"/>
      <c r="GW32" s="238"/>
      <c r="GX32" s="238"/>
      <c r="GY32" s="238"/>
      <c r="GZ32" s="238"/>
      <c r="HA32" s="238"/>
      <c r="HB32" s="238"/>
      <c r="HC32" s="238"/>
      <c r="HD32" s="238"/>
      <c r="HE32" s="238"/>
      <c r="HF32" s="238"/>
      <c r="HG32" s="238"/>
      <c r="HH32" s="238"/>
      <c r="HI32" s="238"/>
      <c r="HJ32" s="238"/>
      <c r="HK32" s="238"/>
      <c r="HL32" s="238"/>
      <c r="HM32" s="238"/>
      <c r="HN32" s="238"/>
      <c r="HO32" s="238"/>
      <c r="HP32" s="238"/>
      <c r="HQ32" s="238"/>
      <c r="HR32" s="238"/>
      <c r="HS32" s="238"/>
      <c r="HT32" s="238"/>
      <c r="HU32" s="238"/>
      <c r="HV32" s="238"/>
      <c r="HW32" s="238"/>
      <c r="HX32" s="257"/>
      <c r="HY32" s="257"/>
      <c r="HZ32" s="257"/>
      <c r="IA32" s="257"/>
      <c r="IB32" s="257"/>
      <c r="IC32" s="257"/>
      <c r="ID32" s="257"/>
      <c r="IE32" s="257"/>
      <c r="IF32" s="257"/>
      <c r="IG32" s="257"/>
      <c r="IH32" s="257"/>
      <c r="II32" s="257"/>
      <c r="IJ32" s="257"/>
      <c r="IK32" s="257"/>
      <c r="IL32" s="257"/>
      <c r="IM32" s="257"/>
      <c r="IN32" s="257"/>
      <c r="IO32" s="257"/>
      <c r="IP32" s="257"/>
      <c r="IQ32" s="257"/>
      <c r="IR32" s="257"/>
      <c r="IS32" s="257"/>
      <c r="IT32" s="257"/>
      <c r="IU32" s="257"/>
      <c r="IV32" s="257"/>
      <c r="IW32" s="257"/>
      <c r="IX32" s="257"/>
      <c r="IY32" s="257"/>
      <c r="IZ32" s="257"/>
      <c r="JA32" s="257"/>
      <c r="JB32" s="257"/>
      <c r="JC32" s="257"/>
      <c r="JD32" s="257"/>
      <c r="JE32" s="257"/>
      <c r="JF32" s="238"/>
      <c r="JG32" s="238"/>
      <c r="JH32" s="238"/>
      <c r="JI32" s="238"/>
      <c r="JJ32" s="238"/>
      <c r="JK32" s="238"/>
      <c r="JL32" s="238"/>
      <c r="JM32" s="238"/>
      <c r="JN32" s="238"/>
      <c r="JO32" s="238"/>
      <c r="JP32" s="238"/>
      <c r="JQ32" s="238"/>
      <c r="JR32" s="238"/>
      <c r="JS32" s="238"/>
      <c r="JT32" s="238"/>
      <c r="JU32" s="238"/>
      <c r="JV32" s="238"/>
      <c r="JW32" s="238"/>
      <c r="JX32" s="238"/>
      <c r="JY32" s="238"/>
      <c r="JZ32" s="238"/>
      <c r="KA32" s="238"/>
      <c r="KB32" s="238"/>
      <c r="KC32" s="238"/>
      <c r="KD32" s="238"/>
      <c r="KE32" s="238"/>
      <c r="KF32" s="238"/>
      <c r="KG32" s="238"/>
      <c r="KH32" s="238"/>
      <c r="KI32" s="238"/>
      <c r="KJ32" s="238"/>
      <c r="KK32" s="238"/>
      <c r="KL32" s="238"/>
      <c r="KM32" s="238"/>
      <c r="KN32" s="238"/>
      <c r="KO32" s="238"/>
      <c r="KP32" s="238"/>
      <c r="KQ32" s="238"/>
      <c r="KR32" s="238"/>
      <c r="KS32" s="238"/>
      <c r="KT32" s="238"/>
      <c r="KU32" s="238"/>
      <c r="KV32" s="238"/>
      <c r="KW32" s="238"/>
      <c r="KX32" s="238"/>
      <c r="KY32" s="238"/>
      <c r="KZ32" s="238"/>
      <c r="LA32" s="238"/>
      <c r="LB32" s="238"/>
      <c r="LC32" s="238"/>
      <c r="LD32" s="238"/>
      <c r="LE32" s="238"/>
      <c r="LF32" s="238"/>
      <c r="LG32" s="238"/>
      <c r="LH32" s="238"/>
      <c r="LI32" s="238"/>
      <c r="LJ32" s="238"/>
      <c r="LK32" s="238"/>
      <c r="LL32" s="238"/>
      <c r="LM32" s="238"/>
      <c r="LN32" s="238"/>
      <c r="LO32" s="238"/>
      <c r="LP32" s="238"/>
      <c r="LQ32" s="238"/>
      <c r="LR32" s="238"/>
      <c r="LS32" s="238"/>
      <c r="LT32" s="238"/>
      <c r="LU32" s="238"/>
      <c r="LV32" s="238"/>
      <c r="LW32" s="238"/>
      <c r="LX32" s="238"/>
      <c r="LY32" s="238"/>
      <c r="LZ32" s="238"/>
      <c r="MA32" s="238"/>
      <c r="MB32" s="238"/>
      <c r="MC32" s="238"/>
      <c r="MD32" s="238"/>
      <c r="ME32" s="238"/>
      <c r="MF32" s="238"/>
      <c r="MG32" s="238"/>
      <c r="MH32" s="238"/>
      <c r="MI32" s="238"/>
      <c r="MJ32" s="238"/>
      <c r="MK32" s="238"/>
      <c r="ML32" s="238"/>
    </row>
    <row r="33" ht="18.75" customHeight="1">
      <c r="A33" s="283"/>
      <c r="B33" s="234" t="str">
        <f>'Building Bill of Materials_SLIM'!P33</f>
        <v/>
      </c>
      <c r="C33" s="234" t="str">
        <f>'Building Bill of Materials_SLIM'!Q33</f>
        <v/>
      </c>
      <c r="D33" s="234" t="str">
        <f>'Building Bill of Materials_SLIM'!R33</f>
        <v/>
      </c>
      <c r="E33" s="234" t="str">
        <f>'Building Bill of Materials_SLIM'!S33</f>
        <v/>
      </c>
      <c r="F33" s="234"/>
      <c r="G33" s="234"/>
      <c r="H33" s="234"/>
      <c r="I33" s="234"/>
      <c r="J33" s="234" t="str">
        <f>'Building Bill of Materials_SLIM'!V33</f>
        <v/>
      </c>
      <c r="K33" s="238"/>
      <c r="L33" s="238"/>
      <c r="M33" s="238"/>
      <c r="N33" s="238"/>
      <c r="O33" s="238"/>
      <c r="P33" s="238"/>
      <c r="Q33" s="238"/>
      <c r="R33" s="238"/>
      <c r="S33" s="238"/>
      <c r="T33" s="238"/>
      <c r="U33" s="238"/>
      <c r="V33" s="238"/>
      <c r="W33" s="238"/>
      <c r="X33" s="238"/>
      <c r="Y33" s="238"/>
      <c r="Z33" s="238"/>
      <c r="AA33" s="192"/>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7"/>
      <c r="BD33" s="257"/>
      <c r="BE33" s="257"/>
      <c r="BF33" s="257"/>
      <c r="BG33" s="257"/>
      <c r="BH33" s="257"/>
      <c r="BI33" s="257"/>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57"/>
      <c r="CF33" s="257"/>
      <c r="CG33" s="238"/>
      <c r="CH33" s="238"/>
      <c r="CI33" s="238"/>
      <c r="CJ33" s="238"/>
      <c r="CK33" s="238"/>
      <c r="CL33" s="238"/>
      <c r="CM33" s="238"/>
      <c r="CN33" s="238"/>
      <c r="CO33" s="238"/>
      <c r="CP33" s="238"/>
      <c r="CQ33" s="238"/>
      <c r="CR33" s="238"/>
      <c r="CS33" s="238"/>
      <c r="CT33" s="238"/>
      <c r="CU33" s="238"/>
      <c r="CV33" s="238"/>
      <c r="CW33" s="238"/>
      <c r="CX33" s="238"/>
      <c r="CY33" s="238"/>
      <c r="CZ33" s="238"/>
      <c r="DA33" s="238"/>
      <c r="DB33" s="238"/>
      <c r="DC33" s="238"/>
      <c r="DD33" s="238"/>
      <c r="DE33" s="238"/>
      <c r="DF33" s="238"/>
      <c r="DG33" s="257"/>
      <c r="DH33" s="238"/>
      <c r="DI33" s="238"/>
      <c r="DJ33" s="238"/>
      <c r="DK33" s="238"/>
      <c r="DL33" s="238"/>
      <c r="DM33" s="238"/>
      <c r="DN33" s="238"/>
      <c r="DO33" s="238"/>
      <c r="DP33" s="238"/>
      <c r="DQ33" s="238"/>
      <c r="DR33" s="238"/>
      <c r="DS33" s="238"/>
      <c r="DT33" s="238"/>
      <c r="DU33" s="238"/>
      <c r="DV33" s="238"/>
      <c r="DW33" s="238"/>
      <c r="DX33" s="238"/>
      <c r="DY33" s="238"/>
      <c r="DZ33" s="238"/>
      <c r="EA33" s="238"/>
      <c r="EB33" s="238"/>
      <c r="EC33" s="238"/>
      <c r="ED33" s="238"/>
      <c r="EE33" s="238"/>
      <c r="EF33" s="238"/>
      <c r="EG33" s="238"/>
      <c r="EH33" s="238"/>
      <c r="EI33" s="238"/>
      <c r="EJ33" s="238"/>
      <c r="EK33" s="238"/>
      <c r="EL33" s="238"/>
      <c r="EM33" s="238"/>
      <c r="EN33" s="238"/>
      <c r="EO33" s="238"/>
      <c r="EP33" s="238"/>
      <c r="EQ33" s="238"/>
      <c r="ER33" s="238"/>
      <c r="ES33" s="238"/>
      <c r="ET33" s="238"/>
      <c r="EU33" s="238"/>
      <c r="EV33" s="238"/>
      <c r="EW33" s="238"/>
      <c r="EX33" s="238"/>
      <c r="EY33" s="238"/>
      <c r="EZ33" s="238"/>
      <c r="FA33" s="238"/>
      <c r="FB33" s="238"/>
      <c r="FC33" s="238"/>
      <c r="FD33" s="238"/>
      <c r="FE33" s="238"/>
      <c r="FF33" s="238"/>
      <c r="FG33" s="238"/>
      <c r="FH33" s="257"/>
      <c r="FI33" s="257"/>
      <c r="FJ33" s="257"/>
      <c r="FK33" s="257"/>
      <c r="FL33" s="257"/>
      <c r="FM33" s="257"/>
      <c r="FN33" s="257"/>
      <c r="FO33" s="257"/>
      <c r="FP33" s="257"/>
      <c r="FQ33" s="257"/>
      <c r="FR33" s="257"/>
      <c r="FS33" s="257"/>
      <c r="FT33" s="257"/>
      <c r="FU33" s="257"/>
      <c r="FV33" s="257"/>
      <c r="FW33" s="257"/>
      <c r="FX33" s="257"/>
      <c r="FY33" s="238"/>
      <c r="FZ33" s="238"/>
      <c r="GA33" s="238"/>
      <c r="GB33" s="238"/>
      <c r="GC33" s="238"/>
      <c r="GD33" s="238"/>
      <c r="GE33" s="238"/>
      <c r="GF33" s="238"/>
      <c r="GG33" s="238"/>
      <c r="GH33" s="238"/>
      <c r="GI33" s="238"/>
      <c r="GJ33" s="238"/>
      <c r="GK33" s="238"/>
      <c r="GL33" s="238"/>
      <c r="GM33" s="238"/>
      <c r="GN33" s="238"/>
      <c r="GO33" s="238"/>
      <c r="GP33" s="238"/>
      <c r="GQ33" s="238"/>
      <c r="GR33" s="238"/>
      <c r="GS33" s="238"/>
      <c r="GT33" s="238"/>
      <c r="GU33" s="238"/>
      <c r="GV33" s="238"/>
      <c r="GW33" s="238"/>
      <c r="GX33" s="238"/>
      <c r="GY33" s="238"/>
      <c r="GZ33" s="238"/>
      <c r="HA33" s="238"/>
      <c r="HB33" s="238"/>
      <c r="HC33" s="238"/>
      <c r="HD33" s="238"/>
      <c r="HE33" s="238"/>
      <c r="HF33" s="238"/>
      <c r="HG33" s="238"/>
      <c r="HH33" s="238"/>
      <c r="HI33" s="238"/>
      <c r="HJ33" s="238"/>
      <c r="HK33" s="238"/>
      <c r="HL33" s="238"/>
      <c r="HM33" s="238"/>
      <c r="HN33" s="238"/>
      <c r="HO33" s="238"/>
      <c r="HP33" s="238"/>
      <c r="HQ33" s="238"/>
      <c r="HR33" s="238"/>
      <c r="HS33" s="238"/>
      <c r="HT33" s="238"/>
      <c r="HU33" s="238"/>
      <c r="HV33" s="238"/>
      <c r="HW33" s="238"/>
      <c r="HX33" s="257"/>
      <c r="HY33" s="257"/>
      <c r="HZ33" s="257"/>
      <c r="IA33" s="257"/>
      <c r="IB33" s="257"/>
      <c r="IC33" s="257"/>
      <c r="ID33" s="257"/>
      <c r="IE33" s="257"/>
      <c r="IF33" s="257"/>
      <c r="IG33" s="257"/>
      <c r="IH33" s="257"/>
      <c r="II33" s="257"/>
      <c r="IJ33" s="257"/>
      <c r="IK33" s="257"/>
      <c r="IL33" s="257"/>
      <c r="IM33" s="257"/>
      <c r="IN33" s="257"/>
      <c r="IO33" s="257"/>
      <c r="IP33" s="257"/>
      <c r="IQ33" s="257"/>
      <c r="IR33" s="257"/>
      <c r="IS33" s="257"/>
      <c r="IT33" s="257"/>
      <c r="IU33" s="257"/>
      <c r="IV33" s="257"/>
      <c r="IW33" s="257"/>
      <c r="IX33" s="257"/>
      <c r="IY33" s="257"/>
      <c r="IZ33" s="257"/>
      <c r="JA33" s="257"/>
      <c r="JB33" s="257"/>
      <c r="JC33" s="257"/>
      <c r="JD33" s="257"/>
      <c r="JE33" s="257"/>
      <c r="JF33" s="238"/>
      <c r="JG33" s="238"/>
      <c r="JH33" s="238"/>
      <c r="JI33" s="238"/>
      <c r="JJ33" s="238"/>
      <c r="JK33" s="238"/>
      <c r="JL33" s="238"/>
      <c r="JM33" s="238"/>
      <c r="JN33" s="238"/>
      <c r="JO33" s="238"/>
      <c r="JP33" s="238"/>
      <c r="JQ33" s="238"/>
      <c r="JR33" s="238"/>
      <c r="JS33" s="238"/>
      <c r="JT33" s="238"/>
      <c r="JU33" s="238"/>
      <c r="JV33" s="238"/>
      <c r="JW33" s="238"/>
      <c r="JX33" s="238"/>
      <c r="JY33" s="238"/>
      <c r="JZ33" s="238"/>
      <c r="KA33" s="238"/>
      <c r="KB33" s="238"/>
      <c r="KC33" s="238"/>
      <c r="KD33" s="238"/>
      <c r="KE33" s="238"/>
      <c r="KF33" s="238"/>
      <c r="KG33" s="238"/>
      <c r="KH33" s="238"/>
      <c r="KI33" s="238"/>
      <c r="KJ33" s="238"/>
      <c r="KK33" s="238"/>
      <c r="KL33" s="238"/>
      <c r="KM33" s="238"/>
      <c r="KN33" s="238"/>
      <c r="KO33" s="238"/>
      <c r="KP33" s="238"/>
      <c r="KQ33" s="238"/>
      <c r="KR33" s="238"/>
      <c r="KS33" s="238"/>
      <c r="KT33" s="238"/>
      <c r="KU33" s="238"/>
      <c r="KV33" s="238"/>
      <c r="KW33" s="238"/>
      <c r="KX33" s="238"/>
      <c r="KY33" s="238"/>
      <c r="KZ33" s="238"/>
      <c r="LA33" s="238"/>
      <c r="LB33" s="238"/>
      <c r="LC33" s="238"/>
      <c r="LD33" s="238"/>
      <c r="LE33" s="238"/>
      <c r="LF33" s="238"/>
      <c r="LG33" s="238"/>
      <c r="LH33" s="238"/>
      <c r="LI33" s="238"/>
      <c r="LJ33" s="238"/>
      <c r="LK33" s="238"/>
      <c r="LL33" s="238"/>
      <c r="LM33" s="238"/>
      <c r="LN33" s="238"/>
      <c r="LO33" s="238"/>
      <c r="LP33" s="238"/>
      <c r="LQ33" s="238"/>
      <c r="LR33" s="238"/>
      <c r="LS33" s="238"/>
      <c r="LT33" s="238"/>
      <c r="LU33" s="238"/>
      <c r="LV33" s="238"/>
      <c r="LW33" s="238"/>
      <c r="LX33" s="238"/>
      <c r="LY33" s="238"/>
      <c r="LZ33" s="238"/>
      <c r="MA33" s="238"/>
      <c r="MB33" s="238"/>
      <c r="MC33" s="238"/>
      <c r="MD33" s="238"/>
      <c r="ME33" s="238"/>
      <c r="MF33" s="238"/>
      <c r="MG33" s="238"/>
      <c r="MH33" s="238"/>
      <c r="MI33" s="238"/>
      <c r="MJ33" s="238"/>
      <c r="MK33" s="238"/>
      <c r="ML33" s="238"/>
    </row>
    <row r="34" ht="18.75" customHeight="1">
      <c r="A34" s="283"/>
      <c r="B34" s="234" t="str">
        <f>'Building Bill of Materials_SLIM'!P34</f>
        <v/>
      </c>
      <c r="C34" s="234" t="str">
        <f>'Building Bill of Materials_SLIM'!Q34</f>
        <v/>
      </c>
      <c r="D34" s="234" t="str">
        <f>'Building Bill of Materials_SLIM'!R34</f>
        <v/>
      </c>
      <c r="E34" s="234" t="str">
        <f>'Building Bill of Materials_SLIM'!S34</f>
        <v/>
      </c>
      <c r="F34" s="234"/>
      <c r="G34" s="234"/>
      <c r="H34" s="234"/>
      <c r="I34" s="234"/>
      <c r="J34" s="234" t="str">
        <f>'Building Bill of Materials_SLIM'!V34</f>
        <v/>
      </c>
      <c r="K34" s="238"/>
      <c r="L34" s="238"/>
      <c r="M34" s="238"/>
      <c r="N34" s="238"/>
      <c r="O34" s="238"/>
      <c r="P34" s="238"/>
      <c r="Q34" s="238"/>
      <c r="R34" s="238"/>
      <c r="S34" s="238"/>
      <c r="T34" s="238"/>
      <c r="U34" s="238"/>
      <c r="V34" s="238"/>
      <c r="W34" s="238"/>
      <c r="X34" s="238"/>
      <c r="Y34" s="238"/>
      <c r="Z34" s="238"/>
      <c r="AA34" s="192"/>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7"/>
      <c r="BD34" s="257"/>
      <c r="BE34" s="257"/>
      <c r="BF34" s="257"/>
      <c r="BG34" s="257"/>
      <c r="BH34" s="257"/>
      <c r="BI34" s="257"/>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57"/>
      <c r="CF34" s="257"/>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57"/>
      <c r="DH34" s="238"/>
      <c r="DI34" s="238"/>
      <c r="DJ34" s="238"/>
      <c r="DK34" s="238"/>
      <c r="DL34" s="238"/>
      <c r="DM34" s="238"/>
      <c r="DN34" s="238"/>
      <c r="DO34" s="238"/>
      <c r="DP34" s="238"/>
      <c r="DQ34" s="238"/>
      <c r="DR34" s="238"/>
      <c r="DS34" s="238"/>
      <c r="DT34" s="238"/>
      <c r="DU34" s="238"/>
      <c r="DV34" s="238"/>
      <c r="DW34" s="238"/>
      <c r="DX34" s="238"/>
      <c r="DY34" s="238"/>
      <c r="DZ34" s="238"/>
      <c r="EA34" s="238"/>
      <c r="EB34" s="238"/>
      <c r="EC34" s="238"/>
      <c r="ED34" s="238"/>
      <c r="EE34" s="238"/>
      <c r="EF34" s="238"/>
      <c r="EG34" s="238"/>
      <c r="EH34" s="238"/>
      <c r="EI34" s="238"/>
      <c r="EJ34" s="238"/>
      <c r="EK34" s="238"/>
      <c r="EL34" s="238"/>
      <c r="EM34" s="238"/>
      <c r="EN34" s="238"/>
      <c r="EO34" s="238"/>
      <c r="EP34" s="238"/>
      <c r="EQ34" s="238"/>
      <c r="ER34" s="238"/>
      <c r="ES34" s="238"/>
      <c r="ET34" s="238"/>
      <c r="EU34" s="238"/>
      <c r="EV34" s="238"/>
      <c r="EW34" s="238"/>
      <c r="EX34" s="238"/>
      <c r="EY34" s="238"/>
      <c r="EZ34" s="238"/>
      <c r="FA34" s="238"/>
      <c r="FB34" s="238"/>
      <c r="FC34" s="238"/>
      <c r="FD34" s="238"/>
      <c r="FE34" s="238"/>
      <c r="FF34" s="238"/>
      <c r="FG34" s="238"/>
      <c r="FH34" s="257"/>
      <c r="FI34" s="257"/>
      <c r="FJ34" s="257"/>
      <c r="FK34" s="257"/>
      <c r="FL34" s="257"/>
      <c r="FM34" s="257"/>
      <c r="FN34" s="257"/>
      <c r="FO34" s="257"/>
      <c r="FP34" s="257"/>
      <c r="FQ34" s="257"/>
      <c r="FR34" s="257"/>
      <c r="FS34" s="257"/>
      <c r="FT34" s="257"/>
      <c r="FU34" s="257"/>
      <c r="FV34" s="257"/>
      <c r="FW34" s="257"/>
      <c r="FX34" s="257"/>
      <c r="FY34" s="238"/>
      <c r="FZ34" s="238"/>
      <c r="GA34" s="238"/>
      <c r="GB34" s="238"/>
      <c r="GC34" s="238"/>
      <c r="GD34" s="238"/>
      <c r="GE34" s="238"/>
      <c r="GF34" s="238"/>
      <c r="GG34" s="238"/>
      <c r="GH34" s="238"/>
      <c r="GI34" s="238"/>
      <c r="GJ34" s="238"/>
      <c r="GK34" s="238"/>
      <c r="GL34" s="238"/>
      <c r="GM34" s="238"/>
      <c r="GN34" s="238"/>
      <c r="GO34" s="238"/>
      <c r="GP34" s="238"/>
      <c r="GQ34" s="238"/>
      <c r="GR34" s="238"/>
      <c r="GS34" s="238"/>
      <c r="GT34" s="238"/>
      <c r="GU34" s="238"/>
      <c r="GV34" s="238"/>
      <c r="GW34" s="238"/>
      <c r="GX34" s="238"/>
      <c r="GY34" s="238"/>
      <c r="GZ34" s="238"/>
      <c r="HA34" s="238"/>
      <c r="HB34" s="238"/>
      <c r="HC34" s="238"/>
      <c r="HD34" s="238"/>
      <c r="HE34" s="238"/>
      <c r="HF34" s="238"/>
      <c r="HG34" s="238"/>
      <c r="HH34" s="238"/>
      <c r="HI34" s="238"/>
      <c r="HJ34" s="238"/>
      <c r="HK34" s="238"/>
      <c r="HL34" s="238"/>
      <c r="HM34" s="238"/>
      <c r="HN34" s="238"/>
      <c r="HO34" s="238"/>
      <c r="HP34" s="238"/>
      <c r="HQ34" s="238"/>
      <c r="HR34" s="238"/>
      <c r="HS34" s="238"/>
      <c r="HT34" s="238"/>
      <c r="HU34" s="238"/>
      <c r="HV34" s="238"/>
      <c r="HW34" s="238"/>
      <c r="HX34" s="257"/>
      <c r="HY34" s="257"/>
      <c r="HZ34" s="257"/>
      <c r="IA34" s="257"/>
      <c r="IB34" s="257"/>
      <c r="IC34" s="257"/>
      <c r="ID34" s="257"/>
      <c r="IE34" s="257"/>
      <c r="IF34" s="257"/>
      <c r="IG34" s="257"/>
      <c r="IH34" s="257"/>
      <c r="II34" s="257"/>
      <c r="IJ34" s="257"/>
      <c r="IK34" s="257"/>
      <c r="IL34" s="257"/>
      <c r="IM34" s="257"/>
      <c r="IN34" s="257"/>
      <c r="IO34" s="257"/>
      <c r="IP34" s="257"/>
      <c r="IQ34" s="257"/>
      <c r="IR34" s="257"/>
      <c r="IS34" s="257"/>
      <c r="IT34" s="257"/>
      <c r="IU34" s="257"/>
      <c r="IV34" s="257"/>
      <c r="IW34" s="257"/>
      <c r="IX34" s="257"/>
      <c r="IY34" s="257"/>
      <c r="IZ34" s="257"/>
      <c r="JA34" s="257"/>
      <c r="JB34" s="257"/>
      <c r="JC34" s="257"/>
      <c r="JD34" s="257"/>
      <c r="JE34" s="257"/>
      <c r="JF34" s="238"/>
      <c r="JG34" s="238"/>
      <c r="JH34" s="238"/>
      <c r="JI34" s="238"/>
      <c r="JJ34" s="238"/>
      <c r="JK34" s="238"/>
      <c r="JL34" s="238"/>
      <c r="JM34" s="238"/>
      <c r="JN34" s="238"/>
      <c r="JO34" s="238"/>
      <c r="JP34" s="238"/>
      <c r="JQ34" s="238"/>
      <c r="JR34" s="238"/>
      <c r="JS34" s="238"/>
      <c r="JT34" s="238"/>
      <c r="JU34" s="238"/>
      <c r="JV34" s="238"/>
      <c r="JW34" s="238"/>
      <c r="JX34" s="238"/>
      <c r="JY34" s="238"/>
      <c r="JZ34" s="238"/>
      <c r="KA34" s="238"/>
      <c r="KB34" s="238"/>
      <c r="KC34" s="238"/>
      <c r="KD34" s="238"/>
      <c r="KE34" s="238"/>
      <c r="KF34" s="238"/>
      <c r="KG34" s="238"/>
      <c r="KH34" s="238"/>
      <c r="KI34" s="238"/>
      <c r="KJ34" s="238"/>
      <c r="KK34" s="238"/>
      <c r="KL34" s="238"/>
      <c r="KM34" s="238"/>
      <c r="KN34" s="238"/>
      <c r="KO34" s="238"/>
      <c r="KP34" s="238"/>
      <c r="KQ34" s="238"/>
      <c r="KR34" s="238"/>
      <c r="KS34" s="238"/>
      <c r="KT34" s="238"/>
      <c r="KU34" s="238"/>
      <c r="KV34" s="238"/>
      <c r="KW34" s="238"/>
      <c r="KX34" s="238"/>
      <c r="KY34" s="238"/>
      <c r="KZ34" s="238"/>
      <c r="LA34" s="238"/>
      <c r="LB34" s="238"/>
      <c r="LC34" s="238"/>
      <c r="LD34" s="238"/>
      <c r="LE34" s="238"/>
      <c r="LF34" s="238"/>
      <c r="LG34" s="238"/>
      <c r="LH34" s="238"/>
      <c r="LI34" s="238"/>
      <c r="LJ34" s="238"/>
      <c r="LK34" s="238"/>
      <c r="LL34" s="238"/>
      <c r="LM34" s="238"/>
      <c r="LN34" s="238"/>
      <c r="LO34" s="238"/>
      <c r="LP34" s="238"/>
      <c r="LQ34" s="238"/>
      <c r="LR34" s="238"/>
      <c r="LS34" s="238"/>
      <c r="LT34" s="238"/>
      <c r="LU34" s="238"/>
      <c r="LV34" s="238"/>
      <c r="LW34" s="238"/>
      <c r="LX34" s="238"/>
      <c r="LY34" s="238"/>
      <c r="LZ34" s="238"/>
      <c r="MA34" s="238"/>
      <c r="MB34" s="238"/>
      <c r="MC34" s="238"/>
      <c r="MD34" s="238"/>
      <c r="ME34" s="238"/>
      <c r="MF34" s="238"/>
      <c r="MG34" s="238"/>
      <c r="MH34" s="238"/>
      <c r="MI34" s="238"/>
      <c r="MJ34" s="238"/>
      <c r="MK34" s="238"/>
      <c r="ML34" s="238"/>
    </row>
    <row r="35" ht="18.75" customHeight="1">
      <c r="A35" s="283"/>
      <c r="B35" s="234" t="str">
        <f>'Building Bill of Materials_SLIM'!P35</f>
        <v/>
      </c>
      <c r="C35" s="234" t="str">
        <f>'Building Bill of Materials_SLIM'!Q35</f>
        <v/>
      </c>
      <c r="D35" s="234" t="str">
        <f>'Building Bill of Materials_SLIM'!R35</f>
        <v/>
      </c>
      <c r="E35" s="234" t="str">
        <f>'Building Bill of Materials_SLIM'!S35</f>
        <v/>
      </c>
      <c r="F35" s="234"/>
      <c r="G35" s="234"/>
      <c r="H35" s="234"/>
      <c r="I35" s="234"/>
      <c r="J35" s="234" t="str">
        <f>'Building Bill of Materials_SLIM'!V35</f>
        <v/>
      </c>
      <c r="K35" s="238"/>
      <c r="L35" s="238"/>
      <c r="M35" s="238"/>
      <c r="N35" s="238"/>
      <c r="O35" s="238"/>
      <c r="P35" s="238"/>
      <c r="Q35" s="238"/>
      <c r="R35" s="238"/>
      <c r="S35" s="238"/>
      <c r="T35" s="238"/>
      <c r="U35" s="238"/>
      <c r="V35" s="238"/>
      <c r="W35" s="238"/>
      <c r="X35" s="238"/>
      <c r="Y35" s="238"/>
      <c r="Z35" s="238"/>
      <c r="AA35" s="192"/>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7"/>
      <c r="BD35" s="257"/>
      <c r="BE35" s="257"/>
      <c r="BF35" s="257"/>
      <c r="BG35" s="257"/>
      <c r="BH35" s="257"/>
      <c r="BI35" s="257"/>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57"/>
      <c r="CF35" s="257"/>
      <c r="CG35" s="238"/>
      <c r="CH35" s="238"/>
      <c r="CI35" s="238"/>
      <c r="CJ35" s="238"/>
      <c r="CK35" s="238"/>
      <c r="CL35" s="238"/>
      <c r="CM35" s="238"/>
      <c r="CN35" s="238"/>
      <c r="CO35" s="238"/>
      <c r="CP35" s="238"/>
      <c r="CQ35" s="238"/>
      <c r="CR35" s="238"/>
      <c r="CS35" s="238"/>
      <c r="CT35" s="238"/>
      <c r="CU35" s="238"/>
      <c r="CV35" s="238"/>
      <c r="CW35" s="238"/>
      <c r="CX35" s="238"/>
      <c r="CY35" s="238"/>
      <c r="CZ35" s="238"/>
      <c r="DA35" s="238"/>
      <c r="DB35" s="238"/>
      <c r="DC35" s="238"/>
      <c r="DD35" s="238"/>
      <c r="DE35" s="238"/>
      <c r="DF35" s="238"/>
      <c r="DG35" s="257"/>
      <c r="DH35" s="238"/>
      <c r="DI35" s="238"/>
      <c r="DJ35" s="238"/>
      <c r="DK35" s="238"/>
      <c r="DL35" s="238"/>
      <c r="DM35" s="238"/>
      <c r="DN35" s="238"/>
      <c r="DO35" s="238"/>
      <c r="DP35" s="238"/>
      <c r="DQ35" s="238"/>
      <c r="DR35" s="238"/>
      <c r="DS35" s="238"/>
      <c r="DT35" s="238"/>
      <c r="DU35" s="238"/>
      <c r="DV35" s="238"/>
      <c r="DW35" s="238"/>
      <c r="DX35" s="238"/>
      <c r="DY35" s="238"/>
      <c r="DZ35" s="238"/>
      <c r="EA35" s="238"/>
      <c r="EB35" s="238"/>
      <c r="EC35" s="238"/>
      <c r="ED35" s="238"/>
      <c r="EE35" s="238"/>
      <c r="EF35" s="238"/>
      <c r="EG35" s="238"/>
      <c r="EH35" s="238"/>
      <c r="EI35" s="238"/>
      <c r="EJ35" s="238"/>
      <c r="EK35" s="238"/>
      <c r="EL35" s="238"/>
      <c r="EM35" s="238"/>
      <c r="EN35" s="238"/>
      <c r="EO35" s="238"/>
      <c r="EP35" s="238"/>
      <c r="EQ35" s="238"/>
      <c r="ER35" s="238"/>
      <c r="ES35" s="238"/>
      <c r="ET35" s="238"/>
      <c r="EU35" s="238"/>
      <c r="EV35" s="238"/>
      <c r="EW35" s="238"/>
      <c r="EX35" s="238"/>
      <c r="EY35" s="238"/>
      <c r="EZ35" s="238"/>
      <c r="FA35" s="238"/>
      <c r="FB35" s="238"/>
      <c r="FC35" s="238"/>
      <c r="FD35" s="238"/>
      <c r="FE35" s="238"/>
      <c r="FF35" s="238"/>
      <c r="FG35" s="238"/>
      <c r="FH35" s="257"/>
      <c r="FI35" s="257"/>
      <c r="FJ35" s="257"/>
      <c r="FK35" s="257"/>
      <c r="FL35" s="257"/>
      <c r="FM35" s="257"/>
      <c r="FN35" s="257"/>
      <c r="FO35" s="257"/>
      <c r="FP35" s="257"/>
      <c r="FQ35" s="257"/>
      <c r="FR35" s="257"/>
      <c r="FS35" s="257"/>
      <c r="FT35" s="257"/>
      <c r="FU35" s="257"/>
      <c r="FV35" s="257"/>
      <c r="FW35" s="257"/>
      <c r="FX35" s="257"/>
      <c r="FY35" s="238"/>
      <c r="FZ35" s="238"/>
      <c r="GA35" s="238"/>
      <c r="GB35" s="238"/>
      <c r="GC35" s="238"/>
      <c r="GD35" s="238"/>
      <c r="GE35" s="238"/>
      <c r="GF35" s="238"/>
      <c r="GG35" s="238"/>
      <c r="GH35" s="238"/>
      <c r="GI35" s="238"/>
      <c r="GJ35" s="238"/>
      <c r="GK35" s="238"/>
      <c r="GL35" s="238"/>
      <c r="GM35" s="238"/>
      <c r="GN35" s="238"/>
      <c r="GO35" s="238"/>
      <c r="GP35" s="238"/>
      <c r="GQ35" s="238"/>
      <c r="GR35" s="238"/>
      <c r="GS35" s="238"/>
      <c r="GT35" s="238"/>
      <c r="GU35" s="238"/>
      <c r="GV35" s="238"/>
      <c r="GW35" s="238"/>
      <c r="GX35" s="238"/>
      <c r="GY35" s="238"/>
      <c r="GZ35" s="238"/>
      <c r="HA35" s="238"/>
      <c r="HB35" s="238"/>
      <c r="HC35" s="238"/>
      <c r="HD35" s="238"/>
      <c r="HE35" s="238"/>
      <c r="HF35" s="238"/>
      <c r="HG35" s="238"/>
      <c r="HH35" s="238"/>
      <c r="HI35" s="238"/>
      <c r="HJ35" s="238"/>
      <c r="HK35" s="238"/>
      <c r="HL35" s="238"/>
      <c r="HM35" s="238"/>
      <c r="HN35" s="238"/>
      <c r="HO35" s="238"/>
      <c r="HP35" s="238"/>
      <c r="HQ35" s="238"/>
      <c r="HR35" s="238"/>
      <c r="HS35" s="238"/>
      <c r="HT35" s="238"/>
      <c r="HU35" s="238"/>
      <c r="HV35" s="238"/>
      <c r="HW35" s="238"/>
      <c r="HX35" s="257"/>
      <c r="HY35" s="257"/>
      <c r="HZ35" s="257"/>
      <c r="IA35" s="257"/>
      <c r="IB35" s="257"/>
      <c r="IC35" s="257"/>
      <c r="ID35" s="257"/>
      <c r="IE35" s="257"/>
      <c r="IF35" s="257"/>
      <c r="IG35" s="257"/>
      <c r="IH35" s="257"/>
      <c r="II35" s="257"/>
      <c r="IJ35" s="257"/>
      <c r="IK35" s="257"/>
      <c r="IL35" s="257"/>
      <c r="IM35" s="257"/>
      <c r="IN35" s="257"/>
      <c r="IO35" s="257"/>
      <c r="IP35" s="257"/>
      <c r="IQ35" s="257"/>
      <c r="IR35" s="257"/>
      <c r="IS35" s="257"/>
      <c r="IT35" s="257"/>
      <c r="IU35" s="257"/>
      <c r="IV35" s="257"/>
      <c r="IW35" s="257"/>
      <c r="IX35" s="257"/>
      <c r="IY35" s="257"/>
      <c r="IZ35" s="257"/>
      <c r="JA35" s="257"/>
      <c r="JB35" s="257"/>
      <c r="JC35" s="257"/>
      <c r="JD35" s="257"/>
      <c r="JE35" s="257"/>
      <c r="JF35" s="238"/>
      <c r="JG35" s="238"/>
      <c r="JH35" s="238"/>
      <c r="JI35" s="238"/>
      <c r="JJ35" s="238"/>
      <c r="JK35" s="238"/>
      <c r="JL35" s="238"/>
      <c r="JM35" s="238"/>
      <c r="JN35" s="238"/>
      <c r="JO35" s="238"/>
      <c r="JP35" s="238"/>
      <c r="JQ35" s="238"/>
      <c r="JR35" s="238"/>
      <c r="JS35" s="238"/>
      <c r="JT35" s="238"/>
      <c r="JU35" s="238"/>
      <c r="JV35" s="238"/>
      <c r="JW35" s="238"/>
      <c r="JX35" s="238"/>
      <c r="JY35" s="238"/>
      <c r="JZ35" s="238"/>
      <c r="KA35" s="238"/>
      <c r="KB35" s="238"/>
      <c r="KC35" s="238"/>
      <c r="KD35" s="238"/>
      <c r="KE35" s="238"/>
      <c r="KF35" s="238"/>
      <c r="KG35" s="238"/>
      <c r="KH35" s="238"/>
      <c r="KI35" s="238"/>
      <c r="KJ35" s="238"/>
      <c r="KK35" s="238"/>
      <c r="KL35" s="238"/>
      <c r="KM35" s="238"/>
      <c r="KN35" s="238"/>
      <c r="KO35" s="238"/>
      <c r="KP35" s="238"/>
      <c r="KQ35" s="238"/>
      <c r="KR35" s="238"/>
      <c r="KS35" s="238"/>
      <c r="KT35" s="238"/>
      <c r="KU35" s="238"/>
      <c r="KV35" s="238"/>
      <c r="KW35" s="238"/>
      <c r="KX35" s="238"/>
      <c r="KY35" s="238"/>
      <c r="KZ35" s="238"/>
      <c r="LA35" s="238"/>
      <c r="LB35" s="238"/>
      <c r="LC35" s="238"/>
      <c r="LD35" s="238"/>
      <c r="LE35" s="238"/>
      <c r="LF35" s="238"/>
      <c r="LG35" s="238"/>
      <c r="LH35" s="238"/>
      <c r="LI35" s="238"/>
      <c r="LJ35" s="238"/>
      <c r="LK35" s="238"/>
      <c r="LL35" s="238"/>
      <c r="LM35" s="238"/>
      <c r="LN35" s="238"/>
      <c r="LO35" s="238"/>
      <c r="LP35" s="238"/>
      <c r="LQ35" s="238"/>
      <c r="LR35" s="238"/>
      <c r="LS35" s="238"/>
      <c r="LT35" s="238"/>
      <c r="LU35" s="238"/>
      <c r="LV35" s="238"/>
      <c r="LW35" s="238"/>
      <c r="LX35" s="238"/>
      <c r="LY35" s="238"/>
      <c r="LZ35" s="238"/>
      <c r="MA35" s="238"/>
      <c r="MB35" s="238"/>
      <c r="MC35" s="238"/>
      <c r="MD35" s="238"/>
      <c r="ME35" s="238"/>
      <c r="MF35" s="238"/>
      <c r="MG35" s="238"/>
      <c r="MH35" s="238"/>
      <c r="MI35" s="238"/>
      <c r="MJ35" s="238"/>
      <c r="MK35" s="238"/>
      <c r="ML35" s="238"/>
    </row>
    <row r="36" ht="18.75" customHeight="1">
      <c r="A36" s="283"/>
      <c r="B36" s="234" t="str">
        <f>'Building Bill of Materials_SLIM'!P36</f>
        <v/>
      </c>
      <c r="C36" s="234" t="str">
        <f>'Building Bill of Materials_SLIM'!Q36</f>
        <v/>
      </c>
      <c r="D36" s="234" t="str">
        <f>'Building Bill of Materials_SLIM'!R36</f>
        <v/>
      </c>
      <c r="E36" s="234" t="str">
        <f>'Building Bill of Materials_SLIM'!S36</f>
        <v/>
      </c>
      <c r="F36" s="234"/>
      <c r="G36" s="234"/>
      <c r="H36" s="234"/>
      <c r="I36" s="234"/>
      <c r="J36" s="234" t="str">
        <f>'Building Bill of Materials_SLIM'!V36</f>
        <v/>
      </c>
      <c r="K36" s="238"/>
      <c r="L36" s="238"/>
      <c r="M36" s="238"/>
      <c r="N36" s="238"/>
      <c r="O36" s="238"/>
      <c r="P36" s="238"/>
      <c r="Q36" s="238"/>
      <c r="R36" s="238"/>
      <c r="S36" s="238"/>
      <c r="T36" s="238"/>
      <c r="U36" s="238"/>
      <c r="V36" s="238"/>
      <c r="W36" s="238"/>
      <c r="X36" s="238"/>
      <c r="Y36" s="238"/>
      <c r="Z36" s="238"/>
      <c r="AA36" s="192"/>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57"/>
      <c r="CF36" s="257"/>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57"/>
      <c r="DH36" s="238"/>
      <c r="DI36" s="238"/>
      <c r="DJ36" s="238"/>
      <c r="DK36" s="238"/>
      <c r="DL36" s="238"/>
      <c r="DM36" s="238"/>
      <c r="DN36" s="238"/>
      <c r="DO36" s="238"/>
      <c r="DP36" s="238"/>
      <c r="DQ36" s="238"/>
      <c r="DR36" s="238"/>
      <c r="DS36" s="238"/>
      <c r="DT36" s="238"/>
      <c r="DU36" s="238"/>
      <c r="DV36" s="238"/>
      <c r="DW36" s="238"/>
      <c r="DX36" s="238"/>
      <c r="DY36" s="238"/>
      <c r="DZ36" s="238"/>
      <c r="EA36" s="238"/>
      <c r="EB36" s="238"/>
      <c r="EC36" s="238"/>
      <c r="ED36" s="238"/>
      <c r="EE36" s="238"/>
      <c r="EF36" s="238"/>
      <c r="EG36" s="238"/>
      <c r="EH36" s="238"/>
      <c r="EI36" s="238"/>
      <c r="EJ36" s="238"/>
      <c r="EK36" s="238"/>
      <c r="EL36" s="238"/>
      <c r="EM36" s="238"/>
      <c r="EN36" s="238"/>
      <c r="EO36" s="238"/>
      <c r="EP36" s="238"/>
      <c r="EQ36" s="238"/>
      <c r="ER36" s="238"/>
      <c r="ES36" s="238"/>
      <c r="ET36" s="238"/>
      <c r="EU36" s="238"/>
      <c r="EV36" s="238"/>
      <c r="EW36" s="238"/>
      <c r="EX36" s="238"/>
      <c r="EY36" s="238"/>
      <c r="EZ36" s="238"/>
      <c r="FA36" s="238"/>
      <c r="FB36" s="238"/>
      <c r="FC36" s="238"/>
      <c r="FD36" s="238"/>
      <c r="FE36" s="238"/>
      <c r="FF36" s="238"/>
      <c r="FG36" s="238"/>
      <c r="FH36" s="257"/>
      <c r="FI36" s="257"/>
      <c r="FJ36" s="257"/>
      <c r="FK36" s="257"/>
      <c r="FL36" s="257"/>
      <c r="FM36" s="257"/>
      <c r="FN36" s="257"/>
      <c r="FO36" s="257"/>
      <c r="FP36" s="257"/>
      <c r="FQ36" s="257"/>
      <c r="FR36" s="257"/>
      <c r="FS36" s="257"/>
      <c r="FT36" s="257"/>
      <c r="FU36" s="257"/>
      <c r="FV36" s="257"/>
      <c r="FW36" s="257"/>
      <c r="FX36" s="257"/>
      <c r="FY36" s="238"/>
      <c r="FZ36" s="238"/>
      <c r="GA36" s="238"/>
      <c r="GB36" s="238"/>
      <c r="GC36" s="238"/>
      <c r="GD36" s="238"/>
      <c r="GE36" s="238"/>
      <c r="GF36" s="238"/>
      <c r="GG36" s="238"/>
      <c r="GH36" s="238"/>
      <c r="GI36" s="238"/>
      <c r="GJ36" s="238"/>
      <c r="GK36" s="238"/>
      <c r="GL36" s="238"/>
      <c r="GM36" s="238"/>
      <c r="GN36" s="238"/>
      <c r="GO36" s="238"/>
      <c r="GP36" s="238"/>
      <c r="GQ36" s="238"/>
      <c r="GR36" s="238"/>
      <c r="GS36" s="238"/>
      <c r="GT36" s="238"/>
      <c r="GU36" s="238"/>
      <c r="GV36" s="238"/>
      <c r="GW36" s="238"/>
      <c r="GX36" s="238"/>
      <c r="GY36" s="238"/>
      <c r="GZ36" s="238"/>
      <c r="HA36" s="238"/>
      <c r="HB36" s="238"/>
      <c r="HC36" s="238"/>
      <c r="HD36" s="238"/>
      <c r="HE36" s="238"/>
      <c r="HF36" s="238"/>
      <c r="HG36" s="238"/>
      <c r="HH36" s="238"/>
      <c r="HI36" s="238"/>
      <c r="HJ36" s="238"/>
      <c r="HK36" s="238"/>
      <c r="HL36" s="238"/>
      <c r="HM36" s="238"/>
      <c r="HN36" s="238"/>
      <c r="HO36" s="238"/>
      <c r="HP36" s="238"/>
      <c r="HQ36" s="238"/>
      <c r="HR36" s="238"/>
      <c r="HS36" s="238"/>
      <c r="HT36" s="238"/>
      <c r="HU36" s="238"/>
      <c r="HV36" s="238"/>
      <c r="HW36" s="238"/>
      <c r="HX36" s="257"/>
      <c r="HY36" s="257"/>
      <c r="HZ36" s="257"/>
      <c r="IA36" s="257"/>
      <c r="IB36" s="257"/>
      <c r="IC36" s="257"/>
      <c r="ID36" s="257"/>
      <c r="IE36" s="257"/>
      <c r="IF36" s="257"/>
      <c r="IG36" s="257"/>
      <c r="IH36" s="257"/>
      <c r="II36" s="257"/>
      <c r="IJ36" s="257"/>
      <c r="IK36" s="257"/>
      <c r="IL36" s="257"/>
      <c r="IM36" s="257"/>
      <c r="IN36" s="257"/>
      <c r="IO36" s="257"/>
      <c r="IP36" s="257"/>
      <c r="IQ36" s="257"/>
      <c r="IR36" s="257"/>
      <c r="IS36" s="257"/>
      <c r="IT36" s="257"/>
      <c r="IU36" s="257"/>
      <c r="IV36" s="257"/>
      <c r="IW36" s="257"/>
      <c r="IX36" s="257"/>
      <c r="IY36" s="257"/>
      <c r="IZ36" s="257"/>
      <c r="JA36" s="257"/>
      <c r="JB36" s="257"/>
      <c r="JC36" s="257"/>
      <c r="JD36" s="257"/>
      <c r="JE36" s="257"/>
      <c r="JF36" s="238"/>
      <c r="JG36" s="238"/>
      <c r="JH36" s="238"/>
      <c r="JI36" s="238"/>
      <c r="JJ36" s="238"/>
      <c r="JK36" s="238"/>
      <c r="JL36" s="238"/>
      <c r="JM36" s="238"/>
      <c r="JN36" s="238"/>
      <c r="JO36" s="238"/>
      <c r="JP36" s="238"/>
      <c r="JQ36" s="238"/>
      <c r="JR36" s="238"/>
      <c r="JS36" s="238"/>
      <c r="JT36" s="238"/>
      <c r="JU36" s="238"/>
      <c r="JV36" s="238"/>
      <c r="JW36" s="238"/>
      <c r="JX36" s="238"/>
      <c r="JY36" s="238"/>
      <c r="JZ36" s="238"/>
      <c r="KA36" s="238"/>
      <c r="KB36" s="238"/>
      <c r="KC36" s="238"/>
      <c r="KD36" s="238"/>
      <c r="KE36" s="238"/>
      <c r="KF36" s="238"/>
      <c r="KG36" s="238"/>
      <c r="KH36" s="238"/>
      <c r="KI36" s="238"/>
      <c r="KJ36" s="238"/>
      <c r="KK36" s="238"/>
      <c r="KL36" s="238"/>
      <c r="KM36" s="238"/>
      <c r="KN36" s="238"/>
      <c r="KO36" s="238"/>
      <c r="KP36" s="238"/>
      <c r="KQ36" s="238"/>
      <c r="KR36" s="238"/>
      <c r="KS36" s="238"/>
      <c r="KT36" s="238"/>
      <c r="KU36" s="238"/>
      <c r="KV36" s="238"/>
      <c r="KW36" s="238"/>
      <c r="KX36" s="238"/>
      <c r="KY36" s="238"/>
      <c r="KZ36" s="238"/>
      <c r="LA36" s="238"/>
      <c r="LB36" s="238"/>
      <c r="LC36" s="238"/>
      <c r="LD36" s="238"/>
      <c r="LE36" s="238"/>
      <c r="LF36" s="238"/>
      <c r="LG36" s="238"/>
      <c r="LH36" s="238"/>
      <c r="LI36" s="238"/>
      <c r="LJ36" s="238"/>
      <c r="LK36" s="238"/>
      <c r="LL36" s="238"/>
      <c r="LM36" s="238"/>
      <c r="LN36" s="238"/>
      <c r="LO36" s="238"/>
      <c r="LP36" s="238"/>
      <c r="LQ36" s="238"/>
      <c r="LR36" s="238"/>
      <c r="LS36" s="238"/>
      <c r="LT36" s="238"/>
      <c r="LU36" s="238"/>
      <c r="LV36" s="238"/>
      <c r="LW36" s="238"/>
      <c r="LX36" s="238"/>
      <c r="LY36" s="238"/>
      <c r="LZ36" s="238"/>
      <c r="MA36" s="238"/>
      <c r="MB36" s="238"/>
      <c r="MC36" s="238"/>
      <c r="MD36" s="238"/>
      <c r="ME36" s="238"/>
      <c r="MF36" s="238"/>
      <c r="MG36" s="238"/>
      <c r="MH36" s="238"/>
      <c r="MI36" s="238"/>
      <c r="MJ36" s="238"/>
      <c r="MK36" s="238"/>
      <c r="ML36" s="238"/>
    </row>
    <row r="37" ht="18.75" customHeight="1">
      <c r="A37" s="283"/>
      <c r="B37" s="234" t="str">
        <f>'Building Bill of Materials_SLIM'!P37</f>
        <v/>
      </c>
      <c r="C37" s="234" t="str">
        <f>'Building Bill of Materials_SLIM'!Q37</f>
        <v/>
      </c>
      <c r="D37" s="234" t="str">
        <f>'Building Bill of Materials_SLIM'!R37</f>
        <v/>
      </c>
      <c r="E37" s="234" t="str">
        <f>'Building Bill of Materials_SLIM'!S37</f>
        <v/>
      </c>
      <c r="F37" s="234"/>
      <c r="G37" s="234"/>
      <c r="H37" s="234"/>
      <c r="I37" s="234"/>
      <c r="J37" s="234" t="str">
        <f>'Building Bill of Materials_SLIM'!V37</f>
        <v/>
      </c>
      <c r="K37" s="238"/>
      <c r="L37" s="238"/>
      <c r="M37" s="238"/>
      <c r="N37" s="238"/>
      <c r="O37" s="238"/>
      <c r="P37" s="238"/>
      <c r="Q37" s="238"/>
      <c r="R37" s="238"/>
      <c r="S37" s="238"/>
      <c r="T37" s="238"/>
      <c r="U37" s="238"/>
      <c r="V37" s="238"/>
      <c r="W37" s="238"/>
      <c r="X37" s="238"/>
      <c r="Y37" s="238"/>
      <c r="Z37" s="238"/>
      <c r="AA37" s="192"/>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7"/>
      <c r="BI37" s="257"/>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57"/>
      <c r="CF37" s="257"/>
      <c r="CG37" s="238"/>
      <c r="CH37" s="238"/>
      <c r="CI37" s="238"/>
      <c r="CJ37" s="238"/>
      <c r="CK37" s="238"/>
      <c r="CL37" s="238"/>
      <c r="CM37" s="238"/>
      <c r="CN37" s="238"/>
      <c r="CO37" s="238"/>
      <c r="CP37" s="238"/>
      <c r="CQ37" s="238"/>
      <c r="CR37" s="238"/>
      <c r="CS37" s="238"/>
      <c r="CT37" s="238"/>
      <c r="CU37" s="238"/>
      <c r="CV37" s="238"/>
      <c r="CW37" s="238"/>
      <c r="CX37" s="238"/>
      <c r="CY37" s="238"/>
      <c r="CZ37" s="238"/>
      <c r="DA37" s="238"/>
      <c r="DB37" s="238"/>
      <c r="DC37" s="238"/>
      <c r="DD37" s="238"/>
      <c r="DE37" s="238"/>
      <c r="DF37" s="238"/>
      <c r="DG37" s="257"/>
      <c r="DH37" s="238"/>
      <c r="DI37" s="238"/>
      <c r="DJ37" s="238"/>
      <c r="DK37" s="238"/>
      <c r="DL37" s="238"/>
      <c r="DM37" s="238"/>
      <c r="DN37" s="238"/>
      <c r="DO37" s="238"/>
      <c r="DP37" s="238"/>
      <c r="DQ37" s="238"/>
      <c r="DR37" s="238"/>
      <c r="DS37" s="238"/>
      <c r="DT37" s="238"/>
      <c r="DU37" s="238"/>
      <c r="DV37" s="238"/>
      <c r="DW37" s="238"/>
      <c r="DX37" s="238"/>
      <c r="DY37" s="238"/>
      <c r="DZ37" s="238"/>
      <c r="EA37" s="238"/>
      <c r="EB37" s="238"/>
      <c r="EC37" s="238"/>
      <c r="ED37" s="238"/>
      <c r="EE37" s="238"/>
      <c r="EF37" s="238"/>
      <c r="EG37" s="238"/>
      <c r="EH37" s="238"/>
      <c r="EI37" s="238"/>
      <c r="EJ37" s="238"/>
      <c r="EK37" s="238"/>
      <c r="EL37" s="238"/>
      <c r="EM37" s="238"/>
      <c r="EN37" s="238"/>
      <c r="EO37" s="238"/>
      <c r="EP37" s="238"/>
      <c r="EQ37" s="238"/>
      <c r="ER37" s="238"/>
      <c r="ES37" s="238"/>
      <c r="ET37" s="238"/>
      <c r="EU37" s="238"/>
      <c r="EV37" s="238"/>
      <c r="EW37" s="238"/>
      <c r="EX37" s="238"/>
      <c r="EY37" s="238"/>
      <c r="EZ37" s="238"/>
      <c r="FA37" s="238"/>
      <c r="FB37" s="238"/>
      <c r="FC37" s="238"/>
      <c r="FD37" s="238"/>
      <c r="FE37" s="238"/>
      <c r="FF37" s="238"/>
      <c r="FG37" s="238"/>
      <c r="FH37" s="257"/>
      <c r="FI37" s="257"/>
      <c r="FJ37" s="257"/>
      <c r="FK37" s="257"/>
      <c r="FL37" s="257"/>
      <c r="FM37" s="257"/>
      <c r="FN37" s="257"/>
      <c r="FO37" s="257"/>
      <c r="FP37" s="257"/>
      <c r="FQ37" s="257"/>
      <c r="FR37" s="257"/>
      <c r="FS37" s="257"/>
      <c r="FT37" s="257"/>
      <c r="FU37" s="257"/>
      <c r="FV37" s="257"/>
      <c r="FW37" s="257"/>
      <c r="FX37" s="257"/>
      <c r="FY37" s="238"/>
      <c r="FZ37" s="238"/>
      <c r="GA37" s="238"/>
      <c r="GB37" s="238"/>
      <c r="GC37" s="238"/>
      <c r="GD37" s="238"/>
      <c r="GE37" s="238"/>
      <c r="GF37" s="238"/>
      <c r="GG37" s="238"/>
      <c r="GH37" s="238"/>
      <c r="GI37" s="238"/>
      <c r="GJ37" s="238"/>
      <c r="GK37" s="238"/>
      <c r="GL37" s="238"/>
      <c r="GM37" s="238"/>
      <c r="GN37" s="238"/>
      <c r="GO37" s="238"/>
      <c r="GP37" s="238"/>
      <c r="GQ37" s="238"/>
      <c r="GR37" s="238"/>
      <c r="GS37" s="238"/>
      <c r="GT37" s="238"/>
      <c r="GU37" s="238"/>
      <c r="GV37" s="238"/>
      <c r="GW37" s="238"/>
      <c r="GX37" s="238"/>
      <c r="GY37" s="238"/>
      <c r="GZ37" s="238"/>
      <c r="HA37" s="238"/>
      <c r="HB37" s="238"/>
      <c r="HC37" s="238"/>
      <c r="HD37" s="238"/>
      <c r="HE37" s="238"/>
      <c r="HF37" s="238"/>
      <c r="HG37" s="238"/>
      <c r="HH37" s="238"/>
      <c r="HI37" s="238"/>
      <c r="HJ37" s="238"/>
      <c r="HK37" s="238"/>
      <c r="HL37" s="238"/>
      <c r="HM37" s="238"/>
      <c r="HN37" s="238"/>
      <c r="HO37" s="238"/>
      <c r="HP37" s="238"/>
      <c r="HQ37" s="238"/>
      <c r="HR37" s="238"/>
      <c r="HS37" s="238"/>
      <c r="HT37" s="238"/>
      <c r="HU37" s="238"/>
      <c r="HV37" s="238"/>
      <c r="HW37" s="238"/>
      <c r="HX37" s="257"/>
      <c r="HY37" s="257"/>
      <c r="HZ37" s="257"/>
      <c r="IA37" s="257"/>
      <c r="IB37" s="257"/>
      <c r="IC37" s="257"/>
      <c r="ID37" s="257"/>
      <c r="IE37" s="257"/>
      <c r="IF37" s="257"/>
      <c r="IG37" s="257"/>
      <c r="IH37" s="257"/>
      <c r="II37" s="257"/>
      <c r="IJ37" s="257"/>
      <c r="IK37" s="257"/>
      <c r="IL37" s="257"/>
      <c r="IM37" s="257"/>
      <c r="IN37" s="257"/>
      <c r="IO37" s="257"/>
      <c r="IP37" s="257"/>
      <c r="IQ37" s="257"/>
      <c r="IR37" s="257"/>
      <c r="IS37" s="257"/>
      <c r="IT37" s="257"/>
      <c r="IU37" s="257"/>
      <c r="IV37" s="257"/>
      <c r="IW37" s="257"/>
      <c r="IX37" s="257"/>
      <c r="IY37" s="257"/>
      <c r="IZ37" s="257"/>
      <c r="JA37" s="257"/>
      <c r="JB37" s="257"/>
      <c r="JC37" s="257"/>
      <c r="JD37" s="257"/>
      <c r="JE37" s="257"/>
      <c r="JF37" s="238"/>
      <c r="JG37" s="238"/>
      <c r="JH37" s="238"/>
      <c r="JI37" s="238"/>
      <c r="JJ37" s="238"/>
      <c r="JK37" s="238"/>
      <c r="JL37" s="238"/>
      <c r="JM37" s="238"/>
      <c r="JN37" s="238"/>
      <c r="JO37" s="238"/>
      <c r="JP37" s="238"/>
      <c r="JQ37" s="238"/>
      <c r="JR37" s="238"/>
      <c r="JS37" s="238"/>
      <c r="JT37" s="238"/>
      <c r="JU37" s="238"/>
      <c r="JV37" s="238"/>
      <c r="JW37" s="238"/>
      <c r="JX37" s="238"/>
      <c r="JY37" s="238"/>
      <c r="JZ37" s="238"/>
      <c r="KA37" s="238"/>
      <c r="KB37" s="238"/>
      <c r="KC37" s="238"/>
      <c r="KD37" s="238"/>
      <c r="KE37" s="238"/>
      <c r="KF37" s="238"/>
      <c r="KG37" s="238"/>
      <c r="KH37" s="238"/>
      <c r="KI37" s="238"/>
      <c r="KJ37" s="238"/>
      <c r="KK37" s="238"/>
      <c r="KL37" s="238"/>
      <c r="KM37" s="238"/>
      <c r="KN37" s="238"/>
      <c r="KO37" s="238"/>
      <c r="KP37" s="238"/>
      <c r="KQ37" s="238"/>
      <c r="KR37" s="238"/>
      <c r="KS37" s="238"/>
      <c r="KT37" s="238"/>
      <c r="KU37" s="238"/>
      <c r="KV37" s="238"/>
      <c r="KW37" s="238"/>
      <c r="KX37" s="238"/>
      <c r="KY37" s="238"/>
      <c r="KZ37" s="238"/>
      <c r="LA37" s="238"/>
      <c r="LB37" s="238"/>
      <c r="LC37" s="238"/>
      <c r="LD37" s="238"/>
      <c r="LE37" s="238"/>
      <c r="LF37" s="238"/>
      <c r="LG37" s="238"/>
      <c r="LH37" s="238"/>
      <c r="LI37" s="238"/>
      <c r="LJ37" s="238"/>
      <c r="LK37" s="238"/>
      <c r="LL37" s="238"/>
      <c r="LM37" s="238"/>
      <c r="LN37" s="238"/>
      <c r="LO37" s="238"/>
      <c r="LP37" s="238"/>
      <c r="LQ37" s="238"/>
      <c r="LR37" s="238"/>
      <c r="LS37" s="238"/>
      <c r="LT37" s="238"/>
      <c r="LU37" s="238"/>
      <c r="LV37" s="238"/>
      <c r="LW37" s="238"/>
      <c r="LX37" s="238"/>
      <c r="LY37" s="238"/>
      <c r="LZ37" s="238"/>
      <c r="MA37" s="238"/>
      <c r="MB37" s="238"/>
      <c r="MC37" s="238"/>
      <c r="MD37" s="238"/>
      <c r="ME37" s="238"/>
      <c r="MF37" s="238"/>
      <c r="MG37" s="238"/>
      <c r="MH37" s="238"/>
      <c r="MI37" s="238"/>
      <c r="MJ37" s="238"/>
      <c r="MK37" s="238"/>
      <c r="ML37" s="238"/>
    </row>
    <row r="38" ht="18.75" customHeight="1">
      <c r="A38" s="283"/>
      <c r="B38" s="234" t="str">
        <f>'Building Bill of Materials_SLIM'!P38</f>
        <v/>
      </c>
      <c r="C38" s="234" t="str">
        <f>'Building Bill of Materials_SLIM'!Q38</f>
        <v/>
      </c>
      <c r="D38" s="234" t="str">
        <f>'Building Bill of Materials_SLIM'!R38</f>
        <v/>
      </c>
      <c r="E38" s="234" t="str">
        <f>'Building Bill of Materials_SLIM'!S38</f>
        <v/>
      </c>
      <c r="F38" s="234"/>
      <c r="G38" s="234"/>
      <c r="H38" s="234"/>
      <c r="I38" s="234"/>
      <c r="J38" s="234" t="str">
        <f>'Building Bill of Materials_SLIM'!V38</f>
        <v/>
      </c>
      <c r="K38" s="238"/>
      <c r="L38" s="238"/>
      <c r="M38" s="238"/>
      <c r="N38" s="238"/>
      <c r="O38" s="238"/>
      <c r="P38" s="238"/>
      <c r="Q38" s="238"/>
      <c r="R38" s="238"/>
      <c r="S38" s="238"/>
      <c r="T38" s="238"/>
      <c r="U38" s="238"/>
      <c r="V38" s="238"/>
      <c r="W38" s="238"/>
      <c r="X38" s="238"/>
      <c r="Y38" s="238"/>
      <c r="Z38" s="238"/>
      <c r="AA38" s="192"/>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57"/>
      <c r="CF38" s="257"/>
      <c r="CG38" s="238"/>
      <c r="CH38" s="238"/>
      <c r="CI38" s="238"/>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57"/>
      <c r="DH38" s="238"/>
      <c r="DI38" s="238"/>
      <c r="DJ38" s="238"/>
      <c r="DK38" s="238"/>
      <c r="DL38" s="238"/>
      <c r="DM38" s="238"/>
      <c r="DN38" s="238"/>
      <c r="DO38" s="238"/>
      <c r="DP38" s="238"/>
      <c r="DQ38" s="238"/>
      <c r="DR38" s="238"/>
      <c r="DS38" s="238"/>
      <c r="DT38" s="238"/>
      <c r="DU38" s="238"/>
      <c r="DV38" s="238"/>
      <c r="DW38" s="238"/>
      <c r="DX38" s="238"/>
      <c r="DY38" s="238"/>
      <c r="DZ38" s="238"/>
      <c r="EA38" s="238"/>
      <c r="EB38" s="238"/>
      <c r="EC38" s="238"/>
      <c r="ED38" s="238"/>
      <c r="EE38" s="238"/>
      <c r="EF38" s="238"/>
      <c r="EG38" s="238"/>
      <c r="EH38" s="238"/>
      <c r="EI38" s="238"/>
      <c r="EJ38" s="238"/>
      <c r="EK38" s="238"/>
      <c r="EL38" s="238"/>
      <c r="EM38" s="238"/>
      <c r="EN38" s="238"/>
      <c r="EO38" s="238"/>
      <c r="EP38" s="238"/>
      <c r="EQ38" s="238"/>
      <c r="ER38" s="238"/>
      <c r="ES38" s="238"/>
      <c r="ET38" s="238"/>
      <c r="EU38" s="238"/>
      <c r="EV38" s="238"/>
      <c r="EW38" s="238"/>
      <c r="EX38" s="238"/>
      <c r="EY38" s="238"/>
      <c r="EZ38" s="238"/>
      <c r="FA38" s="238"/>
      <c r="FB38" s="238"/>
      <c r="FC38" s="238"/>
      <c r="FD38" s="238"/>
      <c r="FE38" s="238"/>
      <c r="FF38" s="238"/>
      <c r="FG38" s="238"/>
      <c r="FH38" s="257"/>
      <c r="FI38" s="257"/>
      <c r="FJ38" s="257"/>
      <c r="FK38" s="257"/>
      <c r="FL38" s="257"/>
      <c r="FM38" s="257"/>
      <c r="FN38" s="257"/>
      <c r="FO38" s="257"/>
      <c r="FP38" s="257"/>
      <c r="FQ38" s="257"/>
      <c r="FR38" s="257"/>
      <c r="FS38" s="257"/>
      <c r="FT38" s="257"/>
      <c r="FU38" s="257"/>
      <c r="FV38" s="257"/>
      <c r="FW38" s="257"/>
      <c r="FX38" s="257"/>
      <c r="FY38" s="238"/>
      <c r="FZ38" s="238"/>
      <c r="GA38" s="238"/>
      <c r="GB38" s="238"/>
      <c r="GC38" s="238"/>
      <c r="GD38" s="238"/>
      <c r="GE38" s="238"/>
      <c r="GF38" s="238"/>
      <c r="GG38" s="238"/>
      <c r="GH38" s="238"/>
      <c r="GI38" s="238"/>
      <c r="GJ38" s="238"/>
      <c r="GK38" s="238"/>
      <c r="GL38" s="238"/>
      <c r="GM38" s="238"/>
      <c r="GN38" s="238"/>
      <c r="GO38" s="238"/>
      <c r="GP38" s="238"/>
      <c r="GQ38" s="238"/>
      <c r="GR38" s="238"/>
      <c r="GS38" s="238"/>
      <c r="GT38" s="238"/>
      <c r="GU38" s="238"/>
      <c r="GV38" s="238"/>
      <c r="GW38" s="238"/>
      <c r="GX38" s="238"/>
      <c r="GY38" s="238"/>
      <c r="GZ38" s="238"/>
      <c r="HA38" s="238"/>
      <c r="HB38" s="238"/>
      <c r="HC38" s="238"/>
      <c r="HD38" s="238"/>
      <c r="HE38" s="238"/>
      <c r="HF38" s="238"/>
      <c r="HG38" s="238"/>
      <c r="HH38" s="238"/>
      <c r="HI38" s="238"/>
      <c r="HJ38" s="238"/>
      <c r="HK38" s="238"/>
      <c r="HL38" s="238"/>
      <c r="HM38" s="238"/>
      <c r="HN38" s="238"/>
      <c r="HO38" s="238"/>
      <c r="HP38" s="238"/>
      <c r="HQ38" s="238"/>
      <c r="HR38" s="238"/>
      <c r="HS38" s="238"/>
      <c r="HT38" s="238"/>
      <c r="HU38" s="238"/>
      <c r="HV38" s="238"/>
      <c r="HW38" s="238"/>
      <c r="HX38" s="257"/>
      <c r="HY38" s="257"/>
      <c r="HZ38" s="257"/>
      <c r="IA38" s="257"/>
      <c r="IB38" s="257"/>
      <c r="IC38" s="257"/>
      <c r="ID38" s="257"/>
      <c r="IE38" s="257"/>
      <c r="IF38" s="257"/>
      <c r="IG38" s="257"/>
      <c r="IH38" s="257"/>
      <c r="II38" s="257"/>
      <c r="IJ38" s="257"/>
      <c r="IK38" s="257"/>
      <c r="IL38" s="257"/>
      <c r="IM38" s="257"/>
      <c r="IN38" s="257"/>
      <c r="IO38" s="257"/>
      <c r="IP38" s="257"/>
      <c r="IQ38" s="257"/>
      <c r="IR38" s="257"/>
      <c r="IS38" s="257"/>
      <c r="IT38" s="257"/>
      <c r="IU38" s="257"/>
      <c r="IV38" s="257"/>
      <c r="IW38" s="257"/>
      <c r="IX38" s="257"/>
      <c r="IY38" s="257"/>
      <c r="IZ38" s="257"/>
      <c r="JA38" s="257"/>
      <c r="JB38" s="257"/>
      <c r="JC38" s="257"/>
      <c r="JD38" s="257"/>
      <c r="JE38" s="257"/>
      <c r="JF38" s="238"/>
      <c r="JG38" s="238"/>
      <c r="JH38" s="238"/>
      <c r="JI38" s="238"/>
      <c r="JJ38" s="238"/>
      <c r="JK38" s="238"/>
      <c r="JL38" s="238"/>
      <c r="JM38" s="238"/>
      <c r="JN38" s="238"/>
      <c r="JO38" s="238"/>
      <c r="JP38" s="238"/>
      <c r="JQ38" s="238"/>
      <c r="JR38" s="238"/>
      <c r="JS38" s="238"/>
      <c r="JT38" s="238"/>
      <c r="JU38" s="238"/>
      <c r="JV38" s="238"/>
      <c r="JW38" s="238"/>
      <c r="JX38" s="238"/>
      <c r="JY38" s="238"/>
      <c r="JZ38" s="238"/>
      <c r="KA38" s="238"/>
      <c r="KB38" s="238"/>
      <c r="KC38" s="238"/>
      <c r="KD38" s="238"/>
      <c r="KE38" s="238"/>
      <c r="KF38" s="238"/>
      <c r="KG38" s="238"/>
      <c r="KH38" s="238"/>
      <c r="KI38" s="238"/>
      <c r="KJ38" s="238"/>
      <c r="KK38" s="238"/>
      <c r="KL38" s="238"/>
      <c r="KM38" s="238"/>
      <c r="KN38" s="238"/>
      <c r="KO38" s="238"/>
      <c r="KP38" s="238"/>
      <c r="KQ38" s="238"/>
      <c r="KR38" s="238"/>
      <c r="KS38" s="238"/>
      <c r="KT38" s="238"/>
      <c r="KU38" s="238"/>
      <c r="KV38" s="238"/>
      <c r="KW38" s="238"/>
      <c r="KX38" s="238"/>
      <c r="KY38" s="238"/>
      <c r="KZ38" s="238"/>
      <c r="LA38" s="238"/>
      <c r="LB38" s="238"/>
      <c r="LC38" s="238"/>
      <c r="LD38" s="238"/>
      <c r="LE38" s="238"/>
      <c r="LF38" s="238"/>
      <c r="LG38" s="238"/>
      <c r="LH38" s="238"/>
      <c r="LI38" s="238"/>
      <c r="LJ38" s="238"/>
      <c r="LK38" s="238"/>
      <c r="LL38" s="238"/>
      <c r="LM38" s="238"/>
      <c r="LN38" s="238"/>
      <c r="LO38" s="238"/>
      <c r="LP38" s="238"/>
      <c r="LQ38" s="238"/>
      <c r="LR38" s="238"/>
      <c r="LS38" s="238"/>
      <c r="LT38" s="238"/>
      <c r="LU38" s="238"/>
      <c r="LV38" s="238"/>
      <c r="LW38" s="238"/>
      <c r="LX38" s="238"/>
      <c r="LY38" s="238"/>
      <c r="LZ38" s="238"/>
      <c r="MA38" s="238"/>
      <c r="MB38" s="238"/>
      <c r="MC38" s="238"/>
      <c r="MD38" s="238"/>
      <c r="ME38" s="238"/>
      <c r="MF38" s="238"/>
      <c r="MG38" s="238"/>
      <c r="MH38" s="238"/>
      <c r="MI38" s="238"/>
      <c r="MJ38" s="238"/>
      <c r="MK38" s="238"/>
      <c r="ML38" s="238"/>
    </row>
    <row r="39" ht="18.75" customHeight="1">
      <c r="A39" s="283"/>
      <c r="B39" s="234" t="str">
        <f>'Building Bill of Materials_SLIM'!P39</f>
        <v/>
      </c>
      <c r="C39" s="234" t="str">
        <f>'Building Bill of Materials_SLIM'!Q39</f>
        <v/>
      </c>
      <c r="D39" s="234" t="str">
        <f>'Building Bill of Materials_SLIM'!R39</f>
        <v/>
      </c>
      <c r="E39" s="234" t="str">
        <f>'Building Bill of Materials_SLIM'!S39</f>
        <v/>
      </c>
      <c r="F39" s="234"/>
      <c r="G39" s="234"/>
      <c r="H39" s="234"/>
      <c r="I39" s="234"/>
      <c r="J39" s="234" t="str">
        <f>'Building Bill of Materials_SLIM'!V39</f>
        <v/>
      </c>
      <c r="K39" s="238"/>
      <c r="L39" s="238"/>
      <c r="M39" s="238"/>
      <c r="N39" s="238"/>
      <c r="O39" s="238"/>
      <c r="P39" s="238"/>
      <c r="Q39" s="238"/>
      <c r="R39" s="238"/>
      <c r="S39" s="238"/>
      <c r="T39" s="238"/>
      <c r="U39" s="238"/>
      <c r="V39" s="238"/>
      <c r="W39" s="238"/>
      <c r="X39" s="238"/>
      <c r="Y39" s="238"/>
      <c r="Z39" s="238"/>
      <c r="AA39" s="192"/>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38"/>
      <c r="BK39" s="238"/>
      <c r="BL39" s="238"/>
      <c r="BM39" s="238"/>
      <c r="BN39" s="238"/>
      <c r="BO39" s="238"/>
      <c r="BP39" s="238"/>
      <c r="BQ39" s="238"/>
      <c r="BR39" s="238"/>
      <c r="BS39" s="238"/>
      <c r="BT39" s="238"/>
      <c r="BU39" s="238"/>
      <c r="BV39" s="238"/>
      <c r="BW39" s="238"/>
      <c r="BX39" s="238"/>
      <c r="BY39" s="238"/>
      <c r="BZ39" s="238"/>
      <c r="CA39" s="238"/>
      <c r="CB39" s="238"/>
      <c r="CC39" s="238"/>
      <c r="CD39" s="238"/>
      <c r="CE39" s="257"/>
      <c r="CF39" s="257"/>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57"/>
      <c r="DH39" s="238"/>
      <c r="DI39" s="238"/>
      <c r="DJ39" s="238"/>
      <c r="DK39" s="238"/>
      <c r="DL39" s="238"/>
      <c r="DM39" s="238"/>
      <c r="DN39" s="238"/>
      <c r="DO39" s="238"/>
      <c r="DP39" s="238"/>
      <c r="DQ39" s="238"/>
      <c r="DR39" s="238"/>
      <c r="DS39" s="238"/>
      <c r="DT39" s="238"/>
      <c r="DU39" s="238"/>
      <c r="DV39" s="238"/>
      <c r="DW39" s="238"/>
      <c r="DX39" s="238"/>
      <c r="DY39" s="238"/>
      <c r="DZ39" s="238"/>
      <c r="EA39" s="238"/>
      <c r="EB39" s="238"/>
      <c r="EC39" s="238"/>
      <c r="ED39" s="238"/>
      <c r="EE39" s="238"/>
      <c r="EF39" s="238"/>
      <c r="EG39" s="238"/>
      <c r="EH39" s="238"/>
      <c r="EI39" s="238"/>
      <c r="EJ39" s="238"/>
      <c r="EK39" s="238"/>
      <c r="EL39" s="238"/>
      <c r="EM39" s="238"/>
      <c r="EN39" s="238"/>
      <c r="EO39" s="238"/>
      <c r="EP39" s="238"/>
      <c r="EQ39" s="238"/>
      <c r="ER39" s="238"/>
      <c r="ES39" s="238"/>
      <c r="ET39" s="238"/>
      <c r="EU39" s="238"/>
      <c r="EV39" s="238"/>
      <c r="EW39" s="238"/>
      <c r="EX39" s="238"/>
      <c r="EY39" s="238"/>
      <c r="EZ39" s="238"/>
      <c r="FA39" s="238"/>
      <c r="FB39" s="238"/>
      <c r="FC39" s="238"/>
      <c r="FD39" s="238"/>
      <c r="FE39" s="238"/>
      <c r="FF39" s="238"/>
      <c r="FG39" s="238"/>
      <c r="FH39" s="257"/>
      <c r="FI39" s="257"/>
      <c r="FJ39" s="257"/>
      <c r="FK39" s="257"/>
      <c r="FL39" s="257"/>
      <c r="FM39" s="257"/>
      <c r="FN39" s="257"/>
      <c r="FO39" s="257"/>
      <c r="FP39" s="257"/>
      <c r="FQ39" s="257"/>
      <c r="FR39" s="257"/>
      <c r="FS39" s="257"/>
      <c r="FT39" s="257"/>
      <c r="FU39" s="257"/>
      <c r="FV39" s="257"/>
      <c r="FW39" s="257"/>
      <c r="FX39" s="257"/>
      <c r="FY39" s="238"/>
      <c r="FZ39" s="238"/>
      <c r="GA39" s="238"/>
      <c r="GB39" s="238"/>
      <c r="GC39" s="238"/>
      <c r="GD39" s="238"/>
      <c r="GE39" s="238"/>
      <c r="GF39" s="238"/>
      <c r="GG39" s="238"/>
      <c r="GH39" s="238"/>
      <c r="GI39" s="238"/>
      <c r="GJ39" s="238"/>
      <c r="GK39" s="238"/>
      <c r="GL39" s="238"/>
      <c r="GM39" s="238"/>
      <c r="GN39" s="238"/>
      <c r="GO39" s="238"/>
      <c r="GP39" s="238"/>
      <c r="GQ39" s="238"/>
      <c r="GR39" s="238"/>
      <c r="GS39" s="238"/>
      <c r="GT39" s="238"/>
      <c r="GU39" s="238"/>
      <c r="GV39" s="238"/>
      <c r="GW39" s="238"/>
      <c r="GX39" s="238"/>
      <c r="GY39" s="238"/>
      <c r="GZ39" s="238"/>
      <c r="HA39" s="238"/>
      <c r="HB39" s="238"/>
      <c r="HC39" s="238"/>
      <c r="HD39" s="238"/>
      <c r="HE39" s="238"/>
      <c r="HF39" s="238"/>
      <c r="HG39" s="238"/>
      <c r="HH39" s="238"/>
      <c r="HI39" s="238"/>
      <c r="HJ39" s="238"/>
      <c r="HK39" s="238"/>
      <c r="HL39" s="238"/>
      <c r="HM39" s="238"/>
      <c r="HN39" s="238"/>
      <c r="HO39" s="238"/>
      <c r="HP39" s="238"/>
      <c r="HQ39" s="238"/>
      <c r="HR39" s="238"/>
      <c r="HS39" s="238"/>
      <c r="HT39" s="238"/>
      <c r="HU39" s="238"/>
      <c r="HV39" s="238"/>
      <c r="HW39" s="238"/>
      <c r="HX39" s="257"/>
      <c r="HY39" s="257"/>
      <c r="HZ39" s="257"/>
      <c r="IA39" s="257"/>
      <c r="IB39" s="257"/>
      <c r="IC39" s="257"/>
      <c r="ID39" s="257"/>
      <c r="IE39" s="257"/>
      <c r="IF39" s="257"/>
      <c r="IG39" s="257"/>
      <c r="IH39" s="257"/>
      <c r="II39" s="257"/>
      <c r="IJ39" s="257"/>
      <c r="IK39" s="257"/>
      <c r="IL39" s="257"/>
      <c r="IM39" s="257"/>
      <c r="IN39" s="257"/>
      <c r="IO39" s="257"/>
      <c r="IP39" s="257"/>
      <c r="IQ39" s="257"/>
      <c r="IR39" s="257"/>
      <c r="IS39" s="257"/>
      <c r="IT39" s="257"/>
      <c r="IU39" s="257"/>
      <c r="IV39" s="257"/>
      <c r="IW39" s="257"/>
      <c r="IX39" s="257"/>
      <c r="IY39" s="257"/>
      <c r="IZ39" s="257"/>
      <c r="JA39" s="257"/>
      <c r="JB39" s="257"/>
      <c r="JC39" s="257"/>
      <c r="JD39" s="257"/>
      <c r="JE39" s="257"/>
      <c r="JF39" s="238"/>
      <c r="JG39" s="238"/>
      <c r="JH39" s="238"/>
      <c r="JI39" s="238"/>
      <c r="JJ39" s="238"/>
      <c r="JK39" s="238"/>
      <c r="JL39" s="238"/>
      <c r="JM39" s="238"/>
      <c r="JN39" s="238"/>
      <c r="JO39" s="238"/>
      <c r="JP39" s="238"/>
      <c r="JQ39" s="238"/>
      <c r="JR39" s="238"/>
      <c r="JS39" s="238"/>
      <c r="JT39" s="238"/>
      <c r="JU39" s="238"/>
      <c r="JV39" s="238"/>
      <c r="JW39" s="238"/>
      <c r="JX39" s="238"/>
      <c r="JY39" s="238"/>
      <c r="JZ39" s="238"/>
      <c r="KA39" s="238"/>
      <c r="KB39" s="238"/>
      <c r="KC39" s="238"/>
      <c r="KD39" s="238"/>
      <c r="KE39" s="238"/>
      <c r="KF39" s="238"/>
      <c r="KG39" s="238"/>
      <c r="KH39" s="238"/>
      <c r="KI39" s="238"/>
      <c r="KJ39" s="238"/>
      <c r="KK39" s="238"/>
      <c r="KL39" s="238"/>
      <c r="KM39" s="238"/>
      <c r="KN39" s="238"/>
      <c r="KO39" s="238"/>
      <c r="KP39" s="238"/>
      <c r="KQ39" s="238"/>
      <c r="KR39" s="238"/>
      <c r="KS39" s="238"/>
      <c r="KT39" s="238"/>
      <c r="KU39" s="238"/>
      <c r="KV39" s="238"/>
      <c r="KW39" s="238"/>
      <c r="KX39" s="238"/>
      <c r="KY39" s="238"/>
      <c r="KZ39" s="238"/>
      <c r="LA39" s="238"/>
      <c r="LB39" s="238"/>
      <c r="LC39" s="238"/>
      <c r="LD39" s="238"/>
      <c r="LE39" s="238"/>
      <c r="LF39" s="238"/>
      <c r="LG39" s="238"/>
      <c r="LH39" s="238"/>
      <c r="LI39" s="238"/>
      <c r="LJ39" s="238"/>
      <c r="LK39" s="238"/>
      <c r="LL39" s="238"/>
      <c r="LM39" s="238"/>
      <c r="LN39" s="238"/>
      <c r="LO39" s="238"/>
      <c r="LP39" s="238"/>
      <c r="LQ39" s="238"/>
      <c r="LR39" s="238"/>
      <c r="LS39" s="238"/>
      <c r="LT39" s="238"/>
      <c r="LU39" s="238"/>
      <c r="LV39" s="238"/>
      <c r="LW39" s="238"/>
      <c r="LX39" s="238"/>
      <c r="LY39" s="238"/>
      <c r="LZ39" s="238"/>
      <c r="MA39" s="238"/>
      <c r="MB39" s="238"/>
      <c r="MC39" s="238"/>
      <c r="MD39" s="238"/>
      <c r="ME39" s="238"/>
      <c r="MF39" s="238"/>
      <c r="MG39" s="238"/>
      <c r="MH39" s="238"/>
      <c r="MI39" s="238"/>
      <c r="MJ39" s="238"/>
      <c r="MK39" s="238"/>
      <c r="ML39" s="238"/>
    </row>
    <row r="40" ht="18.75" customHeight="1">
      <c r="A40" s="283"/>
      <c r="B40" s="234" t="str">
        <f>'Building Bill of Materials_SLIM'!P40</f>
        <v/>
      </c>
      <c r="C40" s="234" t="str">
        <f>'Building Bill of Materials_SLIM'!Q40</f>
        <v/>
      </c>
      <c r="D40" s="234" t="str">
        <f>'Building Bill of Materials_SLIM'!R40</f>
        <v/>
      </c>
      <c r="E40" s="234" t="str">
        <f>'Building Bill of Materials_SLIM'!S40</f>
        <v/>
      </c>
      <c r="F40" s="234"/>
      <c r="G40" s="234"/>
      <c r="H40" s="234"/>
      <c r="I40" s="234"/>
      <c r="J40" s="234" t="str">
        <f>'Building Bill of Materials_SLIM'!V40</f>
        <v/>
      </c>
      <c r="K40" s="238"/>
      <c r="L40" s="238"/>
      <c r="M40" s="238"/>
      <c r="N40" s="238"/>
      <c r="O40" s="238"/>
      <c r="P40" s="238"/>
      <c r="Q40" s="238"/>
      <c r="R40" s="238"/>
      <c r="S40" s="238"/>
      <c r="T40" s="238"/>
      <c r="U40" s="238"/>
      <c r="V40" s="238"/>
      <c r="W40" s="238"/>
      <c r="X40" s="238"/>
      <c r="Y40" s="238"/>
      <c r="Z40" s="238"/>
      <c r="AA40" s="192"/>
      <c r="AB40" s="257"/>
      <c r="AC40" s="257"/>
      <c r="AD40" s="257"/>
      <c r="AE40" s="257"/>
      <c r="AF40" s="257"/>
      <c r="AG40" s="257"/>
      <c r="AH40" s="257"/>
      <c r="AI40" s="257"/>
      <c r="AJ40" s="257"/>
      <c r="AK40" s="257"/>
      <c r="AL40" s="257"/>
      <c r="AM40" s="257"/>
      <c r="AN40" s="257"/>
      <c r="AO40" s="257"/>
      <c r="AP40" s="257"/>
      <c r="AQ40" s="257"/>
      <c r="AR40" s="257"/>
      <c r="AS40" s="257"/>
      <c r="AT40" s="257"/>
      <c r="AU40" s="257"/>
      <c r="AV40" s="257"/>
      <c r="AW40" s="257"/>
      <c r="AX40" s="257"/>
      <c r="AY40" s="257"/>
      <c r="AZ40" s="257"/>
      <c r="BA40" s="257"/>
      <c r="BB40" s="257"/>
      <c r="BC40" s="257"/>
      <c r="BD40" s="257"/>
      <c r="BE40" s="257"/>
      <c r="BF40" s="257"/>
      <c r="BG40" s="257"/>
      <c r="BH40" s="257"/>
      <c r="BI40" s="257"/>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57"/>
      <c r="CF40" s="257"/>
      <c r="CG40" s="238"/>
      <c r="CH40" s="238"/>
      <c r="CI40" s="238"/>
      <c r="CJ40" s="238"/>
      <c r="CK40" s="238"/>
      <c r="CL40" s="238"/>
      <c r="CM40" s="238"/>
      <c r="CN40" s="238"/>
      <c r="CO40" s="238"/>
      <c r="CP40" s="238"/>
      <c r="CQ40" s="238"/>
      <c r="CR40" s="238"/>
      <c r="CS40" s="238"/>
      <c r="CT40" s="238"/>
      <c r="CU40" s="238"/>
      <c r="CV40" s="238"/>
      <c r="CW40" s="238"/>
      <c r="CX40" s="238"/>
      <c r="CY40" s="238"/>
      <c r="CZ40" s="238"/>
      <c r="DA40" s="238"/>
      <c r="DB40" s="238"/>
      <c r="DC40" s="238"/>
      <c r="DD40" s="238"/>
      <c r="DE40" s="238"/>
      <c r="DF40" s="238"/>
      <c r="DG40" s="257"/>
      <c r="DH40" s="238"/>
      <c r="DI40" s="238"/>
      <c r="DJ40" s="238"/>
      <c r="DK40" s="238"/>
      <c r="DL40" s="238"/>
      <c r="DM40" s="238"/>
      <c r="DN40" s="238"/>
      <c r="DO40" s="238"/>
      <c r="DP40" s="238"/>
      <c r="DQ40" s="238"/>
      <c r="DR40" s="238"/>
      <c r="DS40" s="238"/>
      <c r="DT40" s="238"/>
      <c r="DU40" s="238"/>
      <c r="DV40" s="238"/>
      <c r="DW40" s="238"/>
      <c r="DX40" s="238"/>
      <c r="DY40" s="238"/>
      <c r="DZ40" s="238"/>
      <c r="EA40" s="238"/>
      <c r="EB40" s="238"/>
      <c r="EC40" s="238"/>
      <c r="ED40" s="238"/>
      <c r="EE40" s="238"/>
      <c r="EF40" s="238"/>
      <c r="EG40" s="238"/>
      <c r="EH40" s="238"/>
      <c r="EI40" s="238"/>
      <c r="EJ40" s="238"/>
      <c r="EK40" s="238"/>
      <c r="EL40" s="238"/>
      <c r="EM40" s="238"/>
      <c r="EN40" s="238"/>
      <c r="EO40" s="238"/>
      <c r="EP40" s="238"/>
      <c r="EQ40" s="238"/>
      <c r="ER40" s="238"/>
      <c r="ES40" s="238"/>
      <c r="ET40" s="238"/>
      <c r="EU40" s="238"/>
      <c r="EV40" s="238"/>
      <c r="EW40" s="238"/>
      <c r="EX40" s="238"/>
      <c r="EY40" s="238"/>
      <c r="EZ40" s="238"/>
      <c r="FA40" s="238"/>
      <c r="FB40" s="238"/>
      <c r="FC40" s="238"/>
      <c r="FD40" s="238"/>
      <c r="FE40" s="238"/>
      <c r="FF40" s="238"/>
      <c r="FG40" s="238"/>
      <c r="FH40" s="257"/>
      <c r="FI40" s="257"/>
      <c r="FJ40" s="257"/>
      <c r="FK40" s="257"/>
      <c r="FL40" s="257"/>
      <c r="FM40" s="257"/>
      <c r="FN40" s="257"/>
      <c r="FO40" s="257"/>
      <c r="FP40" s="257"/>
      <c r="FQ40" s="257"/>
      <c r="FR40" s="257"/>
      <c r="FS40" s="257"/>
      <c r="FT40" s="257"/>
      <c r="FU40" s="257"/>
      <c r="FV40" s="257"/>
      <c r="FW40" s="257"/>
      <c r="FX40" s="257"/>
      <c r="FY40" s="238"/>
      <c r="FZ40" s="238"/>
      <c r="GA40" s="238"/>
      <c r="GB40" s="238"/>
      <c r="GC40" s="238"/>
      <c r="GD40" s="238"/>
      <c r="GE40" s="238"/>
      <c r="GF40" s="238"/>
      <c r="GG40" s="238"/>
      <c r="GH40" s="238"/>
      <c r="GI40" s="238"/>
      <c r="GJ40" s="238"/>
      <c r="GK40" s="238"/>
      <c r="GL40" s="238"/>
      <c r="GM40" s="238"/>
      <c r="GN40" s="238"/>
      <c r="GO40" s="238"/>
      <c r="GP40" s="238"/>
      <c r="GQ40" s="238"/>
      <c r="GR40" s="238"/>
      <c r="GS40" s="238"/>
      <c r="GT40" s="238"/>
      <c r="GU40" s="238"/>
      <c r="GV40" s="238"/>
      <c r="GW40" s="238"/>
      <c r="GX40" s="238"/>
      <c r="GY40" s="238"/>
      <c r="GZ40" s="238"/>
      <c r="HA40" s="238"/>
      <c r="HB40" s="238"/>
      <c r="HC40" s="238"/>
      <c r="HD40" s="238"/>
      <c r="HE40" s="238"/>
      <c r="HF40" s="238"/>
      <c r="HG40" s="238"/>
      <c r="HH40" s="238"/>
      <c r="HI40" s="238"/>
      <c r="HJ40" s="238"/>
      <c r="HK40" s="238"/>
      <c r="HL40" s="238"/>
      <c r="HM40" s="238"/>
      <c r="HN40" s="238"/>
      <c r="HO40" s="238"/>
      <c r="HP40" s="238"/>
      <c r="HQ40" s="238"/>
      <c r="HR40" s="238"/>
      <c r="HS40" s="238"/>
      <c r="HT40" s="238"/>
      <c r="HU40" s="238"/>
      <c r="HV40" s="238"/>
      <c r="HW40" s="238"/>
      <c r="HX40" s="257"/>
      <c r="HY40" s="257"/>
      <c r="HZ40" s="257"/>
      <c r="IA40" s="257"/>
      <c r="IB40" s="257"/>
      <c r="IC40" s="257"/>
      <c r="ID40" s="257"/>
      <c r="IE40" s="257"/>
      <c r="IF40" s="257"/>
      <c r="IG40" s="257"/>
      <c r="IH40" s="257"/>
      <c r="II40" s="257"/>
      <c r="IJ40" s="257"/>
      <c r="IK40" s="257"/>
      <c r="IL40" s="257"/>
      <c r="IM40" s="257"/>
      <c r="IN40" s="257"/>
      <c r="IO40" s="257"/>
      <c r="IP40" s="257"/>
      <c r="IQ40" s="257"/>
      <c r="IR40" s="257"/>
      <c r="IS40" s="257"/>
      <c r="IT40" s="257"/>
      <c r="IU40" s="257"/>
      <c r="IV40" s="257"/>
      <c r="IW40" s="257"/>
      <c r="IX40" s="257"/>
      <c r="IY40" s="257"/>
      <c r="IZ40" s="257"/>
      <c r="JA40" s="257"/>
      <c r="JB40" s="257"/>
      <c r="JC40" s="257"/>
      <c r="JD40" s="257"/>
      <c r="JE40" s="257"/>
      <c r="JF40" s="238"/>
      <c r="JG40" s="238"/>
      <c r="JH40" s="238"/>
      <c r="JI40" s="238"/>
      <c r="JJ40" s="238"/>
      <c r="JK40" s="238"/>
      <c r="JL40" s="238"/>
      <c r="JM40" s="238"/>
      <c r="JN40" s="238"/>
      <c r="JO40" s="238"/>
      <c r="JP40" s="238"/>
      <c r="JQ40" s="238"/>
      <c r="JR40" s="238"/>
      <c r="JS40" s="238"/>
      <c r="JT40" s="238"/>
      <c r="JU40" s="238"/>
      <c r="JV40" s="238"/>
      <c r="JW40" s="238"/>
      <c r="JX40" s="238"/>
      <c r="JY40" s="238"/>
      <c r="JZ40" s="238"/>
      <c r="KA40" s="238"/>
      <c r="KB40" s="238"/>
      <c r="KC40" s="238"/>
      <c r="KD40" s="238"/>
      <c r="KE40" s="238"/>
      <c r="KF40" s="238"/>
      <c r="KG40" s="238"/>
      <c r="KH40" s="238"/>
      <c r="KI40" s="238"/>
      <c r="KJ40" s="238"/>
      <c r="KK40" s="238"/>
      <c r="KL40" s="238"/>
      <c r="KM40" s="238"/>
      <c r="KN40" s="238"/>
      <c r="KO40" s="238"/>
      <c r="KP40" s="238"/>
      <c r="KQ40" s="238"/>
      <c r="KR40" s="238"/>
      <c r="KS40" s="238"/>
      <c r="KT40" s="238"/>
      <c r="KU40" s="238"/>
      <c r="KV40" s="238"/>
      <c r="KW40" s="238"/>
      <c r="KX40" s="238"/>
      <c r="KY40" s="238"/>
      <c r="KZ40" s="238"/>
      <c r="LA40" s="238"/>
      <c r="LB40" s="238"/>
      <c r="LC40" s="238"/>
      <c r="LD40" s="238"/>
      <c r="LE40" s="238"/>
      <c r="LF40" s="238"/>
      <c r="LG40" s="238"/>
      <c r="LH40" s="238"/>
      <c r="LI40" s="238"/>
      <c r="LJ40" s="238"/>
      <c r="LK40" s="238"/>
      <c r="LL40" s="238"/>
      <c r="LM40" s="238"/>
      <c r="LN40" s="238"/>
      <c r="LO40" s="238"/>
      <c r="LP40" s="238"/>
      <c r="LQ40" s="238"/>
      <c r="LR40" s="238"/>
      <c r="LS40" s="238"/>
      <c r="LT40" s="238"/>
      <c r="LU40" s="238"/>
      <c r="LV40" s="238"/>
      <c r="LW40" s="238"/>
      <c r="LX40" s="238"/>
      <c r="LY40" s="238"/>
      <c r="LZ40" s="238"/>
      <c r="MA40" s="238"/>
      <c r="MB40" s="238"/>
      <c r="MC40" s="238"/>
      <c r="MD40" s="238"/>
      <c r="ME40" s="238"/>
      <c r="MF40" s="238"/>
      <c r="MG40" s="238"/>
      <c r="MH40" s="238"/>
      <c r="MI40" s="238"/>
      <c r="MJ40" s="238"/>
      <c r="MK40" s="238"/>
      <c r="ML40" s="238"/>
    </row>
    <row r="41" ht="18.75" customHeight="1">
      <c r="A41" s="283"/>
      <c r="B41" s="234" t="str">
        <f>'Building Bill of Materials_SLIM'!P41</f>
        <v/>
      </c>
      <c r="C41" s="234" t="str">
        <f>'Building Bill of Materials_SLIM'!Q41</f>
        <v/>
      </c>
      <c r="D41" s="234" t="str">
        <f>'Building Bill of Materials_SLIM'!R41</f>
        <v/>
      </c>
      <c r="E41" s="234" t="str">
        <f>'Building Bill of Materials_SLIM'!S41</f>
        <v/>
      </c>
      <c r="F41" s="234"/>
      <c r="G41" s="234"/>
      <c r="H41" s="234"/>
      <c r="I41" s="234"/>
      <c r="J41" s="234" t="str">
        <f>'Building Bill of Materials_SLIM'!V41</f>
        <v/>
      </c>
      <c r="K41" s="238"/>
      <c r="L41" s="238"/>
      <c r="M41" s="238"/>
      <c r="N41" s="238"/>
      <c r="O41" s="238"/>
      <c r="P41" s="238"/>
      <c r="Q41" s="238"/>
      <c r="R41" s="238"/>
      <c r="S41" s="238"/>
      <c r="T41" s="238"/>
      <c r="U41" s="238"/>
      <c r="V41" s="238"/>
      <c r="W41" s="238"/>
      <c r="X41" s="238"/>
      <c r="Y41" s="238"/>
      <c r="Z41" s="238"/>
      <c r="AA41" s="192"/>
      <c r="AB41" s="257"/>
      <c r="AC41" s="257"/>
      <c r="AD41" s="257"/>
      <c r="AE41" s="257"/>
      <c r="AF41" s="257"/>
      <c r="AG41" s="257"/>
      <c r="AH41" s="257"/>
      <c r="AI41" s="257"/>
      <c r="AJ41" s="257"/>
      <c r="AK41" s="257"/>
      <c r="AL41" s="257"/>
      <c r="AM41" s="257"/>
      <c r="AN41" s="257"/>
      <c r="AO41" s="257"/>
      <c r="AP41" s="257"/>
      <c r="AQ41" s="257"/>
      <c r="AR41" s="257"/>
      <c r="AS41" s="257"/>
      <c r="AT41" s="257"/>
      <c r="AU41" s="257"/>
      <c r="AV41" s="257"/>
      <c r="AW41" s="257"/>
      <c r="AX41" s="257"/>
      <c r="AY41" s="257"/>
      <c r="AZ41" s="257"/>
      <c r="BA41" s="257"/>
      <c r="BB41" s="257"/>
      <c r="BC41" s="257"/>
      <c r="BD41" s="257"/>
      <c r="BE41" s="257"/>
      <c r="BF41" s="257"/>
      <c r="BG41" s="257"/>
      <c r="BH41" s="257"/>
      <c r="BI41" s="257"/>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57"/>
      <c r="CF41" s="257"/>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57"/>
      <c r="DH41" s="238"/>
      <c r="DI41" s="238"/>
      <c r="DJ41" s="238"/>
      <c r="DK41" s="238"/>
      <c r="DL41" s="238"/>
      <c r="DM41" s="238"/>
      <c r="DN41" s="238"/>
      <c r="DO41" s="238"/>
      <c r="DP41" s="238"/>
      <c r="DQ41" s="238"/>
      <c r="DR41" s="238"/>
      <c r="DS41" s="238"/>
      <c r="DT41" s="238"/>
      <c r="DU41" s="238"/>
      <c r="DV41" s="238"/>
      <c r="DW41" s="238"/>
      <c r="DX41" s="238"/>
      <c r="DY41" s="238"/>
      <c r="DZ41" s="238"/>
      <c r="EA41" s="238"/>
      <c r="EB41" s="238"/>
      <c r="EC41" s="238"/>
      <c r="ED41" s="238"/>
      <c r="EE41" s="238"/>
      <c r="EF41" s="238"/>
      <c r="EG41" s="238"/>
      <c r="EH41" s="238"/>
      <c r="EI41" s="238"/>
      <c r="EJ41" s="238"/>
      <c r="EK41" s="238"/>
      <c r="EL41" s="238"/>
      <c r="EM41" s="238"/>
      <c r="EN41" s="238"/>
      <c r="EO41" s="238"/>
      <c r="EP41" s="238"/>
      <c r="EQ41" s="238"/>
      <c r="ER41" s="238"/>
      <c r="ES41" s="238"/>
      <c r="ET41" s="238"/>
      <c r="EU41" s="238"/>
      <c r="EV41" s="238"/>
      <c r="EW41" s="238"/>
      <c r="EX41" s="238"/>
      <c r="EY41" s="238"/>
      <c r="EZ41" s="238"/>
      <c r="FA41" s="238"/>
      <c r="FB41" s="238"/>
      <c r="FC41" s="238"/>
      <c r="FD41" s="238"/>
      <c r="FE41" s="238"/>
      <c r="FF41" s="238"/>
      <c r="FG41" s="238"/>
      <c r="FH41" s="257"/>
      <c r="FI41" s="257"/>
      <c r="FJ41" s="257"/>
      <c r="FK41" s="257"/>
      <c r="FL41" s="257"/>
      <c r="FM41" s="257"/>
      <c r="FN41" s="257"/>
      <c r="FO41" s="257"/>
      <c r="FP41" s="257"/>
      <c r="FQ41" s="257"/>
      <c r="FR41" s="257"/>
      <c r="FS41" s="257"/>
      <c r="FT41" s="257"/>
      <c r="FU41" s="257"/>
      <c r="FV41" s="257"/>
      <c r="FW41" s="257"/>
      <c r="FX41" s="257"/>
      <c r="FY41" s="238"/>
      <c r="FZ41" s="238"/>
      <c r="GA41" s="238"/>
      <c r="GB41" s="238"/>
      <c r="GC41" s="238"/>
      <c r="GD41" s="238"/>
      <c r="GE41" s="238"/>
      <c r="GF41" s="238"/>
      <c r="GG41" s="238"/>
      <c r="GH41" s="238"/>
      <c r="GI41" s="238"/>
      <c r="GJ41" s="238"/>
      <c r="GK41" s="238"/>
      <c r="GL41" s="238"/>
      <c r="GM41" s="238"/>
      <c r="GN41" s="238"/>
      <c r="GO41" s="238"/>
      <c r="GP41" s="238"/>
      <c r="GQ41" s="238"/>
      <c r="GR41" s="238"/>
      <c r="GS41" s="238"/>
      <c r="GT41" s="238"/>
      <c r="GU41" s="238"/>
      <c r="GV41" s="238"/>
      <c r="GW41" s="238"/>
      <c r="GX41" s="238"/>
      <c r="GY41" s="238"/>
      <c r="GZ41" s="238"/>
      <c r="HA41" s="238"/>
      <c r="HB41" s="238"/>
      <c r="HC41" s="238"/>
      <c r="HD41" s="238"/>
      <c r="HE41" s="238"/>
      <c r="HF41" s="238"/>
      <c r="HG41" s="238"/>
      <c r="HH41" s="238"/>
      <c r="HI41" s="238"/>
      <c r="HJ41" s="238"/>
      <c r="HK41" s="238"/>
      <c r="HL41" s="238"/>
      <c r="HM41" s="238"/>
      <c r="HN41" s="238"/>
      <c r="HO41" s="238"/>
      <c r="HP41" s="238"/>
      <c r="HQ41" s="238"/>
      <c r="HR41" s="238"/>
      <c r="HS41" s="238"/>
      <c r="HT41" s="238"/>
      <c r="HU41" s="238"/>
      <c r="HV41" s="238"/>
      <c r="HW41" s="238"/>
      <c r="HX41" s="257"/>
      <c r="HY41" s="257"/>
      <c r="HZ41" s="257"/>
      <c r="IA41" s="257"/>
      <c r="IB41" s="257"/>
      <c r="IC41" s="257"/>
      <c r="ID41" s="257"/>
      <c r="IE41" s="257"/>
      <c r="IF41" s="257"/>
      <c r="IG41" s="257"/>
      <c r="IH41" s="257"/>
      <c r="II41" s="257"/>
      <c r="IJ41" s="257"/>
      <c r="IK41" s="257"/>
      <c r="IL41" s="257"/>
      <c r="IM41" s="257"/>
      <c r="IN41" s="257"/>
      <c r="IO41" s="257"/>
      <c r="IP41" s="257"/>
      <c r="IQ41" s="257"/>
      <c r="IR41" s="257"/>
      <c r="IS41" s="257"/>
      <c r="IT41" s="257"/>
      <c r="IU41" s="257"/>
      <c r="IV41" s="257"/>
      <c r="IW41" s="257"/>
      <c r="IX41" s="257"/>
      <c r="IY41" s="257"/>
      <c r="IZ41" s="257"/>
      <c r="JA41" s="257"/>
      <c r="JB41" s="257"/>
      <c r="JC41" s="257"/>
      <c r="JD41" s="257"/>
      <c r="JE41" s="257"/>
      <c r="JF41" s="238"/>
      <c r="JG41" s="238"/>
      <c r="JH41" s="238"/>
      <c r="JI41" s="238"/>
      <c r="JJ41" s="238"/>
      <c r="JK41" s="238"/>
      <c r="JL41" s="238"/>
      <c r="JM41" s="238"/>
      <c r="JN41" s="238"/>
      <c r="JO41" s="238"/>
      <c r="JP41" s="238"/>
      <c r="JQ41" s="238"/>
      <c r="JR41" s="238"/>
      <c r="JS41" s="238"/>
      <c r="JT41" s="238"/>
      <c r="JU41" s="238"/>
      <c r="JV41" s="238"/>
      <c r="JW41" s="238"/>
      <c r="JX41" s="238"/>
      <c r="JY41" s="238"/>
      <c r="JZ41" s="238"/>
      <c r="KA41" s="238"/>
      <c r="KB41" s="238"/>
      <c r="KC41" s="238"/>
      <c r="KD41" s="238"/>
      <c r="KE41" s="238"/>
      <c r="KF41" s="238"/>
      <c r="KG41" s="238"/>
      <c r="KH41" s="238"/>
      <c r="KI41" s="238"/>
      <c r="KJ41" s="238"/>
      <c r="KK41" s="238"/>
      <c r="KL41" s="238"/>
      <c r="KM41" s="238"/>
      <c r="KN41" s="238"/>
      <c r="KO41" s="238"/>
      <c r="KP41" s="238"/>
      <c r="KQ41" s="238"/>
      <c r="KR41" s="238"/>
      <c r="KS41" s="238"/>
      <c r="KT41" s="238"/>
      <c r="KU41" s="238"/>
      <c r="KV41" s="238"/>
      <c r="KW41" s="238"/>
      <c r="KX41" s="238"/>
      <c r="KY41" s="238"/>
      <c r="KZ41" s="238"/>
      <c r="LA41" s="238"/>
      <c r="LB41" s="238"/>
      <c r="LC41" s="238"/>
      <c r="LD41" s="238"/>
      <c r="LE41" s="238"/>
      <c r="LF41" s="238"/>
      <c r="LG41" s="238"/>
      <c r="LH41" s="238"/>
      <c r="LI41" s="238"/>
      <c r="LJ41" s="238"/>
      <c r="LK41" s="238"/>
      <c r="LL41" s="238"/>
      <c r="LM41" s="238"/>
      <c r="LN41" s="238"/>
      <c r="LO41" s="238"/>
      <c r="LP41" s="238"/>
      <c r="LQ41" s="238"/>
      <c r="LR41" s="238"/>
      <c r="LS41" s="238"/>
      <c r="LT41" s="238"/>
      <c r="LU41" s="238"/>
      <c r="LV41" s="238"/>
      <c r="LW41" s="238"/>
      <c r="LX41" s="238"/>
      <c r="LY41" s="238"/>
      <c r="LZ41" s="238"/>
      <c r="MA41" s="238"/>
      <c r="MB41" s="238"/>
      <c r="MC41" s="238"/>
      <c r="MD41" s="238"/>
      <c r="ME41" s="238"/>
      <c r="MF41" s="238"/>
      <c r="MG41" s="238"/>
      <c r="MH41" s="238"/>
      <c r="MI41" s="238"/>
      <c r="MJ41" s="238"/>
      <c r="MK41" s="238"/>
      <c r="ML41" s="238"/>
    </row>
    <row r="42" ht="18.75" customHeight="1">
      <c r="A42" s="283"/>
      <c r="B42" s="234" t="str">
        <f>'Building Bill of Materials_SLIM'!P42</f>
        <v/>
      </c>
      <c r="C42" s="234" t="str">
        <f>'Building Bill of Materials_SLIM'!Q42</f>
        <v/>
      </c>
      <c r="D42" s="234" t="str">
        <f>'Building Bill of Materials_SLIM'!R42</f>
        <v/>
      </c>
      <c r="E42" s="234" t="str">
        <f>'Building Bill of Materials_SLIM'!S42</f>
        <v/>
      </c>
      <c r="F42" s="234"/>
      <c r="G42" s="234"/>
      <c r="H42" s="234"/>
      <c r="I42" s="234"/>
      <c r="J42" s="234" t="str">
        <f>'Building Bill of Materials_SLIM'!V42</f>
        <v/>
      </c>
      <c r="K42" s="238"/>
      <c r="L42" s="238"/>
      <c r="M42" s="238"/>
      <c r="N42" s="238"/>
      <c r="O42" s="238"/>
      <c r="P42" s="238"/>
      <c r="Q42" s="238"/>
      <c r="R42" s="238"/>
      <c r="S42" s="238"/>
      <c r="T42" s="238"/>
      <c r="U42" s="238"/>
      <c r="V42" s="238"/>
      <c r="W42" s="238"/>
      <c r="X42" s="238"/>
      <c r="Y42" s="238"/>
      <c r="Z42" s="238"/>
      <c r="AA42" s="192"/>
      <c r="AB42" s="257"/>
      <c r="AC42" s="257"/>
      <c r="AD42" s="257"/>
      <c r="AE42" s="257"/>
      <c r="AF42" s="257"/>
      <c r="AG42" s="257"/>
      <c r="AH42" s="257"/>
      <c r="AI42" s="257"/>
      <c r="AJ42" s="257"/>
      <c r="AK42" s="257"/>
      <c r="AL42" s="257"/>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57"/>
      <c r="CF42" s="257"/>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57"/>
      <c r="DH42" s="238"/>
      <c r="DI42" s="238"/>
      <c r="DJ42" s="238"/>
      <c r="DK42" s="238"/>
      <c r="DL42" s="238"/>
      <c r="DM42" s="238"/>
      <c r="DN42" s="238"/>
      <c r="DO42" s="238"/>
      <c r="DP42" s="238"/>
      <c r="DQ42" s="238"/>
      <c r="DR42" s="238"/>
      <c r="DS42" s="238"/>
      <c r="DT42" s="238"/>
      <c r="DU42" s="238"/>
      <c r="DV42" s="238"/>
      <c r="DW42" s="238"/>
      <c r="DX42" s="238"/>
      <c r="DY42" s="238"/>
      <c r="DZ42" s="238"/>
      <c r="EA42" s="238"/>
      <c r="EB42" s="238"/>
      <c r="EC42" s="238"/>
      <c r="ED42" s="238"/>
      <c r="EE42" s="238"/>
      <c r="EF42" s="238"/>
      <c r="EG42" s="238"/>
      <c r="EH42" s="238"/>
      <c r="EI42" s="238"/>
      <c r="EJ42" s="238"/>
      <c r="EK42" s="238"/>
      <c r="EL42" s="238"/>
      <c r="EM42" s="238"/>
      <c r="EN42" s="238"/>
      <c r="EO42" s="238"/>
      <c r="EP42" s="238"/>
      <c r="EQ42" s="238"/>
      <c r="ER42" s="238"/>
      <c r="ES42" s="238"/>
      <c r="ET42" s="238"/>
      <c r="EU42" s="238"/>
      <c r="EV42" s="238"/>
      <c r="EW42" s="238"/>
      <c r="EX42" s="238"/>
      <c r="EY42" s="238"/>
      <c r="EZ42" s="238"/>
      <c r="FA42" s="238"/>
      <c r="FB42" s="238"/>
      <c r="FC42" s="238"/>
      <c r="FD42" s="238"/>
      <c r="FE42" s="238"/>
      <c r="FF42" s="238"/>
      <c r="FG42" s="238"/>
      <c r="FH42" s="257"/>
      <c r="FI42" s="257"/>
      <c r="FJ42" s="257"/>
      <c r="FK42" s="257"/>
      <c r="FL42" s="257"/>
      <c r="FM42" s="257"/>
      <c r="FN42" s="257"/>
      <c r="FO42" s="257"/>
      <c r="FP42" s="257"/>
      <c r="FQ42" s="257"/>
      <c r="FR42" s="257"/>
      <c r="FS42" s="257"/>
      <c r="FT42" s="257"/>
      <c r="FU42" s="257"/>
      <c r="FV42" s="257"/>
      <c r="FW42" s="257"/>
      <c r="FX42" s="257"/>
      <c r="FY42" s="238"/>
      <c r="FZ42" s="238"/>
      <c r="GA42" s="238"/>
      <c r="GB42" s="238"/>
      <c r="GC42" s="238"/>
      <c r="GD42" s="238"/>
      <c r="GE42" s="238"/>
      <c r="GF42" s="238"/>
      <c r="GG42" s="238"/>
      <c r="GH42" s="238"/>
      <c r="GI42" s="238"/>
      <c r="GJ42" s="238"/>
      <c r="GK42" s="238"/>
      <c r="GL42" s="238"/>
      <c r="GM42" s="238"/>
      <c r="GN42" s="238"/>
      <c r="GO42" s="238"/>
      <c r="GP42" s="238"/>
      <c r="GQ42" s="238"/>
      <c r="GR42" s="238"/>
      <c r="GS42" s="238"/>
      <c r="GT42" s="238"/>
      <c r="GU42" s="238"/>
      <c r="GV42" s="238"/>
      <c r="GW42" s="238"/>
      <c r="GX42" s="238"/>
      <c r="GY42" s="238"/>
      <c r="GZ42" s="238"/>
      <c r="HA42" s="238"/>
      <c r="HB42" s="238"/>
      <c r="HC42" s="238"/>
      <c r="HD42" s="238"/>
      <c r="HE42" s="238"/>
      <c r="HF42" s="238"/>
      <c r="HG42" s="238"/>
      <c r="HH42" s="238"/>
      <c r="HI42" s="238"/>
      <c r="HJ42" s="238"/>
      <c r="HK42" s="238"/>
      <c r="HL42" s="238"/>
      <c r="HM42" s="238"/>
      <c r="HN42" s="238"/>
      <c r="HO42" s="238"/>
      <c r="HP42" s="238"/>
      <c r="HQ42" s="238"/>
      <c r="HR42" s="238"/>
      <c r="HS42" s="238"/>
      <c r="HT42" s="238"/>
      <c r="HU42" s="238"/>
      <c r="HV42" s="238"/>
      <c r="HW42" s="238"/>
      <c r="HX42" s="257"/>
      <c r="HY42" s="257"/>
      <c r="HZ42" s="257"/>
      <c r="IA42" s="257"/>
      <c r="IB42" s="257"/>
      <c r="IC42" s="257"/>
      <c r="ID42" s="257"/>
      <c r="IE42" s="257"/>
      <c r="IF42" s="257"/>
      <c r="IG42" s="257"/>
      <c r="IH42" s="257"/>
      <c r="II42" s="257"/>
      <c r="IJ42" s="257"/>
      <c r="IK42" s="257"/>
      <c r="IL42" s="257"/>
      <c r="IM42" s="257"/>
      <c r="IN42" s="257"/>
      <c r="IO42" s="257"/>
      <c r="IP42" s="257"/>
      <c r="IQ42" s="257"/>
      <c r="IR42" s="257"/>
      <c r="IS42" s="257"/>
      <c r="IT42" s="257"/>
      <c r="IU42" s="257"/>
      <c r="IV42" s="257"/>
      <c r="IW42" s="257"/>
      <c r="IX42" s="257"/>
      <c r="IY42" s="257"/>
      <c r="IZ42" s="257"/>
      <c r="JA42" s="257"/>
      <c r="JB42" s="257"/>
      <c r="JC42" s="257"/>
      <c r="JD42" s="257"/>
      <c r="JE42" s="257"/>
      <c r="JF42" s="238"/>
      <c r="JG42" s="238"/>
      <c r="JH42" s="238"/>
      <c r="JI42" s="238"/>
      <c r="JJ42" s="238"/>
      <c r="JK42" s="238"/>
      <c r="JL42" s="238"/>
      <c r="JM42" s="238"/>
      <c r="JN42" s="238"/>
      <c r="JO42" s="238"/>
      <c r="JP42" s="238"/>
      <c r="JQ42" s="238"/>
      <c r="JR42" s="238"/>
      <c r="JS42" s="238"/>
      <c r="JT42" s="238"/>
      <c r="JU42" s="238"/>
      <c r="JV42" s="238"/>
      <c r="JW42" s="238"/>
      <c r="JX42" s="238"/>
      <c r="JY42" s="238"/>
      <c r="JZ42" s="238"/>
      <c r="KA42" s="238"/>
      <c r="KB42" s="238"/>
      <c r="KC42" s="238"/>
      <c r="KD42" s="238"/>
      <c r="KE42" s="238"/>
      <c r="KF42" s="238"/>
      <c r="KG42" s="238"/>
      <c r="KH42" s="238"/>
      <c r="KI42" s="238"/>
      <c r="KJ42" s="238"/>
      <c r="KK42" s="238"/>
      <c r="KL42" s="238"/>
      <c r="KM42" s="238"/>
      <c r="KN42" s="238"/>
      <c r="KO42" s="238"/>
      <c r="KP42" s="238"/>
      <c r="KQ42" s="238"/>
      <c r="KR42" s="238"/>
      <c r="KS42" s="238"/>
      <c r="KT42" s="238"/>
      <c r="KU42" s="238"/>
      <c r="KV42" s="238"/>
      <c r="KW42" s="238"/>
      <c r="KX42" s="238"/>
      <c r="KY42" s="238"/>
      <c r="KZ42" s="238"/>
      <c r="LA42" s="238"/>
      <c r="LB42" s="238"/>
      <c r="LC42" s="238"/>
      <c r="LD42" s="238"/>
      <c r="LE42" s="238"/>
      <c r="LF42" s="238"/>
      <c r="LG42" s="238"/>
      <c r="LH42" s="238"/>
      <c r="LI42" s="238"/>
      <c r="LJ42" s="238"/>
      <c r="LK42" s="238"/>
      <c r="LL42" s="238"/>
      <c r="LM42" s="238"/>
      <c r="LN42" s="238"/>
      <c r="LO42" s="238"/>
      <c r="LP42" s="238"/>
      <c r="LQ42" s="238"/>
      <c r="LR42" s="238"/>
      <c r="LS42" s="238"/>
      <c r="LT42" s="238"/>
      <c r="LU42" s="238"/>
      <c r="LV42" s="238"/>
      <c r="LW42" s="238"/>
      <c r="LX42" s="238"/>
      <c r="LY42" s="238"/>
      <c r="LZ42" s="238"/>
      <c r="MA42" s="238"/>
      <c r="MB42" s="238"/>
      <c r="MC42" s="238"/>
      <c r="MD42" s="238"/>
      <c r="ME42" s="238"/>
      <c r="MF42" s="238"/>
      <c r="MG42" s="238"/>
      <c r="MH42" s="238"/>
      <c r="MI42" s="238"/>
      <c r="MJ42" s="238"/>
      <c r="MK42" s="238"/>
      <c r="ML42" s="238"/>
    </row>
    <row r="43" ht="18.75" customHeight="1">
      <c r="A43" s="283"/>
      <c r="B43" s="234" t="str">
        <f>'Building Bill of Materials_SLIM'!P43</f>
        <v/>
      </c>
      <c r="C43" s="234" t="str">
        <f>'Building Bill of Materials_SLIM'!Q43</f>
        <v/>
      </c>
      <c r="D43" s="234" t="str">
        <f>'Building Bill of Materials_SLIM'!R43</f>
        <v/>
      </c>
      <c r="E43" s="284" t="str">
        <f>'Building Bill of Materials_SLIM'!S43</f>
        <v/>
      </c>
      <c r="F43" s="234"/>
      <c r="G43" s="234"/>
      <c r="H43" s="234"/>
      <c r="I43" s="234"/>
      <c r="J43" s="284" t="str">
        <f>'Building Bill of Materials_SLIM'!V43</f>
        <v/>
      </c>
      <c r="K43" s="238"/>
      <c r="L43" s="238"/>
      <c r="M43" s="238"/>
      <c r="N43" s="238"/>
      <c r="O43" s="238"/>
      <c r="P43" s="238"/>
      <c r="Q43" s="238"/>
      <c r="R43" s="238"/>
      <c r="S43" s="238"/>
      <c r="T43" s="238"/>
      <c r="U43" s="238"/>
      <c r="V43" s="238"/>
      <c r="W43" s="238"/>
      <c r="X43" s="238"/>
      <c r="Y43" s="238"/>
      <c r="Z43" s="238"/>
      <c r="AA43" s="192"/>
      <c r="AB43" s="257"/>
      <c r="AC43" s="257"/>
      <c r="AD43" s="257"/>
      <c r="AE43" s="257"/>
      <c r="AF43" s="257"/>
      <c r="AG43" s="257"/>
      <c r="AH43" s="257"/>
      <c r="AI43" s="257"/>
      <c r="AJ43" s="257"/>
      <c r="AK43" s="257"/>
      <c r="AL43" s="257"/>
      <c r="AM43" s="257"/>
      <c r="AN43" s="257"/>
      <c r="AO43" s="257"/>
      <c r="AP43" s="257"/>
      <c r="AQ43" s="257"/>
      <c r="AR43" s="257"/>
      <c r="AS43" s="257"/>
      <c r="AT43" s="257"/>
      <c r="AU43" s="257"/>
      <c r="AV43" s="257"/>
      <c r="AW43" s="257"/>
      <c r="AX43" s="257"/>
      <c r="AY43" s="257"/>
      <c r="AZ43" s="257"/>
      <c r="BA43" s="257"/>
      <c r="BB43" s="257"/>
      <c r="BC43" s="257"/>
      <c r="BD43" s="257"/>
      <c r="BE43" s="257"/>
      <c r="BF43" s="257"/>
      <c r="BG43" s="257"/>
      <c r="BH43" s="257"/>
      <c r="BI43" s="257"/>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57"/>
      <c r="CF43" s="257"/>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57"/>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57"/>
      <c r="FI43" s="257"/>
      <c r="FJ43" s="257"/>
      <c r="FK43" s="257"/>
      <c r="FL43" s="257"/>
      <c r="FM43" s="257"/>
      <c r="FN43" s="257"/>
      <c r="FO43" s="257"/>
      <c r="FP43" s="257"/>
      <c r="FQ43" s="257"/>
      <c r="FR43" s="257"/>
      <c r="FS43" s="257"/>
      <c r="FT43" s="257"/>
      <c r="FU43" s="257"/>
      <c r="FV43" s="257"/>
      <c r="FW43" s="257"/>
      <c r="FX43" s="257"/>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57"/>
      <c r="HY43" s="257"/>
      <c r="HZ43" s="257"/>
      <c r="IA43" s="257"/>
      <c r="IB43" s="257"/>
      <c r="IC43" s="257"/>
      <c r="ID43" s="257"/>
      <c r="IE43" s="257"/>
      <c r="IF43" s="257"/>
      <c r="IG43" s="257"/>
      <c r="IH43" s="257"/>
      <c r="II43" s="257"/>
      <c r="IJ43" s="257"/>
      <c r="IK43" s="257"/>
      <c r="IL43" s="257"/>
      <c r="IM43" s="257"/>
      <c r="IN43" s="257"/>
      <c r="IO43" s="257"/>
      <c r="IP43" s="257"/>
      <c r="IQ43" s="257"/>
      <c r="IR43" s="257"/>
      <c r="IS43" s="257"/>
      <c r="IT43" s="257"/>
      <c r="IU43" s="257"/>
      <c r="IV43" s="257"/>
      <c r="IW43" s="257"/>
      <c r="IX43" s="257"/>
      <c r="IY43" s="257"/>
      <c r="IZ43" s="257"/>
      <c r="JA43" s="257"/>
      <c r="JB43" s="257"/>
      <c r="JC43" s="257"/>
      <c r="JD43" s="257"/>
      <c r="JE43" s="257"/>
      <c r="JF43" s="238"/>
      <c r="JG43" s="238"/>
      <c r="JH43" s="238"/>
      <c r="JI43" s="238"/>
      <c r="JJ43" s="238"/>
      <c r="JK43" s="238"/>
      <c r="JL43" s="238"/>
      <c r="JM43" s="238"/>
      <c r="JN43" s="238"/>
      <c r="JO43" s="238"/>
      <c r="JP43" s="238"/>
      <c r="JQ43" s="238"/>
      <c r="JR43" s="238"/>
      <c r="JS43" s="238"/>
      <c r="JT43" s="238"/>
      <c r="JU43" s="238"/>
      <c r="JV43" s="238"/>
      <c r="JW43" s="238"/>
      <c r="JX43" s="238"/>
      <c r="JY43" s="238"/>
      <c r="JZ43" s="238"/>
      <c r="KA43" s="238"/>
      <c r="KB43" s="238"/>
      <c r="KC43" s="238"/>
      <c r="KD43" s="238"/>
      <c r="KE43" s="238"/>
      <c r="KF43" s="238"/>
      <c r="KG43" s="238"/>
      <c r="KH43" s="238"/>
      <c r="KI43" s="238"/>
      <c r="KJ43" s="238"/>
      <c r="KK43" s="238"/>
      <c r="KL43" s="238"/>
      <c r="KM43" s="238"/>
      <c r="KN43" s="238"/>
      <c r="KO43" s="238"/>
      <c r="KP43" s="238"/>
      <c r="KQ43" s="238"/>
      <c r="KR43" s="238"/>
      <c r="KS43" s="238"/>
      <c r="KT43" s="238"/>
      <c r="KU43" s="238"/>
      <c r="KV43" s="238"/>
      <c r="KW43" s="238"/>
      <c r="KX43" s="238"/>
      <c r="KY43" s="238"/>
      <c r="KZ43" s="238"/>
      <c r="LA43" s="238"/>
      <c r="LB43" s="238"/>
      <c r="LC43" s="238"/>
      <c r="LD43" s="238"/>
      <c r="LE43" s="238"/>
      <c r="LF43" s="238"/>
      <c r="LG43" s="238"/>
      <c r="LH43" s="238"/>
      <c r="LI43" s="238"/>
      <c r="LJ43" s="238"/>
      <c r="LK43" s="238"/>
      <c r="LL43" s="238"/>
      <c r="LM43" s="238"/>
      <c r="LN43" s="238"/>
      <c r="LO43" s="238"/>
      <c r="LP43" s="238"/>
      <c r="LQ43" s="238"/>
      <c r="LR43" s="238"/>
      <c r="LS43" s="238"/>
      <c r="LT43" s="238"/>
      <c r="LU43" s="238"/>
      <c r="LV43" s="238"/>
      <c r="LW43" s="238"/>
      <c r="LX43" s="238"/>
      <c r="LY43" s="238"/>
      <c r="LZ43" s="238"/>
      <c r="MA43" s="238"/>
      <c r="MB43" s="238"/>
      <c r="MC43" s="238"/>
      <c r="MD43" s="238"/>
      <c r="ME43" s="238"/>
      <c r="MF43" s="238"/>
      <c r="MG43" s="238"/>
      <c r="MH43" s="238"/>
      <c r="MI43" s="238"/>
      <c r="MJ43" s="238"/>
      <c r="MK43" s="238"/>
      <c r="ML43" s="238"/>
    </row>
    <row r="44" ht="18.75" customHeight="1">
      <c r="A44" s="283"/>
      <c r="B44" s="234" t="str">
        <f>'Building Bill of Materials_SLIM'!P44</f>
        <v/>
      </c>
      <c r="C44" s="234" t="str">
        <f>'Building Bill of Materials_SLIM'!Q44</f>
        <v/>
      </c>
      <c r="D44" s="234" t="str">
        <f>'Building Bill of Materials_SLIM'!R44</f>
        <v/>
      </c>
      <c r="E44" s="234" t="str">
        <f>'Building Bill of Materials_SLIM'!S44</f>
        <v/>
      </c>
      <c r="F44" s="234"/>
      <c r="G44" s="234"/>
      <c r="H44" s="234"/>
      <c r="I44" s="234"/>
      <c r="J44" s="234" t="str">
        <f>'Building Bill of Materials_SLIM'!V44</f>
        <v/>
      </c>
      <c r="K44" s="238"/>
      <c r="L44" s="238"/>
      <c r="M44" s="238"/>
      <c r="N44" s="238"/>
      <c r="O44" s="238"/>
      <c r="P44" s="238"/>
      <c r="Q44" s="238"/>
      <c r="R44" s="238"/>
      <c r="S44" s="238"/>
      <c r="T44" s="238"/>
      <c r="U44" s="238"/>
      <c r="V44" s="238"/>
      <c r="W44" s="238"/>
      <c r="X44" s="238"/>
      <c r="Y44" s="238"/>
      <c r="Z44" s="238"/>
      <c r="AA44" s="192"/>
      <c r="AB44" s="257"/>
      <c r="AC44" s="257"/>
      <c r="AD44" s="257"/>
      <c r="AE44" s="257"/>
      <c r="AF44" s="257"/>
      <c r="AG44" s="257"/>
      <c r="AH44" s="257"/>
      <c r="AI44" s="257"/>
      <c r="AJ44" s="257"/>
      <c r="AK44" s="257"/>
      <c r="AL44" s="257"/>
      <c r="AM44" s="257"/>
      <c r="AN44" s="257"/>
      <c r="AO44" s="257"/>
      <c r="AP44" s="257"/>
      <c r="AQ44" s="257"/>
      <c r="AR44" s="257"/>
      <c r="AS44" s="257"/>
      <c r="AT44" s="257"/>
      <c r="AU44" s="257"/>
      <c r="AV44" s="257"/>
      <c r="AW44" s="257"/>
      <c r="AX44" s="257"/>
      <c r="AY44" s="257"/>
      <c r="AZ44" s="257"/>
      <c r="BA44" s="257"/>
      <c r="BB44" s="257"/>
      <c r="BC44" s="257"/>
      <c r="BD44" s="257"/>
      <c r="BE44" s="257"/>
      <c r="BF44" s="257"/>
      <c r="BG44" s="257"/>
      <c r="BH44" s="257"/>
      <c r="BI44" s="257"/>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57"/>
      <c r="CF44" s="257"/>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57"/>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57"/>
      <c r="FI44" s="257"/>
      <c r="FJ44" s="257"/>
      <c r="FK44" s="257"/>
      <c r="FL44" s="257"/>
      <c r="FM44" s="257"/>
      <c r="FN44" s="257"/>
      <c r="FO44" s="257"/>
      <c r="FP44" s="257"/>
      <c r="FQ44" s="257"/>
      <c r="FR44" s="257"/>
      <c r="FS44" s="257"/>
      <c r="FT44" s="257"/>
      <c r="FU44" s="257"/>
      <c r="FV44" s="257"/>
      <c r="FW44" s="257"/>
      <c r="FX44" s="257"/>
      <c r="FY44" s="238"/>
      <c r="FZ44" s="238"/>
      <c r="GA44" s="238"/>
      <c r="GB44" s="238"/>
      <c r="GC44" s="238"/>
      <c r="GD44" s="238"/>
      <c r="GE44" s="238"/>
      <c r="GF44" s="238"/>
      <c r="GG44" s="238"/>
      <c r="GH44" s="238"/>
      <c r="GI44" s="238"/>
      <c r="GJ44" s="238"/>
      <c r="GK44" s="238"/>
      <c r="GL44" s="238"/>
      <c r="GM44" s="238"/>
      <c r="GN44" s="238"/>
      <c r="GO44" s="238"/>
      <c r="GP44" s="238"/>
      <c r="GQ44" s="238"/>
      <c r="GR44" s="238"/>
      <c r="GS44" s="238"/>
      <c r="GT44" s="238"/>
      <c r="GU44" s="238"/>
      <c r="GV44" s="238"/>
      <c r="GW44" s="238"/>
      <c r="GX44" s="238"/>
      <c r="GY44" s="238"/>
      <c r="GZ44" s="238"/>
      <c r="HA44" s="238"/>
      <c r="HB44" s="238"/>
      <c r="HC44" s="238"/>
      <c r="HD44" s="238"/>
      <c r="HE44" s="238"/>
      <c r="HF44" s="238"/>
      <c r="HG44" s="238"/>
      <c r="HH44" s="238"/>
      <c r="HI44" s="238"/>
      <c r="HJ44" s="238"/>
      <c r="HK44" s="238"/>
      <c r="HL44" s="238"/>
      <c r="HM44" s="238"/>
      <c r="HN44" s="238"/>
      <c r="HO44" s="238"/>
      <c r="HP44" s="238"/>
      <c r="HQ44" s="238"/>
      <c r="HR44" s="238"/>
      <c r="HS44" s="238"/>
      <c r="HT44" s="238"/>
      <c r="HU44" s="238"/>
      <c r="HV44" s="238"/>
      <c r="HW44" s="238"/>
      <c r="HX44" s="257"/>
      <c r="HY44" s="257"/>
      <c r="HZ44" s="257"/>
      <c r="IA44" s="257"/>
      <c r="IB44" s="257"/>
      <c r="IC44" s="257"/>
      <c r="ID44" s="257"/>
      <c r="IE44" s="257"/>
      <c r="IF44" s="257"/>
      <c r="IG44" s="257"/>
      <c r="IH44" s="257"/>
      <c r="II44" s="257"/>
      <c r="IJ44" s="257"/>
      <c r="IK44" s="257"/>
      <c r="IL44" s="257"/>
      <c r="IM44" s="257"/>
      <c r="IN44" s="257"/>
      <c r="IO44" s="257"/>
      <c r="IP44" s="257"/>
      <c r="IQ44" s="257"/>
      <c r="IR44" s="257"/>
      <c r="IS44" s="257"/>
      <c r="IT44" s="257"/>
      <c r="IU44" s="257"/>
      <c r="IV44" s="257"/>
      <c r="IW44" s="257"/>
      <c r="IX44" s="257"/>
      <c r="IY44" s="257"/>
      <c r="IZ44" s="257"/>
      <c r="JA44" s="257"/>
      <c r="JB44" s="257"/>
      <c r="JC44" s="257"/>
      <c r="JD44" s="257"/>
      <c r="JE44" s="257"/>
      <c r="JF44" s="238"/>
      <c r="JG44" s="238"/>
      <c r="JH44" s="238"/>
      <c r="JI44" s="238"/>
      <c r="JJ44" s="238"/>
      <c r="JK44" s="238"/>
      <c r="JL44" s="238"/>
      <c r="JM44" s="238"/>
      <c r="JN44" s="238"/>
      <c r="JO44" s="238"/>
      <c r="JP44" s="238"/>
      <c r="JQ44" s="238"/>
      <c r="JR44" s="238"/>
      <c r="JS44" s="238"/>
      <c r="JT44" s="238"/>
      <c r="JU44" s="238"/>
      <c r="JV44" s="238"/>
      <c r="JW44" s="238"/>
      <c r="JX44" s="238"/>
      <c r="JY44" s="238"/>
      <c r="JZ44" s="238"/>
      <c r="KA44" s="238"/>
      <c r="KB44" s="238"/>
      <c r="KC44" s="238"/>
      <c r="KD44" s="238"/>
      <c r="KE44" s="238"/>
      <c r="KF44" s="238"/>
      <c r="KG44" s="238"/>
      <c r="KH44" s="238"/>
      <c r="KI44" s="238"/>
      <c r="KJ44" s="238"/>
      <c r="KK44" s="238"/>
      <c r="KL44" s="238"/>
      <c r="KM44" s="238"/>
      <c r="KN44" s="238"/>
      <c r="KO44" s="238"/>
      <c r="KP44" s="238"/>
      <c r="KQ44" s="238"/>
      <c r="KR44" s="238"/>
      <c r="KS44" s="238"/>
      <c r="KT44" s="238"/>
      <c r="KU44" s="238"/>
      <c r="KV44" s="238"/>
      <c r="KW44" s="238"/>
      <c r="KX44" s="238"/>
      <c r="KY44" s="238"/>
      <c r="KZ44" s="238"/>
      <c r="LA44" s="238"/>
      <c r="LB44" s="238"/>
      <c r="LC44" s="238"/>
      <c r="LD44" s="238"/>
      <c r="LE44" s="238"/>
      <c r="LF44" s="238"/>
      <c r="LG44" s="238"/>
      <c r="LH44" s="238"/>
      <c r="LI44" s="238"/>
      <c r="LJ44" s="238"/>
      <c r="LK44" s="238"/>
      <c r="LL44" s="238"/>
      <c r="LM44" s="238"/>
      <c r="LN44" s="238"/>
      <c r="LO44" s="238"/>
      <c r="LP44" s="238"/>
      <c r="LQ44" s="238"/>
      <c r="LR44" s="238"/>
      <c r="LS44" s="238"/>
      <c r="LT44" s="238"/>
      <c r="LU44" s="238"/>
      <c r="LV44" s="238"/>
      <c r="LW44" s="238"/>
      <c r="LX44" s="238"/>
      <c r="LY44" s="238"/>
      <c r="LZ44" s="238"/>
      <c r="MA44" s="238"/>
      <c r="MB44" s="238"/>
      <c r="MC44" s="238"/>
      <c r="MD44" s="238"/>
      <c r="ME44" s="238"/>
      <c r="MF44" s="238"/>
      <c r="MG44" s="238"/>
      <c r="MH44" s="238"/>
      <c r="MI44" s="238"/>
      <c r="MJ44" s="238"/>
      <c r="MK44" s="238"/>
      <c r="ML44" s="238"/>
    </row>
    <row r="45" ht="18.75" customHeight="1">
      <c r="A45" s="283"/>
      <c r="B45" s="234" t="str">
        <f>'Building Bill of Materials_SLIM'!P45</f>
        <v/>
      </c>
      <c r="C45" s="234" t="str">
        <f>'Building Bill of Materials_SLIM'!Q45</f>
        <v/>
      </c>
      <c r="D45" s="234" t="str">
        <f>'Building Bill of Materials_SLIM'!R45</f>
        <v/>
      </c>
      <c r="E45" s="284" t="str">
        <f>'Building Bill of Materials_SLIM'!S45</f>
        <v/>
      </c>
      <c r="F45" s="234"/>
      <c r="G45" s="234"/>
      <c r="H45" s="234"/>
      <c r="I45" s="234"/>
      <c r="J45" s="284" t="str">
        <f>'Building Bill of Materials_SLIM'!V45</f>
        <v/>
      </c>
      <c r="K45" s="238"/>
      <c r="L45" s="238"/>
      <c r="M45" s="238"/>
      <c r="N45" s="238"/>
      <c r="O45" s="238"/>
      <c r="P45" s="238"/>
      <c r="Q45" s="238"/>
      <c r="R45" s="238"/>
      <c r="S45" s="238"/>
      <c r="T45" s="238"/>
      <c r="U45" s="238"/>
      <c r="V45" s="238"/>
      <c r="W45" s="238"/>
      <c r="X45" s="238"/>
      <c r="Y45" s="238"/>
      <c r="Z45" s="238"/>
      <c r="AA45" s="192"/>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AX45" s="257"/>
      <c r="AY45" s="257"/>
      <c r="AZ45" s="257"/>
      <c r="BA45" s="257"/>
      <c r="BB45" s="257"/>
      <c r="BC45" s="257"/>
      <c r="BD45" s="257"/>
      <c r="BE45" s="257"/>
      <c r="BF45" s="257"/>
      <c r="BG45" s="257"/>
      <c r="BH45" s="257"/>
      <c r="BI45" s="257"/>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57"/>
      <c r="CF45" s="257"/>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57"/>
      <c r="DH45" s="238"/>
      <c r="DI45" s="238"/>
      <c r="DJ45" s="238"/>
      <c r="DK45" s="238"/>
      <c r="DL45" s="238"/>
      <c r="DM45" s="238"/>
      <c r="DN45" s="238"/>
      <c r="DO45" s="238"/>
      <c r="DP45" s="238"/>
      <c r="DQ45" s="238"/>
      <c r="DR45" s="238"/>
      <c r="DS45" s="238"/>
      <c r="DT45" s="238"/>
      <c r="DU45" s="238"/>
      <c r="DV45" s="238"/>
      <c r="DW45" s="238"/>
      <c r="DX45" s="238"/>
      <c r="DY45" s="238"/>
      <c r="DZ45" s="238"/>
      <c r="EA45" s="238"/>
      <c r="EB45" s="238"/>
      <c r="EC45" s="238"/>
      <c r="ED45" s="238"/>
      <c r="EE45" s="238"/>
      <c r="EF45" s="238"/>
      <c r="EG45" s="238"/>
      <c r="EH45" s="238"/>
      <c r="EI45" s="238"/>
      <c r="EJ45" s="238"/>
      <c r="EK45" s="238"/>
      <c r="EL45" s="238"/>
      <c r="EM45" s="238"/>
      <c r="EN45" s="238"/>
      <c r="EO45" s="238"/>
      <c r="EP45" s="238"/>
      <c r="EQ45" s="238"/>
      <c r="ER45" s="238"/>
      <c r="ES45" s="238"/>
      <c r="ET45" s="238"/>
      <c r="EU45" s="238"/>
      <c r="EV45" s="238"/>
      <c r="EW45" s="238"/>
      <c r="EX45" s="238"/>
      <c r="EY45" s="238"/>
      <c r="EZ45" s="238"/>
      <c r="FA45" s="238"/>
      <c r="FB45" s="238"/>
      <c r="FC45" s="238"/>
      <c r="FD45" s="238"/>
      <c r="FE45" s="238"/>
      <c r="FF45" s="238"/>
      <c r="FG45" s="238"/>
      <c r="FH45" s="257"/>
      <c r="FI45" s="257"/>
      <c r="FJ45" s="257"/>
      <c r="FK45" s="257"/>
      <c r="FL45" s="257"/>
      <c r="FM45" s="257"/>
      <c r="FN45" s="257"/>
      <c r="FO45" s="257"/>
      <c r="FP45" s="257"/>
      <c r="FQ45" s="257"/>
      <c r="FR45" s="257"/>
      <c r="FS45" s="257"/>
      <c r="FT45" s="257"/>
      <c r="FU45" s="257"/>
      <c r="FV45" s="257"/>
      <c r="FW45" s="257"/>
      <c r="FX45" s="257"/>
      <c r="FY45" s="238"/>
      <c r="FZ45" s="238"/>
      <c r="GA45" s="238"/>
      <c r="GB45" s="238"/>
      <c r="GC45" s="238"/>
      <c r="GD45" s="238"/>
      <c r="GE45" s="238"/>
      <c r="GF45" s="238"/>
      <c r="GG45" s="238"/>
      <c r="GH45" s="238"/>
      <c r="GI45" s="238"/>
      <c r="GJ45" s="238"/>
      <c r="GK45" s="238"/>
      <c r="GL45" s="238"/>
      <c r="GM45" s="238"/>
      <c r="GN45" s="238"/>
      <c r="GO45" s="238"/>
      <c r="GP45" s="238"/>
      <c r="GQ45" s="238"/>
      <c r="GR45" s="238"/>
      <c r="GS45" s="238"/>
      <c r="GT45" s="238"/>
      <c r="GU45" s="238"/>
      <c r="GV45" s="238"/>
      <c r="GW45" s="238"/>
      <c r="GX45" s="238"/>
      <c r="GY45" s="238"/>
      <c r="GZ45" s="238"/>
      <c r="HA45" s="238"/>
      <c r="HB45" s="238"/>
      <c r="HC45" s="238"/>
      <c r="HD45" s="238"/>
      <c r="HE45" s="238"/>
      <c r="HF45" s="238"/>
      <c r="HG45" s="238"/>
      <c r="HH45" s="238"/>
      <c r="HI45" s="238"/>
      <c r="HJ45" s="238"/>
      <c r="HK45" s="238"/>
      <c r="HL45" s="238"/>
      <c r="HM45" s="238"/>
      <c r="HN45" s="238"/>
      <c r="HO45" s="238"/>
      <c r="HP45" s="238"/>
      <c r="HQ45" s="238"/>
      <c r="HR45" s="238"/>
      <c r="HS45" s="238"/>
      <c r="HT45" s="238"/>
      <c r="HU45" s="238"/>
      <c r="HV45" s="238"/>
      <c r="HW45" s="238"/>
      <c r="HX45" s="257"/>
      <c r="HY45" s="257"/>
      <c r="HZ45" s="257"/>
      <c r="IA45" s="257"/>
      <c r="IB45" s="257"/>
      <c r="IC45" s="257"/>
      <c r="ID45" s="257"/>
      <c r="IE45" s="257"/>
      <c r="IF45" s="257"/>
      <c r="IG45" s="257"/>
      <c r="IH45" s="257"/>
      <c r="II45" s="257"/>
      <c r="IJ45" s="257"/>
      <c r="IK45" s="257"/>
      <c r="IL45" s="257"/>
      <c r="IM45" s="257"/>
      <c r="IN45" s="257"/>
      <c r="IO45" s="257"/>
      <c r="IP45" s="257"/>
      <c r="IQ45" s="257"/>
      <c r="IR45" s="257"/>
      <c r="IS45" s="257"/>
      <c r="IT45" s="257"/>
      <c r="IU45" s="257"/>
      <c r="IV45" s="257"/>
      <c r="IW45" s="257"/>
      <c r="IX45" s="257"/>
      <c r="IY45" s="257"/>
      <c r="IZ45" s="257"/>
      <c r="JA45" s="257"/>
      <c r="JB45" s="257"/>
      <c r="JC45" s="257"/>
      <c r="JD45" s="257"/>
      <c r="JE45" s="257"/>
      <c r="JF45" s="238"/>
      <c r="JG45" s="238"/>
      <c r="JH45" s="238"/>
      <c r="JI45" s="238"/>
      <c r="JJ45" s="238"/>
      <c r="JK45" s="238"/>
      <c r="JL45" s="238"/>
      <c r="JM45" s="238"/>
      <c r="JN45" s="238"/>
      <c r="JO45" s="238"/>
      <c r="JP45" s="238"/>
      <c r="JQ45" s="238"/>
      <c r="JR45" s="238"/>
      <c r="JS45" s="238"/>
      <c r="JT45" s="238"/>
      <c r="JU45" s="238"/>
      <c r="JV45" s="238"/>
      <c r="JW45" s="238"/>
      <c r="JX45" s="238"/>
      <c r="JY45" s="238"/>
      <c r="JZ45" s="238"/>
      <c r="KA45" s="238"/>
      <c r="KB45" s="238"/>
      <c r="KC45" s="238"/>
      <c r="KD45" s="238"/>
      <c r="KE45" s="238"/>
      <c r="KF45" s="238"/>
      <c r="KG45" s="238"/>
      <c r="KH45" s="238"/>
      <c r="KI45" s="238"/>
      <c r="KJ45" s="238"/>
      <c r="KK45" s="238"/>
      <c r="KL45" s="238"/>
      <c r="KM45" s="238"/>
      <c r="KN45" s="238"/>
      <c r="KO45" s="238"/>
      <c r="KP45" s="238"/>
      <c r="KQ45" s="238"/>
      <c r="KR45" s="238"/>
      <c r="KS45" s="238"/>
      <c r="KT45" s="238"/>
      <c r="KU45" s="238"/>
      <c r="KV45" s="238"/>
      <c r="KW45" s="238"/>
      <c r="KX45" s="238"/>
      <c r="KY45" s="238"/>
      <c r="KZ45" s="238"/>
      <c r="LA45" s="238"/>
      <c r="LB45" s="238"/>
      <c r="LC45" s="238"/>
      <c r="LD45" s="238"/>
      <c r="LE45" s="238"/>
      <c r="LF45" s="238"/>
      <c r="LG45" s="238"/>
      <c r="LH45" s="238"/>
      <c r="LI45" s="238"/>
      <c r="LJ45" s="238"/>
      <c r="LK45" s="238"/>
      <c r="LL45" s="238"/>
      <c r="LM45" s="238"/>
      <c r="LN45" s="238"/>
      <c r="LO45" s="238"/>
      <c r="LP45" s="238"/>
      <c r="LQ45" s="238"/>
      <c r="LR45" s="238"/>
      <c r="LS45" s="238"/>
      <c r="LT45" s="238"/>
      <c r="LU45" s="238"/>
      <c r="LV45" s="238"/>
      <c r="LW45" s="238"/>
      <c r="LX45" s="238"/>
      <c r="LY45" s="238"/>
      <c r="LZ45" s="238"/>
      <c r="MA45" s="238"/>
      <c r="MB45" s="238"/>
      <c r="MC45" s="238"/>
      <c r="MD45" s="238"/>
      <c r="ME45" s="238"/>
      <c r="MF45" s="238"/>
      <c r="MG45" s="238"/>
      <c r="MH45" s="238"/>
      <c r="MI45" s="238"/>
      <c r="MJ45" s="238"/>
      <c r="MK45" s="238"/>
      <c r="ML45" s="238"/>
    </row>
    <row r="46" ht="18.75" customHeight="1">
      <c r="A46" s="283"/>
      <c r="B46" s="234" t="str">
        <f>'Building Bill of Materials_SLIM'!P46</f>
        <v/>
      </c>
      <c r="C46" s="234" t="str">
        <f>'Building Bill of Materials_SLIM'!Q46</f>
        <v/>
      </c>
      <c r="D46" s="234" t="str">
        <f>'Building Bill of Materials_SLIM'!R46</f>
        <v/>
      </c>
      <c r="E46" s="234" t="str">
        <f>'Building Bill of Materials_SLIM'!S46</f>
        <v/>
      </c>
      <c r="F46" s="234"/>
      <c r="G46" s="234"/>
      <c r="H46" s="234"/>
      <c r="I46" s="234"/>
      <c r="J46" s="234" t="str">
        <f>'Building Bill of Materials_SLIM'!V46</f>
        <v/>
      </c>
      <c r="K46" s="238"/>
      <c r="L46" s="238"/>
      <c r="M46" s="238"/>
      <c r="N46" s="238"/>
      <c r="O46" s="238"/>
      <c r="P46" s="238"/>
      <c r="Q46" s="238"/>
      <c r="R46" s="238"/>
      <c r="S46" s="238"/>
      <c r="T46" s="238"/>
      <c r="U46" s="238"/>
      <c r="V46" s="238"/>
      <c r="W46" s="238"/>
      <c r="X46" s="238"/>
      <c r="Y46" s="238"/>
      <c r="Z46" s="238"/>
      <c r="AA46" s="192"/>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57"/>
      <c r="CF46" s="257"/>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57"/>
      <c r="DH46" s="238"/>
      <c r="DI46" s="238"/>
      <c r="DJ46" s="238"/>
      <c r="DK46" s="238"/>
      <c r="DL46" s="238"/>
      <c r="DM46" s="238"/>
      <c r="DN46" s="238"/>
      <c r="DO46" s="238"/>
      <c r="DP46" s="238"/>
      <c r="DQ46" s="238"/>
      <c r="DR46" s="238"/>
      <c r="DS46" s="238"/>
      <c r="DT46" s="238"/>
      <c r="DU46" s="238"/>
      <c r="DV46" s="238"/>
      <c r="DW46" s="238"/>
      <c r="DX46" s="238"/>
      <c r="DY46" s="238"/>
      <c r="DZ46" s="238"/>
      <c r="EA46" s="238"/>
      <c r="EB46" s="238"/>
      <c r="EC46" s="238"/>
      <c r="ED46" s="238"/>
      <c r="EE46" s="238"/>
      <c r="EF46" s="238"/>
      <c r="EG46" s="238"/>
      <c r="EH46" s="238"/>
      <c r="EI46" s="238"/>
      <c r="EJ46" s="238"/>
      <c r="EK46" s="238"/>
      <c r="EL46" s="238"/>
      <c r="EM46" s="238"/>
      <c r="EN46" s="238"/>
      <c r="EO46" s="238"/>
      <c r="EP46" s="238"/>
      <c r="EQ46" s="238"/>
      <c r="ER46" s="238"/>
      <c r="ES46" s="238"/>
      <c r="ET46" s="238"/>
      <c r="EU46" s="238"/>
      <c r="EV46" s="238"/>
      <c r="EW46" s="238"/>
      <c r="EX46" s="238"/>
      <c r="EY46" s="238"/>
      <c r="EZ46" s="238"/>
      <c r="FA46" s="238"/>
      <c r="FB46" s="238"/>
      <c r="FC46" s="238"/>
      <c r="FD46" s="238"/>
      <c r="FE46" s="238"/>
      <c r="FF46" s="238"/>
      <c r="FG46" s="238"/>
      <c r="FH46" s="257"/>
      <c r="FI46" s="257"/>
      <c r="FJ46" s="257"/>
      <c r="FK46" s="257"/>
      <c r="FL46" s="257"/>
      <c r="FM46" s="257"/>
      <c r="FN46" s="257"/>
      <c r="FO46" s="257"/>
      <c r="FP46" s="257"/>
      <c r="FQ46" s="257"/>
      <c r="FR46" s="257"/>
      <c r="FS46" s="257"/>
      <c r="FT46" s="257"/>
      <c r="FU46" s="257"/>
      <c r="FV46" s="257"/>
      <c r="FW46" s="257"/>
      <c r="FX46" s="257"/>
      <c r="FY46" s="238"/>
      <c r="FZ46" s="238"/>
      <c r="GA46" s="238"/>
      <c r="GB46" s="238"/>
      <c r="GC46" s="238"/>
      <c r="GD46" s="238"/>
      <c r="GE46" s="238"/>
      <c r="GF46" s="238"/>
      <c r="GG46" s="238"/>
      <c r="GH46" s="238"/>
      <c r="GI46" s="238"/>
      <c r="GJ46" s="238"/>
      <c r="GK46" s="238"/>
      <c r="GL46" s="238"/>
      <c r="GM46" s="238"/>
      <c r="GN46" s="238"/>
      <c r="GO46" s="238"/>
      <c r="GP46" s="238"/>
      <c r="GQ46" s="238"/>
      <c r="GR46" s="238"/>
      <c r="GS46" s="238"/>
      <c r="GT46" s="238"/>
      <c r="GU46" s="238"/>
      <c r="GV46" s="238"/>
      <c r="GW46" s="238"/>
      <c r="GX46" s="238"/>
      <c r="GY46" s="238"/>
      <c r="GZ46" s="238"/>
      <c r="HA46" s="238"/>
      <c r="HB46" s="238"/>
      <c r="HC46" s="238"/>
      <c r="HD46" s="238"/>
      <c r="HE46" s="238"/>
      <c r="HF46" s="238"/>
      <c r="HG46" s="238"/>
      <c r="HH46" s="238"/>
      <c r="HI46" s="238"/>
      <c r="HJ46" s="238"/>
      <c r="HK46" s="238"/>
      <c r="HL46" s="238"/>
      <c r="HM46" s="238"/>
      <c r="HN46" s="238"/>
      <c r="HO46" s="238"/>
      <c r="HP46" s="238"/>
      <c r="HQ46" s="238"/>
      <c r="HR46" s="238"/>
      <c r="HS46" s="238"/>
      <c r="HT46" s="238"/>
      <c r="HU46" s="238"/>
      <c r="HV46" s="238"/>
      <c r="HW46" s="238"/>
      <c r="HX46" s="257"/>
      <c r="HY46" s="257"/>
      <c r="HZ46" s="257"/>
      <c r="IA46" s="257"/>
      <c r="IB46" s="257"/>
      <c r="IC46" s="257"/>
      <c r="ID46" s="257"/>
      <c r="IE46" s="257"/>
      <c r="IF46" s="257"/>
      <c r="IG46" s="257"/>
      <c r="IH46" s="257"/>
      <c r="II46" s="257"/>
      <c r="IJ46" s="257"/>
      <c r="IK46" s="257"/>
      <c r="IL46" s="257"/>
      <c r="IM46" s="257"/>
      <c r="IN46" s="257"/>
      <c r="IO46" s="257"/>
      <c r="IP46" s="257"/>
      <c r="IQ46" s="257"/>
      <c r="IR46" s="257"/>
      <c r="IS46" s="257"/>
      <c r="IT46" s="257"/>
      <c r="IU46" s="257"/>
      <c r="IV46" s="257"/>
      <c r="IW46" s="257"/>
      <c r="IX46" s="257"/>
      <c r="IY46" s="257"/>
      <c r="IZ46" s="257"/>
      <c r="JA46" s="257"/>
      <c r="JB46" s="257"/>
      <c r="JC46" s="257"/>
      <c r="JD46" s="257"/>
      <c r="JE46" s="257"/>
      <c r="JF46" s="238"/>
      <c r="JG46" s="238"/>
      <c r="JH46" s="238"/>
      <c r="JI46" s="238"/>
      <c r="JJ46" s="238"/>
      <c r="JK46" s="238"/>
      <c r="JL46" s="238"/>
      <c r="JM46" s="238"/>
      <c r="JN46" s="238"/>
      <c r="JO46" s="238"/>
      <c r="JP46" s="238"/>
      <c r="JQ46" s="238"/>
      <c r="JR46" s="238"/>
      <c r="JS46" s="238"/>
      <c r="JT46" s="238"/>
      <c r="JU46" s="238"/>
      <c r="JV46" s="238"/>
      <c r="JW46" s="238"/>
      <c r="JX46" s="238"/>
      <c r="JY46" s="238"/>
      <c r="JZ46" s="238"/>
      <c r="KA46" s="238"/>
      <c r="KB46" s="238"/>
      <c r="KC46" s="238"/>
      <c r="KD46" s="238"/>
      <c r="KE46" s="238"/>
      <c r="KF46" s="238"/>
      <c r="KG46" s="238"/>
      <c r="KH46" s="238"/>
      <c r="KI46" s="238"/>
      <c r="KJ46" s="238"/>
      <c r="KK46" s="238"/>
      <c r="KL46" s="238"/>
      <c r="KM46" s="238"/>
      <c r="KN46" s="238"/>
      <c r="KO46" s="238"/>
      <c r="KP46" s="238"/>
      <c r="KQ46" s="238"/>
      <c r="KR46" s="238"/>
      <c r="KS46" s="238"/>
      <c r="KT46" s="238"/>
      <c r="KU46" s="238"/>
      <c r="KV46" s="238"/>
      <c r="KW46" s="238"/>
      <c r="KX46" s="238"/>
      <c r="KY46" s="238"/>
      <c r="KZ46" s="238"/>
      <c r="LA46" s="238"/>
      <c r="LB46" s="238"/>
      <c r="LC46" s="238"/>
      <c r="LD46" s="238"/>
      <c r="LE46" s="238"/>
      <c r="LF46" s="238"/>
      <c r="LG46" s="238"/>
      <c r="LH46" s="238"/>
      <c r="LI46" s="238"/>
      <c r="LJ46" s="238"/>
      <c r="LK46" s="238"/>
      <c r="LL46" s="238"/>
      <c r="LM46" s="238"/>
      <c r="LN46" s="238"/>
      <c r="LO46" s="238"/>
      <c r="LP46" s="238"/>
      <c r="LQ46" s="238"/>
      <c r="LR46" s="238"/>
      <c r="LS46" s="238"/>
      <c r="LT46" s="238"/>
      <c r="LU46" s="238"/>
      <c r="LV46" s="238"/>
      <c r="LW46" s="238"/>
      <c r="LX46" s="238"/>
      <c r="LY46" s="238"/>
      <c r="LZ46" s="238"/>
      <c r="MA46" s="238"/>
      <c r="MB46" s="238"/>
      <c r="MC46" s="238"/>
      <c r="MD46" s="238"/>
      <c r="ME46" s="238"/>
      <c r="MF46" s="238"/>
      <c r="MG46" s="238"/>
      <c r="MH46" s="238"/>
      <c r="MI46" s="238"/>
      <c r="MJ46" s="238"/>
      <c r="MK46" s="238"/>
      <c r="ML46" s="238"/>
    </row>
    <row r="47" ht="18.75" customHeight="1">
      <c r="A47" s="283"/>
      <c r="B47" s="234" t="str">
        <f>'Building Bill of Materials_SLIM'!P47</f>
        <v/>
      </c>
      <c r="C47" s="234" t="str">
        <f>'Building Bill of Materials_SLIM'!Q47</f>
        <v/>
      </c>
      <c r="D47" s="234" t="str">
        <f>'Building Bill of Materials_SLIM'!R47</f>
        <v/>
      </c>
      <c r="E47" s="234" t="str">
        <f>'Building Bill of Materials_SLIM'!S47</f>
        <v/>
      </c>
      <c r="F47" s="234"/>
      <c r="G47" s="234"/>
      <c r="H47" s="234"/>
      <c r="I47" s="234"/>
      <c r="J47" s="234" t="str">
        <f>'Building Bill of Materials_SLIM'!V47</f>
        <v/>
      </c>
      <c r="K47" s="238"/>
      <c r="L47" s="238"/>
      <c r="M47" s="238"/>
      <c r="N47" s="238"/>
      <c r="O47" s="238"/>
      <c r="P47" s="238"/>
      <c r="Q47" s="238"/>
      <c r="R47" s="238"/>
      <c r="S47" s="238"/>
      <c r="T47" s="238"/>
      <c r="U47" s="238"/>
      <c r="V47" s="238"/>
      <c r="W47" s="238"/>
      <c r="X47" s="238"/>
      <c r="Y47" s="238"/>
      <c r="Z47" s="238"/>
      <c r="AA47" s="192"/>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57"/>
      <c r="CF47" s="257"/>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57"/>
      <c r="DH47" s="238"/>
      <c r="DI47" s="238"/>
      <c r="DJ47" s="238"/>
      <c r="DK47" s="238"/>
      <c r="DL47" s="238"/>
      <c r="DM47" s="238"/>
      <c r="DN47" s="238"/>
      <c r="DO47" s="238"/>
      <c r="DP47" s="238"/>
      <c r="DQ47" s="238"/>
      <c r="DR47" s="238"/>
      <c r="DS47" s="238"/>
      <c r="DT47" s="238"/>
      <c r="DU47" s="238"/>
      <c r="DV47" s="238"/>
      <c r="DW47" s="238"/>
      <c r="DX47" s="238"/>
      <c r="DY47" s="238"/>
      <c r="DZ47" s="238"/>
      <c r="EA47" s="238"/>
      <c r="EB47" s="238"/>
      <c r="EC47" s="238"/>
      <c r="ED47" s="238"/>
      <c r="EE47" s="238"/>
      <c r="EF47" s="238"/>
      <c r="EG47" s="238"/>
      <c r="EH47" s="238"/>
      <c r="EI47" s="238"/>
      <c r="EJ47" s="238"/>
      <c r="EK47" s="238"/>
      <c r="EL47" s="238"/>
      <c r="EM47" s="238"/>
      <c r="EN47" s="238"/>
      <c r="EO47" s="238"/>
      <c r="EP47" s="238"/>
      <c r="EQ47" s="238"/>
      <c r="ER47" s="238"/>
      <c r="ES47" s="238"/>
      <c r="ET47" s="238"/>
      <c r="EU47" s="238"/>
      <c r="EV47" s="238"/>
      <c r="EW47" s="238"/>
      <c r="EX47" s="238"/>
      <c r="EY47" s="238"/>
      <c r="EZ47" s="238"/>
      <c r="FA47" s="238"/>
      <c r="FB47" s="238"/>
      <c r="FC47" s="238"/>
      <c r="FD47" s="238"/>
      <c r="FE47" s="238"/>
      <c r="FF47" s="238"/>
      <c r="FG47" s="238"/>
      <c r="FH47" s="257"/>
      <c r="FI47" s="257"/>
      <c r="FJ47" s="257"/>
      <c r="FK47" s="257"/>
      <c r="FL47" s="257"/>
      <c r="FM47" s="257"/>
      <c r="FN47" s="257"/>
      <c r="FO47" s="257"/>
      <c r="FP47" s="257"/>
      <c r="FQ47" s="257"/>
      <c r="FR47" s="257"/>
      <c r="FS47" s="257"/>
      <c r="FT47" s="257"/>
      <c r="FU47" s="257"/>
      <c r="FV47" s="257"/>
      <c r="FW47" s="257"/>
      <c r="FX47" s="257"/>
      <c r="FY47" s="238"/>
      <c r="FZ47" s="238"/>
      <c r="GA47" s="238"/>
      <c r="GB47" s="238"/>
      <c r="GC47" s="238"/>
      <c r="GD47" s="238"/>
      <c r="GE47" s="238"/>
      <c r="GF47" s="238"/>
      <c r="GG47" s="238"/>
      <c r="GH47" s="238"/>
      <c r="GI47" s="238"/>
      <c r="GJ47" s="238"/>
      <c r="GK47" s="238"/>
      <c r="GL47" s="238"/>
      <c r="GM47" s="238"/>
      <c r="GN47" s="238"/>
      <c r="GO47" s="238"/>
      <c r="GP47" s="238"/>
      <c r="GQ47" s="238"/>
      <c r="GR47" s="238"/>
      <c r="GS47" s="238"/>
      <c r="GT47" s="238"/>
      <c r="GU47" s="238"/>
      <c r="GV47" s="238"/>
      <c r="GW47" s="238"/>
      <c r="GX47" s="238"/>
      <c r="GY47" s="238"/>
      <c r="GZ47" s="238"/>
      <c r="HA47" s="238"/>
      <c r="HB47" s="238"/>
      <c r="HC47" s="238"/>
      <c r="HD47" s="238"/>
      <c r="HE47" s="238"/>
      <c r="HF47" s="238"/>
      <c r="HG47" s="238"/>
      <c r="HH47" s="238"/>
      <c r="HI47" s="238"/>
      <c r="HJ47" s="238"/>
      <c r="HK47" s="238"/>
      <c r="HL47" s="238"/>
      <c r="HM47" s="238"/>
      <c r="HN47" s="238"/>
      <c r="HO47" s="238"/>
      <c r="HP47" s="238"/>
      <c r="HQ47" s="238"/>
      <c r="HR47" s="238"/>
      <c r="HS47" s="238"/>
      <c r="HT47" s="238"/>
      <c r="HU47" s="238"/>
      <c r="HV47" s="238"/>
      <c r="HW47" s="238"/>
      <c r="HX47" s="257"/>
      <c r="HY47" s="257"/>
      <c r="HZ47" s="257"/>
      <c r="IA47" s="257"/>
      <c r="IB47" s="257"/>
      <c r="IC47" s="257"/>
      <c r="ID47" s="257"/>
      <c r="IE47" s="257"/>
      <c r="IF47" s="257"/>
      <c r="IG47" s="257"/>
      <c r="IH47" s="257"/>
      <c r="II47" s="257"/>
      <c r="IJ47" s="257"/>
      <c r="IK47" s="257"/>
      <c r="IL47" s="257"/>
      <c r="IM47" s="257"/>
      <c r="IN47" s="257"/>
      <c r="IO47" s="257"/>
      <c r="IP47" s="257"/>
      <c r="IQ47" s="257"/>
      <c r="IR47" s="257"/>
      <c r="IS47" s="257"/>
      <c r="IT47" s="257"/>
      <c r="IU47" s="257"/>
      <c r="IV47" s="257"/>
      <c r="IW47" s="257"/>
      <c r="IX47" s="257"/>
      <c r="IY47" s="257"/>
      <c r="IZ47" s="257"/>
      <c r="JA47" s="257"/>
      <c r="JB47" s="257"/>
      <c r="JC47" s="257"/>
      <c r="JD47" s="257"/>
      <c r="JE47" s="257"/>
      <c r="JF47" s="238"/>
      <c r="JG47" s="238"/>
      <c r="JH47" s="238"/>
      <c r="JI47" s="238"/>
      <c r="JJ47" s="238"/>
      <c r="JK47" s="238"/>
      <c r="JL47" s="238"/>
      <c r="JM47" s="238"/>
      <c r="JN47" s="238"/>
      <c r="JO47" s="238"/>
      <c r="JP47" s="238"/>
      <c r="JQ47" s="238"/>
      <c r="JR47" s="238"/>
      <c r="JS47" s="238"/>
      <c r="JT47" s="238"/>
      <c r="JU47" s="238"/>
      <c r="JV47" s="238"/>
      <c r="JW47" s="238"/>
      <c r="JX47" s="238"/>
      <c r="JY47" s="238"/>
      <c r="JZ47" s="238"/>
      <c r="KA47" s="238"/>
      <c r="KB47" s="238"/>
      <c r="KC47" s="238"/>
      <c r="KD47" s="238"/>
      <c r="KE47" s="238"/>
      <c r="KF47" s="238"/>
      <c r="KG47" s="238"/>
      <c r="KH47" s="238"/>
      <c r="KI47" s="238"/>
      <c r="KJ47" s="238"/>
      <c r="KK47" s="238"/>
      <c r="KL47" s="238"/>
      <c r="KM47" s="238"/>
      <c r="KN47" s="238"/>
      <c r="KO47" s="238"/>
      <c r="KP47" s="238"/>
      <c r="KQ47" s="238"/>
      <c r="KR47" s="238"/>
      <c r="KS47" s="238"/>
      <c r="KT47" s="238"/>
      <c r="KU47" s="238"/>
      <c r="KV47" s="238"/>
      <c r="KW47" s="238"/>
      <c r="KX47" s="238"/>
      <c r="KY47" s="238"/>
      <c r="KZ47" s="238"/>
      <c r="LA47" s="238"/>
      <c r="LB47" s="238"/>
      <c r="LC47" s="238"/>
      <c r="LD47" s="238"/>
      <c r="LE47" s="238"/>
      <c r="LF47" s="238"/>
      <c r="LG47" s="238"/>
      <c r="LH47" s="238"/>
      <c r="LI47" s="238"/>
      <c r="LJ47" s="238"/>
      <c r="LK47" s="238"/>
      <c r="LL47" s="238"/>
      <c r="LM47" s="238"/>
      <c r="LN47" s="238"/>
      <c r="LO47" s="238"/>
      <c r="LP47" s="238"/>
      <c r="LQ47" s="238"/>
      <c r="LR47" s="238"/>
      <c r="LS47" s="238"/>
      <c r="LT47" s="238"/>
      <c r="LU47" s="238"/>
      <c r="LV47" s="238"/>
      <c r="LW47" s="238"/>
      <c r="LX47" s="238"/>
      <c r="LY47" s="238"/>
      <c r="LZ47" s="238"/>
      <c r="MA47" s="238"/>
      <c r="MB47" s="238"/>
      <c r="MC47" s="238"/>
      <c r="MD47" s="238"/>
      <c r="ME47" s="238"/>
      <c r="MF47" s="238"/>
      <c r="MG47" s="238"/>
      <c r="MH47" s="238"/>
      <c r="MI47" s="238"/>
      <c r="MJ47" s="238"/>
      <c r="MK47" s="238"/>
      <c r="ML47" s="238"/>
    </row>
    <row r="48" ht="18.75" customHeight="1">
      <c r="A48" s="283"/>
      <c r="B48" s="234" t="str">
        <f>'Building Bill of Materials_SLIM'!P48</f>
        <v/>
      </c>
      <c r="C48" s="234" t="str">
        <f>'Building Bill of Materials_SLIM'!Q48</f>
        <v/>
      </c>
      <c r="D48" s="234" t="str">
        <f>'Building Bill of Materials_SLIM'!R48</f>
        <v/>
      </c>
      <c r="E48" s="234" t="str">
        <f>'Building Bill of Materials_SLIM'!S48</f>
        <v/>
      </c>
      <c r="F48" s="234"/>
      <c r="G48" s="234"/>
      <c r="H48" s="234"/>
      <c r="I48" s="234"/>
      <c r="J48" s="234" t="str">
        <f>'Building Bill of Materials_SLIM'!V48</f>
        <v/>
      </c>
      <c r="K48" s="238"/>
      <c r="L48" s="238"/>
      <c r="M48" s="238"/>
      <c r="N48" s="238"/>
      <c r="O48" s="238"/>
      <c r="P48" s="238"/>
      <c r="Q48" s="238"/>
      <c r="R48" s="238"/>
      <c r="S48" s="238"/>
      <c r="T48" s="238"/>
      <c r="U48" s="238"/>
      <c r="V48" s="238"/>
      <c r="W48" s="238"/>
      <c r="X48" s="238"/>
      <c r="Y48" s="238"/>
      <c r="Z48" s="238"/>
      <c r="AA48" s="192"/>
      <c r="AB48" s="257"/>
      <c r="AC48" s="257"/>
      <c r="AD48" s="257"/>
      <c r="AE48" s="257"/>
      <c r="AF48" s="257"/>
      <c r="AG48" s="257"/>
      <c r="AH48" s="257"/>
      <c r="AI48" s="257"/>
      <c r="AJ48" s="257"/>
      <c r="AK48" s="257"/>
      <c r="AL48" s="257"/>
      <c r="AM48" s="257"/>
      <c r="AN48" s="257"/>
      <c r="AO48" s="257"/>
      <c r="AP48" s="257"/>
      <c r="AQ48" s="257"/>
      <c r="AR48" s="257"/>
      <c r="AS48" s="257"/>
      <c r="AT48" s="257"/>
      <c r="AU48" s="257"/>
      <c r="AV48" s="257"/>
      <c r="AW48" s="257"/>
      <c r="AX48" s="257"/>
      <c r="AY48" s="257"/>
      <c r="AZ48" s="257"/>
      <c r="BA48" s="257"/>
      <c r="BB48" s="257"/>
      <c r="BC48" s="257"/>
      <c r="BD48" s="257"/>
      <c r="BE48" s="257"/>
      <c r="BF48" s="257"/>
      <c r="BG48" s="257"/>
      <c r="BH48" s="257"/>
      <c r="BI48" s="257"/>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57"/>
      <c r="CF48" s="257"/>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57"/>
      <c r="DH48" s="238"/>
      <c r="DI48" s="238"/>
      <c r="DJ48" s="238"/>
      <c r="DK48" s="238"/>
      <c r="DL48" s="238"/>
      <c r="DM48" s="238"/>
      <c r="DN48" s="238"/>
      <c r="DO48" s="238"/>
      <c r="DP48" s="238"/>
      <c r="DQ48" s="238"/>
      <c r="DR48" s="238"/>
      <c r="DS48" s="238"/>
      <c r="DT48" s="238"/>
      <c r="DU48" s="238"/>
      <c r="DV48" s="238"/>
      <c r="DW48" s="238"/>
      <c r="DX48" s="238"/>
      <c r="DY48" s="238"/>
      <c r="DZ48" s="238"/>
      <c r="EA48" s="238"/>
      <c r="EB48" s="238"/>
      <c r="EC48" s="238"/>
      <c r="ED48" s="238"/>
      <c r="EE48" s="238"/>
      <c r="EF48" s="238"/>
      <c r="EG48" s="238"/>
      <c r="EH48" s="238"/>
      <c r="EI48" s="238"/>
      <c r="EJ48" s="238"/>
      <c r="EK48" s="238"/>
      <c r="EL48" s="238"/>
      <c r="EM48" s="238"/>
      <c r="EN48" s="238"/>
      <c r="EO48" s="238"/>
      <c r="EP48" s="238"/>
      <c r="EQ48" s="238"/>
      <c r="ER48" s="238"/>
      <c r="ES48" s="238"/>
      <c r="ET48" s="238"/>
      <c r="EU48" s="238"/>
      <c r="EV48" s="238"/>
      <c r="EW48" s="238"/>
      <c r="EX48" s="238"/>
      <c r="EY48" s="238"/>
      <c r="EZ48" s="238"/>
      <c r="FA48" s="238"/>
      <c r="FB48" s="238"/>
      <c r="FC48" s="238"/>
      <c r="FD48" s="238"/>
      <c r="FE48" s="238"/>
      <c r="FF48" s="238"/>
      <c r="FG48" s="238"/>
      <c r="FH48" s="257"/>
      <c r="FI48" s="257"/>
      <c r="FJ48" s="257"/>
      <c r="FK48" s="257"/>
      <c r="FL48" s="257"/>
      <c r="FM48" s="257"/>
      <c r="FN48" s="257"/>
      <c r="FO48" s="257"/>
      <c r="FP48" s="257"/>
      <c r="FQ48" s="257"/>
      <c r="FR48" s="257"/>
      <c r="FS48" s="257"/>
      <c r="FT48" s="257"/>
      <c r="FU48" s="257"/>
      <c r="FV48" s="257"/>
      <c r="FW48" s="257"/>
      <c r="FX48" s="257"/>
      <c r="FY48" s="238"/>
      <c r="FZ48" s="238"/>
      <c r="GA48" s="238"/>
      <c r="GB48" s="238"/>
      <c r="GC48" s="238"/>
      <c r="GD48" s="238"/>
      <c r="GE48" s="238"/>
      <c r="GF48" s="238"/>
      <c r="GG48" s="238"/>
      <c r="GH48" s="238"/>
      <c r="GI48" s="238"/>
      <c r="GJ48" s="238"/>
      <c r="GK48" s="238"/>
      <c r="GL48" s="238"/>
      <c r="GM48" s="238"/>
      <c r="GN48" s="238"/>
      <c r="GO48" s="238"/>
      <c r="GP48" s="238"/>
      <c r="GQ48" s="238"/>
      <c r="GR48" s="238"/>
      <c r="GS48" s="238"/>
      <c r="GT48" s="238"/>
      <c r="GU48" s="238"/>
      <c r="GV48" s="238"/>
      <c r="GW48" s="238"/>
      <c r="GX48" s="238"/>
      <c r="GY48" s="238"/>
      <c r="GZ48" s="238"/>
      <c r="HA48" s="238"/>
      <c r="HB48" s="238"/>
      <c r="HC48" s="238"/>
      <c r="HD48" s="238"/>
      <c r="HE48" s="238"/>
      <c r="HF48" s="238"/>
      <c r="HG48" s="238"/>
      <c r="HH48" s="238"/>
      <c r="HI48" s="238"/>
      <c r="HJ48" s="238"/>
      <c r="HK48" s="238"/>
      <c r="HL48" s="238"/>
      <c r="HM48" s="238"/>
      <c r="HN48" s="238"/>
      <c r="HO48" s="238"/>
      <c r="HP48" s="238"/>
      <c r="HQ48" s="238"/>
      <c r="HR48" s="238"/>
      <c r="HS48" s="238"/>
      <c r="HT48" s="238"/>
      <c r="HU48" s="238"/>
      <c r="HV48" s="238"/>
      <c r="HW48" s="238"/>
      <c r="HX48" s="257"/>
      <c r="HY48" s="257"/>
      <c r="HZ48" s="257"/>
      <c r="IA48" s="257"/>
      <c r="IB48" s="257"/>
      <c r="IC48" s="257"/>
      <c r="ID48" s="257"/>
      <c r="IE48" s="257"/>
      <c r="IF48" s="257"/>
      <c r="IG48" s="257"/>
      <c r="IH48" s="257"/>
      <c r="II48" s="257"/>
      <c r="IJ48" s="257"/>
      <c r="IK48" s="257"/>
      <c r="IL48" s="257"/>
      <c r="IM48" s="257"/>
      <c r="IN48" s="257"/>
      <c r="IO48" s="257"/>
      <c r="IP48" s="257"/>
      <c r="IQ48" s="257"/>
      <c r="IR48" s="257"/>
      <c r="IS48" s="257"/>
      <c r="IT48" s="257"/>
      <c r="IU48" s="257"/>
      <c r="IV48" s="257"/>
      <c r="IW48" s="257"/>
      <c r="IX48" s="257"/>
      <c r="IY48" s="257"/>
      <c r="IZ48" s="257"/>
      <c r="JA48" s="257"/>
      <c r="JB48" s="257"/>
      <c r="JC48" s="257"/>
      <c r="JD48" s="257"/>
      <c r="JE48" s="257"/>
      <c r="JF48" s="238"/>
      <c r="JG48" s="238"/>
      <c r="JH48" s="238"/>
      <c r="JI48" s="238"/>
      <c r="JJ48" s="238"/>
      <c r="JK48" s="238"/>
      <c r="JL48" s="238"/>
      <c r="JM48" s="238"/>
      <c r="JN48" s="238"/>
      <c r="JO48" s="238"/>
      <c r="JP48" s="238"/>
      <c r="JQ48" s="238"/>
      <c r="JR48" s="238"/>
      <c r="JS48" s="238"/>
      <c r="JT48" s="238"/>
      <c r="JU48" s="238"/>
      <c r="JV48" s="238"/>
      <c r="JW48" s="238"/>
      <c r="JX48" s="238"/>
      <c r="JY48" s="238"/>
      <c r="JZ48" s="238"/>
      <c r="KA48" s="238"/>
      <c r="KB48" s="238"/>
      <c r="KC48" s="238"/>
      <c r="KD48" s="238"/>
      <c r="KE48" s="238"/>
      <c r="KF48" s="238"/>
      <c r="KG48" s="238"/>
      <c r="KH48" s="238"/>
      <c r="KI48" s="238"/>
      <c r="KJ48" s="238"/>
      <c r="KK48" s="238"/>
      <c r="KL48" s="238"/>
      <c r="KM48" s="238"/>
      <c r="KN48" s="238"/>
      <c r="KO48" s="238"/>
      <c r="KP48" s="238"/>
      <c r="KQ48" s="238"/>
      <c r="KR48" s="238"/>
      <c r="KS48" s="238"/>
      <c r="KT48" s="238"/>
      <c r="KU48" s="238"/>
      <c r="KV48" s="238"/>
      <c r="KW48" s="238"/>
      <c r="KX48" s="238"/>
      <c r="KY48" s="238"/>
      <c r="KZ48" s="238"/>
      <c r="LA48" s="238"/>
      <c r="LB48" s="238"/>
      <c r="LC48" s="238"/>
      <c r="LD48" s="238"/>
      <c r="LE48" s="238"/>
      <c r="LF48" s="238"/>
      <c r="LG48" s="238"/>
      <c r="LH48" s="238"/>
      <c r="LI48" s="238"/>
      <c r="LJ48" s="238"/>
      <c r="LK48" s="238"/>
      <c r="LL48" s="238"/>
      <c r="LM48" s="238"/>
      <c r="LN48" s="238"/>
      <c r="LO48" s="238"/>
      <c r="LP48" s="238"/>
      <c r="LQ48" s="238"/>
      <c r="LR48" s="238"/>
      <c r="LS48" s="238"/>
      <c r="LT48" s="238"/>
      <c r="LU48" s="238"/>
      <c r="LV48" s="238"/>
      <c r="LW48" s="238"/>
      <c r="LX48" s="238"/>
      <c r="LY48" s="238"/>
      <c r="LZ48" s="238"/>
      <c r="MA48" s="238"/>
      <c r="MB48" s="238"/>
      <c r="MC48" s="238"/>
      <c r="MD48" s="238"/>
      <c r="ME48" s="238"/>
      <c r="MF48" s="238"/>
      <c r="MG48" s="238"/>
      <c r="MH48" s="238"/>
      <c r="MI48" s="238"/>
      <c r="MJ48" s="238"/>
      <c r="MK48" s="238"/>
      <c r="ML48" s="238"/>
    </row>
    <row r="49" ht="18.75" customHeight="1">
      <c r="A49" s="283"/>
      <c r="B49" s="234" t="str">
        <f>'Building Bill of Materials_SLIM'!P49</f>
        <v/>
      </c>
      <c r="C49" s="234" t="str">
        <f>'Building Bill of Materials_SLIM'!Q49</f>
        <v/>
      </c>
      <c r="D49" s="234" t="str">
        <f>'Building Bill of Materials_SLIM'!R49</f>
        <v/>
      </c>
      <c r="E49" s="234" t="str">
        <f>'Building Bill of Materials_SLIM'!S49</f>
        <v/>
      </c>
      <c r="F49" s="234"/>
      <c r="G49" s="234"/>
      <c r="H49" s="234"/>
      <c r="I49" s="234"/>
      <c r="J49" s="234" t="str">
        <f>'Building Bill of Materials_SLIM'!V49</f>
        <v/>
      </c>
      <c r="K49" s="238"/>
      <c r="L49" s="238"/>
      <c r="M49" s="238"/>
      <c r="N49" s="238"/>
      <c r="O49" s="238"/>
      <c r="P49" s="238"/>
      <c r="Q49" s="238"/>
      <c r="R49" s="238"/>
      <c r="S49" s="238"/>
      <c r="T49" s="238"/>
      <c r="U49" s="238"/>
      <c r="V49" s="238"/>
      <c r="W49" s="238"/>
      <c r="X49" s="238"/>
      <c r="Y49" s="238"/>
      <c r="Z49" s="238"/>
      <c r="AA49" s="192"/>
      <c r="AB49" s="257"/>
      <c r="AC49" s="257"/>
      <c r="AD49" s="257"/>
      <c r="AE49" s="257"/>
      <c r="AF49" s="257"/>
      <c r="AG49" s="257"/>
      <c r="AH49" s="257"/>
      <c r="AI49" s="257"/>
      <c r="AJ49" s="257"/>
      <c r="AK49" s="257"/>
      <c r="AL49" s="257"/>
      <c r="AM49" s="257"/>
      <c r="AN49" s="257"/>
      <c r="AO49" s="257"/>
      <c r="AP49" s="257"/>
      <c r="AQ49" s="257"/>
      <c r="AR49" s="257"/>
      <c r="AS49" s="257"/>
      <c r="AT49" s="257"/>
      <c r="AU49" s="257"/>
      <c r="AV49" s="257"/>
      <c r="AW49" s="257"/>
      <c r="AX49" s="257"/>
      <c r="AY49" s="257"/>
      <c r="AZ49" s="257"/>
      <c r="BA49" s="257"/>
      <c r="BB49" s="257"/>
      <c r="BC49" s="257"/>
      <c r="BD49" s="257"/>
      <c r="BE49" s="257"/>
      <c r="BF49" s="257"/>
      <c r="BG49" s="257"/>
      <c r="BH49" s="257"/>
      <c r="BI49" s="257"/>
      <c r="BJ49" s="238"/>
      <c r="BK49" s="238"/>
      <c r="BL49" s="238"/>
      <c r="BM49" s="238"/>
      <c r="BN49" s="238"/>
      <c r="BO49" s="238"/>
      <c r="BP49" s="238"/>
      <c r="BQ49" s="238"/>
      <c r="BR49" s="238"/>
      <c r="BS49" s="238"/>
      <c r="BT49" s="238"/>
      <c r="BU49" s="238"/>
      <c r="BV49" s="238"/>
      <c r="BW49" s="238"/>
      <c r="BX49" s="238"/>
      <c r="BY49" s="238"/>
      <c r="BZ49" s="238"/>
      <c r="CA49" s="238"/>
      <c r="CB49" s="238"/>
      <c r="CC49" s="238"/>
      <c r="CD49" s="238"/>
      <c r="CE49" s="257"/>
      <c r="CF49" s="257"/>
      <c r="CG49" s="238"/>
      <c r="CH49" s="238"/>
      <c r="CI49" s="238"/>
      <c r="CJ49" s="238"/>
      <c r="CK49" s="238"/>
      <c r="CL49" s="238"/>
      <c r="CM49" s="238"/>
      <c r="CN49" s="238"/>
      <c r="CO49" s="238"/>
      <c r="CP49" s="238"/>
      <c r="CQ49" s="238"/>
      <c r="CR49" s="238"/>
      <c r="CS49" s="238"/>
      <c r="CT49" s="238"/>
      <c r="CU49" s="238"/>
      <c r="CV49" s="238"/>
      <c r="CW49" s="238"/>
      <c r="CX49" s="238"/>
      <c r="CY49" s="238"/>
      <c r="CZ49" s="238"/>
      <c r="DA49" s="238"/>
      <c r="DB49" s="238"/>
      <c r="DC49" s="238"/>
      <c r="DD49" s="238"/>
      <c r="DE49" s="238"/>
      <c r="DF49" s="238"/>
      <c r="DG49" s="257"/>
      <c r="DH49" s="238"/>
      <c r="DI49" s="238"/>
      <c r="DJ49" s="238"/>
      <c r="DK49" s="238"/>
      <c r="DL49" s="238"/>
      <c r="DM49" s="238"/>
      <c r="DN49" s="238"/>
      <c r="DO49" s="238"/>
      <c r="DP49" s="238"/>
      <c r="DQ49" s="238"/>
      <c r="DR49" s="238"/>
      <c r="DS49" s="238"/>
      <c r="DT49" s="238"/>
      <c r="DU49" s="238"/>
      <c r="DV49" s="238"/>
      <c r="DW49" s="238"/>
      <c r="DX49" s="238"/>
      <c r="DY49" s="238"/>
      <c r="DZ49" s="238"/>
      <c r="EA49" s="238"/>
      <c r="EB49" s="238"/>
      <c r="EC49" s="238"/>
      <c r="ED49" s="238"/>
      <c r="EE49" s="238"/>
      <c r="EF49" s="238"/>
      <c r="EG49" s="238"/>
      <c r="EH49" s="238"/>
      <c r="EI49" s="238"/>
      <c r="EJ49" s="238"/>
      <c r="EK49" s="238"/>
      <c r="EL49" s="238"/>
      <c r="EM49" s="238"/>
      <c r="EN49" s="238"/>
      <c r="EO49" s="238"/>
      <c r="EP49" s="238"/>
      <c r="EQ49" s="238"/>
      <c r="ER49" s="238"/>
      <c r="ES49" s="238"/>
      <c r="ET49" s="238"/>
      <c r="EU49" s="238"/>
      <c r="EV49" s="238"/>
      <c r="EW49" s="238"/>
      <c r="EX49" s="238"/>
      <c r="EY49" s="238"/>
      <c r="EZ49" s="238"/>
      <c r="FA49" s="238"/>
      <c r="FB49" s="238"/>
      <c r="FC49" s="238"/>
      <c r="FD49" s="238"/>
      <c r="FE49" s="238"/>
      <c r="FF49" s="238"/>
      <c r="FG49" s="238"/>
      <c r="FH49" s="257"/>
      <c r="FI49" s="257"/>
      <c r="FJ49" s="257"/>
      <c r="FK49" s="257"/>
      <c r="FL49" s="257"/>
      <c r="FM49" s="257"/>
      <c r="FN49" s="257"/>
      <c r="FO49" s="257"/>
      <c r="FP49" s="257"/>
      <c r="FQ49" s="257"/>
      <c r="FR49" s="257"/>
      <c r="FS49" s="257"/>
      <c r="FT49" s="257"/>
      <c r="FU49" s="257"/>
      <c r="FV49" s="257"/>
      <c r="FW49" s="257"/>
      <c r="FX49" s="257"/>
      <c r="FY49" s="238"/>
      <c r="FZ49" s="238"/>
      <c r="GA49" s="238"/>
      <c r="GB49" s="238"/>
      <c r="GC49" s="238"/>
      <c r="GD49" s="238"/>
      <c r="GE49" s="238"/>
      <c r="GF49" s="238"/>
      <c r="GG49" s="238"/>
      <c r="GH49" s="238"/>
      <c r="GI49" s="238"/>
      <c r="GJ49" s="238"/>
      <c r="GK49" s="238"/>
      <c r="GL49" s="238"/>
      <c r="GM49" s="238"/>
      <c r="GN49" s="238"/>
      <c r="GO49" s="238"/>
      <c r="GP49" s="238"/>
      <c r="GQ49" s="238"/>
      <c r="GR49" s="238"/>
      <c r="GS49" s="238"/>
      <c r="GT49" s="238"/>
      <c r="GU49" s="238"/>
      <c r="GV49" s="238"/>
      <c r="GW49" s="238"/>
      <c r="GX49" s="238"/>
      <c r="GY49" s="238"/>
      <c r="GZ49" s="238"/>
      <c r="HA49" s="238"/>
      <c r="HB49" s="238"/>
      <c r="HC49" s="238"/>
      <c r="HD49" s="238"/>
      <c r="HE49" s="238"/>
      <c r="HF49" s="238"/>
      <c r="HG49" s="238"/>
      <c r="HH49" s="238"/>
      <c r="HI49" s="238"/>
      <c r="HJ49" s="238"/>
      <c r="HK49" s="238"/>
      <c r="HL49" s="238"/>
      <c r="HM49" s="238"/>
      <c r="HN49" s="238"/>
      <c r="HO49" s="238"/>
      <c r="HP49" s="238"/>
      <c r="HQ49" s="238"/>
      <c r="HR49" s="238"/>
      <c r="HS49" s="238"/>
      <c r="HT49" s="238"/>
      <c r="HU49" s="238"/>
      <c r="HV49" s="238"/>
      <c r="HW49" s="238"/>
      <c r="HX49" s="257"/>
      <c r="HY49" s="257"/>
      <c r="HZ49" s="257"/>
      <c r="IA49" s="257"/>
      <c r="IB49" s="257"/>
      <c r="IC49" s="257"/>
      <c r="ID49" s="257"/>
      <c r="IE49" s="257"/>
      <c r="IF49" s="257"/>
      <c r="IG49" s="257"/>
      <c r="IH49" s="257"/>
      <c r="II49" s="257"/>
      <c r="IJ49" s="257"/>
      <c r="IK49" s="257"/>
      <c r="IL49" s="257"/>
      <c r="IM49" s="257"/>
      <c r="IN49" s="257"/>
      <c r="IO49" s="257"/>
      <c r="IP49" s="257"/>
      <c r="IQ49" s="257"/>
      <c r="IR49" s="257"/>
      <c r="IS49" s="257"/>
      <c r="IT49" s="257"/>
      <c r="IU49" s="257"/>
      <c r="IV49" s="257"/>
      <c r="IW49" s="257"/>
      <c r="IX49" s="257"/>
      <c r="IY49" s="257"/>
      <c r="IZ49" s="257"/>
      <c r="JA49" s="257"/>
      <c r="JB49" s="257"/>
      <c r="JC49" s="257"/>
      <c r="JD49" s="257"/>
      <c r="JE49" s="257"/>
      <c r="JF49" s="238"/>
      <c r="JG49" s="238"/>
      <c r="JH49" s="238"/>
      <c r="JI49" s="238"/>
      <c r="JJ49" s="238"/>
      <c r="JK49" s="238"/>
      <c r="JL49" s="238"/>
      <c r="JM49" s="238"/>
      <c r="JN49" s="238"/>
      <c r="JO49" s="238"/>
      <c r="JP49" s="238"/>
      <c r="JQ49" s="238"/>
      <c r="JR49" s="238"/>
      <c r="JS49" s="238"/>
      <c r="JT49" s="238"/>
      <c r="JU49" s="238"/>
      <c r="JV49" s="238"/>
      <c r="JW49" s="238"/>
      <c r="JX49" s="238"/>
      <c r="JY49" s="238"/>
      <c r="JZ49" s="238"/>
      <c r="KA49" s="238"/>
      <c r="KB49" s="238"/>
      <c r="KC49" s="238"/>
      <c r="KD49" s="238"/>
      <c r="KE49" s="238"/>
      <c r="KF49" s="238"/>
      <c r="KG49" s="238"/>
      <c r="KH49" s="238"/>
      <c r="KI49" s="238"/>
      <c r="KJ49" s="238"/>
      <c r="KK49" s="238"/>
      <c r="KL49" s="238"/>
      <c r="KM49" s="238"/>
      <c r="KN49" s="238"/>
      <c r="KO49" s="238"/>
      <c r="KP49" s="238"/>
      <c r="KQ49" s="238"/>
      <c r="KR49" s="238"/>
      <c r="KS49" s="238"/>
      <c r="KT49" s="238"/>
      <c r="KU49" s="238"/>
      <c r="KV49" s="238"/>
      <c r="KW49" s="238"/>
      <c r="KX49" s="238"/>
      <c r="KY49" s="238"/>
      <c r="KZ49" s="238"/>
      <c r="LA49" s="238"/>
      <c r="LB49" s="238"/>
      <c r="LC49" s="238"/>
      <c r="LD49" s="238"/>
      <c r="LE49" s="238"/>
      <c r="LF49" s="238"/>
      <c r="LG49" s="238"/>
      <c r="LH49" s="238"/>
      <c r="LI49" s="238"/>
      <c r="LJ49" s="238"/>
      <c r="LK49" s="238"/>
      <c r="LL49" s="238"/>
      <c r="LM49" s="238"/>
      <c r="LN49" s="238"/>
      <c r="LO49" s="238"/>
      <c r="LP49" s="238"/>
      <c r="LQ49" s="238"/>
      <c r="LR49" s="238"/>
      <c r="LS49" s="238"/>
      <c r="LT49" s="238"/>
      <c r="LU49" s="238"/>
      <c r="LV49" s="238"/>
      <c r="LW49" s="238"/>
      <c r="LX49" s="238"/>
      <c r="LY49" s="238"/>
      <c r="LZ49" s="238"/>
      <c r="MA49" s="238"/>
      <c r="MB49" s="238"/>
      <c r="MC49" s="238"/>
      <c r="MD49" s="238"/>
      <c r="ME49" s="238"/>
      <c r="MF49" s="238"/>
      <c r="MG49" s="238"/>
      <c r="MH49" s="238"/>
      <c r="MI49" s="238"/>
      <c r="MJ49" s="238"/>
      <c r="MK49" s="238"/>
      <c r="ML49" s="238"/>
    </row>
    <row r="50" ht="18.75" customHeight="1">
      <c r="A50" s="283"/>
      <c r="B50" s="234" t="str">
        <f>'Building Bill of Materials_SLIM'!P50</f>
        <v/>
      </c>
      <c r="C50" s="234" t="str">
        <f>'Building Bill of Materials_SLIM'!Q50</f>
        <v/>
      </c>
      <c r="D50" s="234" t="str">
        <f>'Building Bill of Materials_SLIM'!R50</f>
        <v/>
      </c>
      <c r="E50" s="234" t="str">
        <f>'Building Bill of Materials_SLIM'!S50</f>
        <v/>
      </c>
      <c r="F50" s="234"/>
      <c r="G50" s="234"/>
      <c r="H50" s="234"/>
      <c r="I50" s="234"/>
      <c r="J50" s="234" t="str">
        <f>'Building Bill of Materials_SLIM'!V50</f>
        <v/>
      </c>
      <c r="K50" s="238"/>
      <c r="L50" s="238"/>
      <c r="M50" s="238"/>
      <c r="N50" s="238"/>
      <c r="O50" s="238"/>
      <c r="P50" s="238"/>
      <c r="Q50" s="238"/>
      <c r="R50" s="238"/>
      <c r="S50" s="238"/>
      <c r="T50" s="238"/>
      <c r="U50" s="238"/>
      <c r="V50" s="238"/>
      <c r="W50" s="238"/>
      <c r="X50" s="238"/>
      <c r="Y50" s="238"/>
      <c r="Z50" s="238"/>
      <c r="AA50" s="192"/>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257"/>
      <c r="AX50" s="257"/>
      <c r="AY50" s="257"/>
      <c r="AZ50" s="257"/>
      <c r="BA50" s="257"/>
      <c r="BB50" s="257"/>
      <c r="BC50" s="257"/>
      <c r="BD50" s="257"/>
      <c r="BE50" s="257"/>
      <c r="BF50" s="257"/>
      <c r="BG50" s="257"/>
      <c r="BH50" s="257"/>
      <c r="BI50" s="257"/>
      <c r="BJ50" s="238"/>
      <c r="BK50" s="238"/>
      <c r="BL50" s="238"/>
      <c r="BM50" s="238"/>
      <c r="BN50" s="238"/>
      <c r="BO50" s="238"/>
      <c r="BP50" s="238"/>
      <c r="BQ50" s="238"/>
      <c r="BR50" s="238"/>
      <c r="BS50" s="238"/>
      <c r="BT50" s="238"/>
      <c r="BU50" s="238"/>
      <c r="BV50" s="238"/>
      <c r="BW50" s="238"/>
      <c r="BX50" s="238"/>
      <c r="BY50" s="238"/>
      <c r="BZ50" s="238"/>
      <c r="CA50" s="238"/>
      <c r="CB50" s="238"/>
      <c r="CC50" s="238"/>
      <c r="CD50" s="238"/>
      <c r="CE50" s="257"/>
      <c r="CF50" s="257"/>
      <c r="CG50" s="238"/>
      <c r="CH50" s="238"/>
      <c r="CI50" s="238"/>
      <c r="CJ50" s="238"/>
      <c r="CK50" s="238"/>
      <c r="CL50" s="238"/>
      <c r="CM50" s="238"/>
      <c r="CN50" s="238"/>
      <c r="CO50" s="238"/>
      <c r="CP50" s="238"/>
      <c r="CQ50" s="238"/>
      <c r="CR50" s="238"/>
      <c r="CS50" s="238"/>
      <c r="CT50" s="238"/>
      <c r="CU50" s="238"/>
      <c r="CV50" s="238"/>
      <c r="CW50" s="238"/>
      <c r="CX50" s="238"/>
      <c r="CY50" s="238"/>
      <c r="CZ50" s="238"/>
      <c r="DA50" s="238"/>
      <c r="DB50" s="238"/>
      <c r="DC50" s="238"/>
      <c r="DD50" s="238"/>
      <c r="DE50" s="238"/>
      <c r="DF50" s="238"/>
      <c r="DG50" s="257"/>
      <c r="DH50" s="238"/>
      <c r="DI50" s="238"/>
      <c r="DJ50" s="238"/>
      <c r="DK50" s="238"/>
      <c r="DL50" s="238"/>
      <c r="DM50" s="238"/>
      <c r="DN50" s="238"/>
      <c r="DO50" s="238"/>
      <c r="DP50" s="238"/>
      <c r="DQ50" s="238"/>
      <c r="DR50" s="238"/>
      <c r="DS50" s="238"/>
      <c r="DT50" s="238"/>
      <c r="DU50" s="238"/>
      <c r="DV50" s="238"/>
      <c r="DW50" s="238"/>
      <c r="DX50" s="238"/>
      <c r="DY50" s="238"/>
      <c r="DZ50" s="238"/>
      <c r="EA50" s="238"/>
      <c r="EB50" s="238"/>
      <c r="EC50" s="238"/>
      <c r="ED50" s="238"/>
      <c r="EE50" s="238"/>
      <c r="EF50" s="238"/>
      <c r="EG50" s="238"/>
      <c r="EH50" s="238"/>
      <c r="EI50" s="238"/>
      <c r="EJ50" s="238"/>
      <c r="EK50" s="238"/>
      <c r="EL50" s="238"/>
      <c r="EM50" s="238"/>
      <c r="EN50" s="238"/>
      <c r="EO50" s="238"/>
      <c r="EP50" s="238"/>
      <c r="EQ50" s="238"/>
      <c r="ER50" s="238"/>
      <c r="ES50" s="238"/>
      <c r="ET50" s="238"/>
      <c r="EU50" s="238"/>
      <c r="EV50" s="238"/>
      <c r="EW50" s="238"/>
      <c r="EX50" s="238"/>
      <c r="EY50" s="238"/>
      <c r="EZ50" s="238"/>
      <c r="FA50" s="238"/>
      <c r="FB50" s="238"/>
      <c r="FC50" s="238"/>
      <c r="FD50" s="238"/>
      <c r="FE50" s="238"/>
      <c r="FF50" s="238"/>
      <c r="FG50" s="238"/>
      <c r="FH50" s="257"/>
      <c r="FI50" s="257"/>
      <c r="FJ50" s="257"/>
      <c r="FK50" s="257"/>
      <c r="FL50" s="257"/>
      <c r="FM50" s="257"/>
      <c r="FN50" s="257"/>
      <c r="FO50" s="257"/>
      <c r="FP50" s="257"/>
      <c r="FQ50" s="257"/>
      <c r="FR50" s="257"/>
      <c r="FS50" s="257"/>
      <c r="FT50" s="257"/>
      <c r="FU50" s="257"/>
      <c r="FV50" s="257"/>
      <c r="FW50" s="257"/>
      <c r="FX50" s="257"/>
      <c r="FY50" s="238"/>
      <c r="FZ50" s="238"/>
      <c r="GA50" s="238"/>
      <c r="GB50" s="238"/>
      <c r="GC50" s="238"/>
      <c r="GD50" s="238"/>
      <c r="GE50" s="238"/>
      <c r="GF50" s="238"/>
      <c r="GG50" s="238"/>
      <c r="GH50" s="238"/>
      <c r="GI50" s="238"/>
      <c r="GJ50" s="238"/>
      <c r="GK50" s="238"/>
      <c r="GL50" s="238"/>
      <c r="GM50" s="238"/>
      <c r="GN50" s="238"/>
      <c r="GO50" s="238"/>
      <c r="GP50" s="238"/>
      <c r="GQ50" s="238"/>
      <c r="GR50" s="238"/>
      <c r="GS50" s="238"/>
      <c r="GT50" s="238"/>
      <c r="GU50" s="238"/>
      <c r="GV50" s="238"/>
      <c r="GW50" s="238"/>
      <c r="GX50" s="238"/>
      <c r="GY50" s="238"/>
      <c r="GZ50" s="238"/>
      <c r="HA50" s="238"/>
      <c r="HB50" s="238"/>
      <c r="HC50" s="238"/>
      <c r="HD50" s="238"/>
      <c r="HE50" s="238"/>
      <c r="HF50" s="238"/>
      <c r="HG50" s="238"/>
      <c r="HH50" s="238"/>
      <c r="HI50" s="238"/>
      <c r="HJ50" s="238"/>
      <c r="HK50" s="238"/>
      <c r="HL50" s="238"/>
      <c r="HM50" s="238"/>
      <c r="HN50" s="238"/>
      <c r="HO50" s="238"/>
      <c r="HP50" s="238"/>
      <c r="HQ50" s="238"/>
      <c r="HR50" s="238"/>
      <c r="HS50" s="238"/>
      <c r="HT50" s="238"/>
      <c r="HU50" s="238"/>
      <c r="HV50" s="238"/>
      <c r="HW50" s="238"/>
      <c r="HX50" s="257"/>
      <c r="HY50" s="257"/>
      <c r="HZ50" s="257"/>
      <c r="IA50" s="257"/>
      <c r="IB50" s="257"/>
      <c r="IC50" s="257"/>
      <c r="ID50" s="257"/>
      <c r="IE50" s="257"/>
      <c r="IF50" s="257"/>
      <c r="IG50" s="257"/>
      <c r="IH50" s="257"/>
      <c r="II50" s="257"/>
      <c r="IJ50" s="257"/>
      <c r="IK50" s="257"/>
      <c r="IL50" s="257"/>
      <c r="IM50" s="257"/>
      <c r="IN50" s="257"/>
      <c r="IO50" s="257"/>
      <c r="IP50" s="257"/>
      <c r="IQ50" s="257"/>
      <c r="IR50" s="257"/>
      <c r="IS50" s="257"/>
      <c r="IT50" s="257"/>
      <c r="IU50" s="257"/>
      <c r="IV50" s="257"/>
      <c r="IW50" s="257"/>
      <c r="IX50" s="257"/>
      <c r="IY50" s="257"/>
      <c r="IZ50" s="257"/>
      <c r="JA50" s="257"/>
      <c r="JB50" s="257"/>
      <c r="JC50" s="257"/>
      <c r="JD50" s="257"/>
      <c r="JE50" s="257"/>
      <c r="JF50" s="238"/>
      <c r="JG50" s="238"/>
      <c r="JH50" s="238"/>
      <c r="JI50" s="238"/>
      <c r="JJ50" s="238"/>
      <c r="JK50" s="238"/>
      <c r="JL50" s="238"/>
      <c r="JM50" s="238"/>
      <c r="JN50" s="238"/>
      <c r="JO50" s="238"/>
      <c r="JP50" s="238"/>
      <c r="JQ50" s="238"/>
      <c r="JR50" s="238"/>
      <c r="JS50" s="238"/>
      <c r="JT50" s="238"/>
      <c r="JU50" s="238"/>
      <c r="JV50" s="238"/>
      <c r="JW50" s="238"/>
      <c r="JX50" s="238"/>
      <c r="JY50" s="238"/>
      <c r="JZ50" s="238"/>
      <c r="KA50" s="238"/>
      <c r="KB50" s="238"/>
      <c r="KC50" s="238"/>
      <c r="KD50" s="238"/>
      <c r="KE50" s="238"/>
      <c r="KF50" s="238"/>
      <c r="KG50" s="238"/>
      <c r="KH50" s="238"/>
      <c r="KI50" s="238"/>
      <c r="KJ50" s="238"/>
      <c r="KK50" s="238"/>
      <c r="KL50" s="238"/>
      <c r="KM50" s="238"/>
      <c r="KN50" s="238"/>
      <c r="KO50" s="238"/>
      <c r="KP50" s="238"/>
      <c r="KQ50" s="238"/>
      <c r="KR50" s="238"/>
      <c r="KS50" s="238"/>
      <c r="KT50" s="238"/>
      <c r="KU50" s="238"/>
      <c r="KV50" s="238"/>
      <c r="KW50" s="238"/>
      <c r="KX50" s="238"/>
      <c r="KY50" s="238"/>
      <c r="KZ50" s="238"/>
      <c r="LA50" s="238"/>
      <c r="LB50" s="238"/>
      <c r="LC50" s="238"/>
      <c r="LD50" s="238"/>
      <c r="LE50" s="238"/>
      <c r="LF50" s="238"/>
      <c r="LG50" s="238"/>
      <c r="LH50" s="238"/>
      <c r="LI50" s="238"/>
      <c r="LJ50" s="238"/>
      <c r="LK50" s="238"/>
      <c r="LL50" s="238"/>
      <c r="LM50" s="238"/>
      <c r="LN50" s="238"/>
      <c r="LO50" s="238"/>
      <c r="LP50" s="238"/>
      <c r="LQ50" s="238"/>
      <c r="LR50" s="238"/>
      <c r="LS50" s="238"/>
      <c r="LT50" s="238"/>
      <c r="LU50" s="238"/>
      <c r="LV50" s="238"/>
      <c r="LW50" s="238"/>
      <c r="LX50" s="238"/>
      <c r="LY50" s="238"/>
      <c r="LZ50" s="238"/>
      <c r="MA50" s="238"/>
      <c r="MB50" s="238"/>
      <c r="MC50" s="238"/>
      <c r="MD50" s="238"/>
      <c r="ME50" s="238"/>
      <c r="MF50" s="238"/>
      <c r="MG50" s="238"/>
      <c r="MH50" s="238"/>
      <c r="MI50" s="238"/>
      <c r="MJ50" s="238"/>
      <c r="MK50" s="238"/>
      <c r="ML50" s="238"/>
    </row>
    <row r="51" ht="18.75" customHeight="1">
      <c r="A51" s="283"/>
      <c r="B51" s="234" t="str">
        <f>'Building Bill of Materials_SLIM'!P51</f>
        <v/>
      </c>
      <c r="C51" s="234" t="str">
        <f>'Building Bill of Materials_SLIM'!Q51</f>
        <v/>
      </c>
      <c r="D51" s="234" t="str">
        <f>'Building Bill of Materials_SLIM'!R51</f>
        <v/>
      </c>
      <c r="E51" s="234" t="str">
        <f>'Building Bill of Materials_SLIM'!S51</f>
        <v/>
      </c>
      <c r="F51" s="234"/>
      <c r="G51" s="234"/>
      <c r="H51" s="234"/>
      <c r="I51" s="234"/>
      <c r="J51" s="234" t="str">
        <f>'Building Bill of Materials_SLIM'!V51</f>
        <v/>
      </c>
      <c r="K51" s="238"/>
      <c r="L51" s="238"/>
      <c r="M51" s="238"/>
      <c r="N51" s="238"/>
      <c r="O51" s="238"/>
      <c r="P51" s="238"/>
      <c r="Q51" s="238"/>
      <c r="R51" s="238"/>
      <c r="S51" s="238"/>
      <c r="T51" s="238"/>
      <c r="U51" s="238"/>
      <c r="V51" s="238"/>
      <c r="W51" s="238"/>
      <c r="X51" s="238"/>
      <c r="Y51" s="238"/>
      <c r="Z51" s="238"/>
      <c r="AA51" s="192"/>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c r="BC51" s="257"/>
      <c r="BD51" s="257"/>
      <c r="BE51" s="257"/>
      <c r="BF51" s="257"/>
      <c r="BG51" s="257"/>
      <c r="BH51" s="257"/>
      <c r="BI51" s="257"/>
      <c r="BJ51" s="238"/>
      <c r="BK51" s="238"/>
      <c r="BL51" s="238"/>
      <c r="BM51" s="238"/>
      <c r="BN51" s="238"/>
      <c r="BO51" s="238"/>
      <c r="BP51" s="238"/>
      <c r="BQ51" s="238"/>
      <c r="BR51" s="238"/>
      <c r="BS51" s="238"/>
      <c r="BT51" s="238"/>
      <c r="BU51" s="238"/>
      <c r="BV51" s="238"/>
      <c r="BW51" s="238"/>
      <c r="BX51" s="238"/>
      <c r="BY51" s="238"/>
      <c r="BZ51" s="238"/>
      <c r="CA51" s="238"/>
      <c r="CB51" s="238"/>
      <c r="CC51" s="238"/>
      <c r="CD51" s="238"/>
      <c r="CE51" s="257"/>
      <c r="CF51" s="257"/>
      <c r="CG51" s="238"/>
      <c r="CH51" s="238"/>
      <c r="CI51" s="238"/>
      <c r="CJ51" s="238"/>
      <c r="CK51" s="238"/>
      <c r="CL51" s="238"/>
      <c r="CM51" s="238"/>
      <c r="CN51" s="238"/>
      <c r="CO51" s="238"/>
      <c r="CP51" s="238"/>
      <c r="CQ51" s="238"/>
      <c r="CR51" s="238"/>
      <c r="CS51" s="238"/>
      <c r="CT51" s="238"/>
      <c r="CU51" s="238"/>
      <c r="CV51" s="238"/>
      <c r="CW51" s="238"/>
      <c r="CX51" s="238"/>
      <c r="CY51" s="238"/>
      <c r="CZ51" s="238"/>
      <c r="DA51" s="238"/>
      <c r="DB51" s="238"/>
      <c r="DC51" s="238"/>
      <c r="DD51" s="238"/>
      <c r="DE51" s="238"/>
      <c r="DF51" s="238"/>
      <c r="DG51" s="257"/>
      <c r="DH51" s="238"/>
      <c r="DI51" s="238"/>
      <c r="DJ51" s="238"/>
      <c r="DK51" s="238"/>
      <c r="DL51" s="238"/>
      <c r="DM51" s="238"/>
      <c r="DN51" s="238"/>
      <c r="DO51" s="238"/>
      <c r="DP51" s="238"/>
      <c r="DQ51" s="238"/>
      <c r="DR51" s="238"/>
      <c r="DS51" s="238"/>
      <c r="DT51" s="238"/>
      <c r="DU51" s="238"/>
      <c r="DV51" s="238"/>
      <c r="DW51" s="238"/>
      <c r="DX51" s="238"/>
      <c r="DY51" s="238"/>
      <c r="DZ51" s="238"/>
      <c r="EA51" s="238"/>
      <c r="EB51" s="238"/>
      <c r="EC51" s="238"/>
      <c r="ED51" s="238"/>
      <c r="EE51" s="238"/>
      <c r="EF51" s="238"/>
      <c r="EG51" s="238"/>
      <c r="EH51" s="238"/>
      <c r="EI51" s="238"/>
      <c r="EJ51" s="238"/>
      <c r="EK51" s="238"/>
      <c r="EL51" s="238"/>
      <c r="EM51" s="238"/>
      <c r="EN51" s="238"/>
      <c r="EO51" s="238"/>
      <c r="EP51" s="238"/>
      <c r="EQ51" s="238"/>
      <c r="ER51" s="238"/>
      <c r="ES51" s="238"/>
      <c r="ET51" s="238"/>
      <c r="EU51" s="238"/>
      <c r="EV51" s="238"/>
      <c r="EW51" s="238"/>
      <c r="EX51" s="238"/>
      <c r="EY51" s="238"/>
      <c r="EZ51" s="238"/>
      <c r="FA51" s="238"/>
      <c r="FB51" s="238"/>
      <c r="FC51" s="238"/>
      <c r="FD51" s="238"/>
      <c r="FE51" s="238"/>
      <c r="FF51" s="238"/>
      <c r="FG51" s="238"/>
      <c r="FH51" s="257"/>
      <c r="FI51" s="257"/>
      <c r="FJ51" s="257"/>
      <c r="FK51" s="257"/>
      <c r="FL51" s="257"/>
      <c r="FM51" s="257"/>
      <c r="FN51" s="257"/>
      <c r="FO51" s="257"/>
      <c r="FP51" s="257"/>
      <c r="FQ51" s="257"/>
      <c r="FR51" s="257"/>
      <c r="FS51" s="257"/>
      <c r="FT51" s="257"/>
      <c r="FU51" s="257"/>
      <c r="FV51" s="257"/>
      <c r="FW51" s="257"/>
      <c r="FX51" s="257"/>
      <c r="FY51" s="238"/>
      <c r="FZ51" s="238"/>
      <c r="GA51" s="238"/>
      <c r="GB51" s="238"/>
      <c r="GC51" s="238"/>
      <c r="GD51" s="238"/>
      <c r="GE51" s="238"/>
      <c r="GF51" s="238"/>
      <c r="GG51" s="238"/>
      <c r="GH51" s="238"/>
      <c r="GI51" s="238"/>
      <c r="GJ51" s="238"/>
      <c r="GK51" s="238"/>
      <c r="GL51" s="238"/>
      <c r="GM51" s="238"/>
      <c r="GN51" s="238"/>
      <c r="GO51" s="238"/>
      <c r="GP51" s="238"/>
      <c r="GQ51" s="238"/>
      <c r="GR51" s="238"/>
      <c r="GS51" s="238"/>
      <c r="GT51" s="238"/>
      <c r="GU51" s="238"/>
      <c r="GV51" s="238"/>
      <c r="GW51" s="238"/>
      <c r="GX51" s="238"/>
      <c r="GY51" s="238"/>
      <c r="GZ51" s="238"/>
      <c r="HA51" s="238"/>
      <c r="HB51" s="238"/>
      <c r="HC51" s="238"/>
      <c r="HD51" s="238"/>
      <c r="HE51" s="238"/>
      <c r="HF51" s="238"/>
      <c r="HG51" s="238"/>
      <c r="HH51" s="238"/>
      <c r="HI51" s="238"/>
      <c r="HJ51" s="238"/>
      <c r="HK51" s="238"/>
      <c r="HL51" s="238"/>
      <c r="HM51" s="238"/>
      <c r="HN51" s="238"/>
      <c r="HO51" s="238"/>
      <c r="HP51" s="238"/>
      <c r="HQ51" s="238"/>
      <c r="HR51" s="238"/>
      <c r="HS51" s="238"/>
      <c r="HT51" s="238"/>
      <c r="HU51" s="238"/>
      <c r="HV51" s="238"/>
      <c r="HW51" s="238"/>
      <c r="HX51" s="257"/>
      <c r="HY51" s="257"/>
      <c r="HZ51" s="257"/>
      <c r="IA51" s="257"/>
      <c r="IB51" s="257"/>
      <c r="IC51" s="257"/>
      <c r="ID51" s="257"/>
      <c r="IE51" s="257"/>
      <c r="IF51" s="257"/>
      <c r="IG51" s="257"/>
      <c r="IH51" s="257"/>
      <c r="II51" s="257"/>
      <c r="IJ51" s="257"/>
      <c r="IK51" s="257"/>
      <c r="IL51" s="257"/>
      <c r="IM51" s="257"/>
      <c r="IN51" s="257"/>
      <c r="IO51" s="257"/>
      <c r="IP51" s="257"/>
      <c r="IQ51" s="257"/>
      <c r="IR51" s="257"/>
      <c r="IS51" s="257"/>
      <c r="IT51" s="257"/>
      <c r="IU51" s="257"/>
      <c r="IV51" s="257"/>
      <c r="IW51" s="257"/>
      <c r="IX51" s="257"/>
      <c r="IY51" s="257"/>
      <c r="IZ51" s="257"/>
      <c r="JA51" s="257"/>
      <c r="JB51" s="257"/>
      <c r="JC51" s="257"/>
      <c r="JD51" s="257"/>
      <c r="JE51" s="257"/>
      <c r="JF51" s="238"/>
      <c r="JG51" s="238"/>
      <c r="JH51" s="238"/>
      <c r="JI51" s="238"/>
      <c r="JJ51" s="238"/>
      <c r="JK51" s="238"/>
      <c r="JL51" s="238"/>
      <c r="JM51" s="238"/>
      <c r="JN51" s="238"/>
      <c r="JO51" s="238"/>
      <c r="JP51" s="238"/>
      <c r="JQ51" s="238"/>
      <c r="JR51" s="238"/>
      <c r="JS51" s="238"/>
      <c r="JT51" s="238"/>
      <c r="JU51" s="238"/>
      <c r="JV51" s="238"/>
      <c r="JW51" s="238"/>
      <c r="JX51" s="238"/>
      <c r="JY51" s="238"/>
      <c r="JZ51" s="238"/>
      <c r="KA51" s="238"/>
      <c r="KB51" s="238"/>
      <c r="KC51" s="238"/>
      <c r="KD51" s="238"/>
      <c r="KE51" s="238"/>
      <c r="KF51" s="238"/>
      <c r="KG51" s="238"/>
      <c r="KH51" s="238"/>
      <c r="KI51" s="238"/>
      <c r="KJ51" s="238"/>
      <c r="KK51" s="238"/>
      <c r="KL51" s="238"/>
      <c r="KM51" s="238"/>
      <c r="KN51" s="238"/>
      <c r="KO51" s="238"/>
      <c r="KP51" s="238"/>
      <c r="KQ51" s="238"/>
      <c r="KR51" s="238"/>
      <c r="KS51" s="238"/>
      <c r="KT51" s="238"/>
      <c r="KU51" s="238"/>
      <c r="KV51" s="238"/>
      <c r="KW51" s="238"/>
      <c r="KX51" s="238"/>
      <c r="KY51" s="238"/>
      <c r="KZ51" s="238"/>
      <c r="LA51" s="238"/>
      <c r="LB51" s="238"/>
      <c r="LC51" s="238"/>
      <c r="LD51" s="238"/>
      <c r="LE51" s="238"/>
      <c r="LF51" s="238"/>
      <c r="LG51" s="238"/>
      <c r="LH51" s="238"/>
      <c r="LI51" s="238"/>
      <c r="LJ51" s="238"/>
      <c r="LK51" s="238"/>
      <c r="LL51" s="238"/>
      <c r="LM51" s="238"/>
      <c r="LN51" s="238"/>
      <c r="LO51" s="238"/>
      <c r="LP51" s="238"/>
      <c r="LQ51" s="238"/>
      <c r="LR51" s="238"/>
      <c r="LS51" s="238"/>
      <c r="LT51" s="238"/>
      <c r="LU51" s="238"/>
      <c r="LV51" s="238"/>
      <c r="LW51" s="238"/>
      <c r="LX51" s="238"/>
      <c r="LY51" s="238"/>
      <c r="LZ51" s="238"/>
      <c r="MA51" s="238"/>
      <c r="MB51" s="238"/>
      <c r="MC51" s="238"/>
      <c r="MD51" s="238"/>
      <c r="ME51" s="238"/>
      <c r="MF51" s="238"/>
      <c r="MG51" s="238"/>
      <c r="MH51" s="238"/>
      <c r="MI51" s="238"/>
      <c r="MJ51" s="238"/>
      <c r="MK51" s="238"/>
      <c r="ML51" s="238"/>
    </row>
    <row r="52" ht="18.75" customHeight="1">
      <c r="A52" s="283"/>
      <c r="B52" s="234" t="str">
        <f>'Building Bill of Materials_SLIM'!P52</f>
        <v/>
      </c>
      <c r="C52" s="234" t="str">
        <f>'Building Bill of Materials_SLIM'!Q52</f>
        <v/>
      </c>
      <c r="D52" s="234" t="str">
        <f>'Building Bill of Materials_SLIM'!R52</f>
        <v/>
      </c>
      <c r="E52" s="234" t="str">
        <f>'Building Bill of Materials_SLIM'!S52</f>
        <v/>
      </c>
      <c r="F52" s="234"/>
      <c r="G52" s="234"/>
      <c r="H52" s="234"/>
      <c r="I52" s="234"/>
      <c r="J52" s="234" t="str">
        <f>'Building Bill of Materials_SLIM'!V52</f>
        <v/>
      </c>
      <c r="K52" s="238"/>
      <c r="L52" s="238"/>
      <c r="M52" s="238"/>
      <c r="N52" s="238"/>
      <c r="O52" s="238"/>
      <c r="P52" s="238"/>
      <c r="Q52" s="238"/>
      <c r="R52" s="238"/>
      <c r="S52" s="238"/>
      <c r="T52" s="238"/>
      <c r="U52" s="238"/>
      <c r="V52" s="238"/>
      <c r="W52" s="238"/>
      <c r="X52" s="238"/>
      <c r="Y52" s="238"/>
      <c r="Z52" s="238"/>
      <c r="AA52" s="192"/>
      <c r="AB52" s="257"/>
      <c r="AC52" s="257"/>
      <c r="AD52" s="257"/>
      <c r="AE52" s="257"/>
      <c r="AF52" s="257"/>
      <c r="AG52" s="257"/>
      <c r="AH52" s="257"/>
      <c r="AI52" s="257"/>
      <c r="AJ52" s="257"/>
      <c r="AK52" s="257"/>
      <c r="AL52" s="257"/>
      <c r="AM52" s="257"/>
      <c r="AN52" s="257"/>
      <c r="AO52" s="257"/>
      <c r="AP52" s="257"/>
      <c r="AQ52" s="257"/>
      <c r="AR52" s="257"/>
      <c r="AS52" s="257"/>
      <c r="AT52" s="257"/>
      <c r="AU52" s="257"/>
      <c r="AV52" s="257"/>
      <c r="AW52" s="257"/>
      <c r="AX52" s="257"/>
      <c r="AY52" s="257"/>
      <c r="AZ52" s="257"/>
      <c r="BA52" s="257"/>
      <c r="BB52" s="257"/>
      <c r="BC52" s="257"/>
      <c r="BD52" s="257"/>
      <c r="BE52" s="257"/>
      <c r="BF52" s="257"/>
      <c r="BG52" s="257"/>
      <c r="BH52" s="257"/>
      <c r="BI52" s="257"/>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57"/>
      <c r="CF52" s="257"/>
      <c r="CG52" s="238"/>
      <c r="CH52" s="238"/>
      <c r="CI52" s="238"/>
      <c r="CJ52" s="238"/>
      <c r="CK52" s="238"/>
      <c r="CL52" s="238"/>
      <c r="CM52" s="238"/>
      <c r="CN52" s="238"/>
      <c r="CO52" s="238"/>
      <c r="CP52" s="238"/>
      <c r="CQ52" s="238"/>
      <c r="CR52" s="238"/>
      <c r="CS52" s="238"/>
      <c r="CT52" s="238"/>
      <c r="CU52" s="238"/>
      <c r="CV52" s="238"/>
      <c r="CW52" s="238"/>
      <c r="CX52" s="238"/>
      <c r="CY52" s="238"/>
      <c r="CZ52" s="238"/>
      <c r="DA52" s="238"/>
      <c r="DB52" s="238"/>
      <c r="DC52" s="238"/>
      <c r="DD52" s="238"/>
      <c r="DE52" s="238"/>
      <c r="DF52" s="238"/>
      <c r="DG52" s="257"/>
      <c r="DH52" s="238"/>
      <c r="DI52" s="238"/>
      <c r="DJ52" s="238"/>
      <c r="DK52" s="238"/>
      <c r="DL52" s="238"/>
      <c r="DM52" s="238"/>
      <c r="DN52" s="238"/>
      <c r="DO52" s="238"/>
      <c r="DP52" s="238"/>
      <c r="DQ52" s="238"/>
      <c r="DR52" s="238"/>
      <c r="DS52" s="238"/>
      <c r="DT52" s="238"/>
      <c r="DU52" s="238"/>
      <c r="DV52" s="238"/>
      <c r="DW52" s="238"/>
      <c r="DX52" s="238"/>
      <c r="DY52" s="238"/>
      <c r="DZ52" s="238"/>
      <c r="EA52" s="238"/>
      <c r="EB52" s="238"/>
      <c r="EC52" s="238"/>
      <c r="ED52" s="238"/>
      <c r="EE52" s="238"/>
      <c r="EF52" s="238"/>
      <c r="EG52" s="238"/>
      <c r="EH52" s="238"/>
      <c r="EI52" s="238"/>
      <c r="EJ52" s="238"/>
      <c r="EK52" s="238"/>
      <c r="EL52" s="238"/>
      <c r="EM52" s="238"/>
      <c r="EN52" s="238"/>
      <c r="EO52" s="238"/>
      <c r="EP52" s="238"/>
      <c r="EQ52" s="238"/>
      <c r="ER52" s="238"/>
      <c r="ES52" s="238"/>
      <c r="ET52" s="238"/>
      <c r="EU52" s="238"/>
      <c r="EV52" s="238"/>
      <c r="EW52" s="238"/>
      <c r="EX52" s="238"/>
      <c r="EY52" s="238"/>
      <c r="EZ52" s="238"/>
      <c r="FA52" s="238"/>
      <c r="FB52" s="238"/>
      <c r="FC52" s="238"/>
      <c r="FD52" s="238"/>
      <c r="FE52" s="238"/>
      <c r="FF52" s="238"/>
      <c r="FG52" s="238"/>
      <c r="FH52" s="257"/>
      <c r="FI52" s="257"/>
      <c r="FJ52" s="257"/>
      <c r="FK52" s="257"/>
      <c r="FL52" s="257"/>
      <c r="FM52" s="257"/>
      <c r="FN52" s="257"/>
      <c r="FO52" s="257"/>
      <c r="FP52" s="257"/>
      <c r="FQ52" s="257"/>
      <c r="FR52" s="257"/>
      <c r="FS52" s="257"/>
      <c r="FT52" s="257"/>
      <c r="FU52" s="257"/>
      <c r="FV52" s="257"/>
      <c r="FW52" s="257"/>
      <c r="FX52" s="257"/>
      <c r="FY52" s="238"/>
      <c r="FZ52" s="238"/>
      <c r="GA52" s="238"/>
      <c r="GB52" s="238"/>
      <c r="GC52" s="238"/>
      <c r="GD52" s="238"/>
      <c r="GE52" s="238"/>
      <c r="GF52" s="238"/>
      <c r="GG52" s="238"/>
      <c r="GH52" s="238"/>
      <c r="GI52" s="238"/>
      <c r="GJ52" s="238"/>
      <c r="GK52" s="238"/>
      <c r="GL52" s="238"/>
      <c r="GM52" s="238"/>
      <c r="GN52" s="238"/>
      <c r="GO52" s="238"/>
      <c r="GP52" s="238"/>
      <c r="GQ52" s="238"/>
      <c r="GR52" s="238"/>
      <c r="GS52" s="238"/>
      <c r="GT52" s="238"/>
      <c r="GU52" s="238"/>
      <c r="GV52" s="238"/>
      <c r="GW52" s="238"/>
      <c r="GX52" s="238"/>
      <c r="GY52" s="238"/>
      <c r="GZ52" s="238"/>
      <c r="HA52" s="238"/>
      <c r="HB52" s="238"/>
      <c r="HC52" s="238"/>
      <c r="HD52" s="238"/>
      <c r="HE52" s="238"/>
      <c r="HF52" s="238"/>
      <c r="HG52" s="238"/>
      <c r="HH52" s="238"/>
      <c r="HI52" s="238"/>
      <c r="HJ52" s="238"/>
      <c r="HK52" s="238"/>
      <c r="HL52" s="238"/>
      <c r="HM52" s="238"/>
      <c r="HN52" s="238"/>
      <c r="HO52" s="238"/>
      <c r="HP52" s="238"/>
      <c r="HQ52" s="238"/>
      <c r="HR52" s="238"/>
      <c r="HS52" s="238"/>
      <c r="HT52" s="238"/>
      <c r="HU52" s="238"/>
      <c r="HV52" s="238"/>
      <c r="HW52" s="238"/>
      <c r="HX52" s="257"/>
      <c r="HY52" s="257"/>
      <c r="HZ52" s="257"/>
      <c r="IA52" s="257"/>
      <c r="IB52" s="257"/>
      <c r="IC52" s="257"/>
      <c r="ID52" s="257"/>
      <c r="IE52" s="257"/>
      <c r="IF52" s="257"/>
      <c r="IG52" s="257"/>
      <c r="IH52" s="257"/>
      <c r="II52" s="257"/>
      <c r="IJ52" s="257"/>
      <c r="IK52" s="257"/>
      <c r="IL52" s="257"/>
      <c r="IM52" s="257"/>
      <c r="IN52" s="257"/>
      <c r="IO52" s="257"/>
      <c r="IP52" s="257"/>
      <c r="IQ52" s="257"/>
      <c r="IR52" s="257"/>
      <c r="IS52" s="257"/>
      <c r="IT52" s="257"/>
      <c r="IU52" s="257"/>
      <c r="IV52" s="257"/>
      <c r="IW52" s="257"/>
      <c r="IX52" s="257"/>
      <c r="IY52" s="257"/>
      <c r="IZ52" s="257"/>
      <c r="JA52" s="257"/>
      <c r="JB52" s="257"/>
      <c r="JC52" s="257"/>
      <c r="JD52" s="257"/>
      <c r="JE52" s="257"/>
      <c r="JF52" s="238"/>
      <c r="JG52" s="238"/>
      <c r="JH52" s="238"/>
      <c r="JI52" s="238"/>
      <c r="JJ52" s="238"/>
      <c r="JK52" s="238"/>
      <c r="JL52" s="238"/>
      <c r="JM52" s="238"/>
      <c r="JN52" s="238"/>
      <c r="JO52" s="238"/>
      <c r="JP52" s="238"/>
      <c r="JQ52" s="238"/>
      <c r="JR52" s="238"/>
      <c r="JS52" s="238"/>
      <c r="JT52" s="238"/>
      <c r="JU52" s="238"/>
      <c r="JV52" s="238"/>
      <c r="JW52" s="238"/>
      <c r="JX52" s="238"/>
      <c r="JY52" s="238"/>
      <c r="JZ52" s="238"/>
      <c r="KA52" s="238"/>
      <c r="KB52" s="238"/>
      <c r="KC52" s="238"/>
      <c r="KD52" s="238"/>
      <c r="KE52" s="238"/>
      <c r="KF52" s="238"/>
      <c r="KG52" s="238"/>
      <c r="KH52" s="238"/>
      <c r="KI52" s="238"/>
      <c r="KJ52" s="238"/>
      <c r="KK52" s="238"/>
      <c r="KL52" s="238"/>
      <c r="KM52" s="238"/>
      <c r="KN52" s="238"/>
      <c r="KO52" s="238"/>
      <c r="KP52" s="238"/>
      <c r="KQ52" s="238"/>
      <c r="KR52" s="238"/>
      <c r="KS52" s="238"/>
      <c r="KT52" s="238"/>
      <c r="KU52" s="238"/>
      <c r="KV52" s="238"/>
      <c r="KW52" s="238"/>
      <c r="KX52" s="238"/>
      <c r="KY52" s="238"/>
      <c r="KZ52" s="238"/>
      <c r="LA52" s="238"/>
      <c r="LB52" s="238"/>
      <c r="LC52" s="238"/>
      <c r="LD52" s="238"/>
      <c r="LE52" s="238"/>
      <c r="LF52" s="238"/>
      <c r="LG52" s="238"/>
      <c r="LH52" s="238"/>
      <c r="LI52" s="238"/>
      <c r="LJ52" s="238"/>
      <c r="LK52" s="238"/>
      <c r="LL52" s="238"/>
      <c r="LM52" s="238"/>
      <c r="LN52" s="238"/>
      <c r="LO52" s="238"/>
      <c r="LP52" s="238"/>
      <c r="LQ52" s="238"/>
      <c r="LR52" s="238"/>
      <c r="LS52" s="238"/>
      <c r="LT52" s="238"/>
      <c r="LU52" s="238"/>
      <c r="LV52" s="238"/>
      <c r="LW52" s="238"/>
      <c r="LX52" s="238"/>
      <c r="LY52" s="238"/>
      <c r="LZ52" s="238"/>
      <c r="MA52" s="238"/>
      <c r="MB52" s="238"/>
      <c r="MC52" s="238"/>
      <c r="MD52" s="238"/>
      <c r="ME52" s="238"/>
      <c r="MF52" s="238"/>
      <c r="MG52" s="238"/>
      <c r="MH52" s="238"/>
      <c r="MI52" s="238"/>
      <c r="MJ52" s="238"/>
      <c r="MK52" s="238"/>
      <c r="ML52" s="238"/>
    </row>
    <row r="53" ht="18.75" customHeight="1">
      <c r="A53" s="283"/>
      <c r="B53" s="234" t="str">
        <f>'Building Bill of Materials_SLIM'!P53</f>
        <v/>
      </c>
      <c r="C53" s="234" t="str">
        <f>'Building Bill of Materials_SLIM'!Q53</f>
        <v/>
      </c>
      <c r="D53" s="234" t="str">
        <f>'Building Bill of Materials_SLIM'!R53</f>
        <v/>
      </c>
      <c r="E53" s="234" t="str">
        <f>'Building Bill of Materials_SLIM'!S53</f>
        <v/>
      </c>
      <c r="F53" s="234"/>
      <c r="G53" s="234"/>
      <c r="H53" s="234"/>
      <c r="I53" s="234"/>
      <c r="J53" s="234" t="str">
        <f>'Building Bill of Materials_SLIM'!V53</f>
        <v/>
      </c>
      <c r="K53" s="238"/>
      <c r="L53" s="238"/>
      <c r="M53" s="238"/>
      <c r="N53" s="238"/>
      <c r="O53" s="238"/>
      <c r="P53" s="238"/>
      <c r="Q53" s="238"/>
      <c r="R53" s="238"/>
      <c r="S53" s="238"/>
      <c r="T53" s="238"/>
      <c r="U53" s="238"/>
      <c r="V53" s="238"/>
      <c r="W53" s="238"/>
      <c r="X53" s="238"/>
      <c r="Y53" s="238"/>
      <c r="Z53" s="238"/>
      <c r="AA53" s="192"/>
      <c r="AB53" s="257"/>
      <c r="AC53" s="257"/>
      <c r="AD53" s="257"/>
      <c r="AE53" s="257"/>
      <c r="AF53" s="257"/>
      <c r="AG53" s="257"/>
      <c r="AH53" s="257"/>
      <c r="AI53" s="257"/>
      <c r="AJ53" s="257"/>
      <c r="AK53" s="257"/>
      <c r="AL53" s="257"/>
      <c r="AM53" s="257"/>
      <c r="AN53" s="257"/>
      <c r="AO53" s="257"/>
      <c r="AP53" s="257"/>
      <c r="AQ53" s="257"/>
      <c r="AR53" s="257"/>
      <c r="AS53" s="257"/>
      <c r="AT53" s="257"/>
      <c r="AU53" s="257"/>
      <c r="AV53" s="257"/>
      <c r="AW53" s="257"/>
      <c r="AX53" s="257"/>
      <c r="AY53" s="257"/>
      <c r="AZ53" s="257"/>
      <c r="BA53" s="257"/>
      <c r="BB53" s="257"/>
      <c r="BC53" s="257"/>
      <c r="BD53" s="257"/>
      <c r="BE53" s="257"/>
      <c r="BF53" s="257"/>
      <c r="BG53" s="257"/>
      <c r="BH53" s="257"/>
      <c r="BI53" s="257"/>
      <c r="BJ53" s="238"/>
      <c r="BK53" s="238"/>
      <c r="BL53" s="238"/>
      <c r="BM53" s="238"/>
      <c r="BN53" s="238"/>
      <c r="BO53" s="238"/>
      <c r="BP53" s="238"/>
      <c r="BQ53" s="238"/>
      <c r="BR53" s="238"/>
      <c r="BS53" s="238"/>
      <c r="BT53" s="238"/>
      <c r="BU53" s="238"/>
      <c r="BV53" s="238"/>
      <c r="BW53" s="238"/>
      <c r="BX53" s="238"/>
      <c r="BY53" s="238"/>
      <c r="BZ53" s="238"/>
      <c r="CA53" s="238"/>
      <c r="CB53" s="238"/>
      <c r="CC53" s="238"/>
      <c r="CD53" s="238"/>
      <c r="CE53" s="257"/>
      <c r="CF53" s="257"/>
      <c r="CG53" s="238"/>
      <c r="CH53" s="238"/>
      <c r="CI53" s="238"/>
      <c r="CJ53" s="238"/>
      <c r="CK53" s="238"/>
      <c r="CL53" s="238"/>
      <c r="CM53" s="238"/>
      <c r="CN53" s="238"/>
      <c r="CO53" s="238"/>
      <c r="CP53" s="238"/>
      <c r="CQ53" s="238"/>
      <c r="CR53" s="238"/>
      <c r="CS53" s="238"/>
      <c r="CT53" s="238"/>
      <c r="CU53" s="238"/>
      <c r="CV53" s="238"/>
      <c r="CW53" s="238"/>
      <c r="CX53" s="238"/>
      <c r="CY53" s="238"/>
      <c r="CZ53" s="238"/>
      <c r="DA53" s="238"/>
      <c r="DB53" s="238"/>
      <c r="DC53" s="238"/>
      <c r="DD53" s="238"/>
      <c r="DE53" s="238"/>
      <c r="DF53" s="238"/>
      <c r="DG53" s="257"/>
      <c r="DH53" s="238"/>
      <c r="DI53" s="238"/>
      <c r="DJ53" s="238"/>
      <c r="DK53" s="238"/>
      <c r="DL53" s="238"/>
      <c r="DM53" s="238"/>
      <c r="DN53" s="238"/>
      <c r="DO53" s="238"/>
      <c r="DP53" s="238"/>
      <c r="DQ53" s="238"/>
      <c r="DR53" s="238"/>
      <c r="DS53" s="238"/>
      <c r="DT53" s="238"/>
      <c r="DU53" s="238"/>
      <c r="DV53" s="238"/>
      <c r="DW53" s="238"/>
      <c r="DX53" s="238"/>
      <c r="DY53" s="238"/>
      <c r="DZ53" s="238"/>
      <c r="EA53" s="238"/>
      <c r="EB53" s="238"/>
      <c r="EC53" s="238"/>
      <c r="ED53" s="238"/>
      <c r="EE53" s="238"/>
      <c r="EF53" s="238"/>
      <c r="EG53" s="238"/>
      <c r="EH53" s="238"/>
      <c r="EI53" s="238"/>
      <c r="EJ53" s="238"/>
      <c r="EK53" s="238"/>
      <c r="EL53" s="238"/>
      <c r="EM53" s="238"/>
      <c r="EN53" s="238"/>
      <c r="EO53" s="238"/>
      <c r="EP53" s="238"/>
      <c r="EQ53" s="238"/>
      <c r="ER53" s="238"/>
      <c r="ES53" s="238"/>
      <c r="ET53" s="238"/>
      <c r="EU53" s="238"/>
      <c r="EV53" s="238"/>
      <c r="EW53" s="238"/>
      <c r="EX53" s="238"/>
      <c r="EY53" s="238"/>
      <c r="EZ53" s="238"/>
      <c r="FA53" s="238"/>
      <c r="FB53" s="238"/>
      <c r="FC53" s="238"/>
      <c r="FD53" s="238"/>
      <c r="FE53" s="238"/>
      <c r="FF53" s="238"/>
      <c r="FG53" s="238"/>
      <c r="FH53" s="257"/>
      <c r="FI53" s="257"/>
      <c r="FJ53" s="257"/>
      <c r="FK53" s="257"/>
      <c r="FL53" s="257"/>
      <c r="FM53" s="257"/>
      <c r="FN53" s="257"/>
      <c r="FO53" s="257"/>
      <c r="FP53" s="257"/>
      <c r="FQ53" s="257"/>
      <c r="FR53" s="257"/>
      <c r="FS53" s="257"/>
      <c r="FT53" s="257"/>
      <c r="FU53" s="257"/>
      <c r="FV53" s="257"/>
      <c r="FW53" s="257"/>
      <c r="FX53" s="257"/>
      <c r="FY53" s="238"/>
      <c r="FZ53" s="238"/>
      <c r="GA53" s="238"/>
      <c r="GB53" s="238"/>
      <c r="GC53" s="238"/>
      <c r="GD53" s="238"/>
      <c r="GE53" s="238"/>
      <c r="GF53" s="238"/>
      <c r="GG53" s="238"/>
      <c r="GH53" s="238"/>
      <c r="GI53" s="238"/>
      <c r="GJ53" s="238"/>
      <c r="GK53" s="238"/>
      <c r="GL53" s="238"/>
      <c r="GM53" s="238"/>
      <c r="GN53" s="238"/>
      <c r="GO53" s="238"/>
      <c r="GP53" s="238"/>
      <c r="GQ53" s="238"/>
      <c r="GR53" s="238"/>
      <c r="GS53" s="238"/>
      <c r="GT53" s="238"/>
      <c r="GU53" s="238"/>
      <c r="GV53" s="238"/>
      <c r="GW53" s="238"/>
      <c r="GX53" s="238"/>
      <c r="GY53" s="238"/>
      <c r="GZ53" s="238"/>
      <c r="HA53" s="238"/>
      <c r="HB53" s="238"/>
      <c r="HC53" s="238"/>
      <c r="HD53" s="238"/>
      <c r="HE53" s="238"/>
      <c r="HF53" s="238"/>
      <c r="HG53" s="238"/>
      <c r="HH53" s="238"/>
      <c r="HI53" s="238"/>
      <c r="HJ53" s="238"/>
      <c r="HK53" s="238"/>
      <c r="HL53" s="238"/>
      <c r="HM53" s="238"/>
      <c r="HN53" s="238"/>
      <c r="HO53" s="238"/>
      <c r="HP53" s="238"/>
      <c r="HQ53" s="238"/>
      <c r="HR53" s="238"/>
      <c r="HS53" s="238"/>
      <c r="HT53" s="238"/>
      <c r="HU53" s="238"/>
      <c r="HV53" s="238"/>
      <c r="HW53" s="238"/>
      <c r="HX53" s="257"/>
      <c r="HY53" s="257"/>
      <c r="HZ53" s="257"/>
      <c r="IA53" s="257"/>
      <c r="IB53" s="257"/>
      <c r="IC53" s="257"/>
      <c r="ID53" s="257"/>
      <c r="IE53" s="257"/>
      <c r="IF53" s="257"/>
      <c r="IG53" s="257"/>
      <c r="IH53" s="257"/>
      <c r="II53" s="257"/>
      <c r="IJ53" s="257"/>
      <c r="IK53" s="257"/>
      <c r="IL53" s="257"/>
      <c r="IM53" s="257"/>
      <c r="IN53" s="257"/>
      <c r="IO53" s="257"/>
      <c r="IP53" s="257"/>
      <c r="IQ53" s="257"/>
      <c r="IR53" s="257"/>
      <c r="IS53" s="257"/>
      <c r="IT53" s="257"/>
      <c r="IU53" s="257"/>
      <c r="IV53" s="257"/>
      <c r="IW53" s="257"/>
      <c r="IX53" s="257"/>
      <c r="IY53" s="257"/>
      <c r="IZ53" s="257"/>
      <c r="JA53" s="257"/>
      <c r="JB53" s="257"/>
      <c r="JC53" s="257"/>
      <c r="JD53" s="257"/>
      <c r="JE53" s="257"/>
      <c r="JF53" s="238"/>
      <c r="JG53" s="238"/>
      <c r="JH53" s="238"/>
      <c r="JI53" s="238"/>
      <c r="JJ53" s="238"/>
      <c r="JK53" s="238"/>
      <c r="JL53" s="238"/>
      <c r="JM53" s="238"/>
      <c r="JN53" s="238"/>
      <c r="JO53" s="238"/>
      <c r="JP53" s="238"/>
      <c r="JQ53" s="238"/>
      <c r="JR53" s="238"/>
      <c r="JS53" s="238"/>
      <c r="JT53" s="238"/>
      <c r="JU53" s="238"/>
      <c r="JV53" s="238"/>
      <c r="JW53" s="238"/>
      <c r="JX53" s="238"/>
      <c r="JY53" s="238"/>
      <c r="JZ53" s="238"/>
      <c r="KA53" s="238"/>
      <c r="KB53" s="238"/>
      <c r="KC53" s="238"/>
      <c r="KD53" s="238"/>
      <c r="KE53" s="238"/>
      <c r="KF53" s="238"/>
      <c r="KG53" s="238"/>
      <c r="KH53" s="238"/>
      <c r="KI53" s="238"/>
      <c r="KJ53" s="238"/>
      <c r="KK53" s="238"/>
      <c r="KL53" s="238"/>
      <c r="KM53" s="238"/>
      <c r="KN53" s="238"/>
      <c r="KO53" s="238"/>
      <c r="KP53" s="238"/>
      <c r="KQ53" s="238"/>
      <c r="KR53" s="238"/>
      <c r="KS53" s="238"/>
      <c r="KT53" s="238"/>
      <c r="KU53" s="238"/>
      <c r="KV53" s="238"/>
      <c r="KW53" s="238"/>
      <c r="KX53" s="238"/>
      <c r="KY53" s="238"/>
      <c r="KZ53" s="238"/>
      <c r="LA53" s="238"/>
      <c r="LB53" s="238"/>
      <c r="LC53" s="238"/>
      <c r="LD53" s="238"/>
      <c r="LE53" s="238"/>
      <c r="LF53" s="238"/>
      <c r="LG53" s="238"/>
      <c r="LH53" s="238"/>
      <c r="LI53" s="238"/>
      <c r="LJ53" s="238"/>
      <c r="LK53" s="238"/>
      <c r="LL53" s="238"/>
      <c r="LM53" s="238"/>
      <c r="LN53" s="238"/>
      <c r="LO53" s="238"/>
      <c r="LP53" s="238"/>
      <c r="LQ53" s="238"/>
      <c r="LR53" s="238"/>
      <c r="LS53" s="238"/>
      <c r="LT53" s="238"/>
      <c r="LU53" s="238"/>
      <c r="LV53" s="238"/>
      <c r="LW53" s="238"/>
      <c r="LX53" s="238"/>
      <c r="LY53" s="238"/>
      <c r="LZ53" s="238"/>
      <c r="MA53" s="238"/>
      <c r="MB53" s="238"/>
      <c r="MC53" s="238"/>
      <c r="MD53" s="238"/>
      <c r="ME53" s="238"/>
      <c r="MF53" s="238"/>
      <c r="MG53" s="238"/>
      <c r="MH53" s="238"/>
      <c r="MI53" s="238"/>
      <c r="MJ53" s="238"/>
      <c r="MK53" s="238"/>
      <c r="ML53" s="238"/>
    </row>
    <row r="54" ht="18.75" customHeight="1">
      <c r="A54" s="283"/>
      <c r="B54" s="234" t="str">
        <f>'Building Bill of Materials_SLIM'!P54</f>
        <v/>
      </c>
      <c r="C54" s="234" t="str">
        <f>'Building Bill of Materials_SLIM'!Q54</f>
        <v/>
      </c>
      <c r="D54" s="234" t="str">
        <f>'Building Bill of Materials_SLIM'!R54</f>
        <v/>
      </c>
      <c r="E54" s="234" t="str">
        <f>'Building Bill of Materials_SLIM'!S54</f>
        <v/>
      </c>
      <c r="F54" s="234"/>
      <c r="G54" s="234"/>
      <c r="H54" s="234"/>
      <c r="I54" s="234"/>
      <c r="J54" s="234" t="str">
        <f>'Building Bill of Materials_SLIM'!V54</f>
        <v/>
      </c>
      <c r="K54" s="238"/>
      <c r="L54" s="238"/>
      <c r="M54" s="238"/>
      <c r="N54" s="238"/>
      <c r="O54" s="238"/>
      <c r="P54" s="238"/>
      <c r="Q54" s="238"/>
      <c r="R54" s="238"/>
      <c r="S54" s="238"/>
      <c r="T54" s="238"/>
      <c r="U54" s="238"/>
      <c r="V54" s="238"/>
      <c r="W54" s="238"/>
      <c r="X54" s="238"/>
      <c r="Y54" s="238"/>
      <c r="Z54" s="238"/>
      <c r="AA54" s="192"/>
      <c r="AB54" s="257"/>
      <c r="AC54" s="257"/>
      <c r="AD54" s="257"/>
      <c r="AE54" s="257"/>
      <c r="AF54" s="257"/>
      <c r="AG54" s="257"/>
      <c r="AH54" s="257"/>
      <c r="AI54" s="257"/>
      <c r="AJ54" s="257"/>
      <c r="AK54" s="257"/>
      <c r="AL54" s="257"/>
      <c r="AM54" s="257"/>
      <c r="AN54" s="257"/>
      <c r="AO54" s="257"/>
      <c r="AP54" s="257"/>
      <c r="AQ54" s="257"/>
      <c r="AR54" s="257"/>
      <c r="AS54" s="257"/>
      <c r="AT54" s="257"/>
      <c r="AU54" s="257"/>
      <c r="AV54" s="257"/>
      <c r="AW54" s="257"/>
      <c r="AX54" s="257"/>
      <c r="AY54" s="257"/>
      <c r="AZ54" s="257"/>
      <c r="BA54" s="257"/>
      <c r="BB54" s="257"/>
      <c r="BC54" s="257"/>
      <c r="BD54" s="257"/>
      <c r="BE54" s="257"/>
      <c r="BF54" s="257"/>
      <c r="BG54" s="257"/>
      <c r="BH54" s="257"/>
      <c r="BI54" s="257"/>
      <c r="BJ54" s="238"/>
      <c r="BK54" s="238"/>
      <c r="BL54" s="238"/>
      <c r="BM54" s="238"/>
      <c r="BN54" s="238"/>
      <c r="BO54" s="238"/>
      <c r="BP54" s="238"/>
      <c r="BQ54" s="238"/>
      <c r="BR54" s="238"/>
      <c r="BS54" s="238"/>
      <c r="BT54" s="238"/>
      <c r="BU54" s="238"/>
      <c r="BV54" s="238"/>
      <c r="BW54" s="238"/>
      <c r="BX54" s="238"/>
      <c r="BY54" s="238"/>
      <c r="BZ54" s="238"/>
      <c r="CA54" s="238"/>
      <c r="CB54" s="238"/>
      <c r="CC54" s="238"/>
      <c r="CD54" s="238"/>
      <c r="CE54" s="257"/>
      <c r="CF54" s="257"/>
      <c r="CG54" s="238"/>
      <c r="CH54" s="238"/>
      <c r="CI54" s="238"/>
      <c r="CJ54" s="238"/>
      <c r="CK54" s="238"/>
      <c r="CL54" s="238"/>
      <c r="CM54" s="238"/>
      <c r="CN54" s="238"/>
      <c r="CO54" s="238"/>
      <c r="CP54" s="238"/>
      <c r="CQ54" s="238"/>
      <c r="CR54" s="238"/>
      <c r="CS54" s="238"/>
      <c r="CT54" s="238"/>
      <c r="CU54" s="238"/>
      <c r="CV54" s="238"/>
      <c r="CW54" s="238"/>
      <c r="CX54" s="238"/>
      <c r="CY54" s="238"/>
      <c r="CZ54" s="238"/>
      <c r="DA54" s="238"/>
      <c r="DB54" s="238"/>
      <c r="DC54" s="238"/>
      <c r="DD54" s="238"/>
      <c r="DE54" s="238"/>
      <c r="DF54" s="238"/>
      <c r="DG54" s="257"/>
      <c r="DH54" s="238"/>
      <c r="DI54" s="238"/>
      <c r="DJ54" s="238"/>
      <c r="DK54" s="238"/>
      <c r="DL54" s="238"/>
      <c r="DM54" s="238"/>
      <c r="DN54" s="238"/>
      <c r="DO54" s="238"/>
      <c r="DP54" s="238"/>
      <c r="DQ54" s="238"/>
      <c r="DR54" s="238"/>
      <c r="DS54" s="238"/>
      <c r="DT54" s="238"/>
      <c r="DU54" s="238"/>
      <c r="DV54" s="238"/>
      <c r="DW54" s="238"/>
      <c r="DX54" s="238"/>
      <c r="DY54" s="238"/>
      <c r="DZ54" s="238"/>
      <c r="EA54" s="238"/>
      <c r="EB54" s="238"/>
      <c r="EC54" s="238"/>
      <c r="ED54" s="238"/>
      <c r="EE54" s="238"/>
      <c r="EF54" s="238"/>
      <c r="EG54" s="238"/>
      <c r="EH54" s="238"/>
      <c r="EI54" s="238"/>
      <c r="EJ54" s="238"/>
      <c r="EK54" s="238"/>
      <c r="EL54" s="238"/>
      <c r="EM54" s="238"/>
      <c r="EN54" s="238"/>
      <c r="EO54" s="238"/>
      <c r="EP54" s="238"/>
      <c r="EQ54" s="238"/>
      <c r="ER54" s="238"/>
      <c r="ES54" s="238"/>
      <c r="ET54" s="238"/>
      <c r="EU54" s="238"/>
      <c r="EV54" s="238"/>
      <c r="EW54" s="238"/>
      <c r="EX54" s="238"/>
      <c r="EY54" s="238"/>
      <c r="EZ54" s="238"/>
      <c r="FA54" s="238"/>
      <c r="FB54" s="238"/>
      <c r="FC54" s="238"/>
      <c r="FD54" s="238"/>
      <c r="FE54" s="238"/>
      <c r="FF54" s="238"/>
      <c r="FG54" s="238"/>
      <c r="FH54" s="257"/>
      <c r="FI54" s="257"/>
      <c r="FJ54" s="257"/>
      <c r="FK54" s="257"/>
      <c r="FL54" s="257"/>
      <c r="FM54" s="257"/>
      <c r="FN54" s="257"/>
      <c r="FO54" s="257"/>
      <c r="FP54" s="257"/>
      <c r="FQ54" s="257"/>
      <c r="FR54" s="257"/>
      <c r="FS54" s="257"/>
      <c r="FT54" s="257"/>
      <c r="FU54" s="257"/>
      <c r="FV54" s="257"/>
      <c r="FW54" s="257"/>
      <c r="FX54" s="257"/>
      <c r="FY54" s="238"/>
      <c r="FZ54" s="238"/>
      <c r="GA54" s="238"/>
      <c r="GB54" s="238"/>
      <c r="GC54" s="238"/>
      <c r="GD54" s="238"/>
      <c r="GE54" s="238"/>
      <c r="GF54" s="238"/>
      <c r="GG54" s="238"/>
      <c r="GH54" s="238"/>
      <c r="GI54" s="238"/>
      <c r="GJ54" s="238"/>
      <c r="GK54" s="238"/>
      <c r="GL54" s="238"/>
      <c r="GM54" s="238"/>
      <c r="GN54" s="238"/>
      <c r="GO54" s="238"/>
      <c r="GP54" s="238"/>
      <c r="GQ54" s="238"/>
      <c r="GR54" s="238"/>
      <c r="GS54" s="238"/>
      <c r="GT54" s="238"/>
      <c r="GU54" s="238"/>
      <c r="GV54" s="238"/>
      <c r="GW54" s="238"/>
      <c r="GX54" s="238"/>
      <c r="GY54" s="238"/>
      <c r="GZ54" s="238"/>
      <c r="HA54" s="238"/>
      <c r="HB54" s="238"/>
      <c r="HC54" s="238"/>
      <c r="HD54" s="238"/>
      <c r="HE54" s="238"/>
      <c r="HF54" s="238"/>
      <c r="HG54" s="238"/>
      <c r="HH54" s="238"/>
      <c r="HI54" s="238"/>
      <c r="HJ54" s="238"/>
      <c r="HK54" s="238"/>
      <c r="HL54" s="238"/>
      <c r="HM54" s="238"/>
      <c r="HN54" s="238"/>
      <c r="HO54" s="238"/>
      <c r="HP54" s="238"/>
      <c r="HQ54" s="238"/>
      <c r="HR54" s="238"/>
      <c r="HS54" s="238"/>
      <c r="HT54" s="238"/>
      <c r="HU54" s="238"/>
      <c r="HV54" s="238"/>
      <c r="HW54" s="238"/>
      <c r="HX54" s="257"/>
      <c r="HY54" s="257"/>
      <c r="HZ54" s="257"/>
      <c r="IA54" s="257"/>
      <c r="IB54" s="257"/>
      <c r="IC54" s="257"/>
      <c r="ID54" s="257"/>
      <c r="IE54" s="257"/>
      <c r="IF54" s="257"/>
      <c r="IG54" s="257"/>
      <c r="IH54" s="257"/>
      <c r="II54" s="257"/>
      <c r="IJ54" s="257"/>
      <c r="IK54" s="257"/>
      <c r="IL54" s="257"/>
      <c r="IM54" s="257"/>
      <c r="IN54" s="257"/>
      <c r="IO54" s="257"/>
      <c r="IP54" s="257"/>
      <c r="IQ54" s="257"/>
      <c r="IR54" s="257"/>
      <c r="IS54" s="257"/>
      <c r="IT54" s="257"/>
      <c r="IU54" s="257"/>
      <c r="IV54" s="257"/>
      <c r="IW54" s="257"/>
      <c r="IX54" s="257"/>
      <c r="IY54" s="257"/>
      <c r="IZ54" s="257"/>
      <c r="JA54" s="257"/>
      <c r="JB54" s="257"/>
      <c r="JC54" s="257"/>
      <c r="JD54" s="257"/>
      <c r="JE54" s="257"/>
      <c r="JF54" s="238"/>
      <c r="JG54" s="238"/>
      <c r="JH54" s="238"/>
      <c r="JI54" s="238"/>
      <c r="JJ54" s="238"/>
      <c r="JK54" s="238"/>
      <c r="JL54" s="238"/>
      <c r="JM54" s="238"/>
      <c r="JN54" s="238"/>
      <c r="JO54" s="238"/>
      <c r="JP54" s="238"/>
      <c r="JQ54" s="238"/>
      <c r="JR54" s="238"/>
      <c r="JS54" s="238"/>
      <c r="JT54" s="238"/>
      <c r="JU54" s="238"/>
      <c r="JV54" s="238"/>
      <c r="JW54" s="238"/>
      <c r="JX54" s="238"/>
      <c r="JY54" s="238"/>
      <c r="JZ54" s="238"/>
      <c r="KA54" s="238"/>
      <c r="KB54" s="238"/>
      <c r="KC54" s="238"/>
      <c r="KD54" s="238"/>
      <c r="KE54" s="238"/>
      <c r="KF54" s="238"/>
      <c r="KG54" s="238"/>
      <c r="KH54" s="238"/>
      <c r="KI54" s="238"/>
      <c r="KJ54" s="238"/>
      <c r="KK54" s="238"/>
      <c r="KL54" s="238"/>
      <c r="KM54" s="238"/>
      <c r="KN54" s="238"/>
      <c r="KO54" s="238"/>
      <c r="KP54" s="238"/>
      <c r="KQ54" s="238"/>
      <c r="KR54" s="238"/>
      <c r="KS54" s="238"/>
      <c r="KT54" s="238"/>
      <c r="KU54" s="238"/>
      <c r="KV54" s="238"/>
      <c r="KW54" s="238"/>
      <c r="KX54" s="238"/>
      <c r="KY54" s="238"/>
      <c r="KZ54" s="238"/>
      <c r="LA54" s="238"/>
      <c r="LB54" s="238"/>
      <c r="LC54" s="238"/>
      <c r="LD54" s="238"/>
      <c r="LE54" s="238"/>
      <c r="LF54" s="238"/>
      <c r="LG54" s="238"/>
      <c r="LH54" s="238"/>
      <c r="LI54" s="238"/>
      <c r="LJ54" s="238"/>
      <c r="LK54" s="238"/>
      <c r="LL54" s="238"/>
      <c r="LM54" s="238"/>
      <c r="LN54" s="238"/>
      <c r="LO54" s="238"/>
      <c r="LP54" s="238"/>
      <c r="LQ54" s="238"/>
      <c r="LR54" s="238"/>
      <c r="LS54" s="238"/>
      <c r="LT54" s="238"/>
      <c r="LU54" s="238"/>
      <c r="LV54" s="238"/>
      <c r="LW54" s="238"/>
      <c r="LX54" s="238"/>
      <c r="LY54" s="238"/>
      <c r="LZ54" s="238"/>
      <c r="MA54" s="238"/>
      <c r="MB54" s="238"/>
      <c r="MC54" s="238"/>
      <c r="MD54" s="238"/>
      <c r="ME54" s="238"/>
      <c r="MF54" s="238"/>
      <c r="MG54" s="238"/>
      <c r="MH54" s="238"/>
      <c r="MI54" s="238"/>
      <c r="MJ54" s="238"/>
      <c r="MK54" s="238"/>
      <c r="ML54" s="238"/>
    </row>
    <row r="55" ht="18.75" customHeight="1">
      <c r="A55" s="283"/>
      <c r="B55" s="234" t="str">
        <f>'Building Bill of Materials_SLIM'!P55</f>
        <v/>
      </c>
      <c r="C55" s="234" t="str">
        <f>'Building Bill of Materials_SLIM'!Q55</f>
        <v/>
      </c>
      <c r="D55" s="234" t="str">
        <f>'Building Bill of Materials_SLIM'!R55</f>
        <v/>
      </c>
      <c r="E55" s="234" t="str">
        <f>'Building Bill of Materials_SLIM'!S55</f>
        <v/>
      </c>
      <c r="F55" s="234"/>
      <c r="G55" s="234"/>
      <c r="H55" s="234"/>
      <c r="I55" s="234"/>
      <c r="J55" s="234" t="str">
        <f>'Building Bill of Materials_SLIM'!V55</f>
        <v/>
      </c>
      <c r="K55" s="238"/>
      <c r="L55" s="238"/>
      <c r="M55" s="238"/>
      <c r="N55" s="238"/>
      <c r="O55" s="238"/>
      <c r="P55" s="238"/>
      <c r="Q55" s="238"/>
      <c r="R55" s="238"/>
      <c r="S55" s="238"/>
      <c r="T55" s="238"/>
      <c r="U55" s="238"/>
      <c r="V55" s="238"/>
      <c r="W55" s="238"/>
      <c r="X55" s="238"/>
      <c r="Y55" s="238"/>
      <c r="Z55" s="238"/>
      <c r="AA55" s="192"/>
      <c r="AB55" s="257"/>
      <c r="AC55" s="257"/>
      <c r="AD55" s="257"/>
      <c r="AE55" s="257"/>
      <c r="AF55" s="257"/>
      <c r="AG55" s="257"/>
      <c r="AH55" s="257"/>
      <c r="AI55" s="257"/>
      <c r="AJ55" s="257"/>
      <c r="AK55" s="257"/>
      <c r="AL55" s="257"/>
      <c r="AM55" s="257"/>
      <c r="AN55" s="257"/>
      <c r="AO55" s="257"/>
      <c r="AP55" s="257"/>
      <c r="AQ55" s="257"/>
      <c r="AR55" s="257"/>
      <c r="AS55" s="257"/>
      <c r="AT55" s="257"/>
      <c r="AU55" s="257"/>
      <c r="AV55" s="257"/>
      <c r="AW55" s="257"/>
      <c r="AX55" s="257"/>
      <c r="AY55" s="257"/>
      <c r="AZ55" s="257"/>
      <c r="BA55" s="257"/>
      <c r="BB55" s="257"/>
      <c r="BC55" s="257"/>
      <c r="BD55" s="257"/>
      <c r="BE55" s="257"/>
      <c r="BF55" s="257"/>
      <c r="BG55" s="257"/>
      <c r="BH55" s="257"/>
      <c r="BI55" s="257"/>
      <c r="BJ55" s="238"/>
      <c r="BK55" s="238"/>
      <c r="BL55" s="238"/>
      <c r="BM55" s="238"/>
      <c r="BN55" s="238"/>
      <c r="BO55" s="238"/>
      <c r="BP55" s="238"/>
      <c r="BQ55" s="238"/>
      <c r="BR55" s="238"/>
      <c r="BS55" s="238"/>
      <c r="BT55" s="238"/>
      <c r="BU55" s="238"/>
      <c r="BV55" s="238"/>
      <c r="BW55" s="238"/>
      <c r="BX55" s="238"/>
      <c r="BY55" s="238"/>
      <c r="BZ55" s="238"/>
      <c r="CA55" s="238"/>
      <c r="CB55" s="238"/>
      <c r="CC55" s="238"/>
      <c r="CD55" s="238"/>
      <c r="CE55" s="257"/>
      <c r="CF55" s="257"/>
      <c r="CG55" s="238"/>
      <c r="CH55" s="238"/>
      <c r="CI55" s="238"/>
      <c r="CJ55" s="238"/>
      <c r="CK55" s="238"/>
      <c r="CL55" s="238"/>
      <c r="CM55" s="238"/>
      <c r="CN55" s="238"/>
      <c r="CO55" s="238"/>
      <c r="CP55" s="238"/>
      <c r="CQ55" s="238"/>
      <c r="CR55" s="238"/>
      <c r="CS55" s="238"/>
      <c r="CT55" s="238"/>
      <c r="CU55" s="238"/>
      <c r="CV55" s="238"/>
      <c r="CW55" s="238"/>
      <c r="CX55" s="238"/>
      <c r="CY55" s="238"/>
      <c r="CZ55" s="238"/>
      <c r="DA55" s="238"/>
      <c r="DB55" s="238"/>
      <c r="DC55" s="238"/>
      <c r="DD55" s="238"/>
      <c r="DE55" s="238"/>
      <c r="DF55" s="238"/>
      <c r="DG55" s="257"/>
      <c r="DH55" s="238"/>
      <c r="DI55" s="238"/>
      <c r="DJ55" s="238"/>
      <c r="DK55" s="238"/>
      <c r="DL55" s="238"/>
      <c r="DM55" s="238"/>
      <c r="DN55" s="238"/>
      <c r="DO55" s="238"/>
      <c r="DP55" s="238"/>
      <c r="DQ55" s="238"/>
      <c r="DR55" s="238"/>
      <c r="DS55" s="238"/>
      <c r="DT55" s="238"/>
      <c r="DU55" s="238"/>
      <c r="DV55" s="238"/>
      <c r="DW55" s="238"/>
      <c r="DX55" s="238"/>
      <c r="DY55" s="238"/>
      <c r="DZ55" s="238"/>
      <c r="EA55" s="238"/>
      <c r="EB55" s="238"/>
      <c r="EC55" s="238"/>
      <c r="ED55" s="238"/>
      <c r="EE55" s="238"/>
      <c r="EF55" s="238"/>
      <c r="EG55" s="238"/>
      <c r="EH55" s="238"/>
      <c r="EI55" s="238"/>
      <c r="EJ55" s="238"/>
      <c r="EK55" s="238"/>
      <c r="EL55" s="238"/>
      <c r="EM55" s="238"/>
      <c r="EN55" s="238"/>
      <c r="EO55" s="238"/>
      <c r="EP55" s="238"/>
      <c r="EQ55" s="238"/>
      <c r="ER55" s="238"/>
      <c r="ES55" s="238"/>
      <c r="ET55" s="238"/>
      <c r="EU55" s="238"/>
      <c r="EV55" s="238"/>
      <c r="EW55" s="238"/>
      <c r="EX55" s="238"/>
      <c r="EY55" s="238"/>
      <c r="EZ55" s="238"/>
      <c r="FA55" s="238"/>
      <c r="FB55" s="238"/>
      <c r="FC55" s="238"/>
      <c r="FD55" s="238"/>
      <c r="FE55" s="238"/>
      <c r="FF55" s="238"/>
      <c r="FG55" s="238"/>
      <c r="FH55" s="257"/>
      <c r="FI55" s="257"/>
      <c r="FJ55" s="257"/>
      <c r="FK55" s="257"/>
      <c r="FL55" s="257"/>
      <c r="FM55" s="257"/>
      <c r="FN55" s="257"/>
      <c r="FO55" s="257"/>
      <c r="FP55" s="257"/>
      <c r="FQ55" s="257"/>
      <c r="FR55" s="257"/>
      <c r="FS55" s="257"/>
      <c r="FT55" s="257"/>
      <c r="FU55" s="257"/>
      <c r="FV55" s="257"/>
      <c r="FW55" s="257"/>
      <c r="FX55" s="257"/>
      <c r="FY55" s="238"/>
      <c r="FZ55" s="238"/>
      <c r="GA55" s="238"/>
      <c r="GB55" s="238"/>
      <c r="GC55" s="238"/>
      <c r="GD55" s="238"/>
      <c r="GE55" s="238"/>
      <c r="GF55" s="238"/>
      <c r="GG55" s="238"/>
      <c r="GH55" s="238"/>
      <c r="GI55" s="238"/>
      <c r="GJ55" s="238"/>
      <c r="GK55" s="238"/>
      <c r="GL55" s="238"/>
      <c r="GM55" s="238"/>
      <c r="GN55" s="238"/>
      <c r="GO55" s="238"/>
      <c r="GP55" s="238"/>
      <c r="GQ55" s="238"/>
      <c r="GR55" s="238"/>
      <c r="GS55" s="238"/>
      <c r="GT55" s="238"/>
      <c r="GU55" s="238"/>
      <c r="GV55" s="238"/>
      <c r="GW55" s="238"/>
      <c r="GX55" s="238"/>
      <c r="GY55" s="238"/>
      <c r="GZ55" s="238"/>
      <c r="HA55" s="238"/>
      <c r="HB55" s="238"/>
      <c r="HC55" s="238"/>
      <c r="HD55" s="238"/>
      <c r="HE55" s="238"/>
      <c r="HF55" s="238"/>
      <c r="HG55" s="238"/>
      <c r="HH55" s="238"/>
      <c r="HI55" s="238"/>
      <c r="HJ55" s="238"/>
      <c r="HK55" s="238"/>
      <c r="HL55" s="238"/>
      <c r="HM55" s="238"/>
      <c r="HN55" s="238"/>
      <c r="HO55" s="238"/>
      <c r="HP55" s="238"/>
      <c r="HQ55" s="238"/>
      <c r="HR55" s="238"/>
      <c r="HS55" s="238"/>
      <c r="HT55" s="238"/>
      <c r="HU55" s="238"/>
      <c r="HV55" s="238"/>
      <c r="HW55" s="238"/>
      <c r="HX55" s="257"/>
      <c r="HY55" s="257"/>
      <c r="HZ55" s="257"/>
      <c r="IA55" s="257"/>
      <c r="IB55" s="257"/>
      <c r="IC55" s="257"/>
      <c r="ID55" s="257"/>
      <c r="IE55" s="257"/>
      <c r="IF55" s="257"/>
      <c r="IG55" s="257"/>
      <c r="IH55" s="257"/>
      <c r="II55" s="257"/>
      <c r="IJ55" s="257"/>
      <c r="IK55" s="257"/>
      <c r="IL55" s="257"/>
      <c r="IM55" s="257"/>
      <c r="IN55" s="257"/>
      <c r="IO55" s="257"/>
      <c r="IP55" s="257"/>
      <c r="IQ55" s="257"/>
      <c r="IR55" s="257"/>
      <c r="IS55" s="257"/>
      <c r="IT55" s="257"/>
      <c r="IU55" s="257"/>
      <c r="IV55" s="257"/>
      <c r="IW55" s="257"/>
      <c r="IX55" s="257"/>
      <c r="IY55" s="257"/>
      <c r="IZ55" s="257"/>
      <c r="JA55" s="257"/>
      <c r="JB55" s="257"/>
      <c r="JC55" s="257"/>
      <c r="JD55" s="257"/>
      <c r="JE55" s="257"/>
      <c r="JF55" s="238"/>
      <c r="JG55" s="238"/>
      <c r="JH55" s="238"/>
      <c r="JI55" s="238"/>
      <c r="JJ55" s="238"/>
      <c r="JK55" s="238"/>
      <c r="JL55" s="238"/>
      <c r="JM55" s="238"/>
      <c r="JN55" s="238"/>
      <c r="JO55" s="238"/>
      <c r="JP55" s="238"/>
      <c r="JQ55" s="238"/>
      <c r="JR55" s="238"/>
      <c r="JS55" s="238"/>
      <c r="JT55" s="238"/>
      <c r="JU55" s="238"/>
      <c r="JV55" s="238"/>
      <c r="JW55" s="238"/>
      <c r="JX55" s="238"/>
      <c r="JY55" s="238"/>
      <c r="JZ55" s="238"/>
      <c r="KA55" s="238"/>
      <c r="KB55" s="238"/>
      <c r="KC55" s="238"/>
      <c r="KD55" s="238"/>
      <c r="KE55" s="238"/>
      <c r="KF55" s="238"/>
      <c r="KG55" s="238"/>
      <c r="KH55" s="238"/>
      <c r="KI55" s="238"/>
      <c r="KJ55" s="238"/>
      <c r="KK55" s="238"/>
      <c r="KL55" s="238"/>
      <c r="KM55" s="238"/>
      <c r="KN55" s="238"/>
      <c r="KO55" s="238"/>
      <c r="KP55" s="238"/>
      <c r="KQ55" s="238"/>
      <c r="KR55" s="238"/>
      <c r="KS55" s="238"/>
      <c r="KT55" s="238"/>
      <c r="KU55" s="238"/>
      <c r="KV55" s="238"/>
      <c r="KW55" s="238"/>
      <c r="KX55" s="238"/>
      <c r="KY55" s="238"/>
      <c r="KZ55" s="238"/>
      <c r="LA55" s="238"/>
      <c r="LB55" s="238"/>
      <c r="LC55" s="238"/>
      <c r="LD55" s="238"/>
      <c r="LE55" s="238"/>
      <c r="LF55" s="238"/>
      <c r="LG55" s="238"/>
      <c r="LH55" s="238"/>
      <c r="LI55" s="238"/>
      <c r="LJ55" s="238"/>
      <c r="LK55" s="238"/>
      <c r="LL55" s="238"/>
      <c r="LM55" s="238"/>
      <c r="LN55" s="238"/>
      <c r="LO55" s="238"/>
      <c r="LP55" s="238"/>
      <c r="LQ55" s="238"/>
      <c r="LR55" s="238"/>
      <c r="LS55" s="238"/>
      <c r="LT55" s="238"/>
      <c r="LU55" s="238"/>
      <c r="LV55" s="238"/>
      <c r="LW55" s="238"/>
      <c r="LX55" s="238"/>
      <c r="LY55" s="238"/>
      <c r="LZ55" s="238"/>
      <c r="MA55" s="238"/>
      <c r="MB55" s="238"/>
      <c r="MC55" s="238"/>
      <c r="MD55" s="238"/>
      <c r="ME55" s="238"/>
      <c r="MF55" s="238"/>
      <c r="MG55" s="238"/>
      <c r="MH55" s="238"/>
      <c r="MI55" s="238"/>
      <c r="MJ55" s="238"/>
      <c r="MK55" s="238"/>
      <c r="ML55" s="238"/>
    </row>
    <row r="56" ht="18.75" customHeight="1">
      <c r="A56" s="283"/>
      <c r="B56" s="234" t="str">
        <f>'Building Bill of Materials_SLIM'!P56</f>
        <v/>
      </c>
      <c r="C56" s="234" t="str">
        <f>'Building Bill of Materials_SLIM'!Q56</f>
        <v/>
      </c>
      <c r="D56" s="234" t="str">
        <f>'Building Bill of Materials_SLIM'!R56</f>
        <v/>
      </c>
      <c r="E56" s="234" t="str">
        <f>'Building Bill of Materials_SLIM'!S56</f>
        <v/>
      </c>
      <c r="F56" s="234"/>
      <c r="G56" s="234"/>
      <c r="H56" s="234"/>
      <c r="I56" s="234"/>
      <c r="J56" s="234" t="str">
        <f>'Building Bill of Materials_SLIM'!V56</f>
        <v/>
      </c>
      <c r="K56" s="238"/>
      <c r="L56" s="238"/>
      <c r="M56" s="238"/>
      <c r="N56" s="238"/>
      <c r="O56" s="238"/>
      <c r="P56" s="238"/>
      <c r="Q56" s="238"/>
      <c r="R56" s="238"/>
      <c r="S56" s="238"/>
      <c r="T56" s="238"/>
      <c r="U56" s="238"/>
      <c r="V56" s="238"/>
      <c r="W56" s="238"/>
      <c r="X56" s="238"/>
      <c r="Y56" s="238"/>
      <c r="Z56" s="238"/>
      <c r="AA56" s="192"/>
      <c r="AB56" s="257"/>
      <c r="AC56" s="257"/>
      <c r="AD56" s="257"/>
      <c r="AE56" s="257"/>
      <c r="AF56" s="257"/>
      <c r="AG56" s="257"/>
      <c r="AH56" s="257"/>
      <c r="AI56" s="257"/>
      <c r="AJ56" s="257"/>
      <c r="AK56" s="257"/>
      <c r="AL56" s="257"/>
      <c r="AM56" s="257"/>
      <c r="AN56" s="257"/>
      <c r="AO56" s="257"/>
      <c r="AP56" s="257"/>
      <c r="AQ56" s="257"/>
      <c r="AR56" s="257"/>
      <c r="AS56" s="257"/>
      <c r="AT56" s="257"/>
      <c r="AU56" s="257"/>
      <c r="AV56" s="257"/>
      <c r="AW56" s="257"/>
      <c r="AX56" s="257"/>
      <c r="AY56" s="257"/>
      <c r="AZ56" s="257"/>
      <c r="BA56" s="257"/>
      <c r="BB56" s="257"/>
      <c r="BC56" s="257"/>
      <c r="BD56" s="257"/>
      <c r="BE56" s="257"/>
      <c r="BF56" s="257"/>
      <c r="BG56" s="257"/>
      <c r="BH56" s="257"/>
      <c r="BI56" s="257"/>
      <c r="BJ56" s="238"/>
      <c r="BK56" s="238"/>
      <c r="BL56" s="238"/>
      <c r="BM56" s="238"/>
      <c r="BN56" s="238"/>
      <c r="BO56" s="238"/>
      <c r="BP56" s="238"/>
      <c r="BQ56" s="238"/>
      <c r="BR56" s="238"/>
      <c r="BS56" s="238"/>
      <c r="BT56" s="238"/>
      <c r="BU56" s="238"/>
      <c r="BV56" s="238"/>
      <c r="BW56" s="238"/>
      <c r="BX56" s="238"/>
      <c r="BY56" s="238"/>
      <c r="BZ56" s="238"/>
      <c r="CA56" s="238"/>
      <c r="CB56" s="238"/>
      <c r="CC56" s="238"/>
      <c r="CD56" s="238"/>
      <c r="CE56" s="257"/>
      <c r="CF56" s="257"/>
      <c r="CG56" s="238"/>
      <c r="CH56" s="238"/>
      <c r="CI56" s="238"/>
      <c r="CJ56" s="238"/>
      <c r="CK56" s="238"/>
      <c r="CL56" s="238"/>
      <c r="CM56" s="238"/>
      <c r="CN56" s="238"/>
      <c r="CO56" s="238"/>
      <c r="CP56" s="238"/>
      <c r="CQ56" s="238"/>
      <c r="CR56" s="238"/>
      <c r="CS56" s="238"/>
      <c r="CT56" s="238"/>
      <c r="CU56" s="238"/>
      <c r="CV56" s="238"/>
      <c r="CW56" s="238"/>
      <c r="CX56" s="238"/>
      <c r="CY56" s="238"/>
      <c r="CZ56" s="238"/>
      <c r="DA56" s="238"/>
      <c r="DB56" s="238"/>
      <c r="DC56" s="238"/>
      <c r="DD56" s="238"/>
      <c r="DE56" s="238"/>
      <c r="DF56" s="238"/>
      <c r="DG56" s="257"/>
      <c r="DH56" s="238"/>
      <c r="DI56" s="238"/>
      <c r="DJ56" s="238"/>
      <c r="DK56" s="238"/>
      <c r="DL56" s="238"/>
      <c r="DM56" s="238"/>
      <c r="DN56" s="238"/>
      <c r="DO56" s="238"/>
      <c r="DP56" s="238"/>
      <c r="DQ56" s="238"/>
      <c r="DR56" s="238"/>
      <c r="DS56" s="238"/>
      <c r="DT56" s="238"/>
      <c r="DU56" s="238"/>
      <c r="DV56" s="238"/>
      <c r="DW56" s="238"/>
      <c r="DX56" s="238"/>
      <c r="DY56" s="238"/>
      <c r="DZ56" s="238"/>
      <c r="EA56" s="238"/>
      <c r="EB56" s="238"/>
      <c r="EC56" s="238"/>
      <c r="ED56" s="238"/>
      <c r="EE56" s="238"/>
      <c r="EF56" s="238"/>
      <c r="EG56" s="238"/>
      <c r="EH56" s="238"/>
      <c r="EI56" s="238"/>
      <c r="EJ56" s="238"/>
      <c r="EK56" s="238"/>
      <c r="EL56" s="238"/>
      <c r="EM56" s="238"/>
      <c r="EN56" s="238"/>
      <c r="EO56" s="238"/>
      <c r="EP56" s="238"/>
      <c r="EQ56" s="238"/>
      <c r="ER56" s="238"/>
      <c r="ES56" s="238"/>
      <c r="ET56" s="238"/>
      <c r="EU56" s="238"/>
      <c r="EV56" s="238"/>
      <c r="EW56" s="238"/>
      <c r="EX56" s="238"/>
      <c r="EY56" s="238"/>
      <c r="EZ56" s="238"/>
      <c r="FA56" s="238"/>
      <c r="FB56" s="238"/>
      <c r="FC56" s="238"/>
      <c r="FD56" s="238"/>
      <c r="FE56" s="238"/>
      <c r="FF56" s="238"/>
      <c r="FG56" s="238"/>
      <c r="FH56" s="257"/>
      <c r="FI56" s="257"/>
      <c r="FJ56" s="257"/>
      <c r="FK56" s="257"/>
      <c r="FL56" s="257"/>
      <c r="FM56" s="257"/>
      <c r="FN56" s="257"/>
      <c r="FO56" s="257"/>
      <c r="FP56" s="257"/>
      <c r="FQ56" s="257"/>
      <c r="FR56" s="257"/>
      <c r="FS56" s="257"/>
      <c r="FT56" s="257"/>
      <c r="FU56" s="257"/>
      <c r="FV56" s="257"/>
      <c r="FW56" s="257"/>
      <c r="FX56" s="257"/>
      <c r="FY56" s="238"/>
      <c r="FZ56" s="238"/>
      <c r="GA56" s="238"/>
      <c r="GB56" s="238"/>
      <c r="GC56" s="238"/>
      <c r="GD56" s="238"/>
      <c r="GE56" s="238"/>
      <c r="GF56" s="238"/>
      <c r="GG56" s="238"/>
      <c r="GH56" s="238"/>
      <c r="GI56" s="238"/>
      <c r="GJ56" s="238"/>
      <c r="GK56" s="238"/>
      <c r="GL56" s="238"/>
      <c r="GM56" s="238"/>
      <c r="GN56" s="238"/>
      <c r="GO56" s="238"/>
      <c r="GP56" s="238"/>
      <c r="GQ56" s="238"/>
      <c r="GR56" s="238"/>
      <c r="GS56" s="238"/>
      <c r="GT56" s="238"/>
      <c r="GU56" s="238"/>
      <c r="GV56" s="238"/>
      <c r="GW56" s="238"/>
      <c r="GX56" s="238"/>
      <c r="GY56" s="238"/>
      <c r="GZ56" s="238"/>
      <c r="HA56" s="238"/>
      <c r="HB56" s="238"/>
      <c r="HC56" s="238"/>
      <c r="HD56" s="238"/>
      <c r="HE56" s="238"/>
      <c r="HF56" s="238"/>
      <c r="HG56" s="238"/>
      <c r="HH56" s="238"/>
      <c r="HI56" s="238"/>
      <c r="HJ56" s="238"/>
      <c r="HK56" s="238"/>
      <c r="HL56" s="238"/>
      <c r="HM56" s="238"/>
      <c r="HN56" s="238"/>
      <c r="HO56" s="238"/>
      <c r="HP56" s="238"/>
      <c r="HQ56" s="238"/>
      <c r="HR56" s="238"/>
      <c r="HS56" s="238"/>
      <c r="HT56" s="238"/>
      <c r="HU56" s="238"/>
      <c r="HV56" s="238"/>
      <c r="HW56" s="238"/>
      <c r="HX56" s="257"/>
      <c r="HY56" s="257"/>
      <c r="HZ56" s="257"/>
      <c r="IA56" s="257"/>
      <c r="IB56" s="257"/>
      <c r="IC56" s="257"/>
      <c r="ID56" s="257"/>
      <c r="IE56" s="257"/>
      <c r="IF56" s="257"/>
      <c r="IG56" s="257"/>
      <c r="IH56" s="257"/>
      <c r="II56" s="257"/>
      <c r="IJ56" s="257"/>
      <c r="IK56" s="257"/>
      <c r="IL56" s="257"/>
      <c r="IM56" s="257"/>
      <c r="IN56" s="257"/>
      <c r="IO56" s="257"/>
      <c r="IP56" s="257"/>
      <c r="IQ56" s="257"/>
      <c r="IR56" s="257"/>
      <c r="IS56" s="257"/>
      <c r="IT56" s="257"/>
      <c r="IU56" s="257"/>
      <c r="IV56" s="257"/>
      <c r="IW56" s="257"/>
      <c r="IX56" s="257"/>
      <c r="IY56" s="257"/>
      <c r="IZ56" s="257"/>
      <c r="JA56" s="257"/>
      <c r="JB56" s="257"/>
      <c r="JC56" s="257"/>
      <c r="JD56" s="257"/>
      <c r="JE56" s="257"/>
      <c r="JF56" s="238"/>
      <c r="JG56" s="238"/>
      <c r="JH56" s="238"/>
      <c r="JI56" s="238"/>
      <c r="JJ56" s="238"/>
      <c r="JK56" s="238"/>
      <c r="JL56" s="238"/>
      <c r="JM56" s="238"/>
      <c r="JN56" s="238"/>
      <c r="JO56" s="238"/>
      <c r="JP56" s="238"/>
      <c r="JQ56" s="238"/>
      <c r="JR56" s="238"/>
      <c r="JS56" s="238"/>
      <c r="JT56" s="238"/>
      <c r="JU56" s="238"/>
      <c r="JV56" s="238"/>
      <c r="JW56" s="238"/>
      <c r="JX56" s="238"/>
      <c r="JY56" s="238"/>
      <c r="JZ56" s="238"/>
      <c r="KA56" s="238"/>
      <c r="KB56" s="238"/>
      <c r="KC56" s="238"/>
      <c r="KD56" s="238"/>
      <c r="KE56" s="238"/>
      <c r="KF56" s="238"/>
      <c r="KG56" s="238"/>
      <c r="KH56" s="238"/>
      <c r="KI56" s="238"/>
      <c r="KJ56" s="238"/>
      <c r="KK56" s="238"/>
      <c r="KL56" s="238"/>
      <c r="KM56" s="238"/>
      <c r="KN56" s="238"/>
      <c r="KO56" s="238"/>
      <c r="KP56" s="238"/>
      <c r="KQ56" s="238"/>
      <c r="KR56" s="238"/>
      <c r="KS56" s="238"/>
      <c r="KT56" s="238"/>
      <c r="KU56" s="238"/>
      <c r="KV56" s="238"/>
      <c r="KW56" s="238"/>
      <c r="KX56" s="238"/>
      <c r="KY56" s="238"/>
      <c r="KZ56" s="238"/>
      <c r="LA56" s="238"/>
      <c r="LB56" s="238"/>
      <c r="LC56" s="238"/>
      <c r="LD56" s="238"/>
      <c r="LE56" s="238"/>
      <c r="LF56" s="238"/>
      <c r="LG56" s="238"/>
      <c r="LH56" s="238"/>
      <c r="LI56" s="238"/>
      <c r="LJ56" s="238"/>
      <c r="LK56" s="238"/>
      <c r="LL56" s="238"/>
      <c r="LM56" s="238"/>
      <c r="LN56" s="238"/>
      <c r="LO56" s="238"/>
      <c r="LP56" s="238"/>
      <c r="LQ56" s="238"/>
      <c r="LR56" s="238"/>
      <c r="LS56" s="238"/>
      <c r="LT56" s="238"/>
      <c r="LU56" s="238"/>
      <c r="LV56" s="238"/>
      <c r="LW56" s="238"/>
      <c r="LX56" s="238"/>
      <c r="LY56" s="238"/>
      <c r="LZ56" s="238"/>
      <c r="MA56" s="238"/>
      <c r="MB56" s="238"/>
      <c r="MC56" s="238"/>
      <c r="MD56" s="238"/>
      <c r="ME56" s="238"/>
      <c r="MF56" s="238"/>
      <c r="MG56" s="238"/>
      <c r="MH56" s="238"/>
      <c r="MI56" s="238"/>
      <c r="MJ56" s="238"/>
      <c r="MK56" s="238"/>
      <c r="ML56" s="238"/>
    </row>
    <row r="57" ht="18.75" customHeight="1">
      <c r="A57" s="283"/>
      <c r="B57" s="234" t="str">
        <f>'Building Bill of Materials_SLIM'!P57</f>
        <v/>
      </c>
      <c r="C57" s="234" t="str">
        <f>'Building Bill of Materials_SLIM'!Q57</f>
        <v/>
      </c>
      <c r="D57" s="234" t="str">
        <f>'Building Bill of Materials_SLIM'!R57</f>
        <v/>
      </c>
      <c r="E57" s="234" t="str">
        <f>'Building Bill of Materials_SLIM'!S57</f>
        <v/>
      </c>
      <c r="F57" s="234"/>
      <c r="G57" s="234"/>
      <c r="H57" s="234"/>
      <c r="I57" s="234"/>
      <c r="J57" s="234" t="str">
        <f>'Building Bill of Materials_SLIM'!V57</f>
        <v/>
      </c>
      <c r="K57" s="238"/>
      <c r="L57" s="238"/>
      <c r="M57" s="238"/>
      <c r="N57" s="238"/>
      <c r="O57" s="238"/>
      <c r="P57" s="238"/>
      <c r="Q57" s="238"/>
      <c r="R57" s="238"/>
      <c r="S57" s="238"/>
      <c r="T57" s="238"/>
      <c r="U57" s="238"/>
      <c r="V57" s="238"/>
      <c r="W57" s="238"/>
      <c r="X57" s="238"/>
      <c r="Y57" s="238"/>
      <c r="Z57" s="238"/>
      <c r="AA57" s="192"/>
      <c r="AB57" s="257"/>
      <c r="AC57" s="257"/>
      <c r="AD57" s="257"/>
      <c r="AE57" s="257"/>
      <c r="AF57" s="257"/>
      <c r="AG57" s="257"/>
      <c r="AH57" s="257"/>
      <c r="AI57" s="257"/>
      <c r="AJ57" s="257"/>
      <c r="AK57" s="257"/>
      <c r="AL57" s="257"/>
      <c r="AM57" s="257"/>
      <c r="AN57" s="257"/>
      <c r="AO57" s="257"/>
      <c r="AP57" s="257"/>
      <c r="AQ57" s="257"/>
      <c r="AR57" s="257"/>
      <c r="AS57" s="257"/>
      <c r="AT57" s="257"/>
      <c r="AU57" s="257"/>
      <c r="AV57" s="257"/>
      <c r="AW57" s="257"/>
      <c r="AX57" s="257"/>
      <c r="AY57" s="257"/>
      <c r="AZ57" s="257"/>
      <c r="BA57" s="257"/>
      <c r="BB57" s="257"/>
      <c r="BC57" s="257"/>
      <c r="BD57" s="257"/>
      <c r="BE57" s="257"/>
      <c r="BF57" s="257"/>
      <c r="BG57" s="257"/>
      <c r="BH57" s="257"/>
      <c r="BI57" s="257"/>
      <c r="BJ57" s="238"/>
      <c r="BK57" s="238"/>
      <c r="BL57" s="238"/>
      <c r="BM57" s="238"/>
      <c r="BN57" s="238"/>
      <c r="BO57" s="238"/>
      <c r="BP57" s="238"/>
      <c r="BQ57" s="238"/>
      <c r="BR57" s="238"/>
      <c r="BS57" s="238"/>
      <c r="BT57" s="238"/>
      <c r="BU57" s="238"/>
      <c r="BV57" s="238"/>
      <c r="BW57" s="238"/>
      <c r="BX57" s="238"/>
      <c r="BY57" s="238"/>
      <c r="BZ57" s="238"/>
      <c r="CA57" s="238"/>
      <c r="CB57" s="238"/>
      <c r="CC57" s="238"/>
      <c r="CD57" s="238"/>
      <c r="CE57" s="257"/>
      <c r="CF57" s="257"/>
      <c r="CG57" s="238"/>
      <c r="CH57" s="238"/>
      <c r="CI57" s="238"/>
      <c r="CJ57" s="238"/>
      <c r="CK57" s="238"/>
      <c r="CL57" s="238"/>
      <c r="CM57" s="238"/>
      <c r="CN57" s="238"/>
      <c r="CO57" s="238"/>
      <c r="CP57" s="238"/>
      <c r="CQ57" s="238"/>
      <c r="CR57" s="238"/>
      <c r="CS57" s="238"/>
      <c r="CT57" s="238"/>
      <c r="CU57" s="238"/>
      <c r="CV57" s="238"/>
      <c r="CW57" s="238"/>
      <c r="CX57" s="238"/>
      <c r="CY57" s="238"/>
      <c r="CZ57" s="238"/>
      <c r="DA57" s="238"/>
      <c r="DB57" s="238"/>
      <c r="DC57" s="238"/>
      <c r="DD57" s="238"/>
      <c r="DE57" s="238"/>
      <c r="DF57" s="238"/>
      <c r="DG57" s="257"/>
      <c r="DH57" s="238"/>
      <c r="DI57" s="238"/>
      <c r="DJ57" s="238"/>
      <c r="DK57" s="238"/>
      <c r="DL57" s="238"/>
      <c r="DM57" s="238"/>
      <c r="DN57" s="238"/>
      <c r="DO57" s="238"/>
      <c r="DP57" s="238"/>
      <c r="DQ57" s="238"/>
      <c r="DR57" s="238"/>
      <c r="DS57" s="238"/>
      <c r="DT57" s="238"/>
      <c r="DU57" s="238"/>
      <c r="DV57" s="238"/>
      <c r="DW57" s="238"/>
      <c r="DX57" s="238"/>
      <c r="DY57" s="238"/>
      <c r="DZ57" s="238"/>
      <c r="EA57" s="238"/>
      <c r="EB57" s="238"/>
      <c r="EC57" s="238"/>
      <c r="ED57" s="238"/>
      <c r="EE57" s="238"/>
      <c r="EF57" s="238"/>
      <c r="EG57" s="238"/>
      <c r="EH57" s="238"/>
      <c r="EI57" s="238"/>
      <c r="EJ57" s="238"/>
      <c r="EK57" s="238"/>
      <c r="EL57" s="238"/>
      <c r="EM57" s="238"/>
      <c r="EN57" s="238"/>
      <c r="EO57" s="238"/>
      <c r="EP57" s="238"/>
      <c r="EQ57" s="238"/>
      <c r="ER57" s="238"/>
      <c r="ES57" s="238"/>
      <c r="ET57" s="238"/>
      <c r="EU57" s="238"/>
      <c r="EV57" s="238"/>
      <c r="EW57" s="238"/>
      <c r="EX57" s="238"/>
      <c r="EY57" s="238"/>
      <c r="EZ57" s="238"/>
      <c r="FA57" s="238"/>
      <c r="FB57" s="238"/>
      <c r="FC57" s="238"/>
      <c r="FD57" s="238"/>
      <c r="FE57" s="238"/>
      <c r="FF57" s="238"/>
      <c r="FG57" s="238"/>
      <c r="FH57" s="257"/>
      <c r="FI57" s="257"/>
      <c r="FJ57" s="257"/>
      <c r="FK57" s="257"/>
      <c r="FL57" s="257"/>
      <c r="FM57" s="257"/>
      <c r="FN57" s="257"/>
      <c r="FO57" s="257"/>
      <c r="FP57" s="257"/>
      <c r="FQ57" s="257"/>
      <c r="FR57" s="257"/>
      <c r="FS57" s="257"/>
      <c r="FT57" s="257"/>
      <c r="FU57" s="257"/>
      <c r="FV57" s="257"/>
      <c r="FW57" s="257"/>
      <c r="FX57" s="257"/>
      <c r="FY57" s="238"/>
      <c r="FZ57" s="238"/>
      <c r="GA57" s="238"/>
      <c r="GB57" s="238"/>
      <c r="GC57" s="238"/>
      <c r="GD57" s="238"/>
      <c r="GE57" s="238"/>
      <c r="GF57" s="238"/>
      <c r="GG57" s="238"/>
      <c r="GH57" s="238"/>
      <c r="GI57" s="238"/>
      <c r="GJ57" s="238"/>
      <c r="GK57" s="238"/>
      <c r="GL57" s="238"/>
      <c r="GM57" s="238"/>
      <c r="GN57" s="238"/>
      <c r="GO57" s="238"/>
      <c r="GP57" s="238"/>
      <c r="GQ57" s="238"/>
      <c r="GR57" s="238"/>
      <c r="GS57" s="238"/>
      <c r="GT57" s="238"/>
      <c r="GU57" s="238"/>
      <c r="GV57" s="238"/>
      <c r="GW57" s="238"/>
      <c r="GX57" s="238"/>
      <c r="GY57" s="238"/>
      <c r="GZ57" s="238"/>
      <c r="HA57" s="238"/>
      <c r="HB57" s="238"/>
      <c r="HC57" s="238"/>
      <c r="HD57" s="238"/>
      <c r="HE57" s="238"/>
      <c r="HF57" s="238"/>
      <c r="HG57" s="238"/>
      <c r="HH57" s="238"/>
      <c r="HI57" s="238"/>
      <c r="HJ57" s="238"/>
      <c r="HK57" s="238"/>
      <c r="HL57" s="238"/>
      <c r="HM57" s="238"/>
      <c r="HN57" s="238"/>
      <c r="HO57" s="238"/>
      <c r="HP57" s="238"/>
      <c r="HQ57" s="238"/>
      <c r="HR57" s="238"/>
      <c r="HS57" s="238"/>
      <c r="HT57" s="238"/>
      <c r="HU57" s="238"/>
      <c r="HV57" s="238"/>
      <c r="HW57" s="238"/>
      <c r="HX57" s="257"/>
      <c r="HY57" s="257"/>
      <c r="HZ57" s="257"/>
      <c r="IA57" s="257"/>
      <c r="IB57" s="257"/>
      <c r="IC57" s="257"/>
      <c r="ID57" s="257"/>
      <c r="IE57" s="257"/>
      <c r="IF57" s="257"/>
      <c r="IG57" s="257"/>
      <c r="IH57" s="257"/>
      <c r="II57" s="257"/>
      <c r="IJ57" s="257"/>
      <c r="IK57" s="257"/>
      <c r="IL57" s="257"/>
      <c r="IM57" s="257"/>
      <c r="IN57" s="257"/>
      <c r="IO57" s="257"/>
      <c r="IP57" s="257"/>
      <c r="IQ57" s="257"/>
      <c r="IR57" s="257"/>
      <c r="IS57" s="257"/>
      <c r="IT57" s="257"/>
      <c r="IU57" s="257"/>
      <c r="IV57" s="257"/>
      <c r="IW57" s="257"/>
      <c r="IX57" s="257"/>
      <c r="IY57" s="257"/>
      <c r="IZ57" s="257"/>
      <c r="JA57" s="257"/>
      <c r="JB57" s="257"/>
      <c r="JC57" s="257"/>
      <c r="JD57" s="257"/>
      <c r="JE57" s="257"/>
      <c r="JF57" s="238"/>
      <c r="JG57" s="238"/>
      <c r="JH57" s="238"/>
      <c r="JI57" s="238"/>
      <c r="JJ57" s="238"/>
      <c r="JK57" s="238"/>
      <c r="JL57" s="238"/>
      <c r="JM57" s="238"/>
      <c r="JN57" s="238"/>
      <c r="JO57" s="238"/>
      <c r="JP57" s="238"/>
      <c r="JQ57" s="238"/>
      <c r="JR57" s="238"/>
      <c r="JS57" s="238"/>
      <c r="JT57" s="238"/>
      <c r="JU57" s="238"/>
      <c r="JV57" s="238"/>
      <c r="JW57" s="238"/>
      <c r="JX57" s="238"/>
      <c r="JY57" s="238"/>
      <c r="JZ57" s="238"/>
      <c r="KA57" s="238"/>
      <c r="KB57" s="238"/>
      <c r="KC57" s="238"/>
      <c r="KD57" s="238"/>
      <c r="KE57" s="238"/>
      <c r="KF57" s="238"/>
      <c r="KG57" s="238"/>
      <c r="KH57" s="238"/>
      <c r="KI57" s="238"/>
      <c r="KJ57" s="238"/>
      <c r="KK57" s="238"/>
      <c r="KL57" s="238"/>
      <c r="KM57" s="238"/>
      <c r="KN57" s="238"/>
      <c r="KO57" s="238"/>
      <c r="KP57" s="238"/>
      <c r="KQ57" s="238"/>
      <c r="KR57" s="238"/>
      <c r="KS57" s="238"/>
      <c r="KT57" s="238"/>
      <c r="KU57" s="238"/>
      <c r="KV57" s="238"/>
      <c r="KW57" s="238"/>
      <c r="KX57" s="238"/>
      <c r="KY57" s="238"/>
      <c r="KZ57" s="238"/>
      <c r="LA57" s="238"/>
      <c r="LB57" s="238"/>
      <c r="LC57" s="238"/>
      <c r="LD57" s="238"/>
      <c r="LE57" s="238"/>
      <c r="LF57" s="238"/>
      <c r="LG57" s="238"/>
      <c r="LH57" s="238"/>
      <c r="LI57" s="238"/>
      <c r="LJ57" s="238"/>
      <c r="LK57" s="238"/>
      <c r="LL57" s="238"/>
      <c r="LM57" s="238"/>
      <c r="LN57" s="238"/>
      <c r="LO57" s="238"/>
      <c r="LP57" s="238"/>
      <c r="LQ57" s="238"/>
      <c r="LR57" s="238"/>
      <c r="LS57" s="238"/>
      <c r="LT57" s="238"/>
      <c r="LU57" s="238"/>
      <c r="LV57" s="238"/>
      <c r="LW57" s="238"/>
      <c r="LX57" s="238"/>
      <c r="LY57" s="238"/>
      <c r="LZ57" s="238"/>
      <c r="MA57" s="238"/>
      <c r="MB57" s="238"/>
      <c r="MC57" s="238"/>
      <c r="MD57" s="238"/>
      <c r="ME57" s="238"/>
      <c r="MF57" s="238"/>
      <c r="MG57" s="238"/>
      <c r="MH57" s="238"/>
      <c r="MI57" s="238"/>
      <c r="MJ57" s="238"/>
      <c r="MK57" s="238"/>
      <c r="ML57" s="238"/>
    </row>
    <row r="58" ht="18.75" customHeight="1">
      <c r="A58" s="283"/>
      <c r="B58" s="234" t="str">
        <f>'Building Bill of Materials_SLIM'!P58</f>
        <v/>
      </c>
      <c r="C58" s="234" t="str">
        <f>'Building Bill of Materials_SLIM'!Q58</f>
        <v/>
      </c>
      <c r="D58" s="234" t="str">
        <f>'Building Bill of Materials_SLIM'!R58</f>
        <v/>
      </c>
      <c r="E58" s="234" t="str">
        <f>'Building Bill of Materials_SLIM'!S58</f>
        <v/>
      </c>
      <c r="F58" s="234"/>
      <c r="G58" s="234"/>
      <c r="H58" s="234"/>
      <c r="I58" s="234"/>
      <c r="J58" s="234" t="str">
        <f>'Building Bill of Materials_SLIM'!V58</f>
        <v/>
      </c>
      <c r="K58" s="238"/>
      <c r="L58" s="238"/>
      <c r="M58" s="238"/>
      <c r="N58" s="238"/>
      <c r="O58" s="238"/>
      <c r="P58" s="238"/>
      <c r="Q58" s="238"/>
      <c r="R58" s="238"/>
      <c r="S58" s="238"/>
      <c r="T58" s="238"/>
      <c r="U58" s="238"/>
      <c r="V58" s="238"/>
      <c r="W58" s="238"/>
      <c r="X58" s="238"/>
      <c r="Y58" s="238"/>
      <c r="Z58" s="238"/>
      <c r="AA58" s="192"/>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38"/>
      <c r="BK58" s="238"/>
      <c r="BL58" s="238"/>
      <c r="BM58" s="238"/>
      <c r="BN58" s="238"/>
      <c r="BO58" s="238"/>
      <c r="BP58" s="238"/>
      <c r="BQ58" s="238"/>
      <c r="BR58" s="238"/>
      <c r="BS58" s="238"/>
      <c r="BT58" s="238"/>
      <c r="BU58" s="238"/>
      <c r="BV58" s="238"/>
      <c r="BW58" s="238"/>
      <c r="BX58" s="238"/>
      <c r="BY58" s="238"/>
      <c r="BZ58" s="238"/>
      <c r="CA58" s="238"/>
      <c r="CB58" s="238"/>
      <c r="CC58" s="238"/>
      <c r="CD58" s="238"/>
      <c r="CE58" s="257"/>
      <c r="CF58" s="257"/>
      <c r="CG58" s="238"/>
      <c r="CH58" s="238"/>
      <c r="CI58" s="238"/>
      <c r="CJ58" s="238"/>
      <c r="CK58" s="238"/>
      <c r="CL58" s="238"/>
      <c r="CM58" s="238"/>
      <c r="CN58" s="238"/>
      <c r="CO58" s="238"/>
      <c r="CP58" s="238"/>
      <c r="CQ58" s="238"/>
      <c r="CR58" s="238"/>
      <c r="CS58" s="238"/>
      <c r="CT58" s="238"/>
      <c r="CU58" s="238"/>
      <c r="CV58" s="238"/>
      <c r="CW58" s="238"/>
      <c r="CX58" s="238"/>
      <c r="CY58" s="238"/>
      <c r="CZ58" s="238"/>
      <c r="DA58" s="238"/>
      <c r="DB58" s="238"/>
      <c r="DC58" s="238"/>
      <c r="DD58" s="238"/>
      <c r="DE58" s="238"/>
      <c r="DF58" s="238"/>
      <c r="DG58" s="257"/>
      <c r="DH58" s="238"/>
      <c r="DI58" s="238"/>
      <c r="DJ58" s="238"/>
      <c r="DK58" s="238"/>
      <c r="DL58" s="238"/>
      <c r="DM58" s="238"/>
      <c r="DN58" s="238"/>
      <c r="DO58" s="238"/>
      <c r="DP58" s="238"/>
      <c r="DQ58" s="238"/>
      <c r="DR58" s="238"/>
      <c r="DS58" s="238"/>
      <c r="DT58" s="238"/>
      <c r="DU58" s="238"/>
      <c r="DV58" s="238"/>
      <c r="DW58" s="238"/>
      <c r="DX58" s="238"/>
      <c r="DY58" s="238"/>
      <c r="DZ58" s="238"/>
      <c r="EA58" s="238"/>
      <c r="EB58" s="238"/>
      <c r="EC58" s="238"/>
      <c r="ED58" s="238"/>
      <c r="EE58" s="238"/>
      <c r="EF58" s="238"/>
      <c r="EG58" s="238"/>
      <c r="EH58" s="238"/>
      <c r="EI58" s="238"/>
      <c r="EJ58" s="238"/>
      <c r="EK58" s="238"/>
      <c r="EL58" s="238"/>
      <c r="EM58" s="238"/>
      <c r="EN58" s="238"/>
      <c r="EO58" s="238"/>
      <c r="EP58" s="238"/>
      <c r="EQ58" s="238"/>
      <c r="ER58" s="238"/>
      <c r="ES58" s="238"/>
      <c r="ET58" s="238"/>
      <c r="EU58" s="238"/>
      <c r="EV58" s="238"/>
      <c r="EW58" s="238"/>
      <c r="EX58" s="238"/>
      <c r="EY58" s="238"/>
      <c r="EZ58" s="238"/>
      <c r="FA58" s="238"/>
      <c r="FB58" s="238"/>
      <c r="FC58" s="238"/>
      <c r="FD58" s="238"/>
      <c r="FE58" s="238"/>
      <c r="FF58" s="238"/>
      <c r="FG58" s="238"/>
      <c r="FH58" s="257"/>
      <c r="FI58" s="257"/>
      <c r="FJ58" s="257"/>
      <c r="FK58" s="257"/>
      <c r="FL58" s="257"/>
      <c r="FM58" s="257"/>
      <c r="FN58" s="257"/>
      <c r="FO58" s="257"/>
      <c r="FP58" s="257"/>
      <c r="FQ58" s="257"/>
      <c r="FR58" s="257"/>
      <c r="FS58" s="257"/>
      <c r="FT58" s="257"/>
      <c r="FU58" s="257"/>
      <c r="FV58" s="257"/>
      <c r="FW58" s="257"/>
      <c r="FX58" s="257"/>
      <c r="FY58" s="238"/>
      <c r="FZ58" s="238"/>
      <c r="GA58" s="238"/>
      <c r="GB58" s="238"/>
      <c r="GC58" s="238"/>
      <c r="GD58" s="238"/>
      <c r="GE58" s="238"/>
      <c r="GF58" s="238"/>
      <c r="GG58" s="238"/>
      <c r="GH58" s="238"/>
      <c r="GI58" s="238"/>
      <c r="GJ58" s="238"/>
      <c r="GK58" s="238"/>
      <c r="GL58" s="238"/>
      <c r="GM58" s="238"/>
      <c r="GN58" s="238"/>
      <c r="GO58" s="238"/>
      <c r="GP58" s="238"/>
      <c r="GQ58" s="238"/>
      <c r="GR58" s="238"/>
      <c r="GS58" s="238"/>
      <c r="GT58" s="238"/>
      <c r="GU58" s="238"/>
      <c r="GV58" s="238"/>
      <c r="GW58" s="238"/>
      <c r="GX58" s="238"/>
      <c r="GY58" s="238"/>
      <c r="GZ58" s="238"/>
      <c r="HA58" s="238"/>
      <c r="HB58" s="238"/>
      <c r="HC58" s="238"/>
      <c r="HD58" s="238"/>
      <c r="HE58" s="238"/>
      <c r="HF58" s="238"/>
      <c r="HG58" s="238"/>
      <c r="HH58" s="238"/>
      <c r="HI58" s="238"/>
      <c r="HJ58" s="238"/>
      <c r="HK58" s="238"/>
      <c r="HL58" s="238"/>
      <c r="HM58" s="238"/>
      <c r="HN58" s="238"/>
      <c r="HO58" s="238"/>
      <c r="HP58" s="238"/>
      <c r="HQ58" s="238"/>
      <c r="HR58" s="238"/>
      <c r="HS58" s="238"/>
      <c r="HT58" s="238"/>
      <c r="HU58" s="238"/>
      <c r="HV58" s="238"/>
      <c r="HW58" s="238"/>
      <c r="HX58" s="257"/>
      <c r="HY58" s="257"/>
      <c r="HZ58" s="257"/>
      <c r="IA58" s="257"/>
      <c r="IB58" s="257"/>
      <c r="IC58" s="257"/>
      <c r="ID58" s="257"/>
      <c r="IE58" s="257"/>
      <c r="IF58" s="257"/>
      <c r="IG58" s="257"/>
      <c r="IH58" s="257"/>
      <c r="II58" s="257"/>
      <c r="IJ58" s="257"/>
      <c r="IK58" s="257"/>
      <c r="IL58" s="257"/>
      <c r="IM58" s="257"/>
      <c r="IN58" s="257"/>
      <c r="IO58" s="257"/>
      <c r="IP58" s="257"/>
      <c r="IQ58" s="257"/>
      <c r="IR58" s="257"/>
      <c r="IS58" s="257"/>
      <c r="IT58" s="257"/>
      <c r="IU58" s="257"/>
      <c r="IV58" s="257"/>
      <c r="IW58" s="257"/>
      <c r="IX58" s="257"/>
      <c r="IY58" s="257"/>
      <c r="IZ58" s="257"/>
      <c r="JA58" s="257"/>
      <c r="JB58" s="257"/>
      <c r="JC58" s="257"/>
      <c r="JD58" s="257"/>
      <c r="JE58" s="257"/>
      <c r="JF58" s="238"/>
      <c r="JG58" s="238"/>
      <c r="JH58" s="238"/>
      <c r="JI58" s="238"/>
      <c r="JJ58" s="238"/>
      <c r="JK58" s="238"/>
      <c r="JL58" s="238"/>
      <c r="JM58" s="238"/>
      <c r="JN58" s="238"/>
      <c r="JO58" s="238"/>
      <c r="JP58" s="238"/>
      <c r="JQ58" s="238"/>
      <c r="JR58" s="238"/>
      <c r="JS58" s="238"/>
      <c r="JT58" s="238"/>
      <c r="JU58" s="238"/>
      <c r="JV58" s="238"/>
      <c r="JW58" s="238"/>
      <c r="JX58" s="238"/>
      <c r="JY58" s="238"/>
      <c r="JZ58" s="238"/>
      <c r="KA58" s="238"/>
      <c r="KB58" s="238"/>
      <c r="KC58" s="238"/>
      <c r="KD58" s="238"/>
      <c r="KE58" s="238"/>
      <c r="KF58" s="238"/>
      <c r="KG58" s="238"/>
      <c r="KH58" s="238"/>
      <c r="KI58" s="238"/>
      <c r="KJ58" s="238"/>
      <c r="KK58" s="238"/>
      <c r="KL58" s="238"/>
      <c r="KM58" s="238"/>
      <c r="KN58" s="238"/>
      <c r="KO58" s="238"/>
      <c r="KP58" s="238"/>
      <c r="KQ58" s="238"/>
      <c r="KR58" s="238"/>
      <c r="KS58" s="238"/>
      <c r="KT58" s="238"/>
      <c r="KU58" s="238"/>
      <c r="KV58" s="238"/>
      <c r="KW58" s="238"/>
      <c r="KX58" s="238"/>
      <c r="KY58" s="238"/>
      <c r="KZ58" s="238"/>
      <c r="LA58" s="238"/>
      <c r="LB58" s="238"/>
      <c r="LC58" s="238"/>
      <c r="LD58" s="238"/>
      <c r="LE58" s="238"/>
      <c r="LF58" s="238"/>
      <c r="LG58" s="238"/>
      <c r="LH58" s="238"/>
      <c r="LI58" s="238"/>
      <c r="LJ58" s="238"/>
      <c r="LK58" s="238"/>
      <c r="LL58" s="238"/>
      <c r="LM58" s="238"/>
      <c r="LN58" s="238"/>
      <c r="LO58" s="238"/>
      <c r="LP58" s="238"/>
      <c r="LQ58" s="238"/>
      <c r="LR58" s="238"/>
      <c r="LS58" s="238"/>
      <c r="LT58" s="238"/>
      <c r="LU58" s="238"/>
      <c r="LV58" s="238"/>
      <c r="LW58" s="238"/>
      <c r="LX58" s="238"/>
      <c r="LY58" s="238"/>
      <c r="LZ58" s="238"/>
      <c r="MA58" s="238"/>
      <c r="MB58" s="238"/>
      <c r="MC58" s="238"/>
      <c r="MD58" s="238"/>
      <c r="ME58" s="238"/>
      <c r="MF58" s="238"/>
      <c r="MG58" s="238"/>
      <c r="MH58" s="238"/>
      <c r="MI58" s="238"/>
      <c r="MJ58" s="238"/>
      <c r="MK58" s="238"/>
      <c r="ML58" s="238"/>
    </row>
    <row r="59" ht="18.75" customHeight="1">
      <c r="A59" s="283"/>
      <c r="B59" s="234" t="str">
        <f>'Building Bill of Materials_SLIM'!P59</f>
        <v/>
      </c>
      <c r="C59" s="234" t="str">
        <f>'Building Bill of Materials_SLIM'!Q59</f>
        <v/>
      </c>
      <c r="D59" s="234" t="str">
        <f>'Building Bill of Materials_SLIM'!R59</f>
        <v/>
      </c>
      <c r="E59" s="234" t="str">
        <f>'Building Bill of Materials_SLIM'!S59</f>
        <v/>
      </c>
      <c r="F59" s="234"/>
      <c r="G59" s="234"/>
      <c r="H59" s="234"/>
      <c r="I59" s="234"/>
      <c r="J59" s="234" t="str">
        <f>'Building Bill of Materials_SLIM'!V59</f>
        <v/>
      </c>
      <c r="K59" s="238"/>
      <c r="L59" s="238"/>
      <c r="M59" s="238"/>
      <c r="N59" s="238"/>
      <c r="O59" s="238"/>
      <c r="P59" s="238"/>
      <c r="Q59" s="238"/>
      <c r="R59" s="238"/>
      <c r="S59" s="238"/>
      <c r="T59" s="238"/>
      <c r="U59" s="238"/>
      <c r="V59" s="238"/>
      <c r="W59" s="238"/>
      <c r="X59" s="238"/>
      <c r="Y59" s="238"/>
      <c r="Z59" s="238"/>
      <c r="AA59" s="192"/>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7"/>
      <c r="BI59" s="257"/>
      <c r="BJ59" s="238"/>
      <c r="BK59" s="238"/>
      <c r="BL59" s="238"/>
      <c r="BM59" s="238"/>
      <c r="BN59" s="238"/>
      <c r="BO59" s="238"/>
      <c r="BP59" s="238"/>
      <c r="BQ59" s="238"/>
      <c r="BR59" s="238"/>
      <c r="BS59" s="238"/>
      <c r="BT59" s="238"/>
      <c r="BU59" s="238"/>
      <c r="BV59" s="238"/>
      <c r="BW59" s="238"/>
      <c r="BX59" s="238"/>
      <c r="BY59" s="238"/>
      <c r="BZ59" s="238"/>
      <c r="CA59" s="238"/>
      <c r="CB59" s="238"/>
      <c r="CC59" s="238"/>
      <c r="CD59" s="238"/>
      <c r="CE59" s="257"/>
      <c r="CF59" s="257"/>
      <c r="CG59" s="238"/>
      <c r="CH59" s="238"/>
      <c r="CI59" s="238"/>
      <c r="CJ59" s="238"/>
      <c r="CK59" s="238"/>
      <c r="CL59" s="238"/>
      <c r="CM59" s="238"/>
      <c r="CN59" s="238"/>
      <c r="CO59" s="238"/>
      <c r="CP59" s="238"/>
      <c r="CQ59" s="238"/>
      <c r="CR59" s="238"/>
      <c r="CS59" s="238"/>
      <c r="CT59" s="238"/>
      <c r="CU59" s="238"/>
      <c r="CV59" s="238"/>
      <c r="CW59" s="238"/>
      <c r="CX59" s="238"/>
      <c r="CY59" s="238"/>
      <c r="CZ59" s="238"/>
      <c r="DA59" s="238"/>
      <c r="DB59" s="238"/>
      <c r="DC59" s="238"/>
      <c r="DD59" s="238"/>
      <c r="DE59" s="238"/>
      <c r="DF59" s="238"/>
      <c r="DG59" s="257"/>
      <c r="DH59" s="238"/>
      <c r="DI59" s="238"/>
      <c r="DJ59" s="238"/>
      <c r="DK59" s="238"/>
      <c r="DL59" s="238"/>
      <c r="DM59" s="238"/>
      <c r="DN59" s="238"/>
      <c r="DO59" s="238"/>
      <c r="DP59" s="238"/>
      <c r="DQ59" s="238"/>
      <c r="DR59" s="238"/>
      <c r="DS59" s="238"/>
      <c r="DT59" s="238"/>
      <c r="DU59" s="238"/>
      <c r="DV59" s="238"/>
      <c r="DW59" s="238"/>
      <c r="DX59" s="238"/>
      <c r="DY59" s="238"/>
      <c r="DZ59" s="238"/>
      <c r="EA59" s="238"/>
      <c r="EB59" s="238"/>
      <c r="EC59" s="238"/>
      <c r="ED59" s="238"/>
      <c r="EE59" s="238"/>
      <c r="EF59" s="238"/>
      <c r="EG59" s="238"/>
      <c r="EH59" s="238"/>
      <c r="EI59" s="238"/>
      <c r="EJ59" s="238"/>
      <c r="EK59" s="238"/>
      <c r="EL59" s="238"/>
      <c r="EM59" s="238"/>
      <c r="EN59" s="238"/>
      <c r="EO59" s="238"/>
      <c r="EP59" s="238"/>
      <c r="EQ59" s="238"/>
      <c r="ER59" s="238"/>
      <c r="ES59" s="238"/>
      <c r="ET59" s="238"/>
      <c r="EU59" s="238"/>
      <c r="EV59" s="238"/>
      <c r="EW59" s="238"/>
      <c r="EX59" s="238"/>
      <c r="EY59" s="238"/>
      <c r="EZ59" s="238"/>
      <c r="FA59" s="238"/>
      <c r="FB59" s="238"/>
      <c r="FC59" s="238"/>
      <c r="FD59" s="238"/>
      <c r="FE59" s="238"/>
      <c r="FF59" s="238"/>
      <c r="FG59" s="238"/>
      <c r="FH59" s="257"/>
      <c r="FI59" s="257"/>
      <c r="FJ59" s="257"/>
      <c r="FK59" s="257"/>
      <c r="FL59" s="257"/>
      <c r="FM59" s="257"/>
      <c r="FN59" s="257"/>
      <c r="FO59" s="257"/>
      <c r="FP59" s="257"/>
      <c r="FQ59" s="257"/>
      <c r="FR59" s="257"/>
      <c r="FS59" s="257"/>
      <c r="FT59" s="257"/>
      <c r="FU59" s="257"/>
      <c r="FV59" s="257"/>
      <c r="FW59" s="257"/>
      <c r="FX59" s="257"/>
      <c r="FY59" s="238"/>
      <c r="FZ59" s="238"/>
      <c r="GA59" s="238"/>
      <c r="GB59" s="238"/>
      <c r="GC59" s="238"/>
      <c r="GD59" s="238"/>
      <c r="GE59" s="238"/>
      <c r="GF59" s="238"/>
      <c r="GG59" s="238"/>
      <c r="GH59" s="238"/>
      <c r="GI59" s="238"/>
      <c r="GJ59" s="238"/>
      <c r="GK59" s="238"/>
      <c r="GL59" s="238"/>
      <c r="GM59" s="238"/>
      <c r="GN59" s="238"/>
      <c r="GO59" s="238"/>
      <c r="GP59" s="238"/>
      <c r="GQ59" s="238"/>
      <c r="GR59" s="238"/>
      <c r="GS59" s="238"/>
      <c r="GT59" s="238"/>
      <c r="GU59" s="238"/>
      <c r="GV59" s="238"/>
      <c r="GW59" s="238"/>
      <c r="GX59" s="238"/>
      <c r="GY59" s="238"/>
      <c r="GZ59" s="238"/>
      <c r="HA59" s="238"/>
      <c r="HB59" s="238"/>
      <c r="HC59" s="238"/>
      <c r="HD59" s="238"/>
      <c r="HE59" s="238"/>
      <c r="HF59" s="238"/>
      <c r="HG59" s="238"/>
      <c r="HH59" s="238"/>
      <c r="HI59" s="238"/>
      <c r="HJ59" s="238"/>
      <c r="HK59" s="238"/>
      <c r="HL59" s="238"/>
      <c r="HM59" s="238"/>
      <c r="HN59" s="238"/>
      <c r="HO59" s="238"/>
      <c r="HP59" s="238"/>
      <c r="HQ59" s="238"/>
      <c r="HR59" s="238"/>
      <c r="HS59" s="238"/>
      <c r="HT59" s="238"/>
      <c r="HU59" s="238"/>
      <c r="HV59" s="238"/>
      <c r="HW59" s="238"/>
      <c r="HX59" s="257"/>
      <c r="HY59" s="257"/>
      <c r="HZ59" s="257"/>
      <c r="IA59" s="257"/>
      <c r="IB59" s="257"/>
      <c r="IC59" s="257"/>
      <c r="ID59" s="257"/>
      <c r="IE59" s="257"/>
      <c r="IF59" s="257"/>
      <c r="IG59" s="257"/>
      <c r="IH59" s="257"/>
      <c r="II59" s="257"/>
      <c r="IJ59" s="257"/>
      <c r="IK59" s="257"/>
      <c r="IL59" s="257"/>
      <c r="IM59" s="257"/>
      <c r="IN59" s="257"/>
      <c r="IO59" s="257"/>
      <c r="IP59" s="257"/>
      <c r="IQ59" s="257"/>
      <c r="IR59" s="257"/>
      <c r="IS59" s="257"/>
      <c r="IT59" s="257"/>
      <c r="IU59" s="257"/>
      <c r="IV59" s="257"/>
      <c r="IW59" s="257"/>
      <c r="IX59" s="257"/>
      <c r="IY59" s="257"/>
      <c r="IZ59" s="257"/>
      <c r="JA59" s="257"/>
      <c r="JB59" s="257"/>
      <c r="JC59" s="257"/>
      <c r="JD59" s="257"/>
      <c r="JE59" s="257"/>
      <c r="JF59" s="238"/>
      <c r="JG59" s="238"/>
      <c r="JH59" s="238"/>
      <c r="JI59" s="238"/>
      <c r="JJ59" s="238"/>
      <c r="JK59" s="238"/>
      <c r="JL59" s="238"/>
      <c r="JM59" s="238"/>
      <c r="JN59" s="238"/>
      <c r="JO59" s="238"/>
      <c r="JP59" s="238"/>
      <c r="JQ59" s="238"/>
      <c r="JR59" s="238"/>
      <c r="JS59" s="238"/>
      <c r="JT59" s="238"/>
      <c r="JU59" s="238"/>
      <c r="JV59" s="238"/>
      <c r="JW59" s="238"/>
      <c r="JX59" s="238"/>
      <c r="JY59" s="238"/>
      <c r="JZ59" s="238"/>
      <c r="KA59" s="238"/>
      <c r="KB59" s="238"/>
      <c r="KC59" s="238"/>
      <c r="KD59" s="238"/>
      <c r="KE59" s="238"/>
      <c r="KF59" s="238"/>
      <c r="KG59" s="238"/>
      <c r="KH59" s="238"/>
      <c r="KI59" s="238"/>
      <c r="KJ59" s="238"/>
      <c r="KK59" s="238"/>
      <c r="KL59" s="238"/>
      <c r="KM59" s="238"/>
      <c r="KN59" s="238"/>
      <c r="KO59" s="238"/>
      <c r="KP59" s="238"/>
      <c r="KQ59" s="238"/>
      <c r="KR59" s="238"/>
      <c r="KS59" s="238"/>
      <c r="KT59" s="238"/>
      <c r="KU59" s="238"/>
      <c r="KV59" s="238"/>
      <c r="KW59" s="238"/>
      <c r="KX59" s="238"/>
      <c r="KY59" s="238"/>
      <c r="KZ59" s="238"/>
      <c r="LA59" s="238"/>
      <c r="LB59" s="238"/>
      <c r="LC59" s="238"/>
      <c r="LD59" s="238"/>
      <c r="LE59" s="238"/>
      <c r="LF59" s="238"/>
      <c r="LG59" s="238"/>
      <c r="LH59" s="238"/>
      <c r="LI59" s="238"/>
      <c r="LJ59" s="238"/>
      <c r="LK59" s="238"/>
      <c r="LL59" s="238"/>
      <c r="LM59" s="238"/>
      <c r="LN59" s="238"/>
      <c r="LO59" s="238"/>
      <c r="LP59" s="238"/>
      <c r="LQ59" s="238"/>
      <c r="LR59" s="238"/>
      <c r="LS59" s="238"/>
      <c r="LT59" s="238"/>
      <c r="LU59" s="238"/>
      <c r="LV59" s="238"/>
      <c r="LW59" s="238"/>
      <c r="LX59" s="238"/>
      <c r="LY59" s="238"/>
      <c r="LZ59" s="238"/>
      <c r="MA59" s="238"/>
      <c r="MB59" s="238"/>
      <c r="MC59" s="238"/>
      <c r="MD59" s="238"/>
      <c r="ME59" s="238"/>
      <c r="MF59" s="238"/>
      <c r="MG59" s="238"/>
      <c r="MH59" s="238"/>
      <c r="MI59" s="238"/>
      <c r="MJ59" s="238"/>
      <c r="MK59" s="238"/>
      <c r="ML59" s="238"/>
    </row>
    <row r="60" ht="18.75" customHeight="1">
      <c r="A60" s="283"/>
      <c r="B60" s="234" t="str">
        <f>'Building Bill of Materials_SLIM'!P60</f>
        <v/>
      </c>
      <c r="C60" s="234" t="str">
        <f>'Building Bill of Materials_SLIM'!Q60</f>
        <v/>
      </c>
      <c r="D60" s="234" t="str">
        <f>'Building Bill of Materials_SLIM'!R60</f>
        <v/>
      </c>
      <c r="E60" s="234" t="str">
        <f>'Building Bill of Materials_SLIM'!S60</f>
        <v/>
      </c>
      <c r="F60" s="234"/>
      <c r="G60" s="234"/>
      <c r="H60" s="234"/>
      <c r="I60" s="234"/>
      <c r="J60" s="234" t="str">
        <f>'Building Bill of Materials_SLIM'!V60</f>
        <v/>
      </c>
      <c r="K60" s="238"/>
      <c r="L60" s="238"/>
      <c r="M60" s="238"/>
      <c r="N60" s="238"/>
      <c r="O60" s="238"/>
      <c r="P60" s="238"/>
      <c r="Q60" s="238"/>
      <c r="R60" s="238"/>
      <c r="S60" s="238"/>
      <c r="T60" s="238"/>
      <c r="U60" s="238"/>
      <c r="V60" s="238"/>
      <c r="W60" s="238"/>
      <c r="X60" s="238"/>
      <c r="Y60" s="238"/>
      <c r="Z60" s="238"/>
      <c r="AA60" s="192"/>
      <c r="AB60" s="257"/>
      <c r="AC60" s="257"/>
      <c r="AD60" s="257"/>
      <c r="AE60" s="257"/>
      <c r="AF60" s="257"/>
      <c r="AG60" s="257"/>
      <c r="AH60" s="257"/>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57"/>
      <c r="CF60" s="257"/>
      <c r="CG60" s="238"/>
      <c r="CH60" s="238"/>
      <c r="CI60" s="238"/>
      <c r="CJ60" s="238"/>
      <c r="CK60" s="238"/>
      <c r="CL60" s="238"/>
      <c r="CM60" s="238"/>
      <c r="CN60" s="238"/>
      <c r="CO60" s="238"/>
      <c r="CP60" s="238"/>
      <c r="CQ60" s="238"/>
      <c r="CR60" s="238"/>
      <c r="CS60" s="238"/>
      <c r="CT60" s="238"/>
      <c r="CU60" s="238"/>
      <c r="CV60" s="238"/>
      <c r="CW60" s="238"/>
      <c r="CX60" s="238"/>
      <c r="CY60" s="238"/>
      <c r="CZ60" s="238"/>
      <c r="DA60" s="238"/>
      <c r="DB60" s="238"/>
      <c r="DC60" s="238"/>
      <c r="DD60" s="238"/>
      <c r="DE60" s="238"/>
      <c r="DF60" s="238"/>
      <c r="DG60" s="257"/>
      <c r="DH60" s="238"/>
      <c r="DI60" s="238"/>
      <c r="DJ60" s="238"/>
      <c r="DK60" s="238"/>
      <c r="DL60" s="238"/>
      <c r="DM60" s="238"/>
      <c r="DN60" s="238"/>
      <c r="DO60" s="238"/>
      <c r="DP60" s="238"/>
      <c r="DQ60" s="238"/>
      <c r="DR60" s="238"/>
      <c r="DS60" s="238"/>
      <c r="DT60" s="238"/>
      <c r="DU60" s="238"/>
      <c r="DV60" s="238"/>
      <c r="DW60" s="238"/>
      <c r="DX60" s="238"/>
      <c r="DY60" s="238"/>
      <c r="DZ60" s="238"/>
      <c r="EA60" s="238"/>
      <c r="EB60" s="238"/>
      <c r="EC60" s="238"/>
      <c r="ED60" s="238"/>
      <c r="EE60" s="238"/>
      <c r="EF60" s="238"/>
      <c r="EG60" s="238"/>
      <c r="EH60" s="238"/>
      <c r="EI60" s="238"/>
      <c r="EJ60" s="238"/>
      <c r="EK60" s="238"/>
      <c r="EL60" s="238"/>
      <c r="EM60" s="238"/>
      <c r="EN60" s="238"/>
      <c r="EO60" s="238"/>
      <c r="EP60" s="238"/>
      <c r="EQ60" s="238"/>
      <c r="ER60" s="238"/>
      <c r="ES60" s="238"/>
      <c r="ET60" s="238"/>
      <c r="EU60" s="238"/>
      <c r="EV60" s="238"/>
      <c r="EW60" s="238"/>
      <c r="EX60" s="238"/>
      <c r="EY60" s="238"/>
      <c r="EZ60" s="238"/>
      <c r="FA60" s="238"/>
      <c r="FB60" s="238"/>
      <c r="FC60" s="238"/>
      <c r="FD60" s="238"/>
      <c r="FE60" s="238"/>
      <c r="FF60" s="238"/>
      <c r="FG60" s="238"/>
      <c r="FH60" s="257"/>
      <c r="FI60" s="257"/>
      <c r="FJ60" s="257"/>
      <c r="FK60" s="257"/>
      <c r="FL60" s="257"/>
      <c r="FM60" s="257"/>
      <c r="FN60" s="257"/>
      <c r="FO60" s="257"/>
      <c r="FP60" s="257"/>
      <c r="FQ60" s="257"/>
      <c r="FR60" s="257"/>
      <c r="FS60" s="257"/>
      <c r="FT60" s="257"/>
      <c r="FU60" s="257"/>
      <c r="FV60" s="257"/>
      <c r="FW60" s="257"/>
      <c r="FX60" s="257"/>
      <c r="FY60" s="238"/>
      <c r="FZ60" s="238"/>
      <c r="GA60" s="238"/>
      <c r="GB60" s="238"/>
      <c r="GC60" s="238"/>
      <c r="GD60" s="238"/>
      <c r="GE60" s="238"/>
      <c r="GF60" s="238"/>
      <c r="GG60" s="238"/>
      <c r="GH60" s="238"/>
      <c r="GI60" s="238"/>
      <c r="GJ60" s="238"/>
      <c r="GK60" s="238"/>
      <c r="GL60" s="238"/>
      <c r="GM60" s="238"/>
      <c r="GN60" s="238"/>
      <c r="GO60" s="238"/>
      <c r="GP60" s="238"/>
      <c r="GQ60" s="238"/>
      <c r="GR60" s="238"/>
      <c r="GS60" s="238"/>
      <c r="GT60" s="238"/>
      <c r="GU60" s="238"/>
      <c r="GV60" s="238"/>
      <c r="GW60" s="238"/>
      <c r="GX60" s="238"/>
      <c r="GY60" s="238"/>
      <c r="GZ60" s="238"/>
      <c r="HA60" s="238"/>
      <c r="HB60" s="238"/>
      <c r="HC60" s="238"/>
      <c r="HD60" s="238"/>
      <c r="HE60" s="238"/>
      <c r="HF60" s="238"/>
      <c r="HG60" s="238"/>
      <c r="HH60" s="238"/>
      <c r="HI60" s="238"/>
      <c r="HJ60" s="238"/>
      <c r="HK60" s="238"/>
      <c r="HL60" s="238"/>
      <c r="HM60" s="238"/>
      <c r="HN60" s="238"/>
      <c r="HO60" s="238"/>
      <c r="HP60" s="238"/>
      <c r="HQ60" s="238"/>
      <c r="HR60" s="238"/>
      <c r="HS60" s="238"/>
      <c r="HT60" s="238"/>
      <c r="HU60" s="238"/>
      <c r="HV60" s="238"/>
      <c r="HW60" s="238"/>
      <c r="HX60" s="257"/>
      <c r="HY60" s="257"/>
      <c r="HZ60" s="257"/>
      <c r="IA60" s="257"/>
      <c r="IB60" s="257"/>
      <c r="IC60" s="257"/>
      <c r="ID60" s="257"/>
      <c r="IE60" s="257"/>
      <c r="IF60" s="257"/>
      <c r="IG60" s="257"/>
      <c r="IH60" s="257"/>
      <c r="II60" s="257"/>
      <c r="IJ60" s="257"/>
      <c r="IK60" s="257"/>
      <c r="IL60" s="257"/>
      <c r="IM60" s="257"/>
      <c r="IN60" s="257"/>
      <c r="IO60" s="257"/>
      <c r="IP60" s="257"/>
      <c r="IQ60" s="257"/>
      <c r="IR60" s="257"/>
      <c r="IS60" s="257"/>
      <c r="IT60" s="257"/>
      <c r="IU60" s="257"/>
      <c r="IV60" s="257"/>
      <c r="IW60" s="257"/>
      <c r="IX60" s="257"/>
      <c r="IY60" s="257"/>
      <c r="IZ60" s="257"/>
      <c r="JA60" s="257"/>
      <c r="JB60" s="257"/>
      <c r="JC60" s="257"/>
      <c r="JD60" s="257"/>
      <c r="JE60" s="257"/>
      <c r="JF60" s="238"/>
      <c r="JG60" s="238"/>
      <c r="JH60" s="238"/>
      <c r="JI60" s="238"/>
      <c r="JJ60" s="238"/>
      <c r="JK60" s="238"/>
      <c r="JL60" s="238"/>
      <c r="JM60" s="238"/>
      <c r="JN60" s="238"/>
      <c r="JO60" s="238"/>
      <c r="JP60" s="238"/>
      <c r="JQ60" s="238"/>
      <c r="JR60" s="238"/>
      <c r="JS60" s="238"/>
      <c r="JT60" s="238"/>
      <c r="JU60" s="238"/>
      <c r="JV60" s="238"/>
      <c r="JW60" s="238"/>
      <c r="JX60" s="238"/>
      <c r="JY60" s="238"/>
      <c r="JZ60" s="238"/>
      <c r="KA60" s="238"/>
      <c r="KB60" s="238"/>
      <c r="KC60" s="238"/>
      <c r="KD60" s="238"/>
      <c r="KE60" s="238"/>
      <c r="KF60" s="238"/>
      <c r="KG60" s="238"/>
      <c r="KH60" s="238"/>
      <c r="KI60" s="238"/>
      <c r="KJ60" s="238"/>
      <c r="KK60" s="238"/>
      <c r="KL60" s="238"/>
      <c r="KM60" s="238"/>
      <c r="KN60" s="238"/>
      <c r="KO60" s="238"/>
      <c r="KP60" s="238"/>
      <c r="KQ60" s="238"/>
      <c r="KR60" s="238"/>
      <c r="KS60" s="238"/>
      <c r="KT60" s="238"/>
      <c r="KU60" s="238"/>
      <c r="KV60" s="238"/>
      <c r="KW60" s="238"/>
      <c r="KX60" s="238"/>
      <c r="KY60" s="238"/>
      <c r="KZ60" s="238"/>
      <c r="LA60" s="238"/>
      <c r="LB60" s="238"/>
      <c r="LC60" s="238"/>
      <c r="LD60" s="238"/>
      <c r="LE60" s="238"/>
      <c r="LF60" s="238"/>
      <c r="LG60" s="238"/>
      <c r="LH60" s="238"/>
      <c r="LI60" s="238"/>
      <c r="LJ60" s="238"/>
      <c r="LK60" s="238"/>
      <c r="LL60" s="238"/>
      <c r="LM60" s="238"/>
      <c r="LN60" s="238"/>
      <c r="LO60" s="238"/>
      <c r="LP60" s="238"/>
      <c r="LQ60" s="238"/>
      <c r="LR60" s="238"/>
      <c r="LS60" s="238"/>
      <c r="LT60" s="238"/>
      <c r="LU60" s="238"/>
      <c r="LV60" s="238"/>
      <c r="LW60" s="238"/>
      <c r="LX60" s="238"/>
      <c r="LY60" s="238"/>
      <c r="LZ60" s="238"/>
      <c r="MA60" s="238"/>
      <c r="MB60" s="238"/>
      <c r="MC60" s="238"/>
      <c r="MD60" s="238"/>
      <c r="ME60" s="238"/>
      <c r="MF60" s="238"/>
      <c r="MG60" s="238"/>
      <c r="MH60" s="238"/>
      <c r="MI60" s="238"/>
      <c r="MJ60" s="238"/>
      <c r="MK60" s="238"/>
      <c r="ML60" s="238"/>
    </row>
    <row r="61" ht="18.75" customHeight="1">
      <c r="A61" s="283"/>
      <c r="B61" s="234" t="str">
        <f>'Building Bill of Materials_SLIM'!P61</f>
        <v/>
      </c>
      <c r="C61" s="234" t="str">
        <f>'Building Bill of Materials_SLIM'!Q61</f>
        <v/>
      </c>
      <c r="D61" s="234" t="str">
        <f>'Building Bill of Materials_SLIM'!R61</f>
        <v/>
      </c>
      <c r="E61" s="234" t="str">
        <f>'Building Bill of Materials_SLIM'!S61</f>
        <v/>
      </c>
      <c r="F61" s="234"/>
      <c r="G61" s="234"/>
      <c r="H61" s="234"/>
      <c r="I61" s="234"/>
      <c r="J61" s="234" t="str">
        <f>'Building Bill of Materials_SLIM'!V61</f>
        <v/>
      </c>
      <c r="K61" s="238"/>
      <c r="L61" s="238"/>
      <c r="M61" s="238"/>
      <c r="N61" s="238"/>
      <c r="O61" s="238"/>
      <c r="P61" s="238"/>
      <c r="Q61" s="238"/>
      <c r="R61" s="238"/>
      <c r="S61" s="238"/>
      <c r="T61" s="238"/>
      <c r="U61" s="238"/>
      <c r="V61" s="238"/>
      <c r="W61" s="238"/>
      <c r="X61" s="238"/>
      <c r="Y61" s="238"/>
      <c r="Z61" s="238"/>
      <c r="AA61" s="192"/>
      <c r="AB61" s="257"/>
      <c r="AC61" s="257"/>
      <c r="AD61" s="257"/>
      <c r="AE61" s="257"/>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38"/>
      <c r="BK61" s="238"/>
      <c r="BL61" s="238"/>
      <c r="BM61" s="238"/>
      <c r="BN61" s="238"/>
      <c r="BO61" s="238"/>
      <c r="BP61" s="238"/>
      <c r="BQ61" s="238"/>
      <c r="BR61" s="238"/>
      <c r="BS61" s="238"/>
      <c r="BT61" s="238"/>
      <c r="BU61" s="238"/>
      <c r="BV61" s="238"/>
      <c r="BW61" s="238"/>
      <c r="BX61" s="238"/>
      <c r="BY61" s="238"/>
      <c r="BZ61" s="238"/>
      <c r="CA61" s="238"/>
      <c r="CB61" s="238"/>
      <c r="CC61" s="238"/>
      <c r="CD61" s="238"/>
      <c r="CE61" s="257"/>
      <c r="CF61" s="257"/>
      <c r="CG61" s="238"/>
      <c r="CH61" s="238"/>
      <c r="CI61" s="238"/>
      <c r="CJ61" s="238"/>
      <c r="CK61" s="238"/>
      <c r="CL61" s="238"/>
      <c r="CM61" s="238"/>
      <c r="CN61" s="238"/>
      <c r="CO61" s="238"/>
      <c r="CP61" s="238"/>
      <c r="CQ61" s="238"/>
      <c r="CR61" s="238"/>
      <c r="CS61" s="238"/>
      <c r="CT61" s="238"/>
      <c r="CU61" s="238"/>
      <c r="CV61" s="238"/>
      <c r="CW61" s="238"/>
      <c r="CX61" s="238"/>
      <c r="CY61" s="238"/>
      <c r="CZ61" s="238"/>
      <c r="DA61" s="238"/>
      <c r="DB61" s="238"/>
      <c r="DC61" s="238"/>
      <c r="DD61" s="238"/>
      <c r="DE61" s="238"/>
      <c r="DF61" s="238"/>
      <c r="DG61" s="257"/>
      <c r="DH61" s="238"/>
      <c r="DI61" s="238"/>
      <c r="DJ61" s="238"/>
      <c r="DK61" s="238"/>
      <c r="DL61" s="238"/>
      <c r="DM61" s="238"/>
      <c r="DN61" s="238"/>
      <c r="DO61" s="238"/>
      <c r="DP61" s="238"/>
      <c r="DQ61" s="238"/>
      <c r="DR61" s="238"/>
      <c r="DS61" s="238"/>
      <c r="DT61" s="238"/>
      <c r="DU61" s="238"/>
      <c r="DV61" s="238"/>
      <c r="DW61" s="238"/>
      <c r="DX61" s="238"/>
      <c r="DY61" s="238"/>
      <c r="DZ61" s="238"/>
      <c r="EA61" s="238"/>
      <c r="EB61" s="238"/>
      <c r="EC61" s="238"/>
      <c r="ED61" s="238"/>
      <c r="EE61" s="238"/>
      <c r="EF61" s="238"/>
      <c r="EG61" s="238"/>
      <c r="EH61" s="238"/>
      <c r="EI61" s="238"/>
      <c r="EJ61" s="238"/>
      <c r="EK61" s="238"/>
      <c r="EL61" s="238"/>
      <c r="EM61" s="238"/>
      <c r="EN61" s="238"/>
      <c r="EO61" s="238"/>
      <c r="EP61" s="238"/>
      <c r="EQ61" s="238"/>
      <c r="ER61" s="238"/>
      <c r="ES61" s="238"/>
      <c r="ET61" s="238"/>
      <c r="EU61" s="238"/>
      <c r="EV61" s="238"/>
      <c r="EW61" s="238"/>
      <c r="EX61" s="238"/>
      <c r="EY61" s="238"/>
      <c r="EZ61" s="238"/>
      <c r="FA61" s="238"/>
      <c r="FB61" s="238"/>
      <c r="FC61" s="238"/>
      <c r="FD61" s="238"/>
      <c r="FE61" s="238"/>
      <c r="FF61" s="238"/>
      <c r="FG61" s="238"/>
      <c r="FH61" s="257"/>
      <c r="FI61" s="257"/>
      <c r="FJ61" s="257"/>
      <c r="FK61" s="257"/>
      <c r="FL61" s="257"/>
      <c r="FM61" s="257"/>
      <c r="FN61" s="257"/>
      <c r="FO61" s="257"/>
      <c r="FP61" s="257"/>
      <c r="FQ61" s="257"/>
      <c r="FR61" s="257"/>
      <c r="FS61" s="257"/>
      <c r="FT61" s="257"/>
      <c r="FU61" s="257"/>
      <c r="FV61" s="257"/>
      <c r="FW61" s="257"/>
      <c r="FX61" s="257"/>
      <c r="FY61" s="238"/>
      <c r="FZ61" s="238"/>
      <c r="GA61" s="238"/>
      <c r="GB61" s="238"/>
      <c r="GC61" s="238"/>
      <c r="GD61" s="238"/>
      <c r="GE61" s="238"/>
      <c r="GF61" s="238"/>
      <c r="GG61" s="238"/>
      <c r="GH61" s="238"/>
      <c r="GI61" s="238"/>
      <c r="GJ61" s="238"/>
      <c r="GK61" s="238"/>
      <c r="GL61" s="238"/>
      <c r="GM61" s="238"/>
      <c r="GN61" s="238"/>
      <c r="GO61" s="238"/>
      <c r="GP61" s="238"/>
      <c r="GQ61" s="238"/>
      <c r="GR61" s="238"/>
      <c r="GS61" s="238"/>
      <c r="GT61" s="238"/>
      <c r="GU61" s="238"/>
      <c r="GV61" s="238"/>
      <c r="GW61" s="238"/>
      <c r="GX61" s="238"/>
      <c r="GY61" s="238"/>
      <c r="GZ61" s="238"/>
      <c r="HA61" s="238"/>
      <c r="HB61" s="238"/>
      <c r="HC61" s="238"/>
      <c r="HD61" s="238"/>
      <c r="HE61" s="238"/>
      <c r="HF61" s="238"/>
      <c r="HG61" s="238"/>
      <c r="HH61" s="238"/>
      <c r="HI61" s="238"/>
      <c r="HJ61" s="238"/>
      <c r="HK61" s="238"/>
      <c r="HL61" s="238"/>
      <c r="HM61" s="238"/>
      <c r="HN61" s="238"/>
      <c r="HO61" s="238"/>
      <c r="HP61" s="238"/>
      <c r="HQ61" s="238"/>
      <c r="HR61" s="238"/>
      <c r="HS61" s="238"/>
      <c r="HT61" s="238"/>
      <c r="HU61" s="238"/>
      <c r="HV61" s="238"/>
      <c r="HW61" s="238"/>
      <c r="HX61" s="257"/>
      <c r="HY61" s="257"/>
      <c r="HZ61" s="257"/>
      <c r="IA61" s="257"/>
      <c r="IB61" s="257"/>
      <c r="IC61" s="257"/>
      <c r="ID61" s="257"/>
      <c r="IE61" s="257"/>
      <c r="IF61" s="257"/>
      <c r="IG61" s="257"/>
      <c r="IH61" s="257"/>
      <c r="II61" s="257"/>
      <c r="IJ61" s="257"/>
      <c r="IK61" s="257"/>
      <c r="IL61" s="257"/>
      <c r="IM61" s="257"/>
      <c r="IN61" s="257"/>
      <c r="IO61" s="257"/>
      <c r="IP61" s="257"/>
      <c r="IQ61" s="257"/>
      <c r="IR61" s="257"/>
      <c r="IS61" s="257"/>
      <c r="IT61" s="257"/>
      <c r="IU61" s="257"/>
      <c r="IV61" s="257"/>
      <c r="IW61" s="257"/>
      <c r="IX61" s="257"/>
      <c r="IY61" s="257"/>
      <c r="IZ61" s="257"/>
      <c r="JA61" s="257"/>
      <c r="JB61" s="257"/>
      <c r="JC61" s="257"/>
      <c r="JD61" s="257"/>
      <c r="JE61" s="257"/>
      <c r="JF61" s="238"/>
      <c r="JG61" s="238"/>
      <c r="JH61" s="238"/>
      <c r="JI61" s="238"/>
      <c r="JJ61" s="238"/>
      <c r="JK61" s="238"/>
      <c r="JL61" s="238"/>
      <c r="JM61" s="238"/>
      <c r="JN61" s="238"/>
      <c r="JO61" s="238"/>
      <c r="JP61" s="238"/>
      <c r="JQ61" s="238"/>
      <c r="JR61" s="238"/>
      <c r="JS61" s="238"/>
      <c r="JT61" s="238"/>
      <c r="JU61" s="238"/>
      <c r="JV61" s="238"/>
      <c r="JW61" s="238"/>
      <c r="JX61" s="238"/>
      <c r="JY61" s="238"/>
      <c r="JZ61" s="238"/>
      <c r="KA61" s="238"/>
      <c r="KB61" s="238"/>
      <c r="KC61" s="238"/>
      <c r="KD61" s="238"/>
      <c r="KE61" s="238"/>
      <c r="KF61" s="238"/>
      <c r="KG61" s="238"/>
      <c r="KH61" s="238"/>
      <c r="KI61" s="238"/>
      <c r="KJ61" s="238"/>
      <c r="KK61" s="238"/>
      <c r="KL61" s="238"/>
      <c r="KM61" s="238"/>
      <c r="KN61" s="238"/>
      <c r="KO61" s="238"/>
      <c r="KP61" s="238"/>
      <c r="KQ61" s="238"/>
      <c r="KR61" s="238"/>
      <c r="KS61" s="238"/>
      <c r="KT61" s="238"/>
      <c r="KU61" s="238"/>
      <c r="KV61" s="238"/>
      <c r="KW61" s="238"/>
      <c r="KX61" s="238"/>
      <c r="KY61" s="238"/>
      <c r="KZ61" s="238"/>
      <c r="LA61" s="238"/>
      <c r="LB61" s="238"/>
      <c r="LC61" s="238"/>
      <c r="LD61" s="238"/>
      <c r="LE61" s="238"/>
      <c r="LF61" s="238"/>
      <c r="LG61" s="238"/>
      <c r="LH61" s="238"/>
      <c r="LI61" s="238"/>
      <c r="LJ61" s="238"/>
      <c r="LK61" s="238"/>
      <c r="LL61" s="238"/>
      <c r="LM61" s="238"/>
      <c r="LN61" s="238"/>
      <c r="LO61" s="238"/>
      <c r="LP61" s="238"/>
      <c r="LQ61" s="238"/>
      <c r="LR61" s="238"/>
      <c r="LS61" s="238"/>
      <c r="LT61" s="238"/>
      <c r="LU61" s="238"/>
      <c r="LV61" s="238"/>
      <c r="LW61" s="238"/>
      <c r="LX61" s="238"/>
      <c r="LY61" s="238"/>
      <c r="LZ61" s="238"/>
      <c r="MA61" s="238"/>
      <c r="MB61" s="238"/>
      <c r="MC61" s="238"/>
      <c r="MD61" s="238"/>
      <c r="ME61" s="238"/>
      <c r="MF61" s="238"/>
      <c r="MG61" s="238"/>
      <c r="MH61" s="238"/>
      <c r="MI61" s="238"/>
      <c r="MJ61" s="238"/>
      <c r="MK61" s="238"/>
      <c r="ML61" s="238"/>
    </row>
    <row r="62" ht="18.75" customHeight="1">
      <c r="A62" s="283"/>
      <c r="B62" s="234" t="str">
        <f>'Building Bill of Materials_SLIM'!P62</f>
        <v/>
      </c>
      <c r="C62" s="234" t="str">
        <f>'Building Bill of Materials_SLIM'!Q62</f>
        <v/>
      </c>
      <c r="D62" s="234" t="str">
        <f>'Building Bill of Materials_SLIM'!R62</f>
        <v/>
      </c>
      <c r="E62" s="234" t="str">
        <f>'Building Bill of Materials_SLIM'!S62</f>
        <v/>
      </c>
      <c r="F62" s="234"/>
      <c r="G62" s="234"/>
      <c r="H62" s="234"/>
      <c r="I62" s="234"/>
      <c r="J62" s="234" t="str">
        <f>'Building Bill of Materials_SLIM'!V62</f>
        <v/>
      </c>
      <c r="K62" s="238"/>
      <c r="L62" s="238"/>
      <c r="M62" s="238"/>
      <c r="N62" s="238"/>
      <c r="O62" s="238"/>
      <c r="P62" s="238"/>
      <c r="Q62" s="238"/>
      <c r="R62" s="238"/>
      <c r="S62" s="238"/>
      <c r="T62" s="238"/>
      <c r="U62" s="238"/>
      <c r="V62" s="238"/>
      <c r="W62" s="238"/>
      <c r="X62" s="238"/>
      <c r="Y62" s="238"/>
      <c r="Z62" s="238"/>
      <c r="AA62" s="192"/>
      <c r="AB62" s="257"/>
      <c r="AC62" s="257"/>
      <c r="AD62" s="257"/>
      <c r="AE62" s="257"/>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57"/>
      <c r="CF62" s="257"/>
      <c r="CG62" s="238"/>
      <c r="CH62" s="238"/>
      <c r="CI62" s="238"/>
      <c r="CJ62" s="238"/>
      <c r="CK62" s="238"/>
      <c r="CL62" s="238"/>
      <c r="CM62" s="238"/>
      <c r="CN62" s="238"/>
      <c r="CO62" s="238"/>
      <c r="CP62" s="238"/>
      <c r="CQ62" s="238"/>
      <c r="CR62" s="238"/>
      <c r="CS62" s="238"/>
      <c r="CT62" s="238"/>
      <c r="CU62" s="238"/>
      <c r="CV62" s="238"/>
      <c r="CW62" s="238"/>
      <c r="CX62" s="238"/>
      <c r="CY62" s="238"/>
      <c r="CZ62" s="238"/>
      <c r="DA62" s="238"/>
      <c r="DB62" s="238"/>
      <c r="DC62" s="238"/>
      <c r="DD62" s="238"/>
      <c r="DE62" s="238"/>
      <c r="DF62" s="238"/>
      <c r="DG62" s="257"/>
      <c r="DH62" s="238"/>
      <c r="DI62" s="238"/>
      <c r="DJ62" s="238"/>
      <c r="DK62" s="238"/>
      <c r="DL62" s="238"/>
      <c r="DM62" s="238"/>
      <c r="DN62" s="238"/>
      <c r="DO62" s="238"/>
      <c r="DP62" s="238"/>
      <c r="DQ62" s="238"/>
      <c r="DR62" s="238"/>
      <c r="DS62" s="238"/>
      <c r="DT62" s="238"/>
      <c r="DU62" s="238"/>
      <c r="DV62" s="238"/>
      <c r="DW62" s="238"/>
      <c r="DX62" s="238"/>
      <c r="DY62" s="238"/>
      <c r="DZ62" s="238"/>
      <c r="EA62" s="238"/>
      <c r="EB62" s="238"/>
      <c r="EC62" s="238"/>
      <c r="ED62" s="238"/>
      <c r="EE62" s="238"/>
      <c r="EF62" s="238"/>
      <c r="EG62" s="238"/>
      <c r="EH62" s="238"/>
      <c r="EI62" s="238"/>
      <c r="EJ62" s="238"/>
      <c r="EK62" s="238"/>
      <c r="EL62" s="238"/>
      <c r="EM62" s="238"/>
      <c r="EN62" s="238"/>
      <c r="EO62" s="238"/>
      <c r="EP62" s="238"/>
      <c r="EQ62" s="238"/>
      <c r="ER62" s="238"/>
      <c r="ES62" s="238"/>
      <c r="ET62" s="238"/>
      <c r="EU62" s="238"/>
      <c r="EV62" s="238"/>
      <c r="EW62" s="238"/>
      <c r="EX62" s="238"/>
      <c r="EY62" s="238"/>
      <c r="EZ62" s="238"/>
      <c r="FA62" s="238"/>
      <c r="FB62" s="238"/>
      <c r="FC62" s="238"/>
      <c r="FD62" s="238"/>
      <c r="FE62" s="238"/>
      <c r="FF62" s="238"/>
      <c r="FG62" s="238"/>
      <c r="FH62" s="257"/>
      <c r="FI62" s="257"/>
      <c r="FJ62" s="257"/>
      <c r="FK62" s="257"/>
      <c r="FL62" s="257"/>
      <c r="FM62" s="257"/>
      <c r="FN62" s="257"/>
      <c r="FO62" s="257"/>
      <c r="FP62" s="257"/>
      <c r="FQ62" s="257"/>
      <c r="FR62" s="257"/>
      <c r="FS62" s="257"/>
      <c r="FT62" s="257"/>
      <c r="FU62" s="257"/>
      <c r="FV62" s="257"/>
      <c r="FW62" s="257"/>
      <c r="FX62" s="257"/>
      <c r="FY62" s="238"/>
      <c r="FZ62" s="238"/>
      <c r="GA62" s="238"/>
      <c r="GB62" s="238"/>
      <c r="GC62" s="238"/>
      <c r="GD62" s="238"/>
      <c r="GE62" s="238"/>
      <c r="GF62" s="238"/>
      <c r="GG62" s="238"/>
      <c r="GH62" s="238"/>
      <c r="GI62" s="238"/>
      <c r="GJ62" s="238"/>
      <c r="GK62" s="238"/>
      <c r="GL62" s="238"/>
      <c r="GM62" s="238"/>
      <c r="GN62" s="238"/>
      <c r="GO62" s="238"/>
      <c r="GP62" s="238"/>
      <c r="GQ62" s="238"/>
      <c r="GR62" s="238"/>
      <c r="GS62" s="238"/>
      <c r="GT62" s="238"/>
      <c r="GU62" s="238"/>
      <c r="GV62" s="238"/>
      <c r="GW62" s="238"/>
      <c r="GX62" s="238"/>
      <c r="GY62" s="238"/>
      <c r="GZ62" s="238"/>
      <c r="HA62" s="238"/>
      <c r="HB62" s="238"/>
      <c r="HC62" s="238"/>
      <c r="HD62" s="238"/>
      <c r="HE62" s="238"/>
      <c r="HF62" s="238"/>
      <c r="HG62" s="238"/>
      <c r="HH62" s="238"/>
      <c r="HI62" s="238"/>
      <c r="HJ62" s="238"/>
      <c r="HK62" s="238"/>
      <c r="HL62" s="238"/>
      <c r="HM62" s="238"/>
      <c r="HN62" s="238"/>
      <c r="HO62" s="238"/>
      <c r="HP62" s="238"/>
      <c r="HQ62" s="238"/>
      <c r="HR62" s="238"/>
      <c r="HS62" s="238"/>
      <c r="HT62" s="238"/>
      <c r="HU62" s="238"/>
      <c r="HV62" s="238"/>
      <c r="HW62" s="238"/>
      <c r="HX62" s="257"/>
      <c r="HY62" s="257"/>
      <c r="HZ62" s="257"/>
      <c r="IA62" s="257"/>
      <c r="IB62" s="257"/>
      <c r="IC62" s="257"/>
      <c r="ID62" s="257"/>
      <c r="IE62" s="257"/>
      <c r="IF62" s="257"/>
      <c r="IG62" s="257"/>
      <c r="IH62" s="257"/>
      <c r="II62" s="257"/>
      <c r="IJ62" s="257"/>
      <c r="IK62" s="257"/>
      <c r="IL62" s="257"/>
      <c r="IM62" s="257"/>
      <c r="IN62" s="257"/>
      <c r="IO62" s="257"/>
      <c r="IP62" s="257"/>
      <c r="IQ62" s="257"/>
      <c r="IR62" s="257"/>
      <c r="IS62" s="257"/>
      <c r="IT62" s="257"/>
      <c r="IU62" s="257"/>
      <c r="IV62" s="257"/>
      <c r="IW62" s="257"/>
      <c r="IX62" s="257"/>
      <c r="IY62" s="257"/>
      <c r="IZ62" s="257"/>
      <c r="JA62" s="257"/>
      <c r="JB62" s="257"/>
      <c r="JC62" s="257"/>
      <c r="JD62" s="257"/>
      <c r="JE62" s="257"/>
      <c r="JF62" s="238"/>
      <c r="JG62" s="238"/>
      <c r="JH62" s="238"/>
      <c r="JI62" s="238"/>
      <c r="JJ62" s="238"/>
      <c r="JK62" s="238"/>
      <c r="JL62" s="238"/>
      <c r="JM62" s="238"/>
      <c r="JN62" s="238"/>
      <c r="JO62" s="238"/>
      <c r="JP62" s="238"/>
      <c r="JQ62" s="238"/>
      <c r="JR62" s="238"/>
      <c r="JS62" s="238"/>
      <c r="JT62" s="238"/>
      <c r="JU62" s="238"/>
      <c r="JV62" s="238"/>
      <c r="JW62" s="238"/>
      <c r="JX62" s="238"/>
      <c r="JY62" s="238"/>
      <c r="JZ62" s="238"/>
      <c r="KA62" s="238"/>
      <c r="KB62" s="238"/>
      <c r="KC62" s="238"/>
      <c r="KD62" s="238"/>
      <c r="KE62" s="238"/>
      <c r="KF62" s="238"/>
      <c r="KG62" s="238"/>
      <c r="KH62" s="238"/>
      <c r="KI62" s="238"/>
      <c r="KJ62" s="238"/>
      <c r="KK62" s="238"/>
      <c r="KL62" s="238"/>
      <c r="KM62" s="238"/>
      <c r="KN62" s="238"/>
      <c r="KO62" s="238"/>
      <c r="KP62" s="238"/>
      <c r="KQ62" s="238"/>
      <c r="KR62" s="238"/>
      <c r="KS62" s="238"/>
      <c r="KT62" s="238"/>
      <c r="KU62" s="238"/>
      <c r="KV62" s="238"/>
      <c r="KW62" s="238"/>
      <c r="KX62" s="238"/>
      <c r="KY62" s="238"/>
      <c r="KZ62" s="238"/>
      <c r="LA62" s="238"/>
      <c r="LB62" s="238"/>
      <c r="LC62" s="238"/>
      <c r="LD62" s="238"/>
      <c r="LE62" s="238"/>
      <c r="LF62" s="238"/>
      <c r="LG62" s="238"/>
      <c r="LH62" s="238"/>
      <c r="LI62" s="238"/>
      <c r="LJ62" s="238"/>
      <c r="LK62" s="238"/>
      <c r="LL62" s="238"/>
      <c r="LM62" s="238"/>
      <c r="LN62" s="238"/>
      <c r="LO62" s="238"/>
      <c r="LP62" s="238"/>
      <c r="LQ62" s="238"/>
      <c r="LR62" s="238"/>
      <c r="LS62" s="238"/>
      <c r="LT62" s="238"/>
      <c r="LU62" s="238"/>
      <c r="LV62" s="238"/>
      <c r="LW62" s="238"/>
      <c r="LX62" s="238"/>
      <c r="LY62" s="238"/>
      <c r="LZ62" s="238"/>
      <c r="MA62" s="238"/>
      <c r="MB62" s="238"/>
      <c r="MC62" s="238"/>
      <c r="MD62" s="238"/>
      <c r="ME62" s="238"/>
      <c r="MF62" s="238"/>
      <c r="MG62" s="238"/>
      <c r="MH62" s="238"/>
      <c r="MI62" s="238"/>
      <c r="MJ62" s="238"/>
      <c r="MK62" s="238"/>
      <c r="ML62" s="238"/>
    </row>
    <row r="63" ht="18.75" customHeight="1">
      <c r="A63" s="283"/>
      <c r="B63" s="234" t="str">
        <f>'Building Bill of Materials_SLIM'!P63</f>
        <v/>
      </c>
      <c r="C63" s="234" t="str">
        <f>'Building Bill of Materials_SLIM'!Q63</f>
        <v/>
      </c>
      <c r="D63" s="234" t="str">
        <f>'Building Bill of Materials_SLIM'!R63</f>
        <v/>
      </c>
      <c r="E63" s="234" t="str">
        <f>'Building Bill of Materials_SLIM'!S63</f>
        <v/>
      </c>
      <c r="F63" s="234"/>
      <c r="G63" s="234"/>
      <c r="H63" s="234"/>
      <c r="I63" s="234"/>
      <c r="J63" s="234" t="str">
        <f>'Building Bill of Materials_SLIM'!V63</f>
        <v/>
      </c>
      <c r="K63" s="238"/>
      <c r="L63" s="238"/>
      <c r="M63" s="238"/>
      <c r="N63" s="238"/>
      <c r="O63" s="238"/>
      <c r="P63" s="238"/>
      <c r="Q63" s="238"/>
      <c r="R63" s="238"/>
      <c r="S63" s="238"/>
      <c r="T63" s="238"/>
      <c r="U63" s="238"/>
      <c r="V63" s="238"/>
      <c r="W63" s="238"/>
      <c r="X63" s="238"/>
      <c r="Y63" s="238"/>
      <c r="Z63" s="238"/>
      <c r="AA63" s="192"/>
      <c r="AB63" s="257"/>
      <c r="AC63" s="257"/>
      <c r="AD63" s="257"/>
      <c r="AE63" s="257"/>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38"/>
      <c r="BK63" s="238"/>
      <c r="BL63" s="238"/>
      <c r="BM63" s="238"/>
      <c r="BN63" s="238"/>
      <c r="BO63" s="238"/>
      <c r="BP63" s="238"/>
      <c r="BQ63" s="238"/>
      <c r="BR63" s="238"/>
      <c r="BS63" s="238"/>
      <c r="BT63" s="238"/>
      <c r="BU63" s="238"/>
      <c r="BV63" s="238"/>
      <c r="BW63" s="238"/>
      <c r="BX63" s="238"/>
      <c r="BY63" s="238"/>
      <c r="BZ63" s="238"/>
      <c r="CA63" s="238"/>
      <c r="CB63" s="238"/>
      <c r="CC63" s="238"/>
      <c r="CD63" s="238"/>
      <c r="CE63" s="257"/>
      <c r="CF63" s="257"/>
      <c r="CG63" s="238"/>
      <c r="CH63" s="238"/>
      <c r="CI63" s="238"/>
      <c r="CJ63" s="238"/>
      <c r="CK63" s="238"/>
      <c r="CL63" s="238"/>
      <c r="CM63" s="238"/>
      <c r="CN63" s="238"/>
      <c r="CO63" s="238"/>
      <c r="CP63" s="238"/>
      <c r="CQ63" s="238"/>
      <c r="CR63" s="238"/>
      <c r="CS63" s="238"/>
      <c r="CT63" s="238"/>
      <c r="CU63" s="238"/>
      <c r="CV63" s="238"/>
      <c r="CW63" s="238"/>
      <c r="CX63" s="238"/>
      <c r="CY63" s="238"/>
      <c r="CZ63" s="238"/>
      <c r="DA63" s="238"/>
      <c r="DB63" s="238"/>
      <c r="DC63" s="238"/>
      <c r="DD63" s="238"/>
      <c r="DE63" s="238"/>
      <c r="DF63" s="238"/>
      <c r="DG63" s="257"/>
      <c r="DH63" s="238"/>
      <c r="DI63" s="238"/>
      <c r="DJ63" s="238"/>
      <c r="DK63" s="238"/>
      <c r="DL63" s="238"/>
      <c r="DM63" s="238"/>
      <c r="DN63" s="238"/>
      <c r="DO63" s="238"/>
      <c r="DP63" s="238"/>
      <c r="DQ63" s="238"/>
      <c r="DR63" s="238"/>
      <c r="DS63" s="238"/>
      <c r="DT63" s="238"/>
      <c r="DU63" s="238"/>
      <c r="DV63" s="238"/>
      <c r="DW63" s="238"/>
      <c r="DX63" s="238"/>
      <c r="DY63" s="238"/>
      <c r="DZ63" s="238"/>
      <c r="EA63" s="238"/>
      <c r="EB63" s="238"/>
      <c r="EC63" s="238"/>
      <c r="ED63" s="238"/>
      <c r="EE63" s="238"/>
      <c r="EF63" s="238"/>
      <c r="EG63" s="238"/>
      <c r="EH63" s="238"/>
      <c r="EI63" s="238"/>
      <c r="EJ63" s="238"/>
      <c r="EK63" s="238"/>
      <c r="EL63" s="238"/>
      <c r="EM63" s="238"/>
      <c r="EN63" s="238"/>
      <c r="EO63" s="238"/>
      <c r="EP63" s="238"/>
      <c r="EQ63" s="238"/>
      <c r="ER63" s="238"/>
      <c r="ES63" s="238"/>
      <c r="ET63" s="238"/>
      <c r="EU63" s="238"/>
      <c r="EV63" s="238"/>
      <c r="EW63" s="238"/>
      <c r="EX63" s="238"/>
      <c r="EY63" s="238"/>
      <c r="EZ63" s="238"/>
      <c r="FA63" s="238"/>
      <c r="FB63" s="238"/>
      <c r="FC63" s="238"/>
      <c r="FD63" s="238"/>
      <c r="FE63" s="238"/>
      <c r="FF63" s="238"/>
      <c r="FG63" s="238"/>
      <c r="FH63" s="257"/>
      <c r="FI63" s="257"/>
      <c r="FJ63" s="257"/>
      <c r="FK63" s="257"/>
      <c r="FL63" s="257"/>
      <c r="FM63" s="257"/>
      <c r="FN63" s="257"/>
      <c r="FO63" s="257"/>
      <c r="FP63" s="257"/>
      <c r="FQ63" s="257"/>
      <c r="FR63" s="257"/>
      <c r="FS63" s="257"/>
      <c r="FT63" s="257"/>
      <c r="FU63" s="257"/>
      <c r="FV63" s="257"/>
      <c r="FW63" s="257"/>
      <c r="FX63" s="257"/>
      <c r="FY63" s="238"/>
      <c r="FZ63" s="238"/>
      <c r="GA63" s="238"/>
      <c r="GB63" s="238"/>
      <c r="GC63" s="238"/>
      <c r="GD63" s="238"/>
      <c r="GE63" s="238"/>
      <c r="GF63" s="238"/>
      <c r="GG63" s="238"/>
      <c r="GH63" s="238"/>
      <c r="GI63" s="238"/>
      <c r="GJ63" s="238"/>
      <c r="GK63" s="238"/>
      <c r="GL63" s="238"/>
      <c r="GM63" s="238"/>
      <c r="GN63" s="238"/>
      <c r="GO63" s="238"/>
      <c r="GP63" s="238"/>
      <c r="GQ63" s="238"/>
      <c r="GR63" s="238"/>
      <c r="GS63" s="238"/>
      <c r="GT63" s="238"/>
      <c r="GU63" s="238"/>
      <c r="GV63" s="238"/>
      <c r="GW63" s="238"/>
      <c r="GX63" s="238"/>
      <c r="GY63" s="238"/>
      <c r="GZ63" s="238"/>
      <c r="HA63" s="238"/>
      <c r="HB63" s="238"/>
      <c r="HC63" s="238"/>
      <c r="HD63" s="238"/>
      <c r="HE63" s="238"/>
      <c r="HF63" s="238"/>
      <c r="HG63" s="238"/>
      <c r="HH63" s="238"/>
      <c r="HI63" s="238"/>
      <c r="HJ63" s="238"/>
      <c r="HK63" s="238"/>
      <c r="HL63" s="238"/>
      <c r="HM63" s="238"/>
      <c r="HN63" s="238"/>
      <c r="HO63" s="238"/>
      <c r="HP63" s="238"/>
      <c r="HQ63" s="238"/>
      <c r="HR63" s="238"/>
      <c r="HS63" s="238"/>
      <c r="HT63" s="238"/>
      <c r="HU63" s="238"/>
      <c r="HV63" s="238"/>
      <c r="HW63" s="238"/>
      <c r="HX63" s="257"/>
      <c r="HY63" s="257"/>
      <c r="HZ63" s="257"/>
      <c r="IA63" s="257"/>
      <c r="IB63" s="257"/>
      <c r="IC63" s="257"/>
      <c r="ID63" s="257"/>
      <c r="IE63" s="257"/>
      <c r="IF63" s="257"/>
      <c r="IG63" s="257"/>
      <c r="IH63" s="257"/>
      <c r="II63" s="257"/>
      <c r="IJ63" s="257"/>
      <c r="IK63" s="257"/>
      <c r="IL63" s="257"/>
      <c r="IM63" s="257"/>
      <c r="IN63" s="257"/>
      <c r="IO63" s="257"/>
      <c r="IP63" s="257"/>
      <c r="IQ63" s="257"/>
      <c r="IR63" s="257"/>
      <c r="IS63" s="257"/>
      <c r="IT63" s="257"/>
      <c r="IU63" s="257"/>
      <c r="IV63" s="257"/>
      <c r="IW63" s="257"/>
      <c r="IX63" s="257"/>
      <c r="IY63" s="257"/>
      <c r="IZ63" s="257"/>
      <c r="JA63" s="257"/>
      <c r="JB63" s="257"/>
      <c r="JC63" s="257"/>
      <c r="JD63" s="257"/>
      <c r="JE63" s="257"/>
      <c r="JF63" s="238"/>
      <c r="JG63" s="238"/>
      <c r="JH63" s="238"/>
      <c r="JI63" s="238"/>
      <c r="JJ63" s="238"/>
      <c r="JK63" s="238"/>
      <c r="JL63" s="238"/>
      <c r="JM63" s="238"/>
      <c r="JN63" s="238"/>
      <c r="JO63" s="238"/>
      <c r="JP63" s="238"/>
      <c r="JQ63" s="238"/>
      <c r="JR63" s="238"/>
      <c r="JS63" s="238"/>
      <c r="JT63" s="238"/>
      <c r="JU63" s="238"/>
      <c r="JV63" s="238"/>
      <c r="JW63" s="238"/>
      <c r="JX63" s="238"/>
      <c r="JY63" s="238"/>
      <c r="JZ63" s="238"/>
      <c r="KA63" s="238"/>
      <c r="KB63" s="238"/>
      <c r="KC63" s="238"/>
      <c r="KD63" s="238"/>
      <c r="KE63" s="238"/>
      <c r="KF63" s="238"/>
      <c r="KG63" s="238"/>
      <c r="KH63" s="238"/>
      <c r="KI63" s="238"/>
      <c r="KJ63" s="238"/>
      <c r="KK63" s="238"/>
      <c r="KL63" s="238"/>
      <c r="KM63" s="238"/>
      <c r="KN63" s="238"/>
      <c r="KO63" s="238"/>
      <c r="KP63" s="238"/>
      <c r="KQ63" s="238"/>
      <c r="KR63" s="238"/>
      <c r="KS63" s="238"/>
      <c r="KT63" s="238"/>
      <c r="KU63" s="238"/>
      <c r="KV63" s="238"/>
      <c r="KW63" s="238"/>
      <c r="KX63" s="238"/>
      <c r="KY63" s="238"/>
      <c r="KZ63" s="238"/>
      <c r="LA63" s="238"/>
      <c r="LB63" s="238"/>
      <c r="LC63" s="238"/>
      <c r="LD63" s="238"/>
      <c r="LE63" s="238"/>
      <c r="LF63" s="238"/>
      <c r="LG63" s="238"/>
      <c r="LH63" s="238"/>
      <c r="LI63" s="238"/>
      <c r="LJ63" s="238"/>
      <c r="LK63" s="238"/>
      <c r="LL63" s="238"/>
      <c r="LM63" s="238"/>
      <c r="LN63" s="238"/>
      <c r="LO63" s="238"/>
      <c r="LP63" s="238"/>
      <c r="LQ63" s="238"/>
      <c r="LR63" s="238"/>
      <c r="LS63" s="238"/>
      <c r="LT63" s="238"/>
      <c r="LU63" s="238"/>
      <c r="LV63" s="238"/>
      <c r="LW63" s="238"/>
      <c r="LX63" s="238"/>
      <c r="LY63" s="238"/>
      <c r="LZ63" s="238"/>
      <c r="MA63" s="238"/>
      <c r="MB63" s="238"/>
      <c r="MC63" s="238"/>
      <c r="MD63" s="238"/>
      <c r="ME63" s="238"/>
      <c r="MF63" s="238"/>
      <c r="MG63" s="238"/>
      <c r="MH63" s="238"/>
      <c r="MI63" s="238"/>
      <c r="MJ63" s="238"/>
      <c r="MK63" s="238"/>
      <c r="ML63" s="238"/>
    </row>
    <row r="64" ht="18.75" customHeight="1">
      <c r="A64" s="283"/>
      <c r="B64" s="234" t="str">
        <f>'Building Bill of Materials_SLIM'!P64</f>
        <v/>
      </c>
      <c r="C64" s="234" t="str">
        <f>'Building Bill of Materials_SLIM'!Q64</f>
        <v/>
      </c>
      <c r="D64" s="234" t="str">
        <f>'Building Bill of Materials_SLIM'!R64</f>
        <v/>
      </c>
      <c r="E64" s="234" t="str">
        <f>'Building Bill of Materials_SLIM'!S64</f>
        <v/>
      </c>
      <c r="F64" s="234"/>
      <c r="G64" s="234"/>
      <c r="H64" s="234"/>
      <c r="I64" s="234"/>
      <c r="J64" s="234" t="str">
        <f>'Building Bill of Materials_SLIM'!V64</f>
        <v/>
      </c>
      <c r="K64" s="238"/>
      <c r="L64" s="238"/>
      <c r="M64" s="238"/>
      <c r="N64" s="238"/>
      <c r="O64" s="238"/>
      <c r="P64" s="238"/>
      <c r="Q64" s="238"/>
      <c r="R64" s="238"/>
      <c r="S64" s="238"/>
      <c r="T64" s="238"/>
      <c r="U64" s="238"/>
      <c r="V64" s="238"/>
      <c r="W64" s="238"/>
      <c r="X64" s="238"/>
      <c r="Y64" s="238"/>
      <c r="Z64" s="238"/>
      <c r="AA64" s="192"/>
      <c r="AB64" s="257"/>
      <c r="AC64" s="257"/>
      <c r="AD64" s="257"/>
      <c r="AE64" s="257"/>
      <c r="AF64" s="257"/>
      <c r="AG64" s="257"/>
      <c r="AH64" s="257"/>
      <c r="AI64" s="257"/>
      <c r="AJ64" s="257"/>
      <c r="AK64" s="257"/>
      <c r="AL64" s="257"/>
      <c r="AM64" s="257"/>
      <c r="AN64" s="257"/>
      <c r="AO64" s="257"/>
      <c r="AP64" s="257"/>
      <c r="AQ64" s="257"/>
      <c r="AR64" s="257"/>
      <c r="AS64" s="257"/>
      <c r="AT64" s="257"/>
      <c r="AU64" s="257"/>
      <c r="AV64" s="257"/>
      <c r="AW64" s="257"/>
      <c r="AX64" s="257"/>
      <c r="AY64" s="257"/>
      <c r="AZ64" s="257"/>
      <c r="BA64" s="257"/>
      <c r="BB64" s="257"/>
      <c r="BC64" s="257"/>
      <c r="BD64" s="257"/>
      <c r="BE64" s="257"/>
      <c r="BF64" s="257"/>
      <c r="BG64" s="257"/>
      <c r="BH64" s="257"/>
      <c r="BI64" s="257"/>
      <c r="BJ64" s="238"/>
      <c r="BK64" s="238"/>
      <c r="BL64" s="238"/>
      <c r="BM64" s="238"/>
      <c r="BN64" s="238"/>
      <c r="BO64" s="238"/>
      <c r="BP64" s="238"/>
      <c r="BQ64" s="238"/>
      <c r="BR64" s="238"/>
      <c r="BS64" s="238"/>
      <c r="BT64" s="238"/>
      <c r="BU64" s="238"/>
      <c r="BV64" s="238"/>
      <c r="BW64" s="238"/>
      <c r="BX64" s="238"/>
      <c r="BY64" s="238"/>
      <c r="BZ64" s="238"/>
      <c r="CA64" s="238"/>
      <c r="CB64" s="238"/>
      <c r="CC64" s="238"/>
      <c r="CD64" s="238"/>
      <c r="CE64" s="257"/>
      <c r="CF64" s="257"/>
      <c r="CG64" s="238"/>
      <c r="CH64" s="238"/>
      <c r="CI64" s="238"/>
      <c r="CJ64" s="238"/>
      <c r="CK64" s="238"/>
      <c r="CL64" s="238"/>
      <c r="CM64" s="238"/>
      <c r="CN64" s="238"/>
      <c r="CO64" s="238"/>
      <c r="CP64" s="238"/>
      <c r="CQ64" s="238"/>
      <c r="CR64" s="238"/>
      <c r="CS64" s="238"/>
      <c r="CT64" s="238"/>
      <c r="CU64" s="238"/>
      <c r="CV64" s="238"/>
      <c r="CW64" s="238"/>
      <c r="CX64" s="238"/>
      <c r="CY64" s="238"/>
      <c r="CZ64" s="238"/>
      <c r="DA64" s="238"/>
      <c r="DB64" s="238"/>
      <c r="DC64" s="238"/>
      <c r="DD64" s="238"/>
      <c r="DE64" s="238"/>
      <c r="DF64" s="238"/>
      <c r="DG64" s="257"/>
      <c r="DH64" s="238"/>
      <c r="DI64" s="238"/>
      <c r="DJ64" s="238"/>
      <c r="DK64" s="238"/>
      <c r="DL64" s="238"/>
      <c r="DM64" s="238"/>
      <c r="DN64" s="238"/>
      <c r="DO64" s="238"/>
      <c r="DP64" s="238"/>
      <c r="DQ64" s="238"/>
      <c r="DR64" s="238"/>
      <c r="DS64" s="238"/>
      <c r="DT64" s="238"/>
      <c r="DU64" s="238"/>
      <c r="DV64" s="238"/>
      <c r="DW64" s="238"/>
      <c r="DX64" s="238"/>
      <c r="DY64" s="238"/>
      <c r="DZ64" s="238"/>
      <c r="EA64" s="238"/>
      <c r="EB64" s="238"/>
      <c r="EC64" s="238"/>
      <c r="ED64" s="238"/>
      <c r="EE64" s="238"/>
      <c r="EF64" s="238"/>
      <c r="EG64" s="238"/>
      <c r="EH64" s="238"/>
      <c r="EI64" s="238"/>
      <c r="EJ64" s="238"/>
      <c r="EK64" s="238"/>
      <c r="EL64" s="238"/>
      <c r="EM64" s="238"/>
      <c r="EN64" s="238"/>
      <c r="EO64" s="238"/>
      <c r="EP64" s="238"/>
      <c r="EQ64" s="238"/>
      <c r="ER64" s="238"/>
      <c r="ES64" s="238"/>
      <c r="ET64" s="238"/>
      <c r="EU64" s="238"/>
      <c r="EV64" s="238"/>
      <c r="EW64" s="238"/>
      <c r="EX64" s="238"/>
      <c r="EY64" s="238"/>
      <c r="EZ64" s="238"/>
      <c r="FA64" s="238"/>
      <c r="FB64" s="238"/>
      <c r="FC64" s="238"/>
      <c r="FD64" s="238"/>
      <c r="FE64" s="238"/>
      <c r="FF64" s="238"/>
      <c r="FG64" s="238"/>
      <c r="FH64" s="257"/>
      <c r="FI64" s="257"/>
      <c r="FJ64" s="257"/>
      <c r="FK64" s="257"/>
      <c r="FL64" s="257"/>
      <c r="FM64" s="257"/>
      <c r="FN64" s="257"/>
      <c r="FO64" s="257"/>
      <c r="FP64" s="257"/>
      <c r="FQ64" s="257"/>
      <c r="FR64" s="257"/>
      <c r="FS64" s="257"/>
      <c r="FT64" s="257"/>
      <c r="FU64" s="257"/>
      <c r="FV64" s="257"/>
      <c r="FW64" s="257"/>
      <c r="FX64" s="257"/>
      <c r="FY64" s="238"/>
      <c r="FZ64" s="238"/>
      <c r="GA64" s="238"/>
      <c r="GB64" s="238"/>
      <c r="GC64" s="238"/>
      <c r="GD64" s="238"/>
      <c r="GE64" s="238"/>
      <c r="GF64" s="238"/>
      <c r="GG64" s="238"/>
      <c r="GH64" s="238"/>
      <c r="GI64" s="238"/>
      <c r="GJ64" s="238"/>
      <c r="GK64" s="238"/>
      <c r="GL64" s="238"/>
      <c r="GM64" s="238"/>
      <c r="GN64" s="238"/>
      <c r="GO64" s="238"/>
      <c r="GP64" s="238"/>
      <c r="GQ64" s="238"/>
      <c r="GR64" s="238"/>
      <c r="GS64" s="238"/>
      <c r="GT64" s="238"/>
      <c r="GU64" s="238"/>
      <c r="GV64" s="238"/>
      <c r="GW64" s="238"/>
      <c r="GX64" s="238"/>
      <c r="GY64" s="238"/>
      <c r="GZ64" s="238"/>
      <c r="HA64" s="238"/>
      <c r="HB64" s="238"/>
      <c r="HC64" s="238"/>
      <c r="HD64" s="238"/>
      <c r="HE64" s="238"/>
      <c r="HF64" s="238"/>
      <c r="HG64" s="238"/>
      <c r="HH64" s="238"/>
      <c r="HI64" s="238"/>
      <c r="HJ64" s="238"/>
      <c r="HK64" s="238"/>
      <c r="HL64" s="238"/>
      <c r="HM64" s="238"/>
      <c r="HN64" s="238"/>
      <c r="HO64" s="238"/>
      <c r="HP64" s="238"/>
      <c r="HQ64" s="238"/>
      <c r="HR64" s="238"/>
      <c r="HS64" s="238"/>
      <c r="HT64" s="238"/>
      <c r="HU64" s="238"/>
      <c r="HV64" s="238"/>
      <c r="HW64" s="238"/>
      <c r="HX64" s="257"/>
      <c r="HY64" s="257"/>
      <c r="HZ64" s="257"/>
      <c r="IA64" s="257"/>
      <c r="IB64" s="257"/>
      <c r="IC64" s="257"/>
      <c r="ID64" s="257"/>
      <c r="IE64" s="257"/>
      <c r="IF64" s="257"/>
      <c r="IG64" s="257"/>
      <c r="IH64" s="257"/>
      <c r="II64" s="257"/>
      <c r="IJ64" s="257"/>
      <c r="IK64" s="257"/>
      <c r="IL64" s="257"/>
      <c r="IM64" s="257"/>
      <c r="IN64" s="257"/>
      <c r="IO64" s="257"/>
      <c r="IP64" s="257"/>
      <c r="IQ64" s="257"/>
      <c r="IR64" s="257"/>
      <c r="IS64" s="257"/>
      <c r="IT64" s="257"/>
      <c r="IU64" s="257"/>
      <c r="IV64" s="257"/>
      <c r="IW64" s="257"/>
      <c r="IX64" s="257"/>
      <c r="IY64" s="257"/>
      <c r="IZ64" s="257"/>
      <c r="JA64" s="257"/>
      <c r="JB64" s="257"/>
      <c r="JC64" s="257"/>
      <c r="JD64" s="257"/>
      <c r="JE64" s="257"/>
      <c r="JF64" s="238"/>
      <c r="JG64" s="238"/>
      <c r="JH64" s="238"/>
      <c r="JI64" s="238"/>
      <c r="JJ64" s="238"/>
      <c r="JK64" s="238"/>
      <c r="JL64" s="238"/>
      <c r="JM64" s="238"/>
      <c r="JN64" s="238"/>
      <c r="JO64" s="238"/>
      <c r="JP64" s="238"/>
      <c r="JQ64" s="238"/>
      <c r="JR64" s="238"/>
      <c r="JS64" s="238"/>
      <c r="JT64" s="238"/>
      <c r="JU64" s="238"/>
      <c r="JV64" s="238"/>
      <c r="JW64" s="238"/>
      <c r="JX64" s="238"/>
      <c r="JY64" s="238"/>
      <c r="JZ64" s="238"/>
      <c r="KA64" s="238"/>
      <c r="KB64" s="238"/>
      <c r="KC64" s="238"/>
      <c r="KD64" s="238"/>
      <c r="KE64" s="238"/>
      <c r="KF64" s="238"/>
      <c r="KG64" s="238"/>
      <c r="KH64" s="238"/>
      <c r="KI64" s="238"/>
      <c r="KJ64" s="238"/>
      <c r="KK64" s="238"/>
      <c r="KL64" s="238"/>
      <c r="KM64" s="238"/>
      <c r="KN64" s="238"/>
      <c r="KO64" s="238"/>
      <c r="KP64" s="238"/>
      <c r="KQ64" s="238"/>
      <c r="KR64" s="238"/>
      <c r="KS64" s="238"/>
      <c r="KT64" s="238"/>
      <c r="KU64" s="238"/>
      <c r="KV64" s="238"/>
      <c r="KW64" s="238"/>
      <c r="KX64" s="238"/>
      <c r="KY64" s="238"/>
      <c r="KZ64" s="238"/>
      <c r="LA64" s="238"/>
      <c r="LB64" s="238"/>
      <c r="LC64" s="238"/>
      <c r="LD64" s="238"/>
      <c r="LE64" s="238"/>
      <c r="LF64" s="238"/>
      <c r="LG64" s="238"/>
      <c r="LH64" s="238"/>
      <c r="LI64" s="238"/>
      <c r="LJ64" s="238"/>
      <c r="LK64" s="238"/>
      <c r="LL64" s="238"/>
      <c r="LM64" s="238"/>
      <c r="LN64" s="238"/>
      <c r="LO64" s="238"/>
      <c r="LP64" s="238"/>
      <c r="LQ64" s="238"/>
      <c r="LR64" s="238"/>
      <c r="LS64" s="238"/>
      <c r="LT64" s="238"/>
      <c r="LU64" s="238"/>
      <c r="LV64" s="238"/>
      <c r="LW64" s="238"/>
      <c r="LX64" s="238"/>
      <c r="LY64" s="238"/>
      <c r="LZ64" s="238"/>
      <c r="MA64" s="238"/>
      <c r="MB64" s="238"/>
      <c r="MC64" s="238"/>
      <c r="MD64" s="238"/>
      <c r="ME64" s="238"/>
      <c r="MF64" s="238"/>
      <c r="MG64" s="238"/>
      <c r="MH64" s="238"/>
      <c r="MI64" s="238"/>
      <c r="MJ64" s="238"/>
      <c r="MK64" s="238"/>
      <c r="ML64" s="238"/>
    </row>
    <row r="65" ht="18.75" customHeight="1">
      <c r="A65" s="283"/>
      <c r="B65" s="234" t="str">
        <f>'Building Bill of Materials_SLIM'!P65</f>
        <v/>
      </c>
      <c r="C65" s="234" t="str">
        <f>'Building Bill of Materials_SLIM'!Q65</f>
        <v/>
      </c>
      <c r="D65" s="234" t="str">
        <f>'Building Bill of Materials_SLIM'!R65</f>
        <v/>
      </c>
      <c r="E65" s="234" t="str">
        <f>'Building Bill of Materials_SLIM'!S65</f>
        <v/>
      </c>
      <c r="F65" s="234"/>
      <c r="G65" s="234"/>
      <c r="H65" s="234"/>
      <c r="I65" s="234"/>
      <c r="J65" s="234" t="str">
        <f>'Building Bill of Materials_SLIM'!V65</f>
        <v/>
      </c>
      <c r="K65" s="238"/>
      <c r="L65" s="238"/>
      <c r="M65" s="238"/>
      <c r="N65" s="238"/>
      <c r="O65" s="238"/>
      <c r="P65" s="238"/>
      <c r="Q65" s="238"/>
      <c r="R65" s="238"/>
      <c r="S65" s="238"/>
      <c r="T65" s="238"/>
      <c r="U65" s="238"/>
      <c r="V65" s="238"/>
      <c r="W65" s="238"/>
      <c r="X65" s="238"/>
      <c r="Y65" s="238"/>
      <c r="Z65" s="238"/>
      <c r="AA65" s="192"/>
      <c r="AB65" s="257"/>
      <c r="AC65" s="257"/>
      <c r="AD65" s="257"/>
      <c r="AE65" s="257"/>
      <c r="AF65" s="257"/>
      <c r="AG65" s="257"/>
      <c r="AH65" s="257"/>
      <c r="AI65" s="257"/>
      <c r="AJ65" s="257"/>
      <c r="AK65" s="257"/>
      <c r="AL65" s="257"/>
      <c r="AM65" s="257"/>
      <c r="AN65" s="257"/>
      <c r="AO65" s="257"/>
      <c r="AP65" s="257"/>
      <c r="AQ65" s="257"/>
      <c r="AR65" s="257"/>
      <c r="AS65" s="257"/>
      <c r="AT65" s="257"/>
      <c r="AU65" s="257"/>
      <c r="AV65" s="257"/>
      <c r="AW65" s="257"/>
      <c r="AX65" s="257"/>
      <c r="AY65" s="257"/>
      <c r="AZ65" s="257"/>
      <c r="BA65" s="257"/>
      <c r="BB65" s="257"/>
      <c r="BC65" s="257"/>
      <c r="BD65" s="257"/>
      <c r="BE65" s="257"/>
      <c r="BF65" s="257"/>
      <c r="BG65" s="257"/>
      <c r="BH65" s="257"/>
      <c r="BI65" s="257"/>
      <c r="BJ65" s="238"/>
      <c r="BK65" s="238"/>
      <c r="BL65" s="238"/>
      <c r="BM65" s="238"/>
      <c r="BN65" s="238"/>
      <c r="BO65" s="238"/>
      <c r="BP65" s="238"/>
      <c r="BQ65" s="238"/>
      <c r="BR65" s="238"/>
      <c r="BS65" s="238"/>
      <c r="BT65" s="238"/>
      <c r="BU65" s="238"/>
      <c r="BV65" s="238"/>
      <c r="BW65" s="238"/>
      <c r="BX65" s="238"/>
      <c r="BY65" s="238"/>
      <c r="BZ65" s="238"/>
      <c r="CA65" s="238"/>
      <c r="CB65" s="238"/>
      <c r="CC65" s="238"/>
      <c r="CD65" s="238"/>
      <c r="CE65" s="257"/>
      <c r="CF65" s="257"/>
      <c r="CG65" s="238"/>
      <c r="CH65" s="238"/>
      <c r="CI65" s="238"/>
      <c r="CJ65" s="238"/>
      <c r="CK65" s="238"/>
      <c r="CL65" s="238"/>
      <c r="CM65" s="238"/>
      <c r="CN65" s="238"/>
      <c r="CO65" s="238"/>
      <c r="CP65" s="238"/>
      <c r="CQ65" s="238"/>
      <c r="CR65" s="238"/>
      <c r="CS65" s="238"/>
      <c r="CT65" s="238"/>
      <c r="CU65" s="238"/>
      <c r="CV65" s="238"/>
      <c r="CW65" s="238"/>
      <c r="CX65" s="238"/>
      <c r="CY65" s="238"/>
      <c r="CZ65" s="238"/>
      <c r="DA65" s="238"/>
      <c r="DB65" s="238"/>
      <c r="DC65" s="238"/>
      <c r="DD65" s="238"/>
      <c r="DE65" s="238"/>
      <c r="DF65" s="238"/>
      <c r="DG65" s="257"/>
      <c r="DH65" s="238"/>
      <c r="DI65" s="238"/>
      <c r="DJ65" s="238"/>
      <c r="DK65" s="238"/>
      <c r="DL65" s="238"/>
      <c r="DM65" s="238"/>
      <c r="DN65" s="238"/>
      <c r="DO65" s="238"/>
      <c r="DP65" s="238"/>
      <c r="DQ65" s="238"/>
      <c r="DR65" s="238"/>
      <c r="DS65" s="238"/>
      <c r="DT65" s="238"/>
      <c r="DU65" s="238"/>
      <c r="DV65" s="238"/>
      <c r="DW65" s="238"/>
      <c r="DX65" s="238"/>
      <c r="DY65" s="238"/>
      <c r="DZ65" s="238"/>
      <c r="EA65" s="238"/>
      <c r="EB65" s="238"/>
      <c r="EC65" s="238"/>
      <c r="ED65" s="238"/>
      <c r="EE65" s="238"/>
      <c r="EF65" s="238"/>
      <c r="EG65" s="238"/>
      <c r="EH65" s="238"/>
      <c r="EI65" s="238"/>
      <c r="EJ65" s="238"/>
      <c r="EK65" s="238"/>
      <c r="EL65" s="238"/>
      <c r="EM65" s="238"/>
      <c r="EN65" s="238"/>
      <c r="EO65" s="238"/>
      <c r="EP65" s="238"/>
      <c r="EQ65" s="238"/>
      <c r="ER65" s="238"/>
      <c r="ES65" s="238"/>
      <c r="ET65" s="238"/>
      <c r="EU65" s="238"/>
      <c r="EV65" s="238"/>
      <c r="EW65" s="238"/>
      <c r="EX65" s="238"/>
      <c r="EY65" s="238"/>
      <c r="EZ65" s="238"/>
      <c r="FA65" s="238"/>
      <c r="FB65" s="238"/>
      <c r="FC65" s="238"/>
      <c r="FD65" s="238"/>
      <c r="FE65" s="238"/>
      <c r="FF65" s="238"/>
      <c r="FG65" s="238"/>
      <c r="FH65" s="257"/>
      <c r="FI65" s="257"/>
      <c r="FJ65" s="257"/>
      <c r="FK65" s="257"/>
      <c r="FL65" s="257"/>
      <c r="FM65" s="257"/>
      <c r="FN65" s="257"/>
      <c r="FO65" s="257"/>
      <c r="FP65" s="257"/>
      <c r="FQ65" s="257"/>
      <c r="FR65" s="257"/>
      <c r="FS65" s="257"/>
      <c r="FT65" s="257"/>
      <c r="FU65" s="257"/>
      <c r="FV65" s="257"/>
      <c r="FW65" s="257"/>
      <c r="FX65" s="257"/>
      <c r="FY65" s="238"/>
      <c r="FZ65" s="238"/>
      <c r="GA65" s="238"/>
      <c r="GB65" s="238"/>
      <c r="GC65" s="238"/>
      <c r="GD65" s="238"/>
      <c r="GE65" s="238"/>
      <c r="GF65" s="238"/>
      <c r="GG65" s="238"/>
      <c r="GH65" s="238"/>
      <c r="GI65" s="238"/>
      <c r="GJ65" s="238"/>
      <c r="GK65" s="238"/>
      <c r="GL65" s="238"/>
      <c r="GM65" s="238"/>
      <c r="GN65" s="238"/>
      <c r="GO65" s="238"/>
      <c r="GP65" s="238"/>
      <c r="GQ65" s="238"/>
      <c r="GR65" s="238"/>
      <c r="GS65" s="238"/>
      <c r="GT65" s="238"/>
      <c r="GU65" s="238"/>
      <c r="GV65" s="238"/>
      <c r="GW65" s="238"/>
      <c r="GX65" s="238"/>
      <c r="GY65" s="238"/>
      <c r="GZ65" s="238"/>
      <c r="HA65" s="238"/>
      <c r="HB65" s="238"/>
      <c r="HC65" s="238"/>
      <c r="HD65" s="238"/>
      <c r="HE65" s="238"/>
      <c r="HF65" s="238"/>
      <c r="HG65" s="238"/>
      <c r="HH65" s="238"/>
      <c r="HI65" s="238"/>
      <c r="HJ65" s="238"/>
      <c r="HK65" s="238"/>
      <c r="HL65" s="238"/>
      <c r="HM65" s="238"/>
      <c r="HN65" s="238"/>
      <c r="HO65" s="238"/>
      <c r="HP65" s="238"/>
      <c r="HQ65" s="238"/>
      <c r="HR65" s="238"/>
      <c r="HS65" s="238"/>
      <c r="HT65" s="238"/>
      <c r="HU65" s="238"/>
      <c r="HV65" s="238"/>
      <c r="HW65" s="238"/>
      <c r="HX65" s="257"/>
      <c r="HY65" s="257"/>
      <c r="HZ65" s="257"/>
      <c r="IA65" s="257"/>
      <c r="IB65" s="257"/>
      <c r="IC65" s="257"/>
      <c r="ID65" s="257"/>
      <c r="IE65" s="257"/>
      <c r="IF65" s="257"/>
      <c r="IG65" s="257"/>
      <c r="IH65" s="257"/>
      <c r="II65" s="257"/>
      <c r="IJ65" s="257"/>
      <c r="IK65" s="257"/>
      <c r="IL65" s="257"/>
      <c r="IM65" s="257"/>
      <c r="IN65" s="257"/>
      <c r="IO65" s="257"/>
      <c r="IP65" s="257"/>
      <c r="IQ65" s="257"/>
      <c r="IR65" s="257"/>
      <c r="IS65" s="257"/>
      <c r="IT65" s="257"/>
      <c r="IU65" s="257"/>
      <c r="IV65" s="257"/>
      <c r="IW65" s="257"/>
      <c r="IX65" s="257"/>
      <c r="IY65" s="257"/>
      <c r="IZ65" s="257"/>
      <c r="JA65" s="257"/>
      <c r="JB65" s="257"/>
      <c r="JC65" s="257"/>
      <c r="JD65" s="257"/>
      <c r="JE65" s="257"/>
      <c r="JF65" s="238"/>
      <c r="JG65" s="238"/>
      <c r="JH65" s="238"/>
      <c r="JI65" s="238"/>
      <c r="JJ65" s="238"/>
      <c r="JK65" s="238"/>
      <c r="JL65" s="238"/>
      <c r="JM65" s="238"/>
      <c r="JN65" s="238"/>
      <c r="JO65" s="238"/>
      <c r="JP65" s="238"/>
      <c r="JQ65" s="238"/>
      <c r="JR65" s="238"/>
      <c r="JS65" s="238"/>
      <c r="JT65" s="238"/>
      <c r="JU65" s="238"/>
      <c r="JV65" s="238"/>
      <c r="JW65" s="238"/>
      <c r="JX65" s="238"/>
      <c r="JY65" s="238"/>
      <c r="JZ65" s="238"/>
      <c r="KA65" s="238"/>
      <c r="KB65" s="238"/>
      <c r="KC65" s="238"/>
      <c r="KD65" s="238"/>
      <c r="KE65" s="238"/>
      <c r="KF65" s="238"/>
      <c r="KG65" s="238"/>
      <c r="KH65" s="238"/>
      <c r="KI65" s="238"/>
      <c r="KJ65" s="238"/>
      <c r="KK65" s="238"/>
      <c r="KL65" s="238"/>
      <c r="KM65" s="238"/>
      <c r="KN65" s="238"/>
      <c r="KO65" s="238"/>
      <c r="KP65" s="238"/>
      <c r="KQ65" s="238"/>
      <c r="KR65" s="238"/>
      <c r="KS65" s="238"/>
      <c r="KT65" s="238"/>
      <c r="KU65" s="238"/>
      <c r="KV65" s="238"/>
      <c r="KW65" s="238"/>
      <c r="KX65" s="238"/>
      <c r="KY65" s="238"/>
      <c r="KZ65" s="238"/>
      <c r="LA65" s="238"/>
      <c r="LB65" s="238"/>
      <c r="LC65" s="238"/>
      <c r="LD65" s="238"/>
      <c r="LE65" s="238"/>
      <c r="LF65" s="238"/>
      <c r="LG65" s="238"/>
      <c r="LH65" s="238"/>
      <c r="LI65" s="238"/>
      <c r="LJ65" s="238"/>
      <c r="LK65" s="238"/>
      <c r="LL65" s="238"/>
      <c r="LM65" s="238"/>
      <c r="LN65" s="238"/>
      <c r="LO65" s="238"/>
      <c r="LP65" s="238"/>
      <c r="LQ65" s="238"/>
      <c r="LR65" s="238"/>
      <c r="LS65" s="238"/>
      <c r="LT65" s="238"/>
      <c r="LU65" s="238"/>
      <c r="LV65" s="238"/>
      <c r="LW65" s="238"/>
      <c r="LX65" s="238"/>
      <c r="LY65" s="238"/>
      <c r="LZ65" s="238"/>
      <c r="MA65" s="238"/>
      <c r="MB65" s="238"/>
      <c r="MC65" s="238"/>
      <c r="MD65" s="238"/>
      <c r="ME65" s="238"/>
      <c r="MF65" s="238"/>
      <c r="MG65" s="238"/>
      <c r="MH65" s="238"/>
      <c r="MI65" s="238"/>
      <c r="MJ65" s="238"/>
      <c r="MK65" s="238"/>
      <c r="ML65" s="238"/>
    </row>
    <row r="66" ht="18.75" customHeight="1">
      <c r="A66" s="283"/>
      <c r="B66" s="234" t="str">
        <f>'Building Bill of Materials_SLIM'!P66</f>
        <v/>
      </c>
      <c r="C66" s="234" t="str">
        <f>'Building Bill of Materials_SLIM'!Q66</f>
        <v/>
      </c>
      <c r="D66" s="234" t="str">
        <f>'Building Bill of Materials_SLIM'!R66</f>
        <v/>
      </c>
      <c r="E66" s="234" t="str">
        <f>'Building Bill of Materials_SLIM'!S66</f>
        <v/>
      </c>
      <c r="F66" s="234"/>
      <c r="G66" s="234"/>
      <c r="H66" s="234"/>
      <c r="I66" s="234"/>
      <c r="J66" s="234" t="str">
        <f>'Building Bill of Materials_SLIM'!V66</f>
        <v/>
      </c>
      <c r="K66" s="238"/>
      <c r="L66" s="238"/>
      <c r="M66" s="238"/>
      <c r="N66" s="238"/>
      <c r="O66" s="238"/>
      <c r="P66" s="238"/>
      <c r="Q66" s="238"/>
      <c r="R66" s="238"/>
      <c r="S66" s="238"/>
      <c r="T66" s="238"/>
      <c r="U66" s="238"/>
      <c r="V66" s="238"/>
      <c r="W66" s="238"/>
      <c r="X66" s="238"/>
      <c r="Y66" s="238"/>
      <c r="Z66" s="238"/>
      <c r="AA66" s="192"/>
      <c r="AB66" s="257"/>
      <c r="AC66" s="257"/>
      <c r="AD66" s="257"/>
      <c r="AE66" s="257"/>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38"/>
      <c r="BK66" s="238"/>
      <c r="BL66" s="238"/>
      <c r="BM66" s="238"/>
      <c r="BN66" s="238"/>
      <c r="BO66" s="238"/>
      <c r="BP66" s="238"/>
      <c r="BQ66" s="238"/>
      <c r="BR66" s="238"/>
      <c r="BS66" s="238"/>
      <c r="BT66" s="238"/>
      <c r="BU66" s="238"/>
      <c r="BV66" s="238"/>
      <c r="BW66" s="238"/>
      <c r="BX66" s="238"/>
      <c r="BY66" s="238"/>
      <c r="BZ66" s="238"/>
      <c r="CA66" s="238"/>
      <c r="CB66" s="238"/>
      <c r="CC66" s="238"/>
      <c r="CD66" s="238"/>
      <c r="CE66" s="257"/>
      <c r="CF66" s="257"/>
      <c r="CG66" s="238"/>
      <c r="CH66" s="238"/>
      <c r="CI66" s="238"/>
      <c r="CJ66" s="238"/>
      <c r="CK66" s="238"/>
      <c r="CL66" s="238"/>
      <c r="CM66" s="238"/>
      <c r="CN66" s="238"/>
      <c r="CO66" s="238"/>
      <c r="CP66" s="238"/>
      <c r="CQ66" s="238"/>
      <c r="CR66" s="238"/>
      <c r="CS66" s="238"/>
      <c r="CT66" s="238"/>
      <c r="CU66" s="238"/>
      <c r="CV66" s="238"/>
      <c r="CW66" s="238"/>
      <c r="CX66" s="238"/>
      <c r="CY66" s="238"/>
      <c r="CZ66" s="238"/>
      <c r="DA66" s="238"/>
      <c r="DB66" s="238"/>
      <c r="DC66" s="238"/>
      <c r="DD66" s="238"/>
      <c r="DE66" s="238"/>
      <c r="DF66" s="238"/>
      <c r="DG66" s="257"/>
      <c r="DH66" s="238"/>
      <c r="DI66" s="238"/>
      <c r="DJ66" s="238"/>
      <c r="DK66" s="238"/>
      <c r="DL66" s="238"/>
      <c r="DM66" s="238"/>
      <c r="DN66" s="238"/>
      <c r="DO66" s="238"/>
      <c r="DP66" s="238"/>
      <c r="DQ66" s="238"/>
      <c r="DR66" s="238"/>
      <c r="DS66" s="238"/>
      <c r="DT66" s="238"/>
      <c r="DU66" s="238"/>
      <c r="DV66" s="238"/>
      <c r="DW66" s="238"/>
      <c r="DX66" s="238"/>
      <c r="DY66" s="238"/>
      <c r="DZ66" s="238"/>
      <c r="EA66" s="238"/>
      <c r="EB66" s="238"/>
      <c r="EC66" s="238"/>
      <c r="ED66" s="238"/>
      <c r="EE66" s="238"/>
      <c r="EF66" s="238"/>
      <c r="EG66" s="238"/>
      <c r="EH66" s="238"/>
      <c r="EI66" s="238"/>
      <c r="EJ66" s="238"/>
      <c r="EK66" s="238"/>
      <c r="EL66" s="238"/>
      <c r="EM66" s="238"/>
      <c r="EN66" s="238"/>
      <c r="EO66" s="238"/>
      <c r="EP66" s="238"/>
      <c r="EQ66" s="238"/>
      <c r="ER66" s="238"/>
      <c r="ES66" s="238"/>
      <c r="ET66" s="238"/>
      <c r="EU66" s="238"/>
      <c r="EV66" s="238"/>
      <c r="EW66" s="238"/>
      <c r="EX66" s="238"/>
      <c r="EY66" s="238"/>
      <c r="EZ66" s="238"/>
      <c r="FA66" s="238"/>
      <c r="FB66" s="238"/>
      <c r="FC66" s="238"/>
      <c r="FD66" s="238"/>
      <c r="FE66" s="238"/>
      <c r="FF66" s="238"/>
      <c r="FG66" s="238"/>
      <c r="FH66" s="257"/>
      <c r="FI66" s="257"/>
      <c r="FJ66" s="257"/>
      <c r="FK66" s="257"/>
      <c r="FL66" s="257"/>
      <c r="FM66" s="257"/>
      <c r="FN66" s="257"/>
      <c r="FO66" s="257"/>
      <c r="FP66" s="257"/>
      <c r="FQ66" s="257"/>
      <c r="FR66" s="257"/>
      <c r="FS66" s="257"/>
      <c r="FT66" s="257"/>
      <c r="FU66" s="257"/>
      <c r="FV66" s="257"/>
      <c r="FW66" s="257"/>
      <c r="FX66" s="257"/>
      <c r="FY66" s="238"/>
      <c r="FZ66" s="238"/>
      <c r="GA66" s="238"/>
      <c r="GB66" s="238"/>
      <c r="GC66" s="238"/>
      <c r="GD66" s="238"/>
      <c r="GE66" s="238"/>
      <c r="GF66" s="238"/>
      <c r="GG66" s="238"/>
      <c r="GH66" s="238"/>
      <c r="GI66" s="238"/>
      <c r="GJ66" s="238"/>
      <c r="GK66" s="238"/>
      <c r="GL66" s="238"/>
      <c r="GM66" s="238"/>
      <c r="GN66" s="238"/>
      <c r="GO66" s="238"/>
      <c r="GP66" s="238"/>
      <c r="GQ66" s="238"/>
      <c r="GR66" s="238"/>
      <c r="GS66" s="238"/>
      <c r="GT66" s="238"/>
      <c r="GU66" s="238"/>
      <c r="GV66" s="238"/>
      <c r="GW66" s="238"/>
      <c r="GX66" s="238"/>
      <c r="GY66" s="238"/>
      <c r="GZ66" s="238"/>
      <c r="HA66" s="238"/>
      <c r="HB66" s="238"/>
      <c r="HC66" s="238"/>
      <c r="HD66" s="238"/>
      <c r="HE66" s="238"/>
      <c r="HF66" s="238"/>
      <c r="HG66" s="238"/>
      <c r="HH66" s="238"/>
      <c r="HI66" s="238"/>
      <c r="HJ66" s="238"/>
      <c r="HK66" s="238"/>
      <c r="HL66" s="238"/>
      <c r="HM66" s="238"/>
      <c r="HN66" s="238"/>
      <c r="HO66" s="238"/>
      <c r="HP66" s="238"/>
      <c r="HQ66" s="238"/>
      <c r="HR66" s="238"/>
      <c r="HS66" s="238"/>
      <c r="HT66" s="238"/>
      <c r="HU66" s="238"/>
      <c r="HV66" s="238"/>
      <c r="HW66" s="238"/>
      <c r="HX66" s="257"/>
      <c r="HY66" s="257"/>
      <c r="HZ66" s="257"/>
      <c r="IA66" s="257"/>
      <c r="IB66" s="257"/>
      <c r="IC66" s="257"/>
      <c r="ID66" s="257"/>
      <c r="IE66" s="257"/>
      <c r="IF66" s="257"/>
      <c r="IG66" s="257"/>
      <c r="IH66" s="257"/>
      <c r="II66" s="257"/>
      <c r="IJ66" s="257"/>
      <c r="IK66" s="257"/>
      <c r="IL66" s="257"/>
      <c r="IM66" s="257"/>
      <c r="IN66" s="257"/>
      <c r="IO66" s="257"/>
      <c r="IP66" s="257"/>
      <c r="IQ66" s="257"/>
      <c r="IR66" s="257"/>
      <c r="IS66" s="257"/>
      <c r="IT66" s="257"/>
      <c r="IU66" s="257"/>
      <c r="IV66" s="257"/>
      <c r="IW66" s="257"/>
      <c r="IX66" s="257"/>
      <c r="IY66" s="257"/>
      <c r="IZ66" s="257"/>
      <c r="JA66" s="257"/>
      <c r="JB66" s="257"/>
      <c r="JC66" s="257"/>
      <c r="JD66" s="257"/>
      <c r="JE66" s="257"/>
      <c r="JF66" s="238"/>
      <c r="JG66" s="238"/>
      <c r="JH66" s="238"/>
      <c r="JI66" s="238"/>
      <c r="JJ66" s="238"/>
      <c r="JK66" s="238"/>
      <c r="JL66" s="238"/>
      <c r="JM66" s="238"/>
      <c r="JN66" s="238"/>
      <c r="JO66" s="238"/>
      <c r="JP66" s="238"/>
      <c r="JQ66" s="238"/>
      <c r="JR66" s="238"/>
      <c r="JS66" s="238"/>
      <c r="JT66" s="238"/>
      <c r="JU66" s="238"/>
      <c r="JV66" s="238"/>
      <c r="JW66" s="238"/>
      <c r="JX66" s="238"/>
      <c r="JY66" s="238"/>
      <c r="JZ66" s="238"/>
      <c r="KA66" s="238"/>
      <c r="KB66" s="238"/>
      <c r="KC66" s="238"/>
      <c r="KD66" s="238"/>
      <c r="KE66" s="238"/>
      <c r="KF66" s="238"/>
      <c r="KG66" s="238"/>
      <c r="KH66" s="238"/>
      <c r="KI66" s="238"/>
      <c r="KJ66" s="238"/>
      <c r="KK66" s="238"/>
      <c r="KL66" s="238"/>
      <c r="KM66" s="238"/>
      <c r="KN66" s="238"/>
      <c r="KO66" s="238"/>
      <c r="KP66" s="238"/>
      <c r="KQ66" s="238"/>
      <c r="KR66" s="238"/>
      <c r="KS66" s="238"/>
      <c r="KT66" s="238"/>
      <c r="KU66" s="238"/>
      <c r="KV66" s="238"/>
      <c r="KW66" s="238"/>
      <c r="KX66" s="238"/>
      <c r="KY66" s="238"/>
      <c r="KZ66" s="238"/>
      <c r="LA66" s="238"/>
      <c r="LB66" s="238"/>
      <c r="LC66" s="238"/>
      <c r="LD66" s="238"/>
      <c r="LE66" s="238"/>
      <c r="LF66" s="238"/>
      <c r="LG66" s="238"/>
      <c r="LH66" s="238"/>
      <c r="LI66" s="238"/>
      <c r="LJ66" s="238"/>
      <c r="LK66" s="238"/>
      <c r="LL66" s="238"/>
      <c r="LM66" s="238"/>
      <c r="LN66" s="238"/>
      <c r="LO66" s="238"/>
      <c r="LP66" s="238"/>
      <c r="LQ66" s="238"/>
      <c r="LR66" s="238"/>
      <c r="LS66" s="238"/>
      <c r="LT66" s="238"/>
      <c r="LU66" s="238"/>
      <c r="LV66" s="238"/>
      <c r="LW66" s="238"/>
      <c r="LX66" s="238"/>
      <c r="LY66" s="238"/>
      <c r="LZ66" s="238"/>
      <c r="MA66" s="238"/>
      <c r="MB66" s="238"/>
      <c r="MC66" s="238"/>
      <c r="MD66" s="238"/>
      <c r="ME66" s="238"/>
      <c r="MF66" s="238"/>
      <c r="MG66" s="238"/>
      <c r="MH66" s="238"/>
      <c r="MI66" s="238"/>
      <c r="MJ66" s="238"/>
      <c r="MK66" s="238"/>
      <c r="ML66" s="238"/>
    </row>
    <row r="67" ht="18.75" customHeight="1">
      <c r="A67" s="283"/>
      <c r="B67" s="234" t="str">
        <f>'Building Bill of Materials_SLIM'!P67</f>
        <v/>
      </c>
      <c r="C67" s="234" t="str">
        <f>'Building Bill of Materials_SLIM'!Q67</f>
        <v/>
      </c>
      <c r="D67" s="234" t="str">
        <f>'Building Bill of Materials_SLIM'!R67</f>
        <v/>
      </c>
      <c r="E67" s="234" t="str">
        <f>'Building Bill of Materials_SLIM'!S67</f>
        <v/>
      </c>
      <c r="F67" s="234"/>
      <c r="G67" s="234"/>
      <c r="H67" s="234"/>
      <c r="I67" s="234"/>
      <c r="J67" s="234" t="str">
        <f>'Building Bill of Materials_SLIM'!V67</f>
        <v/>
      </c>
      <c r="K67" s="238"/>
      <c r="L67" s="238"/>
      <c r="M67" s="238"/>
      <c r="N67" s="238"/>
      <c r="O67" s="238"/>
      <c r="P67" s="238"/>
      <c r="Q67" s="238"/>
      <c r="R67" s="238"/>
      <c r="S67" s="238"/>
      <c r="T67" s="238"/>
      <c r="U67" s="238"/>
      <c r="V67" s="238"/>
      <c r="W67" s="238"/>
      <c r="X67" s="238"/>
      <c r="Y67" s="238"/>
      <c r="Z67" s="238"/>
      <c r="AA67" s="192"/>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38"/>
      <c r="BK67" s="238"/>
      <c r="BL67" s="238"/>
      <c r="BM67" s="238"/>
      <c r="BN67" s="238"/>
      <c r="BO67" s="238"/>
      <c r="BP67" s="238"/>
      <c r="BQ67" s="238"/>
      <c r="BR67" s="238"/>
      <c r="BS67" s="238"/>
      <c r="BT67" s="238"/>
      <c r="BU67" s="238"/>
      <c r="BV67" s="238"/>
      <c r="BW67" s="238"/>
      <c r="BX67" s="238"/>
      <c r="BY67" s="238"/>
      <c r="BZ67" s="238"/>
      <c r="CA67" s="238"/>
      <c r="CB67" s="238"/>
      <c r="CC67" s="238"/>
      <c r="CD67" s="238"/>
      <c r="CE67" s="257"/>
      <c r="CF67" s="257"/>
      <c r="CG67" s="238"/>
      <c r="CH67" s="238"/>
      <c r="CI67" s="238"/>
      <c r="CJ67" s="238"/>
      <c r="CK67" s="238"/>
      <c r="CL67" s="238"/>
      <c r="CM67" s="238"/>
      <c r="CN67" s="238"/>
      <c r="CO67" s="238"/>
      <c r="CP67" s="238"/>
      <c r="CQ67" s="238"/>
      <c r="CR67" s="238"/>
      <c r="CS67" s="238"/>
      <c r="CT67" s="238"/>
      <c r="CU67" s="238"/>
      <c r="CV67" s="238"/>
      <c r="CW67" s="238"/>
      <c r="CX67" s="238"/>
      <c r="CY67" s="238"/>
      <c r="CZ67" s="238"/>
      <c r="DA67" s="238"/>
      <c r="DB67" s="238"/>
      <c r="DC67" s="238"/>
      <c r="DD67" s="238"/>
      <c r="DE67" s="238"/>
      <c r="DF67" s="238"/>
      <c r="DG67" s="257"/>
      <c r="DH67" s="238"/>
      <c r="DI67" s="238"/>
      <c r="DJ67" s="238"/>
      <c r="DK67" s="238"/>
      <c r="DL67" s="238"/>
      <c r="DM67" s="238"/>
      <c r="DN67" s="238"/>
      <c r="DO67" s="238"/>
      <c r="DP67" s="238"/>
      <c r="DQ67" s="238"/>
      <c r="DR67" s="238"/>
      <c r="DS67" s="238"/>
      <c r="DT67" s="238"/>
      <c r="DU67" s="238"/>
      <c r="DV67" s="238"/>
      <c r="DW67" s="238"/>
      <c r="DX67" s="238"/>
      <c r="DY67" s="238"/>
      <c r="DZ67" s="238"/>
      <c r="EA67" s="238"/>
      <c r="EB67" s="238"/>
      <c r="EC67" s="238"/>
      <c r="ED67" s="238"/>
      <c r="EE67" s="238"/>
      <c r="EF67" s="238"/>
      <c r="EG67" s="238"/>
      <c r="EH67" s="238"/>
      <c r="EI67" s="238"/>
      <c r="EJ67" s="238"/>
      <c r="EK67" s="238"/>
      <c r="EL67" s="238"/>
      <c r="EM67" s="238"/>
      <c r="EN67" s="238"/>
      <c r="EO67" s="238"/>
      <c r="EP67" s="238"/>
      <c r="EQ67" s="238"/>
      <c r="ER67" s="238"/>
      <c r="ES67" s="238"/>
      <c r="ET67" s="238"/>
      <c r="EU67" s="238"/>
      <c r="EV67" s="238"/>
      <c r="EW67" s="238"/>
      <c r="EX67" s="238"/>
      <c r="EY67" s="238"/>
      <c r="EZ67" s="238"/>
      <c r="FA67" s="238"/>
      <c r="FB67" s="238"/>
      <c r="FC67" s="238"/>
      <c r="FD67" s="238"/>
      <c r="FE67" s="238"/>
      <c r="FF67" s="238"/>
      <c r="FG67" s="238"/>
      <c r="FH67" s="257"/>
      <c r="FI67" s="257"/>
      <c r="FJ67" s="257"/>
      <c r="FK67" s="257"/>
      <c r="FL67" s="257"/>
      <c r="FM67" s="257"/>
      <c r="FN67" s="257"/>
      <c r="FO67" s="257"/>
      <c r="FP67" s="257"/>
      <c r="FQ67" s="257"/>
      <c r="FR67" s="257"/>
      <c r="FS67" s="257"/>
      <c r="FT67" s="257"/>
      <c r="FU67" s="257"/>
      <c r="FV67" s="257"/>
      <c r="FW67" s="257"/>
      <c r="FX67" s="257"/>
      <c r="FY67" s="238"/>
      <c r="FZ67" s="238"/>
      <c r="GA67" s="238"/>
      <c r="GB67" s="238"/>
      <c r="GC67" s="238"/>
      <c r="GD67" s="238"/>
      <c r="GE67" s="238"/>
      <c r="GF67" s="238"/>
      <c r="GG67" s="238"/>
      <c r="GH67" s="238"/>
      <c r="GI67" s="238"/>
      <c r="GJ67" s="238"/>
      <c r="GK67" s="238"/>
      <c r="GL67" s="238"/>
      <c r="GM67" s="238"/>
      <c r="GN67" s="238"/>
      <c r="GO67" s="238"/>
      <c r="GP67" s="238"/>
      <c r="GQ67" s="238"/>
      <c r="GR67" s="238"/>
      <c r="GS67" s="238"/>
      <c r="GT67" s="238"/>
      <c r="GU67" s="238"/>
      <c r="GV67" s="238"/>
      <c r="GW67" s="238"/>
      <c r="GX67" s="238"/>
      <c r="GY67" s="238"/>
      <c r="GZ67" s="238"/>
      <c r="HA67" s="238"/>
      <c r="HB67" s="238"/>
      <c r="HC67" s="238"/>
      <c r="HD67" s="238"/>
      <c r="HE67" s="238"/>
      <c r="HF67" s="238"/>
      <c r="HG67" s="238"/>
      <c r="HH67" s="238"/>
      <c r="HI67" s="238"/>
      <c r="HJ67" s="238"/>
      <c r="HK67" s="238"/>
      <c r="HL67" s="238"/>
      <c r="HM67" s="238"/>
      <c r="HN67" s="238"/>
      <c r="HO67" s="238"/>
      <c r="HP67" s="238"/>
      <c r="HQ67" s="238"/>
      <c r="HR67" s="238"/>
      <c r="HS67" s="238"/>
      <c r="HT67" s="238"/>
      <c r="HU67" s="238"/>
      <c r="HV67" s="238"/>
      <c r="HW67" s="238"/>
      <c r="HX67" s="257"/>
      <c r="HY67" s="257"/>
      <c r="HZ67" s="257"/>
      <c r="IA67" s="257"/>
      <c r="IB67" s="257"/>
      <c r="IC67" s="257"/>
      <c r="ID67" s="257"/>
      <c r="IE67" s="257"/>
      <c r="IF67" s="257"/>
      <c r="IG67" s="257"/>
      <c r="IH67" s="257"/>
      <c r="II67" s="257"/>
      <c r="IJ67" s="257"/>
      <c r="IK67" s="257"/>
      <c r="IL67" s="257"/>
      <c r="IM67" s="257"/>
      <c r="IN67" s="257"/>
      <c r="IO67" s="257"/>
      <c r="IP67" s="257"/>
      <c r="IQ67" s="257"/>
      <c r="IR67" s="257"/>
      <c r="IS67" s="257"/>
      <c r="IT67" s="257"/>
      <c r="IU67" s="257"/>
      <c r="IV67" s="257"/>
      <c r="IW67" s="257"/>
      <c r="IX67" s="257"/>
      <c r="IY67" s="257"/>
      <c r="IZ67" s="257"/>
      <c r="JA67" s="257"/>
      <c r="JB67" s="257"/>
      <c r="JC67" s="257"/>
      <c r="JD67" s="257"/>
      <c r="JE67" s="257"/>
      <c r="JF67" s="238"/>
      <c r="JG67" s="238"/>
      <c r="JH67" s="238"/>
      <c r="JI67" s="238"/>
      <c r="JJ67" s="238"/>
      <c r="JK67" s="238"/>
      <c r="JL67" s="238"/>
      <c r="JM67" s="238"/>
      <c r="JN67" s="238"/>
      <c r="JO67" s="238"/>
      <c r="JP67" s="238"/>
      <c r="JQ67" s="238"/>
      <c r="JR67" s="238"/>
      <c r="JS67" s="238"/>
      <c r="JT67" s="238"/>
      <c r="JU67" s="238"/>
      <c r="JV67" s="238"/>
      <c r="JW67" s="238"/>
      <c r="JX67" s="238"/>
      <c r="JY67" s="238"/>
      <c r="JZ67" s="238"/>
      <c r="KA67" s="238"/>
      <c r="KB67" s="238"/>
      <c r="KC67" s="238"/>
      <c r="KD67" s="238"/>
      <c r="KE67" s="238"/>
      <c r="KF67" s="238"/>
      <c r="KG67" s="238"/>
      <c r="KH67" s="238"/>
      <c r="KI67" s="238"/>
      <c r="KJ67" s="238"/>
      <c r="KK67" s="238"/>
      <c r="KL67" s="238"/>
      <c r="KM67" s="238"/>
      <c r="KN67" s="238"/>
      <c r="KO67" s="238"/>
      <c r="KP67" s="238"/>
      <c r="KQ67" s="238"/>
      <c r="KR67" s="238"/>
      <c r="KS67" s="238"/>
      <c r="KT67" s="238"/>
      <c r="KU67" s="238"/>
      <c r="KV67" s="238"/>
      <c r="KW67" s="238"/>
      <c r="KX67" s="238"/>
      <c r="KY67" s="238"/>
      <c r="KZ67" s="238"/>
      <c r="LA67" s="238"/>
      <c r="LB67" s="238"/>
      <c r="LC67" s="238"/>
      <c r="LD67" s="238"/>
      <c r="LE67" s="238"/>
      <c r="LF67" s="238"/>
      <c r="LG67" s="238"/>
      <c r="LH67" s="238"/>
      <c r="LI67" s="238"/>
      <c r="LJ67" s="238"/>
      <c r="LK67" s="238"/>
      <c r="LL67" s="238"/>
      <c r="LM67" s="238"/>
      <c r="LN67" s="238"/>
      <c r="LO67" s="238"/>
      <c r="LP67" s="238"/>
      <c r="LQ67" s="238"/>
      <c r="LR67" s="238"/>
      <c r="LS67" s="238"/>
      <c r="LT67" s="238"/>
      <c r="LU67" s="238"/>
      <c r="LV67" s="238"/>
      <c r="LW67" s="238"/>
      <c r="LX67" s="238"/>
      <c r="LY67" s="238"/>
      <c r="LZ67" s="238"/>
      <c r="MA67" s="238"/>
      <c r="MB67" s="238"/>
      <c r="MC67" s="238"/>
      <c r="MD67" s="238"/>
      <c r="ME67" s="238"/>
      <c r="MF67" s="238"/>
      <c r="MG67" s="238"/>
      <c r="MH67" s="238"/>
      <c r="MI67" s="238"/>
      <c r="MJ67" s="238"/>
      <c r="MK67" s="238"/>
      <c r="ML67" s="238"/>
    </row>
    <row r="68" ht="18.75" customHeight="1">
      <c r="A68" s="283"/>
      <c r="B68" s="234" t="str">
        <f>'Building Bill of Materials_SLIM'!P68</f>
        <v/>
      </c>
      <c r="C68" s="234" t="str">
        <f>'Building Bill of Materials_SLIM'!Q68</f>
        <v/>
      </c>
      <c r="D68" s="234" t="str">
        <f>'Building Bill of Materials_SLIM'!R68</f>
        <v/>
      </c>
      <c r="E68" s="234" t="str">
        <f>'Building Bill of Materials_SLIM'!S68</f>
        <v/>
      </c>
      <c r="F68" s="234"/>
      <c r="G68" s="234"/>
      <c r="H68" s="234"/>
      <c r="I68" s="234"/>
      <c r="J68" s="234" t="str">
        <f>'Building Bill of Materials_SLIM'!V68</f>
        <v/>
      </c>
      <c r="K68" s="238"/>
      <c r="L68" s="238"/>
      <c r="M68" s="238"/>
      <c r="N68" s="238"/>
      <c r="O68" s="238"/>
      <c r="P68" s="238"/>
      <c r="Q68" s="238"/>
      <c r="R68" s="238"/>
      <c r="S68" s="238"/>
      <c r="T68" s="238"/>
      <c r="U68" s="238"/>
      <c r="V68" s="238"/>
      <c r="W68" s="238"/>
      <c r="X68" s="238"/>
      <c r="Y68" s="238"/>
      <c r="Z68" s="238"/>
      <c r="AA68" s="192"/>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38"/>
      <c r="BK68" s="238"/>
      <c r="BL68" s="238"/>
      <c r="BM68" s="238"/>
      <c r="BN68" s="238"/>
      <c r="BO68" s="238"/>
      <c r="BP68" s="238"/>
      <c r="BQ68" s="238"/>
      <c r="BR68" s="238"/>
      <c r="BS68" s="238"/>
      <c r="BT68" s="238"/>
      <c r="BU68" s="238"/>
      <c r="BV68" s="238"/>
      <c r="BW68" s="238"/>
      <c r="BX68" s="238"/>
      <c r="BY68" s="238"/>
      <c r="BZ68" s="238"/>
      <c r="CA68" s="238"/>
      <c r="CB68" s="238"/>
      <c r="CC68" s="238"/>
      <c r="CD68" s="238"/>
      <c r="CE68" s="257"/>
      <c r="CF68" s="257"/>
      <c r="CG68" s="238"/>
      <c r="CH68" s="238"/>
      <c r="CI68" s="238"/>
      <c r="CJ68" s="238"/>
      <c r="CK68" s="238"/>
      <c r="CL68" s="238"/>
      <c r="CM68" s="238"/>
      <c r="CN68" s="238"/>
      <c r="CO68" s="238"/>
      <c r="CP68" s="238"/>
      <c r="CQ68" s="238"/>
      <c r="CR68" s="238"/>
      <c r="CS68" s="238"/>
      <c r="CT68" s="238"/>
      <c r="CU68" s="238"/>
      <c r="CV68" s="238"/>
      <c r="CW68" s="238"/>
      <c r="CX68" s="238"/>
      <c r="CY68" s="238"/>
      <c r="CZ68" s="238"/>
      <c r="DA68" s="238"/>
      <c r="DB68" s="238"/>
      <c r="DC68" s="238"/>
      <c r="DD68" s="238"/>
      <c r="DE68" s="238"/>
      <c r="DF68" s="238"/>
      <c r="DG68" s="257"/>
      <c r="DH68" s="238"/>
      <c r="DI68" s="238"/>
      <c r="DJ68" s="238"/>
      <c r="DK68" s="238"/>
      <c r="DL68" s="238"/>
      <c r="DM68" s="238"/>
      <c r="DN68" s="238"/>
      <c r="DO68" s="238"/>
      <c r="DP68" s="238"/>
      <c r="DQ68" s="238"/>
      <c r="DR68" s="238"/>
      <c r="DS68" s="238"/>
      <c r="DT68" s="238"/>
      <c r="DU68" s="238"/>
      <c r="DV68" s="238"/>
      <c r="DW68" s="238"/>
      <c r="DX68" s="238"/>
      <c r="DY68" s="238"/>
      <c r="DZ68" s="238"/>
      <c r="EA68" s="238"/>
      <c r="EB68" s="238"/>
      <c r="EC68" s="238"/>
      <c r="ED68" s="238"/>
      <c r="EE68" s="238"/>
      <c r="EF68" s="238"/>
      <c r="EG68" s="238"/>
      <c r="EH68" s="238"/>
      <c r="EI68" s="238"/>
      <c r="EJ68" s="238"/>
      <c r="EK68" s="238"/>
      <c r="EL68" s="238"/>
      <c r="EM68" s="238"/>
      <c r="EN68" s="238"/>
      <c r="EO68" s="238"/>
      <c r="EP68" s="238"/>
      <c r="EQ68" s="238"/>
      <c r="ER68" s="238"/>
      <c r="ES68" s="238"/>
      <c r="ET68" s="238"/>
      <c r="EU68" s="238"/>
      <c r="EV68" s="238"/>
      <c r="EW68" s="238"/>
      <c r="EX68" s="238"/>
      <c r="EY68" s="238"/>
      <c r="EZ68" s="238"/>
      <c r="FA68" s="238"/>
      <c r="FB68" s="238"/>
      <c r="FC68" s="238"/>
      <c r="FD68" s="238"/>
      <c r="FE68" s="238"/>
      <c r="FF68" s="238"/>
      <c r="FG68" s="238"/>
      <c r="FH68" s="257"/>
      <c r="FI68" s="257"/>
      <c r="FJ68" s="257"/>
      <c r="FK68" s="257"/>
      <c r="FL68" s="257"/>
      <c r="FM68" s="257"/>
      <c r="FN68" s="257"/>
      <c r="FO68" s="257"/>
      <c r="FP68" s="257"/>
      <c r="FQ68" s="257"/>
      <c r="FR68" s="257"/>
      <c r="FS68" s="257"/>
      <c r="FT68" s="257"/>
      <c r="FU68" s="257"/>
      <c r="FV68" s="257"/>
      <c r="FW68" s="257"/>
      <c r="FX68" s="257"/>
      <c r="FY68" s="238"/>
      <c r="FZ68" s="238"/>
      <c r="GA68" s="238"/>
      <c r="GB68" s="238"/>
      <c r="GC68" s="238"/>
      <c r="GD68" s="238"/>
      <c r="GE68" s="238"/>
      <c r="GF68" s="238"/>
      <c r="GG68" s="238"/>
      <c r="GH68" s="238"/>
      <c r="GI68" s="238"/>
      <c r="GJ68" s="238"/>
      <c r="GK68" s="238"/>
      <c r="GL68" s="238"/>
      <c r="GM68" s="238"/>
      <c r="GN68" s="238"/>
      <c r="GO68" s="238"/>
      <c r="GP68" s="238"/>
      <c r="GQ68" s="238"/>
      <c r="GR68" s="238"/>
      <c r="GS68" s="238"/>
      <c r="GT68" s="238"/>
      <c r="GU68" s="238"/>
      <c r="GV68" s="238"/>
      <c r="GW68" s="238"/>
      <c r="GX68" s="238"/>
      <c r="GY68" s="238"/>
      <c r="GZ68" s="238"/>
      <c r="HA68" s="238"/>
      <c r="HB68" s="238"/>
      <c r="HC68" s="238"/>
      <c r="HD68" s="238"/>
      <c r="HE68" s="238"/>
      <c r="HF68" s="238"/>
      <c r="HG68" s="238"/>
      <c r="HH68" s="238"/>
      <c r="HI68" s="238"/>
      <c r="HJ68" s="238"/>
      <c r="HK68" s="238"/>
      <c r="HL68" s="238"/>
      <c r="HM68" s="238"/>
      <c r="HN68" s="238"/>
      <c r="HO68" s="238"/>
      <c r="HP68" s="238"/>
      <c r="HQ68" s="238"/>
      <c r="HR68" s="238"/>
      <c r="HS68" s="238"/>
      <c r="HT68" s="238"/>
      <c r="HU68" s="238"/>
      <c r="HV68" s="238"/>
      <c r="HW68" s="238"/>
      <c r="HX68" s="257"/>
      <c r="HY68" s="257"/>
      <c r="HZ68" s="257"/>
      <c r="IA68" s="257"/>
      <c r="IB68" s="257"/>
      <c r="IC68" s="257"/>
      <c r="ID68" s="257"/>
      <c r="IE68" s="257"/>
      <c r="IF68" s="257"/>
      <c r="IG68" s="257"/>
      <c r="IH68" s="257"/>
      <c r="II68" s="257"/>
      <c r="IJ68" s="257"/>
      <c r="IK68" s="257"/>
      <c r="IL68" s="257"/>
      <c r="IM68" s="257"/>
      <c r="IN68" s="257"/>
      <c r="IO68" s="257"/>
      <c r="IP68" s="257"/>
      <c r="IQ68" s="257"/>
      <c r="IR68" s="257"/>
      <c r="IS68" s="257"/>
      <c r="IT68" s="257"/>
      <c r="IU68" s="257"/>
      <c r="IV68" s="257"/>
      <c r="IW68" s="257"/>
      <c r="IX68" s="257"/>
      <c r="IY68" s="257"/>
      <c r="IZ68" s="257"/>
      <c r="JA68" s="257"/>
      <c r="JB68" s="257"/>
      <c r="JC68" s="257"/>
      <c r="JD68" s="257"/>
      <c r="JE68" s="257"/>
      <c r="JF68" s="238"/>
      <c r="JG68" s="238"/>
      <c r="JH68" s="238"/>
      <c r="JI68" s="238"/>
      <c r="JJ68" s="238"/>
      <c r="JK68" s="238"/>
      <c r="JL68" s="238"/>
      <c r="JM68" s="238"/>
      <c r="JN68" s="238"/>
      <c r="JO68" s="238"/>
      <c r="JP68" s="238"/>
      <c r="JQ68" s="238"/>
      <c r="JR68" s="238"/>
      <c r="JS68" s="238"/>
      <c r="JT68" s="238"/>
      <c r="JU68" s="238"/>
      <c r="JV68" s="238"/>
      <c r="JW68" s="238"/>
      <c r="JX68" s="238"/>
      <c r="JY68" s="238"/>
      <c r="JZ68" s="238"/>
      <c r="KA68" s="238"/>
      <c r="KB68" s="238"/>
      <c r="KC68" s="238"/>
      <c r="KD68" s="238"/>
      <c r="KE68" s="238"/>
      <c r="KF68" s="238"/>
      <c r="KG68" s="238"/>
      <c r="KH68" s="238"/>
      <c r="KI68" s="238"/>
      <c r="KJ68" s="238"/>
      <c r="KK68" s="238"/>
      <c r="KL68" s="238"/>
      <c r="KM68" s="238"/>
      <c r="KN68" s="238"/>
      <c r="KO68" s="238"/>
      <c r="KP68" s="238"/>
      <c r="KQ68" s="238"/>
      <c r="KR68" s="238"/>
      <c r="KS68" s="238"/>
      <c r="KT68" s="238"/>
      <c r="KU68" s="238"/>
      <c r="KV68" s="238"/>
      <c r="KW68" s="238"/>
      <c r="KX68" s="238"/>
      <c r="KY68" s="238"/>
      <c r="KZ68" s="238"/>
      <c r="LA68" s="238"/>
      <c r="LB68" s="238"/>
      <c r="LC68" s="238"/>
      <c r="LD68" s="238"/>
      <c r="LE68" s="238"/>
      <c r="LF68" s="238"/>
      <c r="LG68" s="238"/>
      <c r="LH68" s="238"/>
      <c r="LI68" s="238"/>
      <c r="LJ68" s="238"/>
      <c r="LK68" s="238"/>
      <c r="LL68" s="238"/>
      <c r="LM68" s="238"/>
      <c r="LN68" s="238"/>
      <c r="LO68" s="238"/>
      <c r="LP68" s="238"/>
      <c r="LQ68" s="238"/>
      <c r="LR68" s="238"/>
      <c r="LS68" s="238"/>
      <c r="LT68" s="238"/>
      <c r="LU68" s="238"/>
      <c r="LV68" s="238"/>
      <c r="LW68" s="238"/>
      <c r="LX68" s="238"/>
      <c r="LY68" s="238"/>
      <c r="LZ68" s="238"/>
      <c r="MA68" s="238"/>
      <c r="MB68" s="238"/>
      <c r="MC68" s="238"/>
      <c r="MD68" s="238"/>
      <c r="ME68" s="238"/>
      <c r="MF68" s="238"/>
      <c r="MG68" s="238"/>
      <c r="MH68" s="238"/>
      <c r="MI68" s="238"/>
      <c r="MJ68" s="238"/>
      <c r="MK68" s="238"/>
      <c r="ML68" s="238"/>
    </row>
    <row r="69" ht="18.75" customHeight="1">
      <c r="A69" s="283"/>
      <c r="B69" s="234" t="str">
        <f>'Building Bill of Materials_SLIM'!P69</f>
        <v/>
      </c>
      <c r="C69" s="234" t="str">
        <f>'Building Bill of Materials_SLIM'!Q69</f>
        <v/>
      </c>
      <c r="D69" s="234" t="str">
        <f>'Building Bill of Materials_SLIM'!R69</f>
        <v/>
      </c>
      <c r="E69" s="234" t="str">
        <f>'Building Bill of Materials_SLIM'!S69</f>
        <v/>
      </c>
      <c r="F69" s="234"/>
      <c r="G69" s="234"/>
      <c r="H69" s="234"/>
      <c r="I69" s="234"/>
      <c r="J69" s="234" t="str">
        <f>'Building Bill of Materials_SLIM'!V69</f>
        <v/>
      </c>
      <c r="K69" s="238"/>
      <c r="L69" s="238"/>
      <c r="M69" s="238"/>
      <c r="N69" s="238"/>
      <c r="O69" s="238"/>
      <c r="P69" s="238"/>
      <c r="Q69" s="238"/>
      <c r="R69" s="238"/>
      <c r="S69" s="238"/>
      <c r="T69" s="238"/>
      <c r="U69" s="238"/>
      <c r="V69" s="238"/>
      <c r="W69" s="238"/>
      <c r="X69" s="238"/>
      <c r="Y69" s="238"/>
      <c r="Z69" s="238"/>
      <c r="AA69" s="192"/>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38"/>
      <c r="BK69" s="238"/>
      <c r="BL69" s="238"/>
      <c r="BM69" s="238"/>
      <c r="BN69" s="238"/>
      <c r="BO69" s="238"/>
      <c r="BP69" s="238"/>
      <c r="BQ69" s="238"/>
      <c r="BR69" s="238"/>
      <c r="BS69" s="238"/>
      <c r="BT69" s="238"/>
      <c r="BU69" s="238"/>
      <c r="BV69" s="238"/>
      <c r="BW69" s="238"/>
      <c r="BX69" s="238"/>
      <c r="BY69" s="238"/>
      <c r="BZ69" s="238"/>
      <c r="CA69" s="238"/>
      <c r="CB69" s="238"/>
      <c r="CC69" s="238"/>
      <c r="CD69" s="238"/>
      <c r="CE69" s="257"/>
      <c r="CF69" s="257"/>
      <c r="CG69" s="238"/>
      <c r="CH69" s="238"/>
      <c r="CI69" s="238"/>
      <c r="CJ69" s="238"/>
      <c r="CK69" s="238"/>
      <c r="CL69" s="238"/>
      <c r="CM69" s="238"/>
      <c r="CN69" s="238"/>
      <c r="CO69" s="238"/>
      <c r="CP69" s="238"/>
      <c r="CQ69" s="238"/>
      <c r="CR69" s="238"/>
      <c r="CS69" s="238"/>
      <c r="CT69" s="238"/>
      <c r="CU69" s="238"/>
      <c r="CV69" s="238"/>
      <c r="CW69" s="238"/>
      <c r="CX69" s="238"/>
      <c r="CY69" s="238"/>
      <c r="CZ69" s="238"/>
      <c r="DA69" s="238"/>
      <c r="DB69" s="238"/>
      <c r="DC69" s="238"/>
      <c r="DD69" s="238"/>
      <c r="DE69" s="238"/>
      <c r="DF69" s="238"/>
      <c r="DG69" s="257"/>
      <c r="DH69" s="238"/>
      <c r="DI69" s="238"/>
      <c r="DJ69" s="238"/>
      <c r="DK69" s="238"/>
      <c r="DL69" s="238"/>
      <c r="DM69" s="238"/>
      <c r="DN69" s="238"/>
      <c r="DO69" s="238"/>
      <c r="DP69" s="238"/>
      <c r="DQ69" s="238"/>
      <c r="DR69" s="238"/>
      <c r="DS69" s="238"/>
      <c r="DT69" s="238"/>
      <c r="DU69" s="238"/>
      <c r="DV69" s="238"/>
      <c r="DW69" s="238"/>
      <c r="DX69" s="238"/>
      <c r="DY69" s="238"/>
      <c r="DZ69" s="238"/>
      <c r="EA69" s="238"/>
      <c r="EB69" s="238"/>
      <c r="EC69" s="238"/>
      <c r="ED69" s="238"/>
      <c r="EE69" s="238"/>
      <c r="EF69" s="238"/>
      <c r="EG69" s="238"/>
      <c r="EH69" s="238"/>
      <c r="EI69" s="238"/>
      <c r="EJ69" s="238"/>
      <c r="EK69" s="238"/>
      <c r="EL69" s="238"/>
      <c r="EM69" s="238"/>
      <c r="EN69" s="238"/>
      <c r="EO69" s="238"/>
      <c r="EP69" s="238"/>
      <c r="EQ69" s="238"/>
      <c r="ER69" s="238"/>
      <c r="ES69" s="238"/>
      <c r="ET69" s="238"/>
      <c r="EU69" s="238"/>
      <c r="EV69" s="238"/>
      <c r="EW69" s="238"/>
      <c r="EX69" s="238"/>
      <c r="EY69" s="238"/>
      <c r="EZ69" s="238"/>
      <c r="FA69" s="238"/>
      <c r="FB69" s="238"/>
      <c r="FC69" s="238"/>
      <c r="FD69" s="238"/>
      <c r="FE69" s="238"/>
      <c r="FF69" s="238"/>
      <c r="FG69" s="238"/>
      <c r="FH69" s="257"/>
      <c r="FI69" s="257"/>
      <c r="FJ69" s="257"/>
      <c r="FK69" s="257"/>
      <c r="FL69" s="257"/>
      <c r="FM69" s="257"/>
      <c r="FN69" s="257"/>
      <c r="FO69" s="257"/>
      <c r="FP69" s="257"/>
      <c r="FQ69" s="257"/>
      <c r="FR69" s="257"/>
      <c r="FS69" s="257"/>
      <c r="FT69" s="257"/>
      <c r="FU69" s="257"/>
      <c r="FV69" s="257"/>
      <c r="FW69" s="257"/>
      <c r="FX69" s="257"/>
      <c r="FY69" s="238"/>
      <c r="FZ69" s="238"/>
      <c r="GA69" s="238"/>
      <c r="GB69" s="238"/>
      <c r="GC69" s="238"/>
      <c r="GD69" s="238"/>
      <c r="GE69" s="238"/>
      <c r="GF69" s="238"/>
      <c r="GG69" s="238"/>
      <c r="GH69" s="238"/>
      <c r="GI69" s="238"/>
      <c r="GJ69" s="238"/>
      <c r="GK69" s="238"/>
      <c r="GL69" s="238"/>
      <c r="GM69" s="238"/>
      <c r="GN69" s="238"/>
      <c r="GO69" s="238"/>
      <c r="GP69" s="238"/>
      <c r="GQ69" s="238"/>
      <c r="GR69" s="238"/>
      <c r="GS69" s="238"/>
      <c r="GT69" s="238"/>
      <c r="GU69" s="238"/>
      <c r="GV69" s="238"/>
      <c r="GW69" s="238"/>
      <c r="GX69" s="238"/>
      <c r="GY69" s="238"/>
      <c r="GZ69" s="238"/>
      <c r="HA69" s="238"/>
      <c r="HB69" s="238"/>
      <c r="HC69" s="238"/>
      <c r="HD69" s="238"/>
      <c r="HE69" s="238"/>
      <c r="HF69" s="238"/>
      <c r="HG69" s="238"/>
      <c r="HH69" s="238"/>
      <c r="HI69" s="238"/>
      <c r="HJ69" s="238"/>
      <c r="HK69" s="238"/>
      <c r="HL69" s="238"/>
      <c r="HM69" s="238"/>
      <c r="HN69" s="238"/>
      <c r="HO69" s="238"/>
      <c r="HP69" s="238"/>
      <c r="HQ69" s="238"/>
      <c r="HR69" s="238"/>
      <c r="HS69" s="238"/>
      <c r="HT69" s="238"/>
      <c r="HU69" s="238"/>
      <c r="HV69" s="238"/>
      <c r="HW69" s="238"/>
      <c r="HX69" s="257"/>
      <c r="HY69" s="257"/>
      <c r="HZ69" s="257"/>
      <c r="IA69" s="257"/>
      <c r="IB69" s="257"/>
      <c r="IC69" s="257"/>
      <c r="ID69" s="257"/>
      <c r="IE69" s="257"/>
      <c r="IF69" s="257"/>
      <c r="IG69" s="257"/>
      <c r="IH69" s="257"/>
      <c r="II69" s="257"/>
      <c r="IJ69" s="257"/>
      <c r="IK69" s="257"/>
      <c r="IL69" s="257"/>
      <c r="IM69" s="257"/>
      <c r="IN69" s="257"/>
      <c r="IO69" s="257"/>
      <c r="IP69" s="257"/>
      <c r="IQ69" s="257"/>
      <c r="IR69" s="257"/>
      <c r="IS69" s="257"/>
      <c r="IT69" s="257"/>
      <c r="IU69" s="257"/>
      <c r="IV69" s="257"/>
      <c r="IW69" s="257"/>
      <c r="IX69" s="257"/>
      <c r="IY69" s="257"/>
      <c r="IZ69" s="257"/>
      <c r="JA69" s="257"/>
      <c r="JB69" s="257"/>
      <c r="JC69" s="257"/>
      <c r="JD69" s="257"/>
      <c r="JE69" s="257"/>
      <c r="JF69" s="238"/>
      <c r="JG69" s="238"/>
      <c r="JH69" s="238"/>
      <c r="JI69" s="238"/>
      <c r="JJ69" s="238"/>
      <c r="JK69" s="238"/>
      <c r="JL69" s="238"/>
      <c r="JM69" s="238"/>
      <c r="JN69" s="238"/>
      <c r="JO69" s="238"/>
      <c r="JP69" s="238"/>
      <c r="JQ69" s="238"/>
      <c r="JR69" s="238"/>
      <c r="JS69" s="238"/>
      <c r="JT69" s="238"/>
      <c r="JU69" s="238"/>
      <c r="JV69" s="238"/>
      <c r="JW69" s="238"/>
      <c r="JX69" s="238"/>
      <c r="JY69" s="238"/>
      <c r="JZ69" s="238"/>
      <c r="KA69" s="238"/>
      <c r="KB69" s="238"/>
      <c r="KC69" s="238"/>
      <c r="KD69" s="238"/>
      <c r="KE69" s="238"/>
      <c r="KF69" s="238"/>
      <c r="KG69" s="238"/>
      <c r="KH69" s="238"/>
      <c r="KI69" s="238"/>
      <c r="KJ69" s="238"/>
      <c r="KK69" s="238"/>
      <c r="KL69" s="238"/>
      <c r="KM69" s="238"/>
      <c r="KN69" s="238"/>
      <c r="KO69" s="238"/>
      <c r="KP69" s="238"/>
      <c r="KQ69" s="238"/>
      <c r="KR69" s="238"/>
      <c r="KS69" s="238"/>
      <c r="KT69" s="238"/>
      <c r="KU69" s="238"/>
      <c r="KV69" s="238"/>
      <c r="KW69" s="238"/>
      <c r="KX69" s="238"/>
      <c r="KY69" s="238"/>
      <c r="KZ69" s="238"/>
      <c r="LA69" s="238"/>
      <c r="LB69" s="238"/>
      <c r="LC69" s="238"/>
      <c r="LD69" s="238"/>
      <c r="LE69" s="238"/>
      <c r="LF69" s="238"/>
      <c r="LG69" s="238"/>
      <c r="LH69" s="238"/>
      <c r="LI69" s="238"/>
      <c r="LJ69" s="238"/>
      <c r="LK69" s="238"/>
      <c r="LL69" s="238"/>
      <c r="LM69" s="238"/>
      <c r="LN69" s="238"/>
      <c r="LO69" s="238"/>
      <c r="LP69" s="238"/>
      <c r="LQ69" s="238"/>
      <c r="LR69" s="238"/>
      <c r="LS69" s="238"/>
      <c r="LT69" s="238"/>
      <c r="LU69" s="238"/>
      <c r="LV69" s="238"/>
      <c r="LW69" s="238"/>
      <c r="LX69" s="238"/>
      <c r="LY69" s="238"/>
      <c r="LZ69" s="238"/>
      <c r="MA69" s="238"/>
      <c r="MB69" s="238"/>
      <c r="MC69" s="238"/>
      <c r="MD69" s="238"/>
      <c r="ME69" s="238"/>
      <c r="MF69" s="238"/>
      <c r="MG69" s="238"/>
      <c r="MH69" s="238"/>
      <c r="MI69" s="238"/>
      <c r="MJ69" s="238"/>
      <c r="MK69" s="238"/>
      <c r="ML69" s="238"/>
    </row>
    <row r="70" ht="18.75" customHeight="1">
      <c r="A70" s="283"/>
      <c r="B70" s="234" t="str">
        <f>'Building Bill of Materials_SLIM'!P70</f>
        <v/>
      </c>
      <c r="C70" s="234" t="str">
        <f>'Building Bill of Materials_SLIM'!Q70</f>
        <v/>
      </c>
      <c r="D70" s="234" t="str">
        <f>'Building Bill of Materials_SLIM'!R70</f>
        <v/>
      </c>
      <c r="E70" s="234" t="str">
        <f>'Building Bill of Materials_SLIM'!S70</f>
        <v/>
      </c>
      <c r="F70" s="234"/>
      <c r="G70" s="234"/>
      <c r="H70" s="234"/>
      <c r="I70" s="234"/>
      <c r="J70" s="234" t="str">
        <f>'Building Bill of Materials_SLIM'!V70</f>
        <v/>
      </c>
      <c r="K70" s="238"/>
      <c r="L70" s="238"/>
      <c r="M70" s="238"/>
      <c r="N70" s="238"/>
      <c r="O70" s="238"/>
      <c r="P70" s="238"/>
      <c r="Q70" s="238"/>
      <c r="R70" s="238"/>
      <c r="S70" s="238"/>
      <c r="T70" s="238"/>
      <c r="U70" s="238"/>
      <c r="V70" s="238"/>
      <c r="W70" s="238"/>
      <c r="X70" s="238"/>
      <c r="Y70" s="238"/>
      <c r="Z70" s="238"/>
      <c r="AA70" s="192"/>
      <c r="AB70" s="257"/>
      <c r="AC70" s="257"/>
      <c r="AD70" s="257"/>
      <c r="AE70" s="257"/>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38"/>
      <c r="BK70" s="238"/>
      <c r="BL70" s="238"/>
      <c r="BM70" s="238"/>
      <c r="BN70" s="238"/>
      <c r="BO70" s="238"/>
      <c r="BP70" s="238"/>
      <c r="BQ70" s="238"/>
      <c r="BR70" s="238"/>
      <c r="BS70" s="238"/>
      <c r="BT70" s="238"/>
      <c r="BU70" s="238"/>
      <c r="BV70" s="238"/>
      <c r="BW70" s="238"/>
      <c r="BX70" s="238"/>
      <c r="BY70" s="238"/>
      <c r="BZ70" s="238"/>
      <c r="CA70" s="238"/>
      <c r="CB70" s="238"/>
      <c r="CC70" s="238"/>
      <c r="CD70" s="238"/>
      <c r="CE70" s="257"/>
      <c r="CF70" s="257"/>
      <c r="CG70" s="238"/>
      <c r="CH70" s="238"/>
      <c r="CI70" s="238"/>
      <c r="CJ70" s="238"/>
      <c r="CK70" s="238"/>
      <c r="CL70" s="238"/>
      <c r="CM70" s="238"/>
      <c r="CN70" s="238"/>
      <c r="CO70" s="238"/>
      <c r="CP70" s="238"/>
      <c r="CQ70" s="238"/>
      <c r="CR70" s="238"/>
      <c r="CS70" s="238"/>
      <c r="CT70" s="238"/>
      <c r="CU70" s="238"/>
      <c r="CV70" s="238"/>
      <c r="CW70" s="238"/>
      <c r="CX70" s="238"/>
      <c r="CY70" s="238"/>
      <c r="CZ70" s="238"/>
      <c r="DA70" s="238"/>
      <c r="DB70" s="238"/>
      <c r="DC70" s="238"/>
      <c r="DD70" s="238"/>
      <c r="DE70" s="238"/>
      <c r="DF70" s="238"/>
      <c r="DG70" s="257"/>
      <c r="DH70" s="238"/>
      <c r="DI70" s="238"/>
      <c r="DJ70" s="238"/>
      <c r="DK70" s="238"/>
      <c r="DL70" s="238"/>
      <c r="DM70" s="238"/>
      <c r="DN70" s="238"/>
      <c r="DO70" s="238"/>
      <c r="DP70" s="238"/>
      <c r="DQ70" s="238"/>
      <c r="DR70" s="238"/>
      <c r="DS70" s="238"/>
      <c r="DT70" s="238"/>
      <c r="DU70" s="238"/>
      <c r="DV70" s="238"/>
      <c r="DW70" s="238"/>
      <c r="DX70" s="238"/>
      <c r="DY70" s="238"/>
      <c r="DZ70" s="238"/>
      <c r="EA70" s="238"/>
      <c r="EB70" s="238"/>
      <c r="EC70" s="238"/>
      <c r="ED70" s="238"/>
      <c r="EE70" s="238"/>
      <c r="EF70" s="238"/>
      <c r="EG70" s="238"/>
      <c r="EH70" s="238"/>
      <c r="EI70" s="238"/>
      <c r="EJ70" s="238"/>
      <c r="EK70" s="238"/>
      <c r="EL70" s="238"/>
      <c r="EM70" s="238"/>
      <c r="EN70" s="238"/>
      <c r="EO70" s="238"/>
      <c r="EP70" s="238"/>
      <c r="EQ70" s="238"/>
      <c r="ER70" s="238"/>
      <c r="ES70" s="238"/>
      <c r="ET70" s="238"/>
      <c r="EU70" s="238"/>
      <c r="EV70" s="238"/>
      <c r="EW70" s="238"/>
      <c r="EX70" s="238"/>
      <c r="EY70" s="238"/>
      <c r="EZ70" s="238"/>
      <c r="FA70" s="238"/>
      <c r="FB70" s="238"/>
      <c r="FC70" s="238"/>
      <c r="FD70" s="238"/>
      <c r="FE70" s="238"/>
      <c r="FF70" s="238"/>
      <c r="FG70" s="238"/>
      <c r="FH70" s="257"/>
      <c r="FI70" s="257"/>
      <c r="FJ70" s="257"/>
      <c r="FK70" s="257"/>
      <c r="FL70" s="257"/>
      <c r="FM70" s="257"/>
      <c r="FN70" s="257"/>
      <c r="FO70" s="257"/>
      <c r="FP70" s="257"/>
      <c r="FQ70" s="257"/>
      <c r="FR70" s="257"/>
      <c r="FS70" s="257"/>
      <c r="FT70" s="257"/>
      <c r="FU70" s="257"/>
      <c r="FV70" s="257"/>
      <c r="FW70" s="257"/>
      <c r="FX70" s="257"/>
      <c r="FY70" s="238"/>
      <c r="FZ70" s="238"/>
      <c r="GA70" s="238"/>
      <c r="GB70" s="238"/>
      <c r="GC70" s="238"/>
      <c r="GD70" s="238"/>
      <c r="GE70" s="238"/>
      <c r="GF70" s="238"/>
      <c r="GG70" s="238"/>
      <c r="GH70" s="238"/>
      <c r="GI70" s="238"/>
      <c r="GJ70" s="238"/>
      <c r="GK70" s="238"/>
      <c r="GL70" s="238"/>
      <c r="GM70" s="238"/>
      <c r="GN70" s="238"/>
      <c r="GO70" s="238"/>
      <c r="GP70" s="238"/>
      <c r="GQ70" s="238"/>
      <c r="GR70" s="238"/>
      <c r="GS70" s="238"/>
      <c r="GT70" s="238"/>
      <c r="GU70" s="238"/>
      <c r="GV70" s="238"/>
      <c r="GW70" s="238"/>
      <c r="GX70" s="238"/>
      <c r="GY70" s="238"/>
      <c r="GZ70" s="238"/>
      <c r="HA70" s="238"/>
      <c r="HB70" s="238"/>
      <c r="HC70" s="238"/>
      <c r="HD70" s="238"/>
      <c r="HE70" s="238"/>
      <c r="HF70" s="238"/>
      <c r="HG70" s="238"/>
      <c r="HH70" s="238"/>
      <c r="HI70" s="238"/>
      <c r="HJ70" s="238"/>
      <c r="HK70" s="238"/>
      <c r="HL70" s="238"/>
      <c r="HM70" s="238"/>
      <c r="HN70" s="238"/>
      <c r="HO70" s="238"/>
      <c r="HP70" s="238"/>
      <c r="HQ70" s="238"/>
      <c r="HR70" s="238"/>
      <c r="HS70" s="238"/>
      <c r="HT70" s="238"/>
      <c r="HU70" s="238"/>
      <c r="HV70" s="238"/>
      <c r="HW70" s="238"/>
      <c r="HX70" s="257"/>
      <c r="HY70" s="257"/>
      <c r="HZ70" s="257"/>
      <c r="IA70" s="257"/>
      <c r="IB70" s="257"/>
      <c r="IC70" s="257"/>
      <c r="ID70" s="257"/>
      <c r="IE70" s="257"/>
      <c r="IF70" s="257"/>
      <c r="IG70" s="257"/>
      <c r="IH70" s="257"/>
      <c r="II70" s="257"/>
      <c r="IJ70" s="257"/>
      <c r="IK70" s="257"/>
      <c r="IL70" s="257"/>
      <c r="IM70" s="257"/>
      <c r="IN70" s="257"/>
      <c r="IO70" s="257"/>
      <c r="IP70" s="257"/>
      <c r="IQ70" s="257"/>
      <c r="IR70" s="257"/>
      <c r="IS70" s="257"/>
      <c r="IT70" s="257"/>
      <c r="IU70" s="257"/>
      <c r="IV70" s="257"/>
      <c r="IW70" s="257"/>
      <c r="IX70" s="257"/>
      <c r="IY70" s="257"/>
      <c r="IZ70" s="257"/>
      <c r="JA70" s="257"/>
      <c r="JB70" s="257"/>
      <c r="JC70" s="257"/>
      <c r="JD70" s="257"/>
      <c r="JE70" s="257"/>
      <c r="JF70" s="238"/>
      <c r="JG70" s="238"/>
      <c r="JH70" s="238"/>
      <c r="JI70" s="238"/>
      <c r="JJ70" s="238"/>
      <c r="JK70" s="238"/>
      <c r="JL70" s="238"/>
      <c r="JM70" s="238"/>
      <c r="JN70" s="238"/>
      <c r="JO70" s="238"/>
      <c r="JP70" s="238"/>
      <c r="JQ70" s="238"/>
      <c r="JR70" s="238"/>
      <c r="JS70" s="238"/>
      <c r="JT70" s="238"/>
      <c r="JU70" s="238"/>
      <c r="JV70" s="238"/>
      <c r="JW70" s="238"/>
      <c r="JX70" s="238"/>
      <c r="JY70" s="238"/>
      <c r="JZ70" s="238"/>
      <c r="KA70" s="238"/>
      <c r="KB70" s="238"/>
      <c r="KC70" s="238"/>
      <c r="KD70" s="238"/>
      <c r="KE70" s="238"/>
      <c r="KF70" s="238"/>
      <c r="KG70" s="238"/>
      <c r="KH70" s="238"/>
      <c r="KI70" s="238"/>
      <c r="KJ70" s="238"/>
      <c r="KK70" s="238"/>
      <c r="KL70" s="238"/>
      <c r="KM70" s="238"/>
      <c r="KN70" s="238"/>
      <c r="KO70" s="238"/>
      <c r="KP70" s="238"/>
      <c r="KQ70" s="238"/>
      <c r="KR70" s="238"/>
      <c r="KS70" s="238"/>
      <c r="KT70" s="238"/>
      <c r="KU70" s="238"/>
      <c r="KV70" s="238"/>
      <c r="KW70" s="238"/>
      <c r="KX70" s="238"/>
      <c r="KY70" s="238"/>
      <c r="KZ70" s="238"/>
      <c r="LA70" s="238"/>
      <c r="LB70" s="238"/>
      <c r="LC70" s="238"/>
      <c r="LD70" s="238"/>
      <c r="LE70" s="238"/>
      <c r="LF70" s="238"/>
      <c r="LG70" s="238"/>
      <c r="LH70" s="238"/>
      <c r="LI70" s="238"/>
      <c r="LJ70" s="238"/>
      <c r="LK70" s="238"/>
      <c r="LL70" s="238"/>
      <c r="LM70" s="238"/>
      <c r="LN70" s="238"/>
      <c r="LO70" s="238"/>
      <c r="LP70" s="238"/>
      <c r="LQ70" s="238"/>
      <c r="LR70" s="238"/>
      <c r="LS70" s="238"/>
      <c r="LT70" s="238"/>
      <c r="LU70" s="238"/>
      <c r="LV70" s="238"/>
      <c r="LW70" s="238"/>
      <c r="LX70" s="238"/>
      <c r="LY70" s="238"/>
      <c r="LZ70" s="238"/>
      <c r="MA70" s="238"/>
      <c r="MB70" s="238"/>
      <c r="MC70" s="238"/>
      <c r="MD70" s="238"/>
      <c r="ME70" s="238"/>
      <c r="MF70" s="238"/>
      <c r="MG70" s="238"/>
      <c r="MH70" s="238"/>
      <c r="MI70" s="238"/>
      <c r="MJ70" s="238"/>
      <c r="MK70" s="238"/>
      <c r="ML70" s="238"/>
    </row>
    <row r="71" ht="18.75" customHeight="1">
      <c r="A71" s="283"/>
      <c r="B71" s="234" t="str">
        <f>'Building Bill of Materials_SLIM'!P71</f>
        <v/>
      </c>
      <c r="C71" s="234" t="str">
        <f>'Building Bill of Materials_SLIM'!Q71</f>
        <v/>
      </c>
      <c r="D71" s="234" t="str">
        <f>'Building Bill of Materials_SLIM'!R71</f>
        <v/>
      </c>
      <c r="E71" s="234" t="str">
        <f>'Building Bill of Materials_SLIM'!S71</f>
        <v/>
      </c>
      <c r="F71" s="234"/>
      <c r="G71" s="234"/>
      <c r="H71" s="234"/>
      <c r="I71" s="234"/>
      <c r="J71" s="234" t="str">
        <f>'Building Bill of Materials_SLIM'!V71</f>
        <v/>
      </c>
      <c r="K71" s="238"/>
      <c r="L71" s="238"/>
      <c r="M71" s="238"/>
      <c r="N71" s="238"/>
      <c r="O71" s="238"/>
      <c r="P71" s="238"/>
      <c r="Q71" s="238"/>
      <c r="R71" s="238"/>
      <c r="S71" s="238"/>
      <c r="T71" s="238"/>
      <c r="U71" s="238"/>
      <c r="V71" s="238"/>
      <c r="W71" s="238"/>
      <c r="X71" s="238"/>
      <c r="Y71" s="238"/>
      <c r="Z71" s="238"/>
      <c r="AA71" s="192"/>
      <c r="AB71" s="257"/>
      <c r="AC71" s="257"/>
      <c r="AD71" s="257"/>
      <c r="AE71" s="257"/>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38"/>
      <c r="BK71" s="238"/>
      <c r="BL71" s="238"/>
      <c r="BM71" s="238"/>
      <c r="BN71" s="238"/>
      <c r="BO71" s="238"/>
      <c r="BP71" s="238"/>
      <c r="BQ71" s="238"/>
      <c r="BR71" s="238"/>
      <c r="BS71" s="238"/>
      <c r="BT71" s="238"/>
      <c r="BU71" s="238"/>
      <c r="BV71" s="238"/>
      <c r="BW71" s="238"/>
      <c r="BX71" s="238"/>
      <c r="BY71" s="238"/>
      <c r="BZ71" s="238"/>
      <c r="CA71" s="238"/>
      <c r="CB71" s="238"/>
      <c r="CC71" s="238"/>
      <c r="CD71" s="238"/>
      <c r="CE71" s="257"/>
      <c r="CF71" s="257"/>
      <c r="CG71" s="238"/>
      <c r="CH71" s="238"/>
      <c r="CI71" s="238"/>
      <c r="CJ71" s="238"/>
      <c r="CK71" s="238"/>
      <c r="CL71" s="238"/>
      <c r="CM71" s="238"/>
      <c r="CN71" s="238"/>
      <c r="CO71" s="238"/>
      <c r="CP71" s="238"/>
      <c r="CQ71" s="238"/>
      <c r="CR71" s="238"/>
      <c r="CS71" s="238"/>
      <c r="CT71" s="238"/>
      <c r="CU71" s="238"/>
      <c r="CV71" s="238"/>
      <c r="CW71" s="238"/>
      <c r="CX71" s="238"/>
      <c r="CY71" s="238"/>
      <c r="CZ71" s="238"/>
      <c r="DA71" s="238"/>
      <c r="DB71" s="238"/>
      <c r="DC71" s="238"/>
      <c r="DD71" s="238"/>
      <c r="DE71" s="238"/>
      <c r="DF71" s="238"/>
      <c r="DG71" s="257"/>
      <c r="DH71" s="238"/>
      <c r="DI71" s="238"/>
      <c r="DJ71" s="238"/>
      <c r="DK71" s="238"/>
      <c r="DL71" s="238"/>
      <c r="DM71" s="238"/>
      <c r="DN71" s="238"/>
      <c r="DO71" s="238"/>
      <c r="DP71" s="238"/>
      <c r="DQ71" s="238"/>
      <c r="DR71" s="238"/>
      <c r="DS71" s="238"/>
      <c r="DT71" s="238"/>
      <c r="DU71" s="238"/>
      <c r="DV71" s="238"/>
      <c r="DW71" s="238"/>
      <c r="DX71" s="238"/>
      <c r="DY71" s="238"/>
      <c r="DZ71" s="238"/>
      <c r="EA71" s="238"/>
      <c r="EB71" s="238"/>
      <c r="EC71" s="238"/>
      <c r="ED71" s="238"/>
      <c r="EE71" s="238"/>
      <c r="EF71" s="238"/>
      <c r="EG71" s="238"/>
      <c r="EH71" s="238"/>
      <c r="EI71" s="238"/>
      <c r="EJ71" s="238"/>
      <c r="EK71" s="238"/>
      <c r="EL71" s="238"/>
      <c r="EM71" s="238"/>
      <c r="EN71" s="238"/>
      <c r="EO71" s="238"/>
      <c r="EP71" s="238"/>
      <c r="EQ71" s="238"/>
      <c r="ER71" s="238"/>
      <c r="ES71" s="238"/>
      <c r="ET71" s="238"/>
      <c r="EU71" s="238"/>
      <c r="EV71" s="238"/>
      <c r="EW71" s="238"/>
      <c r="EX71" s="238"/>
      <c r="EY71" s="238"/>
      <c r="EZ71" s="238"/>
      <c r="FA71" s="238"/>
      <c r="FB71" s="238"/>
      <c r="FC71" s="238"/>
      <c r="FD71" s="238"/>
      <c r="FE71" s="238"/>
      <c r="FF71" s="238"/>
      <c r="FG71" s="238"/>
      <c r="FH71" s="257"/>
      <c r="FI71" s="257"/>
      <c r="FJ71" s="257"/>
      <c r="FK71" s="257"/>
      <c r="FL71" s="257"/>
      <c r="FM71" s="257"/>
      <c r="FN71" s="257"/>
      <c r="FO71" s="257"/>
      <c r="FP71" s="257"/>
      <c r="FQ71" s="257"/>
      <c r="FR71" s="257"/>
      <c r="FS71" s="257"/>
      <c r="FT71" s="257"/>
      <c r="FU71" s="257"/>
      <c r="FV71" s="257"/>
      <c r="FW71" s="257"/>
      <c r="FX71" s="257"/>
      <c r="FY71" s="238"/>
      <c r="FZ71" s="238"/>
      <c r="GA71" s="238"/>
      <c r="GB71" s="238"/>
      <c r="GC71" s="238"/>
      <c r="GD71" s="238"/>
      <c r="GE71" s="238"/>
      <c r="GF71" s="238"/>
      <c r="GG71" s="238"/>
      <c r="GH71" s="238"/>
      <c r="GI71" s="238"/>
      <c r="GJ71" s="238"/>
      <c r="GK71" s="238"/>
      <c r="GL71" s="238"/>
      <c r="GM71" s="238"/>
      <c r="GN71" s="238"/>
      <c r="GO71" s="238"/>
      <c r="GP71" s="238"/>
      <c r="GQ71" s="238"/>
      <c r="GR71" s="238"/>
      <c r="GS71" s="238"/>
      <c r="GT71" s="238"/>
      <c r="GU71" s="238"/>
      <c r="GV71" s="238"/>
      <c r="GW71" s="238"/>
      <c r="GX71" s="238"/>
      <c r="GY71" s="238"/>
      <c r="GZ71" s="238"/>
      <c r="HA71" s="238"/>
      <c r="HB71" s="238"/>
      <c r="HC71" s="238"/>
      <c r="HD71" s="238"/>
      <c r="HE71" s="238"/>
      <c r="HF71" s="238"/>
      <c r="HG71" s="238"/>
      <c r="HH71" s="238"/>
      <c r="HI71" s="238"/>
      <c r="HJ71" s="238"/>
      <c r="HK71" s="238"/>
      <c r="HL71" s="238"/>
      <c r="HM71" s="238"/>
      <c r="HN71" s="238"/>
      <c r="HO71" s="238"/>
      <c r="HP71" s="238"/>
      <c r="HQ71" s="238"/>
      <c r="HR71" s="238"/>
      <c r="HS71" s="238"/>
      <c r="HT71" s="238"/>
      <c r="HU71" s="238"/>
      <c r="HV71" s="238"/>
      <c r="HW71" s="238"/>
      <c r="HX71" s="257"/>
      <c r="HY71" s="257"/>
      <c r="HZ71" s="257"/>
      <c r="IA71" s="257"/>
      <c r="IB71" s="257"/>
      <c r="IC71" s="257"/>
      <c r="ID71" s="257"/>
      <c r="IE71" s="257"/>
      <c r="IF71" s="257"/>
      <c r="IG71" s="257"/>
      <c r="IH71" s="257"/>
      <c r="II71" s="257"/>
      <c r="IJ71" s="257"/>
      <c r="IK71" s="257"/>
      <c r="IL71" s="257"/>
      <c r="IM71" s="257"/>
      <c r="IN71" s="257"/>
      <c r="IO71" s="257"/>
      <c r="IP71" s="257"/>
      <c r="IQ71" s="257"/>
      <c r="IR71" s="257"/>
      <c r="IS71" s="257"/>
      <c r="IT71" s="257"/>
      <c r="IU71" s="257"/>
      <c r="IV71" s="257"/>
      <c r="IW71" s="257"/>
      <c r="IX71" s="257"/>
      <c r="IY71" s="257"/>
      <c r="IZ71" s="257"/>
      <c r="JA71" s="257"/>
      <c r="JB71" s="257"/>
      <c r="JC71" s="257"/>
      <c r="JD71" s="257"/>
      <c r="JE71" s="257"/>
      <c r="JF71" s="238"/>
      <c r="JG71" s="238"/>
      <c r="JH71" s="238"/>
      <c r="JI71" s="238"/>
      <c r="JJ71" s="238"/>
      <c r="JK71" s="238"/>
      <c r="JL71" s="238"/>
      <c r="JM71" s="238"/>
      <c r="JN71" s="238"/>
      <c r="JO71" s="238"/>
      <c r="JP71" s="238"/>
      <c r="JQ71" s="238"/>
      <c r="JR71" s="238"/>
      <c r="JS71" s="238"/>
      <c r="JT71" s="238"/>
      <c r="JU71" s="238"/>
      <c r="JV71" s="238"/>
      <c r="JW71" s="238"/>
      <c r="JX71" s="238"/>
      <c r="JY71" s="238"/>
      <c r="JZ71" s="238"/>
      <c r="KA71" s="238"/>
      <c r="KB71" s="238"/>
      <c r="KC71" s="238"/>
      <c r="KD71" s="238"/>
      <c r="KE71" s="238"/>
      <c r="KF71" s="238"/>
      <c r="KG71" s="238"/>
      <c r="KH71" s="238"/>
      <c r="KI71" s="238"/>
      <c r="KJ71" s="238"/>
      <c r="KK71" s="238"/>
      <c r="KL71" s="238"/>
      <c r="KM71" s="238"/>
      <c r="KN71" s="238"/>
      <c r="KO71" s="238"/>
      <c r="KP71" s="238"/>
      <c r="KQ71" s="238"/>
      <c r="KR71" s="238"/>
      <c r="KS71" s="238"/>
      <c r="KT71" s="238"/>
      <c r="KU71" s="238"/>
      <c r="KV71" s="238"/>
      <c r="KW71" s="238"/>
      <c r="KX71" s="238"/>
      <c r="KY71" s="238"/>
      <c r="KZ71" s="238"/>
      <c r="LA71" s="238"/>
      <c r="LB71" s="238"/>
      <c r="LC71" s="238"/>
      <c r="LD71" s="238"/>
      <c r="LE71" s="238"/>
      <c r="LF71" s="238"/>
      <c r="LG71" s="238"/>
      <c r="LH71" s="238"/>
      <c r="LI71" s="238"/>
      <c r="LJ71" s="238"/>
      <c r="LK71" s="238"/>
      <c r="LL71" s="238"/>
      <c r="LM71" s="238"/>
      <c r="LN71" s="238"/>
      <c r="LO71" s="238"/>
      <c r="LP71" s="238"/>
      <c r="LQ71" s="238"/>
      <c r="LR71" s="238"/>
      <c r="LS71" s="238"/>
      <c r="LT71" s="238"/>
      <c r="LU71" s="238"/>
      <c r="LV71" s="238"/>
      <c r="LW71" s="238"/>
      <c r="LX71" s="238"/>
      <c r="LY71" s="238"/>
      <c r="LZ71" s="238"/>
      <c r="MA71" s="238"/>
      <c r="MB71" s="238"/>
      <c r="MC71" s="238"/>
      <c r="MD71" s="238"/>
      <c r="ME71" s="238"/>
      <c r="MF71" s="238"/>
      <c r="MG71" s="238"/>
      <c r="MH71" s="238"/>
      <c r="MI71" s="238"/>
      <c r="MJ71" s="238"/>
      <c r="MK71" s="238"/>
      <c r="ML71" s="238"/>
    </row>
    <row r="72" ht="18.75" customHeight="1">
      <c r="A72" s="283"/>
      <c r="B72" s="234" t="str">
        <f>'Building Bill of Materials_SLIM'!P72</f>
        <v/>
      </c>
      <c r="C72" s="234" t="str">
        <f>'Building Bill of Materials_SLIM'!Q72</f>
        <v/>
      </c>
      <c r="D72" s="234" t="str">
        <f>'Building Bill of Materials_SLIM'!R72</f>
        <v/>
      </c>
      <c r="E72" s="234" t="str">
        <f>'Building Bill of Materials_SLIM'!S72</f>
        <v/>
      </c>
      <c r="F72" s="234"/>
      <c r="G72" s="234"/>
      <c r="H72" s="234"/>
      <c r="I72" s="234"/>
      <c r="J72" s="234" t="str">
        <f>'Building Bill of Materials_SLIM'!V72</f>
        <v/>
      </c>
      <c r="K72" s="238"/>
      <c r="L72" s="238"/>
      <c r="M72" s="238"/>
      <c r="N72" s="238"/>
      <c r="O72" s="238"/>
      <c r="P72" s="238"/>
      <c r="Q72" s="238"/>
      <c r="R72" s="238"/>
      <c r="S72" s="238"/>
      <c r="T72" s="238"/>
      <c r="U72" s="238"/>
      <c r="V72" s="238"/>
      <c r="W72" s="238"/>
      <c r="X72" s="238"/>
      <c r="Y72" s="238"/>
      <c r="Z72" s="238"/>
      <c r="AA72" s="192"/>
      <c r="AB72" s="257"/>
      <c r="AC72" s="257"/>
      <c r="AD72" s="257"/>
      <c r="AE72" s="257"/>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38"/>
      <c r="BK72" s="238"/>
      <c r="BL72" s="238"/>
      <c r="BM72" s="238"/>
      <c r="BN72" s="238"/>
      <c r="BO72" s="238"/>
      <c r="BP72" s="238"/>
      <c r="BQ72" s="238"/>
      <c r="BR72" s="238"/>
      <c r="BS72" s="238"/>
      <c r="BT72" s="238"/>
      <c r="BU72" s="238"/>
      <c r="BV72" s="238"/>
      <c r="BW72" s="238"/>
      <c r="BX72" s="238"/>
      <c r="BY72" s="238"/>
      <c r="BZ72" s="238"/>
      <c r="CA72" s="238"/>
      <c r="CB72" s="238"/>
      <c r="CC72" s="238"/>
      <c r="CD72" s="238"/>
      <c r="CE72" s="257"/>
      <c r="CF72" s="257"/>
      <c r="CG72" s="238"/>
      <c r="CH72" s="238"/>
      <c r="CI72" s="238"/>
      <c r="CJ72" s="238"/>
      <c r="CK72" s="238"/>
      <c r="CL72" s="238"/>
      <c r="CM72" s="238"/>
      <c r="CN72" s="238"/>
      <c r="CO72" s="238"/>
      <c r="CP72" s="238"/>
      <c r="CQ72" s="238"/>
      <c r="CR72" s="238"/>
      <c r="CS72" s="238"/>
      <c r="CT72" s="238"/>
      <c r="CU72" s="238"/>
      <c r="CV72" s="238"/>
      <c r="CW72" s="238"/>
      <c r="CX72" s="238"/>
      <c r="CY72" s="238"/>
      <c r="CZ72" s="238"/>
      <c r="DA72" s="238"/>
      <c r="DB72" s="238"/>
      <c r="DC72" s="238"/>
      <c r="DD72" s="238"/>
      <c r="DE72" s="238"/>
      <c r="DF72" s="238"/>
      <c r="DG72" s="257"/>
      <c r="DH72" s="238"/>
      <c r="DI72" s="238"/>
      <c r="DJ72" s="238"/>
      <c r="DK72" s="238"/>
      <c r="DL72" s="238"/>
      <c r="DM72" s="238"/>
      <c r="DN72" s="238"/>
      <c r="DO72" s="238"/>
      <c r="DP72" s="238"/>
      <c r="DQ72" s="238"/>
      <c r="DR72" s="238"/>
      <c r="DS72" s="238"/>
      <c r="DT72" s="238"/>
      <c r="DU72" s="238"/>
      <c r="DV72" s="238"/>
      <c r="DW72" s="238"/>
      <c r="DX72" s="238"/>
      <c r="DY72" s="238"/>
      <c r="DZ72" s="238"/>
      <c r="EA72" s="238"/>
      <c r="EB72" s="238"/>
      <c r="EC72" s="238"/>
      <c r="ED72" s="238"/>
      <c r="EE72" s="238"/>
      <c r="EF72" s="238"/>
      <c r="EG72" s="238"/>
      <c r="EH72" s="238"/>
      <c r="EI72" s="238"/>
      <c r="EJ72" s="238"/>
      <c r="EK72" s="238"/>
      <c r="EL72" s="238"/>
      <c r="EM72" s="238"/>
      <c r="EN72" s="238"/>
      <c r="EO72" s="238"/>
      <c r="EP72" s="238"/>
      <c r="EQ72" s="238"/>
      <c r="ER72" s="238"/>
      <c r="ES72" s="238"/>
      <c r="ET72" s="238"/>
      <c r="EU72" s="238"/>
      <c r="EV72" s="238"/>
      <c r="EW72" s="238"/>
      <c r="EX72" s="238"/>
      <c r="EY72" s="238"/>
      <c r="EZ72" s="238"/>
      <c r="FA72" s="238"/>
      <c r="FB72" s="238"/>
      <c r="FC72" s="238"/>
      <c r="FD72" s="238"/>
      <c r="FE72" s="238"/>
      <c r="FF72" s="238"/>
      <c r="FG72" s="238"/>
      <c r="FH72" s="257"/>
      <c r="FI72" s="257"/>
      <c r="FJ72" s="257"/>
      <c r="FK72" s="257"/>
      <c r="FL72" s="257"/>
      <c r="FM72" s="257"/>
      <c r="FN72" s="257"/>
      <c r="FO72" s="257"/>
      <c r="FP72" s="257"/>
      <c r="FQ72" s="257"/>
      <c r="FR72" s="257"/>
      <c r="FS72" s="257"/>
      <c r="FT72" s="257"/>
      <c r="FU72" s="257"/>
      <c r="FV72" s="257"/>
      <c r="FW72" s="257"/>
      <c r="FX72" s="257"/>
      <c r="FY72" s="238"/>
      <c r="FZ72" s="238"/>
      <c r="GA72" s="238"/>
      <c r="GB72" s="238"/>
      <c r="GC72" s="238"/>
      <c r="GD72" s="238"/>
      <c r="GE72" s="238"/>
      <c r="GF72" s="238"/>
      <c r="GG72" s="238"/>
      <c r="GH72" s="238"/>
      <c r="GI72" s="238"/>
      <c r="GJ72" s="238"/>
      <c r="GK72" s="238"/>
      <c r="GL72" s="238"/>
      <c r="GM72" s="238"/>
      <c r="GN72" s="238"/>
      <c r="GO72" s="238"/>
      <c r="GP72" s="238"/>
      <c r="GQ72" s="238"/>
      <c r="GR72" s="238"/>
      <c r="GS72" s="238"/>
      <c r="GT72" s="238"/>
      <c r="GU72" s="238"/>
      <c r="GV72" s="238"/>
      <c r="GW72" s="238"/>
      <c r="GX72" s="238"/>
      <c r="GY72" s="238"/>
      <c r="GZ72" s="238"/>
      <c r="HA72" s="238"/>
      <c r="HB72" s="238"/>
      <c r="HC72" s="238"/>
      <c r="HD72" s="238"/>
      <c r="HE72" s="238"/>
      <c r="HF72" s="238"/>
      <c r="HG72" s="238"/>
      <c r="HH72" s="238"/>
      <c r="HI72" s="238"/>
      <c r="HJ72" s="238"/>
      <c r="HK72" s="238"/>
      <c r="HL72" s="238"/>
      <c r="HM72" s="238"/>
      <c r="HN72" s="238"/>
      <c r="HO72" s="238"/>
      <c r="HP72" s="238"/>
      <c r="HQ72" s="238"/>
      <c r="HR72" s="238"/>
      <c r="HS72" s="238"/>
      <c r="HT72" s="238"/>
      <c r="HU72" s="238"/>
      <c r="HV72" s="238"/>
      <c r="HW72" s="238"/>
      <c r="HX72" s="257"/>
      <c r="HY72" s="257"/>
      <c r="HZ72" s="257"/>
      <c r="IA72" s="257"/>
      <c r="IB72" s="257"/>
      <c r="IC72" s="257"/>
      <c r="ID72" s="257"/>
      <c r="IE72" s="257"/>
      <c r="IF72" s="257"/>
      <c r="IG72" s="257"/>
      <c r="IH72" s="257"/>
      <c r="II72" s="257"/>
      <c r="IJ72" s="257"/>
      <c r="IK72" s="257"/>
      <c r="IL72" s="257"/>
      <c r="IM72" s="257"/>
      <c r="IN72" s="257"/>
      <c r="IO72" s="257"/>
      <c r="IP72" s="257"/>
      <c r="IQ72" s="257"/>
      <c r="IR72" s="257"/>
      <c r="IS72" s="257"/>
      <c r="IT72" s="257"/>
      <c r="IU72" s="257"/>
      <c r="IV72" s="257"/>
      <c r="IW72" s="257"/>
      <c r="IX72" s="257"/>
      <c r="IY72" s="257"/>
      <c r="IZ72" s="257"/>
      <c r="JA72" s="257"/>
      <c r="JB72" s="257"/>
      <c r="JC72" s="257"/>
      <c r="JD72" s="257"/>
      <c r="JE72" s="257"/>
      <c r="JF72" s="238"/>
      <c r="JG72" s="238"/>
      <c r="JH72" s="238"/>
      <c r="JI72" s="238"/>
      <c r="JJ72" s="238"/>
      <c r="JK72" s="238"/>
      <c r="JL72" s="238"/>
      <c r="JM72" s="238"/>
      <c r="JN72" s="238"/>
      <c r="JO72" s="238"/>
      <c r="JP72" s="238"/>
      <c r="JQ72" s="238"/>
      <c r="JR72" s="238"/>
      <c r="JS72" s="238"/>
      <c r="JT72" s="238"/>
      <c r="JU72" s="238"/>
      <c r="JV72" s="238"/>
      <c r="JW72" s="238"/>
      <c r="JX72" s="238"/>
      <c r="JY72" s="238"/>
      <c r="JZ72" s="238"/>
      <c r="KA72" s="238"/>
      <c r="KB72" s="238"/>
      <c r="KC72" s="238"/>
      <c r="KD72" s="238"/>
      <c r="KE72" s="238"/>
      <c r="KF72" s="238"/>
      <c r="KG72" s="238"/>
      <c r="KH72" s="238"/>
      <c r="KI72" s="238"/>
      <c r="KJ72" s="238"/>
      <c r="KK72" s="238"/>
      <c r="KL72" s="238"/>
      <c r="KM72" s="238"/>
      <c r="KN72" s="238"/>
      <c r="KO72" s="238"/>
      <c r="KP72" s="238"/>
      <c r="KQ72" s="238"/>
      <c r="KR72" s="238"/>
      <c r="KS72" s="238"/>
      <c r="KT72" s="238"/>
      <c r="KU72" s="238"/>
      <c r="KV72" s="238"/>
      <c r="KW72" s="238"/>
      <c r="KX72" s="238"/>
      <c r="KY72" s="238"/>
      <c r="KZ72" s="238"/>
      <c r="LA72" s="238"/>
      <c r="LB72" s="238"/>
      <c r="LC72" s="238"/>
      <c r="LD72" s="238"/>
      <c r="LE72" s="238"/>
      <c r="LF72" s="238"/>
      <c r="LG72" s="238"/>
      <c r="LH72" s="238"/>
      <c r="LI72" s="238"/>
      <c r="LJ72" s="238"/>
      <c r="LK72" s="238"/>
      <c r="LL72" s="238"/>
      <c r="LM72" s="238"/>
      <c r="LN72" s="238"/>
      <c r="LO72" s="238"/>
      <c r="LP72" s="238"/>
      <c r="LQ72" s="238"/>
      <c r="LR72" s="238"/>
      <c r="LS72" s="238"/>
      <c r="LT72" s="238"/>
      <c r="LU72" s="238"/>
      <c r="LV72" s="238"/>
      <c r="LW72" s="238"/>
      <c r="LX72" s="238"/>
      <c r="LY72" s="238"/>
      <c r="LZ72" s="238"/>
      <c r="MA72" s="238"/>
      <c r="MB72" s="238"/>
      <c r="MC72" s="238"/>
      <c r="MD72" s="238"/>
      <c r="ME72" s="238"/>
      <c r="MF72" s="238"/>
      <c r="MG72" s="238"/>
      <c r="MH72" s="238"/>
      <c r="MI72" s="238"/>
      <c r="MJ72" s="238"/>
      <c r="MK72" s="238"/>
      <c r="ML72" s="238"/>
    </row>
    <row r="73" ht="18.75" customHeight="1">
      <c r="A73" s="283"/>
      <c r="B73" s="234" t="str">
        <f>'Building Bill of Materials_SLIM'!P73</f>
        <v/>
      </c>
      <c r="C73" s="234" t="str">
        <f>'Building Bill of Materials_SLIM'!Q73</f>
        <v/>
      </c>
      <c r="D73" s="234" t="str">
        <f>'Building Bill of Materials_SLIM'!R73</f>
        <v/>
      </c>
      <c r="E73" s="234" t="str">
        <f>'Building Bill of Materials_SLIM'!S73</f>
        <v/>
      </c>
      <c r="F73" s="234"/>
      <c r="G73" s="234"/>
      <c r="H73" s="234"/>
      <c r="I73" s="234"/>
      <c r="J73" s="234" t="str">
        <f>'Building Bill of Materials_SLIM'!V73</f>
        <v/>
      </c>
      <c r="K73" s="238"/>
      <c r="L73" s="238"/>
      <c r="M73" s="238"/>
      <c r="N73" s="238"/>
      <c r="O73" s="238"/>
      <c r="P73" s="238"/>
      <c r="Q73" s="238"/>
      <c r="R73" s="238"/>
      <c r="S73" s="238"/>
      <c r="T73" s="238"/>
      <c r="U73" s="238"/>
      <c r="V73" s="238"/>
      <c r="W73" s="238"/>
      <c r="X73" s="238"/>
      <c r="Y73" s="238"/>
      <c r="Z73" s="238"/>
      <c r="AA73" s="192"/>
      <c r="AB73" s="257"/>
      <c r="AC73" s="257"/>
      <c r="AD73" s="257"/>
      <c r="AE73" s="257"/>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38"/>
      <c r="BK73" s="238"/>
      <c r="BL73" s="238"/>
      <c r="BM73" s="238"/>
      <c r="BN73" s="238"/>
      <c r="BO73" s="238"/>
      <c r="BP73" s="238"/>
      <c r="BQ73" s="238"/>
      <c r="BR73" s="238"/>
      <c r="BS73" s="238"/>
      <c r="BT73" s="238"/>
      <c r="BU73" s="238"/>
      <c r="BV73" s="238"/>
      <c r="BW73" s="238"/>
      <c r="BX73" s="238"/>
      <c r="BY73" s="238"/>
      <c r="BZ73" s="238"/>
      <c r="CA73" s="238"/>
      <c r="CB73" s="238"/>
      <c r="CC73" s="238"/>
      <c r="CD73" s="238"/>
      <c r="CE73" s="257"/>
      <c r="CF73" s="257"/>
      <c r="CG73" s="238"/>
      <c r="CH73" s="238"/>
      <c r="CI73" s="238"/>
      <c r="CJ73" s="238"/>
      <c r="CK73" s="238"/>
      <c r="CL73" s="238"/>
      <c r="CM73" s="238"/>
      <c r="CN73" s="238"/>
      <c r="CO73" s="238"/>
      <c r="CP73" s="238"/>
      <c r="CQ73" s="238"/>
      <c r="CR73" s="238"/>
      <c r="CS73" s="238"/>
      <c r="CT73" s="238"/>
      <c r="CU73" s="238"/>
      <c r="CV73" s="238"/>
      <c r="CW73" s="238"/>
      <c r="CX73" s="238"/>
      <c r="CY73" s="238"/>
      <c r="CZ73" s="238"/>
      <c r="DA73" s="238"/>
      <c r="DB73" s="238"/>
      <c r="DC73" s="238"/>
      <c r="DD73" s="238"/>
      <c r="DE73" s="238"/>
      <c r="DF73" s="238"/>
      <c r="DG73" s="257"/>
      <c r="DH73" s="238"/>
      <c r="DI73" s="238"/>
      <c r="DJ73" s="238"/>
      <c r="DK73" s="238"/>
      <c r="DL73" s="238"/>
      <c r="DM73" s="238"/>
      <c r="DN73" s="238"/>
      <c r="DO73" s="238"/>
      <c r="DP73" s="238"/>
      <c r="DQ73" s="238"/>
      <c r="DR73" s="238"/>
      <c r="DS73" s="238"/>
      <c r="DT73" s="238"/>
      <c r="DU73" s="238"/>
      <c r="DV73" s="238"/>
      <c r="DW73" s="238"/>
      <c r="DX73" s="238"/>
      <c r="DY73" s="238"/>
      <c r="DZ73" s="238"/>
      <c r="EA73" s="238"/>
      <c r="EB73" s="238"/>
      <c r="EC73" s="238"/>
      <c r="ED73" s="238"/>
      <c r="EE73" s="238"/>
      <c r="EF73" s="238"/>
      <c r="EG73" s="238"/>
      <c r="EH73" s="238"/>
      <c r="EI73" s="238"/>
      <c r="EJ73" s="238"/>
      <c r="EK73" s="238"/>
      <c r="EL73" s="238"/>
      <c r="EM73" s="238"/>
      <c r="EN73" s="238"/>
      <c r="EO73" s="238"/>
      <c r="EP73" s="238"/>
      <c r="EQ73" s="238"/>
      <c r="ER73" s="238"/>
      <c r="ES73" s="238"/>
      <c r="ET73" s="238"/>
      <c r="EU73" s="238"/>
      <c r="EV73" s="238"/>
      <c r="EW73" s="238"/>
      <c r="EX73" s="238"/>
      <c r="EY73" s="238"/>
      <c r="EZ73" s="238"/>
      <c r="FA73" s="238"/>
      <c r="FB73" s="238"/>
      <c r="FC73" s="238"/>
      <c r="FD73" s="238"/>
      <c r="FE73" s="238"/>
      <c r="FF73" s="238"/>
      <c r="FG73" s="238"/>
      <c r="FH73" s="257"/>
      <c r="FI73" s="257"/>
      <c r="FJ73" s="257"/>
      <c r="FK73" s="257"/>
      <c r="FL73" s="257"/>
      <c r="FM73" s="257"/>
      <c r="FN73" s="257"/>
      <c r="FO73" s="257"/>
      <c r="FP73" s="257"/>
      <c r="FQ73" s="257"/>
      <c r="FR73" s="257"/>
      <c r="FS73" s="257"/>
      <c r="FT73" s="257"/>
      <c r="FU73" s="257"/>
      <c r="FV73" s="257"/>
      <c r="FW73" s="257"/>
      <c r="FX73" s="257"/>
      <c r="FY73" s="238"/>
      <c r="FZ73" s="238"/>
      <c r="GA73" s="238"/>
      <c r="GB73" s="238"/>
      <c r="GC73" s="238"/>
      <c r="GD73" s="238"/>
      <c r="GE73" s="238"/>
      <c r="GF73" s="238"/>
      <c r="GG73" s="238"/>
      <c r="GH73" s="238"/>
      <c r="GI73" s="238"/>
      <c r="GJ73" s="238"/>
      <c r="GK73" s="238"/>
      <c r="GL73" s="238"/>
      <c r="GM73" s="238"/>
      <c r="GN73" s="238"/>
      <c r="GO73" s="238"/>
      <c r="GP73" s="238"/>
      <c r="GQ73" s="238"/>
      <c r="GR73" s="238"/>
      <c r="GS73" s="238"/>
      <c r="GT73" s="238"/>
      <c r="GU73" s="238"/>
      <c r="GV73" s="238"/>
      <c r="GW73" s="238"/>
      <c r="GX73" s="238"/>
      <c r="GY73" s="238"/>
      <c r="GZ73" s="238"/>
      <c r="HA73" s="238"/>
      <c r="HB73" s="238"/>
      <c r="HC73" s="238"/>
      <c r="HD73" s="238"/>
      <c r="HE73" s="238"/>
      <c r="HF73" s="238"/>
      <c r="HG73" s="238"/>
      <c r="HH73" s="238"/>
      <c r="HI73" s="238"/>
      <c r="HJ73" s="238"/>
      <c r="HK73" s="238"/>
      <c r="HL73" s="238"/>
      <c r="HM73" s="238"/>
      <c r="HN73" s="238"/>
      <c r="HO73" s="238"/>
      <c r="HP73" s="238"/>
      <c r="HQ73" s="238"/>
      <c r="HR73" s="238"/>
      <c r="HS73" s="238"/>
      <c r="HT73" s="238"/>
      <c r="HU73" s="238"/>
      <c r="HV73" s="238"/>
      <c r="HW73" s="238"/>
      <c r="HX73" s="257"/>
      <c r="HY73" s="257"/>
      <c r="HZ73" s="257"/>
      <c r="IA73" s="257"/>
      <c r="IB73" s="257"/>
      <c r="IC73" s="257"/>
      <c r="ID73" s="257"/>
      <c r="IE73" s="257"/>
      <c r="IF73" s="257"/>
      <c r="IG73" s="257"/>
      <c r="IH73" s="257"/>
      <c r="II73" s="257"/>
      <c r="IJ73" s="257"/>
      <c r="IK73" s="257"/>
      <c r="IL73" s="257"/>
      <c r="IM73" s="257"/>
      <c r="IN73" s="257"/>
      <c r="IO73" s="257"/>
      <c r="IP73" s="257"/>
      <c r="IQ73" s="257"/>
      <c r="IR73" s="257"/>
      <c r="IS73" s="257"/>
      <c r="IT73" s="257"/>
      <c r="IU73" s="257"/>
      <c r="IV73" s="257"/>
      <c r="IW73" s="257"/>
      <c r="IX73" s="257"/>
      <c r="IY73" s="257"/>
      <c r="IZ73" s="257"/>
      <c r="JA73" s="257"/>
      <c r="JB73" s="257"/>
      <c r="JC73" s="257"/>
      <c r="JD73" s="257"/>
      <c r="JE73" s="257"/>
      <c r="JF73" s="238"/>
      <c r="JG73" s="238"/>
      <c r="JH73" s="238"/>
      <c r="JI73" s="238"/>
      <c r="JJ73" s="238"/>
      <c r="JK73" s="238"/>
      <c r="JL73" s="238"/>
      <c r="JM73" s="238"/>
      <c r="JN73" s="238"/>
      <c r="JO73" s="238"/>
      <c r="JP73" s="238"/>
      <c r="JQ73" s="238"/>
      <c r="JR73" s="238"/>
      <c r="JS73" s="238"/>
      <c r="JT73" s="238"/>
      <c r="JU73" s="238"/>
      <c r="JV73" s="238"/>
      <c r="JW73" s="238"/>
      <c r="JX73" s="238"/>
      <c r="JY73" s="238"/>
      <c r="JZ73" s="238"/>
      <c r="KA73" s="238"/>
      <c r="KB73" s="238"/>
      <c r="KC73" s="238"/>
      <c r="KD73" s="238"/>
      <c r="KE73" s="238"/>
      <c r="KF73" s="238"/>
      <c r="KG73" s="238"/>
      <c r="KH73" s="238"/>
      <c r="KI73" s="238"/>
      <c r="KJ73" s="238"/>
      <c r="KK73" s="238"/>
      <c r="KL73" s="238"/>
      <c r="KM73" s="238"/>
      <c r="KN73" s="238"/>
      <c r="KO73" s="238"/>
      <c r="KP73" s="238"/>
      <c r="KQ73" s="238"/>
      <c r="KR73" s="238"/>
      <c r="KS73" s="238"/>
      <c r="KT73" s="238"/>
      <c r="KU73" s="238"/>
      <c r="KV73" s="238"/>
      <c r="KW73" s="238"/>
      <c r="KX73" s="238"/>
      <c r="KY73" s="238"/>
      <c r="KZ73" s="238"/>
      <c r="LA73" s="238"/>
      <c r="LB73" s="238"/>
      <c r="LC73" s="238"/>
      <c r="LD73" s="238"/>
      <c r="LE73" s="238"/>
      <c r="LF73" s="238"/>
      <c r="LG73" s="238"/>
      <c r="LH73" s="238"/>
      <c r="LI73" s="238"/>
      <c r="LJ73" s="238"/>
      <c r="LK73" s="238"/>
      <c r="LL73" s="238"/>
      <c r="LM73" s="238"/>
      <c r="LN73" s="238"/>
      <c r="LO73" s="238"/>
      <c r="LP73" s="238"/>
      <c r="LQ73" s="238"/>
      <c r="LR73" s="238"/>
      <c r="LS73" s="238"/>
      <c r="LT73" s="238"/>
      <c r="LU73" s="238"/>
      <c r="LV73" s="238"/>
      <c r="LW73" s="238"/>
      <c r="LX73" s="238"/>
      <c r="LY73" s="238"/>
      <c r="LZ73" s="238"/>
      <c r="MA73" s="238"/>
      <c r="MB73" s="238"/>
      <c r="MC73" s="238"/>
      <c r="MD73" s="238"/>
      <c r="ME73" s="238"/>
      <c r="MF73" s="238"/>
      <c r="MG73" s="238"/>
      <c r="MH73" s="238"/>
      <c r="MI73" s="238"/>
      <c r="MJ73" s="238"/>
      <c r="MK73" s="238"/>
      <c r="ML73" s="238"/>
    </row>
    <row r="74" ht="18.75" customHeight="1">
      <c r="A74" s="283"/>
      <c r="B74" s="234" t="str">
        <f>'Building Bill of Materials_SLIM'!P74</f>
        <v/>
      </c>
      <c r="C74" s="234" t="str">
        <f>'Building Bill of Materials_SLIM'!Q74</f>
        <v/>
      </c>
      <c r="D74" s="234" t="str">
        <f>'Building Bill of Materials_SLIM'!R74</f>
        <v/>
      </c>
      <c r="E74" s="234" t="str">
        <f>'Building Bill of Materials_SLIM'!S74</f>
        <v/>
      </c>
      <c r="F74" s="234"/>
      <c r="G74" s="234"/>
      <c r="H74" s="234"/>
      <c r="I74" s="234"/>
      <c r="J74" s="234" t="str">
        <f>'Building Bill of Materials_SLIM'!V74</f>
        <v/>
      </c>
      <c r="K74" s="238"/>
      <c r="L74" s="238"/>
      <c r="M74" s="238"/>
      <c r="N74" s="238"/>
      <c r="O74" s="238"/>
      <c r="P74" s="238"/>
      <c r="Q74" s="238"/>
      <c r="R74" s="238"/>
      <c r="S74" s="238"/>
      <c r="T74" s="238"/>
      <c r="U74" s="238"/>
      <c r="V74" s="238"/>
      <c r="W74" s="238"/>
      <c r="X74" s="238"/>
      <c r="Y74" s="238"/>
      <c r="Z74" s="238"/>
      <c r="AA74" s="192"/>
      <c r="AB74" s="257"/>
      <c r="AC74" s="257"/>
      <c r="AD74" s="257"/>
      <c r="AE74" s="257"/>
      <c r="AF74" s="257"/>
      <c r="AG74" s="257"/>
      <c r="AH74" s="25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38"/>
      <c r="BK74" s="238"/>
      <c r="BL74" s="238"/>
      <c r="BM74" s="238"/>
      <c r="BN74" s="238"/>
      <c r="BO74" s="238"/>
      <c r="BP74" s="238"/>
      <c r="BQ74" s="238"/>
      <c r="BR74" s="238"/>
      <c r="BS74" s="238"/>
      <c r="BT74" s="238"/>
      <c r="BU74" s="238"/>
      <c r="BV74" s="238"/>
      <c r="BW74" s="238"/>
      <c r="BX74" s="238"/>
      <c r="BY74" s="238"/>
      <c r="BZ74" s="238"/>
      <c r="CA74" s="238"/>
      <c r="CB74" s="238"/>
      <c r="CC74" s="238"/>
      <c r="CD74" s="238"/>
      <c r="CE74" s="257"/>
      <c r="CF74" s="257"/>
      <c r="CG74" s="238"/>
      <c r="CH74" s="238"/>
      <c r="CI74" s="238"/>
      <c r="CJ74" s="238"/>
      <c r="CK74" s="238"/>
      <c r="CL74" s="238"/>
      <c r="CM74" s="238"/>
      <c r="CN74" s="238"/>
      <c r="CO74" s="238"/>
      <c r="CP74" s="238"/>
      <c r="CQ74" s="238"/>
      <c r="CR74" s="238"/>
      <c r="CS74" s="238"/>
      <c r="CT74" s="238"/>
      <c r="CU74" s="238"/>
      <c r="CV74" s="238"/>
      <c r="CW74" s="238"/>
      <c r="CX74" s="238"/>
      <c r="CY74" s="238"/>
      <c r="CZ74" s="238"/>
      <c r="DA74" s="238"/>
      <c r="DB74" s="238"/>
      <c r="DC74" s="238"/>
      <c r="DD74" s="238"/>
      <c r="DE74" s="238"/>
      <c r="DF74" s="238"/>
      <c r="DG74" s="257"/>
      <c r="DH74" s="238"/>
      <c r="DI74" s="238"/>
      <c r="DJ74" s="238"/>
      <c r="DK74" s="238"/>
      <c r="DL74" s="238"/>
      <c r="DM74" s="238"/>
      <c r="DN74" s="238"/>
      <c r="DO74" s="238"/>
      <c r="DP74" s="238"/>
      <c r="DQ74" s="238"/>
      <c r="DR74" s="238"/>
      <c r="DS74" s="238"/>
      <c r="DT74" s="238"/>
      <c r="DU74" s="238"/>
      <c r="DV74" s="238"/>
      <c r="DW74" s="238"/>
      <c r="DX74" s="238"/>
      <c r="DY74" s="238"/>
      <c r="DZ74" s="238"/>
      <c r="EA74" s="238"/>
      <c r="EB74" s="238"/>
      <c r="EC74" s="238"/>
      <c r="ED74" s="238"/>
      <c r="EE74" s="238"/>
      <c r="EF74" s="238"/>
      <c r="EG74" s="238"/>
      <c r="EH74" s="238"/>
      <c r="EI74" s="238"/>
      <c r="EJ74" s="238"/>
      <c r="EK74" s="238"/>
      <c r="EL74" s="238"/>
      <c r="EM74" s="238"/>
      <c r="EN74" s="238"/>
      <c r="EO74" s="238"/>
      <c r="EP74" s="238"/>
      <c r="EQ74" s="238"/>
      <c r="ER74" s="238"/>
      <c r="ES74" s="238"/>
      <c r="ET74" s="238"/>
      <c r="EU74" s="238"/>
      <c r="EV74" s="238"/>
      <c r="EW74" s="238"/>
      <c r="EX74" s="238"/>
      <c r="EY74" s="238"/>
      <c r="EZ74" s="238"/>
      <c r="FA74" s="238"/>
      <c r="FB74" s="238"/>
      <c r="FC74" s="238"/>
      <c r="FD74" s="238"/>
      <c r="FE74" s="238"/>
      <c r="FF74" s="238"/>
      <c r="FG74" s="238"/>
      <c r="FH74" s="257"/>
      <c r="FI74" s="257"/>
      <c r="FJ74" s="257"/>
      <c r="FK74" s="257"/>
      <c r="FL74" s="257"/>
      <c r="FM74" s="257"/>
      <c r="FN74" s="257"/>
      <c r="FO74" s="257"/>
      <c r="FP74" s="257"/>
      <c r="FQ74" s="257"/>
      <c r="FR74" s="257"/>
      <c r="FS74" s="257"/>
      <c r="FT74" s="257"/>
      <c r="FU74" s="257"/>
      <c r="FV74" s="257"/>
      <c r="FW74" s="257"/>
      <c r="FX74" s="257"/>
      <c r="FY74" s="238"/>
      <c r="FZ74" s="238"/>
      <c r="GA74" s="238"/>
      <c r="GB74" s="238"/>
      <c r="GC74" s="238"/>
      <c r="GD74" s="238"/>
      <c r="GE74" s="238"/>
      <c r="GF74" s="238"/>
      <c r="GG74" s="238"/>
      <c r="GH74" s="238"/>
      <c r="GI74" s="238"/>
      <c r="GJ74" s="238"/>
      <c r="GK74" s="238"/>
      <c r="GL74" s="238"/>
      <c r="GM74" s="238"/>
      <c r="GN74" s="238"/>
      <c r="GO74" s="238"/>
      <c r="GP74" s="238"/>
      <c r="GQ74" s="238"/>
      <c r="GR74" s="238"/>
      <c r="GS74" s="238"/>
      <c r="GT74" s="238"/>
      <c r="GU74" s="238"/>
      <c r="GV74" s="238"/>
      <c r="GW74" s="238"/>
      <c r="GX74" s="238"/>
      <c r="GY74" s="238"/>
      <c r="GZ74" s="238"/>
      <c r="HA74" s="238"/>
      <c r="HB74" s="238"/>
      <c r="HC74" s="238"/>
      <c r="HD74" s="238"/>
      <c r="HE74" s="238"/>
      <c r="HF74" s="238"/>
      <c r="HG74" s="238"/>
      <c r="HH74" s="238"/>
      <c r="HI74" s="238"/>
      <c r="HJ74" s="238"/>
      <c r="HK74" s="238"/>
      <c r="HL74" s="238"/>
      <c r="HM74" s="238"/>
      <c r="HN74" s="238"/>
      <c r="HO74" s="238"/>
      <c r="HP74" s="238"/>
      <c r="HQ74" s="238"/>
      <c r="HR74" s="238"/>
      <c r="HS74" s="238"/>
      <c r="HT74" s="238"/>
      <c r="HU74" s="238"/>
      <c r="HV74" s="238"/>
      <c r="HW74" s="238"/>
      <c r="HX74" s="257"/>
      <c r="HY74" s="257"/>
      <c r="HZ74" s="257"/>
      <c r="IA74" s="257"/>
      <c r="IB74" s="257"/>
      <c r="IC74" s="257"/>
      <c r="ID74" s="257"/>
      <c r="IE74" s="257"/>
      <c r="IF74" s="257"/>
      <c r="IG74" s="257"/>
      <c r="IH74" s="257"/>
      <c r="II74" s="257"/>
      <c r="IJ74" s="257"/>
      <c r="IK74" s="257"/>
      <c r="IL74" s="257"/>
      <c r="IM74" s="257"/>
      <c r="IN74" s="257"/>
      <c r="IO74" s="257"/>
      <c r="IP74" s="257"/>
      <c r="IQ74" s="257"/>
      <c r="IR74" s="257"/>
      <c r="IS74" s="257"/>
      <c r="IT74" s="257"/>
      <c r="IU74" s="257"/>
      <c r="IV74" s="257"/>
      <c r="IW74" s="257"/>
      <c r="IX74" s="257"/>
      <c r="IY74" s="257"/>
      <c r="IZ74" s="257"/>
      <c r="JA74" s="257"/>
      <c r="JB74" s="257"/>
      <c r="JC74" s="257"/>
      <c r="JD74" s="257"/>
      <c r="JE74" s="257"/>
      <c r="JF74" s="238"/>
      <c r="JG74" s="238"/>
      <c r="JH74" s="238"/>
      <c r="JI74" s="238"/>
      <c r="JJ74" s="238"/>
      <c r="JK74" s="238"/>
      <c r="JL74" s="238"/>
      <c r="JM74" s="238"/>
      <c r="JN74" s="238"/>
      <c r="JO74" s="238"/>
      <c r="JP74" s="238"/>
      <c r="JQ74" s="238"/>
      <c r="JR74" s="238"/>
      <c r="JS74" s="238"/>
      <c r="JT74" s="238"/>
      <c r="JU74" s="238"/>
      <c r="JV74" s="238"/>
      <c r="JW74" s="238"/>
      <c r="JX74" s="238"/>
      <c r="JY74" s="238"/>
      <c r="JZ74" s="238"/>
      <c r="KA74" s="238"/>
      <c r="KB74" s="238"/>
      <c r="KC74" s="238"/>
      <c r="KD74" s="238"/>
      <c r="KE74" s="238"/>
      <c r="KF74" s="238"/>
      <c r="KG74" s="238"/>
      <c r="KH74" s="238"/>
      <c r="KI74" s="238"/>
      <c r="KJ74" s="238"/>
      <c r="KK74" s="238"/>
      <c r="KL74" s="238"/>
      <c r="KM74" s="238"/>
      <c r="KN74" s="238"/>
      <c r="KO74" s="238"/>
      <c r="KP74" s="238"/>
      <c r="KQ74" s="238"/>
      <c r="KR74" s="238"/>
      <c r="KS74" s="238"/>
      <c r="KT74" s="238"/>
      <c r="KU74" s="238"/>
      <c r="KV74" s="238"/>
      <c r="KW74" s="238"/>
      <c r="KX74" s="238"/>
      <c r="KY74" s="238"/>
      <c r="KZ74" s="238"/>
      <c r="LA74" s="238"/>
      <c r="LB74" s="238"/>
      <c r="LC74" s="238"/>
      <c r="LD74" s="238"/>
      <c r="LE74" s="238"/>
      <c r="LF74" s="238"/>
      <c r="LG74" s="238"/>
      <c r="LH74" s="238"/>
      <c r="LI74" s="238"/>
      <c r="LJ74" s="238"/>
      <c r="LK74" s="238"/>
      <c r="LL74" s="238"/>
      <c r="LM74" s="238"/>
      <c r="LN74" s="238"/>
      <c r="LO74" s="238"/>
      <c r="LP74" s="238"/>
      <c r="LQ74" s="238"/>
      <c r="LR74" s="238"/>
      <c r="LS74" s="238"/>
      <c r="LT74" s="238"/>
      <c r="LU74" s="238"/>
      <c r="LV74" s="238"/>
      <c r="LW74" s="238"/>
      <c r="LX74" s="238"/>
      <c r="LY74" s="238"/>
      <c r="LZ74" s="238"/>
      <c r="MA74" s="238"/>
      <c r="MB74" s="238"/>
      <c r="MC74" s="238"/>
      <c r="MD74" s="238"/>
      <c r="ME74" s="238"/>
      <c r="MF74" s="238"/>
      <c r="MG74" s="238"/>
      <c r="MH74" s="238"/>
      <c r="MI74" s="238"/>
      <c r="MJ74" s="238"/>
      <c r="MK74" s="238"/>
      <c r="ML74" s="238"/>
    </row>
    <row r="75" ht="18.75" customHeight="1">
      <c r="A75" s="283"/>
      <c r="B75" s="234" t="str">
        <f>'Building Bill of Materials_SLIM'!P75</f>
        <v/>
      </c>
      <c r="C75" s="234" t="str">
        <f>'Building Bill of Materials_SLIM'!Q75</f>
        <v/>
      </c>
      <c r="D75" s="234" t="str">
        <f>'Building Bill of Materials_SLIM'!R75</f>
        <v/>
      </c>
      <c r="E75" s="234" t="str">
        <f>'Building Bill of Materials_SLIM'!S75</f>
        <v/>
      </c>
      <c r="F75" s="234"/>
      <c r="G75" s="234"/>
      <c r="H75" s="234"/>
      <c r="I75" s="234"/>
      <c r="J75" s="234" t="str">
        <f>'Building Bill of Materials_SLIM'!V75</f>
        <v/>
      </c>
      <c r="K75" s="238"/>
      <c r="L75" s="238"/>
      <c r="M75" s="238"/>
      <c r="N75" s="238"/>
      <c r="O75" s="238"/>
      <c r="P75" s="238"/>
      <c r="Q75" s="238"/>
      <c r="R75" s="238"/>
      <c r="S75" s="238"/>
      <c r="T75" s="238"/>
      <c r="U75" s="238"/>
      <c r="V75" s="238"/>
      <c r="W75" s="238"/>
      <c r="X75" s="238"/>
      <c r="Y75" s="238"/>
      <c r="Z75" s="238"/>
      <c r="AA75" s="192"/>
      <c r="AB75" s="257"/>
      <c r="AC75" s="257"/>
      <c r="AD75" s="257"/>
      <c r="AE75" s="257"/>
      <c r="AF75" s="257"/>
      <c r="AG75" s="257"/>
      <c r="AH75" s="25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38"/>
      <c r="BK75" s="238"/>
      <c r="BL75" s="238"/>
      <c r="BM75" s="238"/>
      <c r="BN75" s="238"/>
      <c r="BO75" s="238"/>
      <c r="BP75" s="238"/>
      <c r="BQ75" s="238"/>
      <c r="BR75" s="238"/>
      <c r="BS75" s="238"/>
      <c r="BT75" s="238"/>
      <c r="BU75" s="238"/>
      <c r="BV75" s="238"/>
      <c r="BW75" s="238"/>
      <c r="BX75" s="238"/>
      <c r="BY75" s="238"/>
      <c r="BZ75" s="238"/>
      <c r="CA75" s="238"/>
      <c r="CB75" s="238"/>
      <c r="CC75" s="238"/>
      <c r="CD75" s="238"/>
      <c r="CE75" s="257"/>
      <c r="CF75" s="257"/>
      <c r="CG75" s="238"/>
      <c r="CH75" s="238"/>
      <c r="CI75" s="238"/>
      <c r="CJ75" s="238"/>
      <c r="CK75" s="238"/>
      <c r="CL75" s="238"/>
      <c r="CM75" s="238"/>
      <c r="CN75" s="238"/>
      <c r="CO75" s="238"/>
      <c r="CP75" s="238"/>
      <c r="CQ75" s="238"/>
      <c r="CR75" s="238"/>
      <c r="CS75" s="238"/>
      <c r="CT75" s="238"/>
      <c r="CU75" s="238"/>
      <c r="CV75" s="238"/>
      <c r="CW75" s="238"/>
      <c r="CX75" s="238"/>
      <c r="CY75" s="238"/>
      <c r="CZ75" s="238"/>
      <c r="DA75" s="238"/>
      <c r="DB75" s="238"/>
      <c r="DC75" s="238"/>
      <c r="DD75" s="238"/>
      <c r="DE75" s="238"/>
      <c r="DF75" s="238"/>
      <c r="DG75" s="257"/>
      <c r="DH75" s="238"/>
      <c r="DI75" s="238"/>
      <c r="DJ75" s="238"/>
      <c r="DK75" s="238"/>
      <c r="DL75" s="238"/>
      <c r="DM75" s="238"/>
      <c r="DN75" s="238"/>
      <c r="DO75" s="238"/>
      <c r="DP75" s="238"/>
      <c r="DQ75" s="238"/>
      <c r="DR75" s="238"/>
      <c r="DS75" s="238"/>
      <c r="DT75" s="238"/>
      <c r="DU75" s="238"/>
      <c r="DV75" s="238"/>
      <c r="DW75" s="238"/>
      <c r="DX75" s="238"/>
      <c r="DY75" s="238"/>
      <c r="DZ75" s="238"/>
      <c r="EA75" s="238"/>
      <c r="EB75" s="238"/>
      <c r="EC75" s="238"/>
      <c r="ED75" s="238"/>
      <c r="EE75" s="238"/>
      <c r="EF75" s="238"/>
      <c r="EG75" s="238"/>
      <c r="EH75" s="238"/>
      <c r="EI75" s="238"/>
      <c r="EJ75" s="238"/>
      <c r="EK75" s="238"/>
      <c r="EL75" s="238"/>
      <c r="EM75" s="238"/>
      <c r="EN75" s="238"/>
      <c r="EO75" s="238"/>
      <c r="EP75" s="238"/>
      <c r="EQ75" s="238"/>
      <c r="ER75" s="238"/>
      <c r="ES75" s="238"/>
      <c r="ET75" s="238"/>
      <c r="EU75" s="238"/>
      <c r="EV75" s="238"/>
      <c r="EW75" s="238"/>
      <c r="EX75" s="238"/>
      <c r="EY75" s="238"/>
      <c r="EZ75" s="238"/>
      <c r="FA75" s="238"/>
      <c r="FB75" s="238"/>
      <c r="FC75" s="238"/>
      <c r="FD75" s="238"/>
      <c r="FE75" s="238"/>
      <c r="FF75" s="238"/>
      <c r="FG75" s="238"/>
      <c r="FH75" s="257"/>
      <c r="FI75" s="257"/>
      <c r="FJ75" s="257"/>
      <c r="FK75" s="257"/>
      <c r="FL75" s="257"/>
      <c r="FM75" s="257"/>
      <c r="FN75" s="257"/>
      <c r="FO75" s="257"/>
      <c r="FP75" s="257"/>
      <c r="FQ75" s="257"/>
      <c r="FR75" s="257"/>
      <c r="FS75" s="257"/>
      <c r="FT75" s="257"/>
      <c r="FU75" s="257"/>
      <c r="FV75" s="257"/>
      <c r="FW75" s="257"/>
      <c r="FX75" s="257"/>
      <c r="FY75" s="238"/>
      <c r="FZ75" s="238"/>
      <c r="GA75" s="238"/>
      <c r="GB75" s="238"/>
      <c r="GC75" s="238"/>
      <c r="GD75" s="238"/>
      <c r="GE75" s="238"/>
      <c r="GF75" s="238"/>
      <c r="GG75" s="238"/>
      <c r="GH75" s="238"/>
      <c r="GI75" s="238"/>
      <c r="GJ75" s="238"/>
      <c r="GK75" s="238"/>
      <c r="GL75" s="238"/>
      <c r="GM75" s="238"/>
      <c r="GN75" s="238"/>
      <c r="GO75" s="238"/>
      <c r="GP75" s="238"/>
      <c r="GQ75" s="238"/>
      <c r="GR75" s="238"/>
      <c r="GS75" s="238"/>
      <c r="GT75" s="238"/>
      <c r="GU75" s="238"/>
      <c r="GV75" s="238"/>
      <c r="GW75" s="238"/>
      <c r="GX75" s="238"/>
      <c r="GY75" s="238"/>
      <c r="GZ75" s="238"/>
      <c r="HA75" s="238"/>
      <c r="HB75" s="238"/>
      <c r="HC75" s="238"/>
      <c r="HD75" s="238"/>
      <c r="HE75" s="238"/>
      <c r="HF75" s="238"/>
      <c r="HG75" s="238"/>
      <c r="HH75" s="238"/>
      <c r="HI75" s="238"/>
      <c r="HJ75" s="238"/>
      <c r="HK75" s="238"/>
      <c r="HL75" s="238"/>
      <c r="HM75" s="238"/>
      <c r="HN75" s="238"/>
      <c r="HO75" s="238"/>
      <c r="HP75" s="238"/>
      <c r="HQ75" s="238"/>
      <c r="HR75" s="238"/>
      <c r="HS75" s="238"/>
      <c r="HT75" s="238"/>
      <c r="HU75" s="238"/>
      <c r="HV75" s="238"/>
      <c r="HW75" s="238"/>
      <c r="HX75" s="257"/>
      <c r="HY75" s="257"/>
      <c r="HZ75" s="257"/>
      <c r="IA75" s="257"/>
      <c r="IB75" s="257"/>
      <c r="IC75" s="257"/>
      <c r="ID75" s="257"/>
      <c r="IE75" s="257"/>
      <c r="IF75" s="257"/>
      <c r="IG75" s="257"/>
      <c r="IH75" s="257"/>
      <c r="II75" s="257"/>
      <c r="IJ75" s="257"/>
      <c r="IK75" s="257"/>
      <c r="IL75" s="257"/>
      <c r="IM75" s="257"/>
      <c r="IN75" s="257"/>
      <c r="IO75" s="257"/>
      <c r="IP75" s="257"/>
      <c r="IQ75" s="257"/>
      <c r="IR75" s="257"/>
      <c r="IS75" s="257"/>
      <c r="IT75" s="257"/>
      <c r="IU75" s="257"/>
      <c r="IV75" s="257"/>
      <c r="IW75" s="257"/>
      <c r="IX75" s="257"/>
      <c r="IY75" s="257"/>
      <c r="IZ75" s="257"/>
      <c r="JA75" s="257"/>
      <c r="JB75" s="257"/>
      <c r="JC75" s="257"/>
      <c r="JD75" s="257"/>
      <c r="JE75" s="257"/>
      <c r="JF75" s="238"/>
      <c r="JG75" s="238"/>
      <c r="JH75" s="238"/>
      <c r="JI75" s="238"/>
      <c r="JJ75" s="238"/>
      <c r="JK75" s="238"/>
      <c r="JL75" s="238"/>
      <c r="JM75" s="238"/>
      <c r="JN75" s="238"/>
      <c r="JO75" s="238"/>
      <c r="JP75" s="238"/>
      <c r="JQ75" s="238"/>
      <c r="JR75" s="238"/>
      <c r="JS75" s="238"/>
      <c r="JT75" s="238"/>
      <c r="JU75" s="238"/>
      <c r="JV75" s="238"/>
      <c r="JW75" s="238"/>
      <c r="JX75" s="238"/>
      <c r="JY75" s="238"/>
      <c r="JZ75" s="238"/>
      <c r="KA75" s="238"/>
      <c r="KB75" s="238"/>
      <c r="KC75" s="238"/>
      <c r="KD75" s="238"/>
      <c r="KE75" s="238"/>
      <c r="KF75" s="238"/>
      <c r="KG75" s="238"/>
      <c r="KH75" s="238"/>
      <c r="KI75" s="238"/>
      <c r="KJ75" s="238"/>
      <c r="KK75" s="238"/>
      <c r="KL75" s="238"/>
      <c r="KM75" s="238"/>
      <c r="KN75" s="238"/>
      <c r="KO75" s="238"/>
      <c r="KP75" s="238"/>
      <c r="KQ75" s="238"/>
      <c r="KR75" s="238"/>
      <c r="KS75" s="238"/>
      <c r="KT75" s="238"/>
      <c r="KU75" s="238"/>
      <c r="KV75" s="238"/>
      <c r="KW75" s="238"/>
      <c r="KX75" s="238"/>
      <c r="KY75" s="238"/>
      <c r="KZ75" s="238"/>
      <c r="LA75" s="238"/>
      <c r="LB75" s="238"/>
      <c r="LC75" s="238"/>
      <c r="LD75" s="238"/>
      <c r="LE75" s="238"/>
      <c r="LF75" s="238"/>
      <c r="LG75" s="238"/>
      <c r="LH75" s="238"/>
      <c r="LI75" s="238"/>
      <c r="LJ75" s="238"/>
      <c r="LK75" s="238"/>
      <c r="LL75" s="238"/>
      <c r="LM75" s="238"/>
      <c r="LN75" s="238"/>
      <c r="LO75" s="238"/>
      <c r="LP75" s="238"/>
      <c r="LQ75" s="238"/>
      <c r="LR75" s="238"/>
      <c r="LS75" s="238"/>
      <c r="LT75" s="238"/>
      <c r="LU75" s="238"/>
      <c r="LV75" s="238"/>
      <c r="LW75" s="238"/>
      <c r="LX75" s="238"/>
      <c r="LY75" s="238"/>
      <c r="LZ75" s="238"/>
      <c r="MA75" s="238"/>
      <c r="MB75" s="238"/>
      <c r="MC75" s="238"/>
      <c r="MD75" s="238"/>
      <c r="ME75" s="238"/>
      <c r="MF75" s="238"/>
      <c r="MG75" s="238"/>
      <c r="MH75" s="238"/>
      <c r="MI75" s="238"/>
      <c r="MJ75" s="238"/>
      <c r="MK75" s="238"/>
      <c r="ML75" s="238"/>
    </row>
    <row r="76" ht="18.75" customHeight="1">
      <c r="A76" s="283"/>
      <c r="B76" s="234" t="str">
        <f>'Building Bill of Materials_SLIM'!P76</f>
        <v/>
      </c>
      <c r="C76" s="234" t="str">
        <f>'Building Bill of Materials_SLIM'!Q76</f>
        <v/>
      </c>
      <c r="D76" s="234" t="str">
        <f>'Building Bill of Materials_SLIM'!R76</f>
        <v/>
      </c>
      <c r="E76" s="234" t="str">
        <f>'Building Bill of Materials_SLIM'!S76</f>
        <v/>
      </c>
      <c r="F76" s="234"/>
      <c r="G76" s="234"/>
      <c r="H76" s="234"/>
      <c r="I76" s="234"/>
      <c r="J76" s="234" t="str">
        <f>'Building Bill of Materials_SLIM'!V76</f>
        <v/>
      </c>
      <c r="K76" s="238"/>
      <c r="L76" s="238"/>
      <c r="M76" s="238"/>
      <c r="N76" s="238"/>
      <c r="O76" s="238"/>
      <c r="P76" s="238"/>
      <c r="Q76" s="238"/>
      <c r="R76" s="238"/>
      <c r="S76" s="238"/>
      <c r="T76" s="238"/>
      <c r="U76" s="238"/>
      <c r="V76" s="238"/>
      <c r="W76" s="238"/>
      <c r="X76" s="238"/>
      <c r="Y76" s="238"/>
      <c r="Z76" s="238"/>
      <c r="AA76" s="192"/>
      <c r="AB76" s="257"/>
      <c r="AC76" s="257"/>
      <c r="AD76" s="257"/>
      <c r="AE76" s="257"/>
      <c r="AF76" s="257"/>
      <c r="AG76" s="257"/>
      <c r="AH76" s="25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38"/>
      <c r="BK76" s="238"/>
      <c r="BL76" s="238"/>
      <c r="BM76" s="238"/>
      <c r="BN76" s="238"/>
      <c r="BO76" s="238"/>
      <c r="BP76" s="238"/>
      <c r="BQ76" s="238"/>
      <c r="BR76" s="238"/>
      <c r="BS76" s="238"/>
      <c r="BT76" s="238"/>
      <c r="BU76" s="238"/>
      <c r="BV76" s="238"/>
      <c r="BW76" s="238"/>
      <c r="BX76" s="238"/>
      <c r="BY76" s="238"/>
      <c r="BZ76" s="238"/>
      <c r="CA76" s="238"/>
      <c r="CB76" s="238"/>
      <c r="CC76" s="238"/>
      <c r="CD76" s="238"/>
      <c r="CE76" s="257"/>
      <c r="CF76" s="257"/>
      <c r="CG76" s="238"/>
      <c r="CH76" s="238"/>
      <c r="CI76" s="238"/>
      <c r="CJ76" s="238"/>
      <c r="CK76" s="238"/>
      <c r="CL76" s="238"/>
      <c r="CM76" s="238"/>
      <c r="CN76" s="238"/>
      <c r="CO76" s="238"/>
      <c r="CP76" s="238"/>
      <c r="CQ76" s="238"/>
      <c r="CR76" s="238"/>
      <c r="CS76" s="238"/>
      <c r="CT76" s="238"/>
      <c r="CU76" s="238"/>
      <c r="CV76" s="238"/>
      <c r="CW76" s="238"/>
      <c r="CX76" s="238"/>
      <c r="CY76" s="238"/>
      <c r="CZ76" s="238"/>
      <c r="DA76" s="238"/>
      <c r="DB76" s="238"/>
      <c r="DC76" s="238"/>
      <c r="DD76" s="238"/>
      <c r="DE76" s="238"/>
      <c r="DF76" s="238"/>
      <c r="DG76" s="257"/>
      <c r="DH76" s="238"/>
      <c r="DI76" s="238"/>
      <c r="DJ76" s="238"/>
      <c r="DK76" s="238"/>
      <c r="DL76" s="238"/>
      <c r="DM76" s="238"/>
      <c r="DN76" s="238"/>
      <c r="DO76" s="238"/>
      <c r="DP76" s="238"/>
      <c r="DQ76" s="238"/>
      <c r="DR76" s="238"/>
      <c r="DS76" s="238"/>
      <c r="DT76" s="238"/>
      <c r="DU76" s="238"/>
      <c r="DV76" s="238"/>
      <c r="DW76" s="238"/>
      <c r="DX76" s="238"/>
      <c r="DY76" s="238"/>
      <c r="DZ76" s="238"/>
      <c r="EA76" s="238"/>
      <c r="EB76" s="238"/>
      <c r="EC76" s="238"/>
      <c r="ED76" s="238"/>
      <c r="EE76" s="238"/>
      <c r="EF76" s="238"/>
      <c r="EG76" s="238"/>
      <c r="EH76" s="238"/>
      <c r="EI76" s="238"/>
      <c r="EJ76" s="238"/>
      <c r="EK76" s="238"/>
      <c r="EL76" s="238"/>
      <c r="EM76" s="238"/>
      <c r="EN76" s="238"/>
      <c r="EO76" s="238"/>
      <c r="EP76" s="238"/>
      <c r="EQ76" s="238"/>
      <c r="ER76" s="238"/>
      <c r="ES76" s="238"/>
      <c r="ET76" s="238"/>
      <c r="EU76" s="238"/>
      <c r="EV76" s="238"/>
      <c r="EW76" s="238"/>
      <c r="EX76" s="238"/>
      <c r="EY76" s="238"/>
      <c r="EZ76" s="238"/>
      <c r="FA76" s="238"/>
      <c r="FB76" s="238"/>
      <c r="FC76" s="238"/>
      <c r="FD76" s="238"/>
      <c r="FE76" s="238"/>
      <c r="FF76" s="238"/>
      <c r="FG76" s="238"/>
      <c r="FH76" s="257"/>
      <c r="FI76" s="257"/>
      <c r="FJ76" s="257"/>
      <c r="FK76" s="257"/>
      <c r="FL76" s="257"/>
      <c r="FM76" s="257"/>
      <c r="FN76" s="257"/>
      <c r="FO76" s="257"/>
      <c r="FP76" s="257"/>
      <c r="FQ76" s="257"/>
      <c r="FR76" s="257"/>
      <c r="FS76" s="257"/>
      <c r="FT76" s="257"/>
      <c r="FU76" s="257"/>
      <c r="FV76" s="257"/>
      <c r="FW76" s="257"/>
      <c r="FX76" s="257"/>
      <c r="FY76" s="238"/>
      <c r="FZ76" s="238"/>
      <c r="GA76" s="238"/>
      <c r="GB76" s="238"/>
      <c r="GC76" s="238"/>
      <c r="GD76" s="238"/>
      <c r="GE76" s="238"/>
      <c r="GF76" s="238"/>
      <c r="GG76" s="238"/>
      <c r="GH76" s="238"/>
      <c r="GI76" s="238"/>
      <c r="GJ76" s="238"/>
      <c r="GK76" s="238"/>
      <c r="GL76" s="238"/>
      <c r="GM76" s="238"/>
      <c r="GN76" s="238"/>
      <c r="GO76" s="238"/>
      <c r="GP76" s="238"/>
      <c r="GQ76" s="238"/>
      <c r="GR76" s="238"/>
      <c r="GS76" s="238"/>
      <c r="GT76" s="238"/>
      <c r="GU76" s="238"/>
      <c r="GV76" s="238"/>
      <c r="GW76" s="238"/>
      <c r="GX76" s="238"/>
      <c r="GY76" s="238"/>
      <c r="GZ76" s="238"/>
      <c r="HA76" s="238"/>
      <c r="HB76" s="238"/>
      <c r="HC76" s="238"/>
      <c r="HD76" s="238"/>
      <c r="HE76" s="238"/>
      <c r="HF76" s="238"/>
      <c r="HG76" s="238"/>
      <c r="HH76" s="238"/>
      <c r="HI76" s="238"/>
      <c r="HJ76" s="238"/>
      <c r="HK76" s="238"/>
      <c r="HL76" s="238"/>
      <c r="HM76" s="238"/>
      <c r="HN76" s="238"/>
      <c r="HO76" s="238"/>
      <c r="HP76" s="238"/>
      <c r="HQ76" s="238"/>
      <c r="HR76" s="238"/>
      <c r="HS76" s="238"/>
      <c r="HT76" s="238"/>
      <c r="HU76" s="238"/>
      <c r="HV76" s="238"/>
      <c r="HW76" s="238"/>
      <c r="HX76" s="257"/>
      <c r="HY76" s="257"/>
      <c r="HZ76" s="257"/>
      <c r="IA76" s="257"/>
      <c r="IB76" s="257"/>
      <c r="IC76" s="257"/>
      <c r="ID76" s="257"/>
      <c r="IE76" s="257"/>
      <c r="IF76" s="257"/>
      <c r="IG76" s="257"/>
      <c r="IH76" s="257"/>
      <c r="II76" s="257"/>
      <c r="IJ76" s="257"/>
      <c r="IK76" s="257"/>
      <c r="IL76" s="257"/>
      <c r="IM76" s="257"/>
      <c r="IN76" s="257"/>
      <c r="IO76" s="257"/>
      <c r="IP76" s="257"/>
      <c r="IQ76" s="257"/>
      <c r="IR76" s="257"/>
      <c r="IS76" s="257"/>
      <c r="IT76" s="257"/>
      <c r="IU76" s="257"/>
      <c r="IV76" s="257"/>
      <c r="IW76" s="257"/>
      <c r="IX76" s="257"/>
      <c r="IY76" s="257"/>
      <c r="IZ76" s="257"/>
      <c r="JA76" s="257"/>
      <c r="JB76" s="257"/>
      <c r="JC76" s="257"/>
      <c r="JD76" s="257"/>
      <c r="JE76" s="257"/>
      <c r="JF76" s="238"/>
      <c r="JG76" s="238"/>
      <c r="JH76" s="238"/>
      <c r="JI76" s="238"/>
      <c r="JJ76" s="238"/>
      <c r="JK76" s="238"/>
      <c r="JL76" s="238"/>
      <c r="JM76" s="238"/>
      <c r="JN76" s="238"/>
      <c r="JO76" s="238"/>
      <c r="JP76" s="238"/>
      <c r="JQ76" s="238"/>
      <c r="JR76" s="238"/>
      <c r="JS76" s="238"/>
      <c r="JT76" s="238"/>
      <c r="JU76" s="238"/>
      <c r="JV76" s="238"/>
      <c r="JW76" s="238"/>
      <c r="JX76" s="238"/>
      <c r="JY76" s="238"/>
      <c r="JZ76" s="238"/>
      <c r="KA76" s="238"/>
      <c r="KB76" s="238"/>
      <c r="KC76" s="238"/>
      <c r="KD76" s="238"/>
      <c r="KE76" s="238"/>
      <c r="KF76" s="238"/>
      <c r="KG76" s="238"/>
      <c r="KH76" s="238"/>
      <c r="KI76" s="238"/>
      <c r="KJ76" s="238"/>
      <c r="KK76" s="238"/>
      <c r="KL76" s="238"/>
      <c r="KM76" s="238"/>
      <c r="KN76" s="238"/>
      <c r="KO76" s="238"/>
      <c r="KP76" s="238"/>
      <c r="KQ76" s="238"/>
      <c r="KR76" s="238"/>
      <c r="KS76" s="238"/>
      <c r="KT76" s="238"/>
      <c r="KU76" s="238"/>
      <c r="KV76" s="238"/>
      <c r="KW76" s="238"/>
      <c r="KX76" s="238"/>
      <c r="KY76" s="238"/>
      <c r="KZ76" s="238"/>
      <c r="LA76" s="238"/>
      <c r="LB76" s="238"/>
      <c r="LC76" s="238"/>
      <c r="LD76" s="238"/>
      <c r="LE76" s="238"/>
      <c r="LF76" s="238"/>
      <c r="LG76" s="238"/>
      <c r="LH76" s="238"/>
      <c r="LI76" s="238"/>
      <c r="LJ76" s="238"/>
      <c r="LK76" s="238"/>
      <c r="LL76" s="238"/>
      <c r="LM76" s="238"/>
      <c r="LN76" s="238"/>
      <c r="LO76" s="238"/>
      <c r="LP76" s="238"/>
      <c r="LQ76" s="238"/>
      <c r="LR76" s="238"/>
      <c r="LS76" s="238"/>
      <c r="LT76" s="238"/>
      <c r="LU76" s="238"/>
      <c r="LV76" s="238"/>
      <c r="LW76" s="238"/>
      <c r="LX76" s="238"/>
      <c r="LY76" s="238"/>
      <c r="LZ76" s="238"/>
      <c r="MA76" s="238"/>
      <c r="MB76" s="238"/>
      <c r="MC76" s="238"/>
      <c r="MD76" s="238"/>
      <c r="ME76" s="238"/>
      <c r="MF76" s="238"/>
      <c r="MG76" s="238"/>
      <c r="MH76" s="238"/>
      <c r="MI76" s="238"/>
      <c r="MJ76" s="238"/>
      <c r="MK76" s="238"/>
      <c r="ML76" s="238"/>
    </row>
    <row r="77" ht="18.75" customHeight="1">
      <c r="A77" s="283"/>
      <c r="B77" s="234" t="str">
        <f>'Building Bill of Materials_SLIM'!P77</f>
        <v/>
      </c>
      <c r="C77" s="234" t="str">
        <f>'Building Bill of Materials_SLIM'!Q77</f>
        <v/>
      </c>
      <c r="D77" s="234" t="str">
        <f>'Building Bill of Materials_SLIM'!R77</f>
        <v/>
      </c>
      <c r="E77" s="234" t="str">
        <f>'Building Bill of Materials_SLIM'!S77</f>
        <v/>
      </c>
      <c r="F77" s="234"/>
      <c r="G77" s="234"/>
      <c r="H77" s="234"/>
      <c r="I77" s="234"/>
      <c r="J77" s="234" t="str">
        <f>'Building Bill of Materials_SLIM'!V77</f>
        <v/>
      </c>
      <c r="K77" s="238"/>
      <c r="L77" s="238"/>
      <c r="M77" s="238"/>
      <c r="N77" s="238"/>
      <c r="O77" s="238"/>
      <c r="P77" s="238"/>
      <c r="Q77" s="238"/>
      <c r="R77" s="238"/>
      <c r="S77" s="238"/>
      <c r="T77" s="238"/>
      <c r="U77" s="238"/>
      <c r="V77" s="238"/>
      <c r="W77" s="238"/>
      <c r="X77" s="238"/>
      <c r="Y77" s="238"/>
      <c r="Z77" s="238"/>
      <c r="AA77" s="192"/>
      <c r="AB77" s="257"/>
      <c r="AC77" s="257"/>
      <c r="AD77" s="257"/>
      <c r="AE77" s="257"/>
      <c r="AF77" s="257"/>
      <c r="AG77" s="257"/>
      <c r="AH77" s="257"/>
      <c r="AI77" s="257"/>
      <c r="AJ77" s="257"/>
      <c r="AK77" s="257"/>
      <c r="AL77" s="257"/>
      <c r="AM77" s="257"/>
      <c r="AN77" s="257"/>
      <c r="AO77" s="257"/>
      <c r="AP77" s="257"/>
      <c r="AQ77" s="257"/>
      <c r="AR77" s="257"/>
      <c r="AS77" s="257"/>
      <c r="AT77" s="257"/>
      <c r="AU77" s="257"/>
      <c r="AV77" s="257"/>
      <c r="AW77" s="257"/>
      <c r="AX77" s="257"/>
      <c r="AY77" s="257"/>
      <c r="AZ77" s="257"/>
      <c r="BA77" s="257"/>
      <c r="BB77" s="257"/>
      <c r="BC77" s="257"/>
      <c r="BD77" s="257"/>
      <c r="BE77" s="257"/>
      <c r="BF77" s="257"/>
      <c r="BG77" s="257"/>
      <c r="BH77" s="257"/>
      <c r="BI77" s="257"/>
      <c r="BJ77" s="238"/>
      <c r="BK77" s="238"/>
      <c r="BL77" s="238"/>
      <c r="BM77" s="238"/>
      <c r="BN77" s="238"/>
      <c r="BO77" s="238"/>
      <c r="BP77" s="238"/>
      <c r="BQ77" s="238"/>
      <c r="BR77" s="238"/>
      <c r="BS77" s="238"/>
      <c r="BT77" s="238"/>
      <c r="BU77" s="238"/>
      <c r="BV77" s="238"/>
      <c r="BW77" s="238"/>
      <c r="BX77" s="238"/>
      <c r="BY77" s="238"/>
      <c r="BZ77" s="238"/>
      <c r="CA77" s="238"/>
      <c r="CB77" s="238"/>
      <c r="CC77" s="238"/>
      <c r="CD77" s="238"/>
      <c r="CE77" s="257"/>
      <c r="CF77" s="257"/>
      <c r="CG77" s="238"/>
      <c r="CH77" s="238"/>
      <c r="CI77" s="238"/>
      <c r="CJ77" s="238"/>
      <c r="CK77" s="238"/>
      <c r="CL77" s="238"/>
      <c r="CM77" s="238"/>
      <c r="CN77" s="238"/>
      <c r="CO77" s="238"/>
      <c r="CP77" s="238"/>
      <c r="CQ77" s="238"/>
      <c r="CR77" s="238"/>
      <c r="CS77" s="238"/>
      <c r="CT77" s="238"/>
      <c r="CU77" s="238"/>
      <c r="CV77" s="238"/>
      <c r="CW77" s="238"/>
      <c r="CX77" s="238"/>
      <c r="CY77" s="238"/>
      <c r="CZ77" s="238"/>
      <c r="DA77" s="238"/>
      <c r="DB77" s="238"/>
      <c r="DC77" s="238"/>
      <c r="DD77" s="238"/>
      <c r="DE77" s="238"/>
      <c r="DF77" s="238"/>
      <c r="DG77" s="257"/>
      <c r="DH77" s="238"/>
      <c r="DI77" s="238"/>
      <c r="DJ77" s="238"/>
      <c r="DK77" s="238"/>
      <c r="DL77" s="238"/>
      <c r="DM77" s="238"/>
      <c r="DN77" s="238"/>
      <c r="DO77" s="238"/>
      <c r="DP77" s="238"/>
      <c r="DQ77" s="238"/>
      <c r="DR77" s="238"/>
      <c r="DS77" s="238"/>
      <c r="DT77" s="238"/>
      <c r="DU77" s="238"/>
      <c r="DV77" s="238"/>
      <c r="DW77" s="238"/>
      <c r="DX77" s="238"/>
      <c r="DY77" s="238"/>
      <c r="DZ77" s="238"/>
      <c r="EA77" s="238"/>
      <c r="EB77" s="238"/>
      <c r="EC77" s="238"/>
      <c r="ED77" s="238"/>
      <c r="EE77" s="238"/>
      <c r="EF77" s="238"/>
      <c r="EG77" s="238"/>
      <c r="EH77" s="238"/>
      <c r="EI77" s="238"/>
      <c r="EJ77" s="238"/>
      <c r="EK77" s="238"/>
      <c r="EL77" s="238"/>
      <c r="EM77" s="238"/>
      <c r="EN77" s="238"/>
      <c r="EO77" s="238"/>
      <c r="EP77" s="238"/>
      <c r="EQ77" s="238"/>
      <c r="ER77" s="238"/>
      <c r="ES77" s="238"/>
      <c r="ET77" s="238"/>
      <c r="EU77" s="238"/>
      <c r="EV77" s="238"/>
      <c r="EW77" s="238"/>
      <c r="EX77" s="238"/>
      <c r="EY77" s="238"/>
      <c r="EZ77" s="238"/>
      <c r="FA77" s="238"/>
      <c r="FB77" s="238"/>
      <c r="FC77" s="238"/>
      <c r="FD77" s="238"/>
      <c r="FE77" s="238"/>
      <c r="FF77" s="238"/>
      <c r="FG77" s="238"/>
      <c r="FH77" s="257"/>
      <c r="FI77" s="257"/>
      <c r="FJ77" s="257"/>
      <c r="FK77" s="257"/>
      <c r="FL77" s="257"/>
      <c r="FM77" s="257"/>
      <c r="FN77" s="257"/>
      <c r="FO77" s="257"/>
      <c r="FP77" s="257"/>
      <c r="FQ77" s="257"/>
      <c r="FR77" s="257"/>
      <c r="FS77" s="257"/>
      <c r="FT77" s="257"/>
      <c r="FU77" s="257"/>
      <c r="FV77" s="257"/>
      <c r="FW77" s="257"/>
      <c r="FX77" s="257"/>
      <c r="FY77" s="238"/>
      <c r="FZ77" s="238"/>
      <c r="GA77" s="238"/>
      <c r="GB77" s="238"/>
      <c r="GC77" s="238"/>
      <c r="GD77" s="238"/>
      <c r="GE77" s="238"/>
      <c r="GF77" s="238"/>
      <c r="GG77" s="238"/>
      <c r="GH77" s="238"/>
      <c r="GI77" s="238"/>
      <c r="GJ77" s="238"/>
      <c r="GK77" s="238"/>
      <c r="GL77" s="238"/>
      <c r="GM77" s="238"/>
      <c r="GN77" s="238"/>
      <c r="GO77" s="238"/>
      <c r="GP77" s="238"/>
      <c r="GQ77" s="238"/>
      <c r="GR77" s="238"/>
      <c r="GS77" s="238"/>
      <c r="GT77" s="238"/>
      <c r="GU77" s="238"/>
      <c r="GV77" s="238"/>
      <c r="GW77" s="238"/>
      <c r="GX77" s="238"/>
      <c r="GY77" s="238"/>
      <c r="GZ77" s="238"/>
      <c r="HA77" s="238"/>
      <c r="HB77" s="238"/>
      <c r="HC77" s="238"/>
      <c r="HD77" s="238"/>
      <c r="HE77" s="238"/>
      <c r="HF77" s="238"/>
      <c r="HG77" s="238"/>
      <c r="HH77" s="238"/>
      <c r="HI77" s="238"/>
      <c r="HJ77" s="238"/>
      <c r="HK77" s="238"/>
      <c r="HL77" s="238"/>
      <c r="HM77" s="238"/>
      <c r="HN77" s="238"/>
      <c r="HO77" s="238"/>
      <c r="HP77" s="238"/>
      <c r="HQ77" s="238"/>
      <c r="HR77" s="238"/>
      <c r="HS77" s="238"/>
      <c r="HT77" s="238"/>
      <c r="HU77" s="238"/>
      <c r="HV77" s="238"/>
      <c r="HW77" s="238"/>
      <c r="HX77" s="257"/>
      <c r="HY77" s="257"/>
      <c r="HZ77" s="257"/>
      <c r="IA77" s="257"/>
      <c r="IB77" s="257"/>
      <c r="IC77" s="257"/>
      <c r="ID77" s="257"/>
      <c r="IE77" s="257"/>
      <c r="IF77" s="257"/>
      <c r="IG77" s="257"/>
      <c r="IH77" s="257"/>
      <c r="II77" s="257"/>
      <c r="IJ77" s="257"/>
      <c r="IK77" s="257"/>
      <c r="IL77" s="257"/>
      <c r="IM77" s="257"/>
      <c r="IN77" s="257"/>
      <c r="IO77" s="257"/>
      <c r="IP77" s="257"/>
      <c r="IQ77" s="257"/>
      <c r="IR77" s="257"/>
      <c r="IS77" s="257"/>
      <c r="IT77" s="257"/>
      <c r="IU77" s="257"/>
      <c r="IV77" s="257"/>
      <c r="IW77" s="257"/>
      <c r="IX77" s="257"/>
      <c r="IY77" s="257"/>
      <c r="IZ77" s="257"/>
      <c r="JA77" s="257"/>
      <c r="JB77" s="257"/>
      <c r="JC77" s="257"/>
      <c r="JD77" s="257"/>
      <c r="JE77" s="257"/>
      <c r="JF77" s="238"/>
      <c r="JG77" s="238"/>
      <c r="JH77" s="238"/>
      <c r="JI77" s="238"/>
      <c r="JJ77" s="238"/>
      <c r="JK77" s="238"/>
      <c r="JL77" s="238"/>
      <c r="JM77" s="238"/>
      <c r="JN77" s="238"/>
      <c r="JO77" s="238"/>
      <c r="JP77" s="238"/>
      <c r="JQ77" s="238"/>
      <c r="JR77" s="238"/>
      <c r="JS77" s="238"/>
      <c r="JT77" s="238"/>
      <c r="JU77" s="238"/>
      <c r="JV77" s="238"/>
      <c r="JW77" s="238"/>
      <c r="JX77" s="238"/>
      <c r="JY77" s="238"/>
      <c r="JZ77" s="238"/>
      <c r="KA77" s="238"/>
      <c r="KB77" s="238"/>
      <c r="KC77" s="238"/>
      <c r="KD77" s="238"/>
      <c r="KE77" s="238"/>
      <c r="KF77" s="238"/>
      <c r="KG77" s="238"/>
      <c r="KH77" s="238"/>
      <c r="KI77" s="238"/>
      <c r="KJ77" s="238"/>
      <c r="KK77" s="238"/>
      <c r="KL77" s="238"/>
      <c r="KM77" s="238"/>
      <c r="KN77" s="238"/>
      <c r="KO77" s="238"/>
      <c r="KP77" s="238"/>
      <c r="KQ77" s="238"/>
      <c r="KR77" s="238"/>
      <c r="KS77" s="238"/>
      <c r="KT77" s="238"/>
      <c r="KU77" s="238"/>
      <c r="KV77" s="238"/>
      <c r="KW77" s="238"/>
      <c r="KX77" s="238"/>
      <c r="KY77" s="238"/>
      <c r="KZ77" s="238"/>
      <c r="LA77" s="238"/>
      <c r="LB77" s="238"/>
      <c r="LC77" s="238"/>
      <c r="LD77" s="238"/>
      <c r="LE77" s="238"/>
      <c r="LF77" s="238"/>
      <c r="LG77" s="238"/>
      <c r="LH77" s="238"/>
      <c r="LI77" s="238"/>
      <c r="LJ77" s="238"/>
      <c r="LK77" s="238"/>
      <c r="LL77" s="238"/>
      <c r="LM77" s="238"/>
      <c r="LN77" s="238"/>
      <c r="LO77" s="238"/>
      <c r="LP77" s="238"/>
      <c r="LQ77" s="238"/>
      <c r="LR77" s="238"/>
      <c r="LS77" s="238"/>
      <c r="LT77" s="238"/>
      <c r="LU77" s="238"/>
      <c r="LV77" s="238"/>
      <c r="LW77" s="238"/>
      <c r="LX77" s="238"/>
      <c r="LY77" s="238"/>
      <c r="LZ77" s="238"/>
      <c r="MA77" s="238"/>
      <c r="MB77" s="238"/>
      <c r="MC77" s="238"/>
      <c r="MD77" s="238"/>
      <c r="ME77" s="238"/>
      <c r="MF77" s="238"/>
      <c r="MG77" s="238"/>
      <c r="MH77" s="238"/>
      <c r="MI77" s="238"/>
      <c r="MJ77" s="238"/>
      <c r="MK77" s="238"/>
      <c r="ML77" s="238"/>
    </row>
    <row r="78" ht="18.75" customHeight="1">
      <c r="A78" s="283"/>
      <c r="B78" s="234" t="str">
        <f>'Building Bill of Materials_SLIM'!P78</f>
        <v/>
      </c>
      <c r="C78" s="234" t="str">
        <f>'Building Bill of Materials_SLIM'!Q78</f>
        <v/>
      </c>
      <c r="D78" s="234" t="str">
        <f>'Building Bill of Materials_SLIM'!R78</f>
        <v/>
      </c>
      <c r="E78" s="234" t="str">
        <f>'Building Bill of Materials_SLIM'!S78</f>
        <v/>
      </c>
      <c r="F78" s="234"/>
      <c r="G78" s="234"/>
      <c r="H78" s="234"/>
      <c r="I78" s="234"/>
      <c r="J78" s="234" t="str">
        <f>'Building Bill of Materials_SLIM'!V78</f>
        <v/>
      </c>
      <c r="K78" s="238"/>
      <c r="L78" s="238"/>
      <c r="M78" s="238"/>
      <c r="N78" s="238"/>
      <c r="O78" s="238"/>
      <c r="P78" s="238"/>
      <c r="Q78" s="238"/>
      <c r="R78" s="238"/>
      <c r="S78" s="238"/>
      <c r="T78" s="238"/>
      <c r="U78" s="238"/>
      <c r="V78" s="238"/>
      <c r="W78" s="238"/>
      <c r="X78" s="238"/>
      <c r="Y78" s="238"/>
      <c r="Z78" s="238"/>
      <c r="AA78" s="192"/>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7"/>
      <c r="BI78" s="257"/>
      <c r="BJ78" s="238"/>
      <c r="BK78" s="238"/>
      <c r="BL78" s="238"/>
      <c r="BM78" s="238"/>
      <c r="BN78" s="238"/>
      <c r="BO78" s="238"/>
      <c r="BP78" s="238"/>
      <c r="BQ78" s="238"/>
      <c r="BR78" s="238"/>
      <c r="BS78" s="238"/>
      <c r="BT78" s="238"/>
      <c r="BU78" s="238"/>
      <c r="BV78" s="238"/>
      <c r="BW78" s="238"/>
      <c r="BX78" s="238"/>
      <c r="BY78" s="238"/>
      <c r="BZ78" s="238"/>
      <c r="CA78" s="238"/>
      <c r="CB78" s="238"/>
      <c r="CC78" s="238"/>
      <c r="CD78" s="238"/>
      <c r="CE78" s="257"/>
      <c r="CF78" s="257"/>
      <c r="CG78" s="238"/>
      <c r="CH78" s="238"/>
      <c r="CI78" s="238"/>
      <c r="CJ78" s="238"/>
      <c r="CK78" s="238"/>
      <c r="CL78" s="238"/>
      <c r="CM78" s="238"/>
      <c r="CN78" s="238"/>
      <c r="CO78" s="238"/>
      <c r="CP78" s="238"/>
      <c r="CQ78" s="238"/>
      <c r="CR78" s="238"/>
      <c r="CS78" s="238"/>
      <c r="CT78" s="238"/>
      <c r="CU78" s="238"/>
      <c r="CV78" s="238"/>
      <c r="CW78" s="238"/>
      <c r="CX78" s="238"/>
      <c r="CY78" s="238"/>
      <c r="CZ78" s="238"/>
      <c r="DA78" s="238"/>
      <c r="DB78" s="238"/>
      <c r="DC78" s="238"/>
      <c r="DD78" s="238"/>
      <c r="DE78" s="238"/>
      <c r="DF78" s="238"/>
      <c r="DG78" s="257"/>
      <c r="DH78" s="238"/>
      <c r="DI78" s="238"/>
      <c r="DJ78" s="238"/>
      <c r="DK78" s="238"/>
      <c r="DL78" s="238"/>
      <c r="DM78" s="238"/>
      <c r="DN78" s="238"/>
      <c r="DO78" s="238"/>
      <c r="DP78" s="238"/>
      <c r="DQ78" s="238"/>
      <c r="DR78" s="238"/>
      <c r="DS78" s="238"/>
      <c r="DT78" s="238"/>
      <c r="DU78" s="238"/>
      <c r="DV78" s="238"/>
      <c r="DW78" s="238"/>
      <c r="DX78" s="238"/>
      <c r="DY78" s="238"/>
      <c r="DZ78" s="238"/>
      <c r="EA78" s="238"/>
      <c r="EB78" s="238"/>
      <c r="EC78" s="238"/>
      <c r="ED78" s="238"/>
      <c r="EE78" s="238"/>
      <c r="EF78" s="238"/>
      <c r="EG78" s="238"/>
      <c r="EH78" s="238"/>
      <c r="EI78" s="238"/>
      <c r="EJ78" s="238"/>
      <c r="EK78" s="238"/>
      <c r="EL78" s="238"/>
      <c r="EM78" s="238"/>
      <c r="EN78" s="238"/>
      <c r="EO78" s="238"/>
      <c r="EP78" s="238"/>
      <c r="EQ78" s="238"/>
      <c r="ER78" s="238"/>
      <c r="ES78" s="238"/>
      <c r="ET78" s="238"/>
      <c r="EU78" s="238"/>
      <c r="EV78" s="238"/>
      <c r="EW78" s="238"/>
      <c r="EX78" s="238"/>
      <c r="EY78" s="238"/>
      <c r="EZ78" s="238"/>
      <c r="FA78" s="238"/>
      <c r="FB78" s="238"/>
      <c r="FC78" s="238"/>
      <c r="FD78" s="238"/>
      <c r="FE78" s="238"/>
      <c r="FF78" s="238"/>
      <c r="FG78" s="238"/>
      <c r="FH78" s="257"/>
      <c r="FI78" s="257"/>
      <c r="FJ78" s="257"/>
      <c r="FK78" s="257"/>
      <c r="FL78" s="257"/>
      <c r="FM78" s="257"/>
      <c r="FN78" s="257"/>
      <c r="FO78" s="257"/>
      <c r="FP78" s="257"/>
      <c r="FQ78" s="257"/>
      <c r="FR78" s="257"/>
      <c r="FS78" s="257"/>
      <c r="FT78" s="257"/>
      <c r="FU78" s="257"/>
      <c r="FV78" s="257"/>
      <c r="FW78" s="257"/>
      <c r="FX78" s="257"/>
      <c r="FY78" s="238"/>
      <c r="FZ78" s="238"/>
      <c r="GA78" s="238"/>
      <c r="GB78" s="238"/>
      <c r="GC78" s="238"/>
      <c r="GD78" s="238"/>
      <c r="GE78" s="238"/>
      <c r="GF78" s="238"/>
      <c r="GG78" s="238"/>
      <c r="GH78" s="238"/>
      <c r="GI78" s="238"/>
      <c r="GJ78" s="238"/>
      <c r="GK78" s="238"/>
      <c r="GL78" s="238"/>
      <c r="GM78" s="238"/>
      <c r="GN78" s="238"/>
      <c r="GO78" s="238"/>
      <c r="GP78" s="238"/>
      <c r="GQ78" s="238"/>
      <c r="GR78" s="238"/>
      <c r="GS78" s="238"/>
      <c r="GT78" s="238"/>
      <c r="GU78" s="238"/>
      <c r="GV78" s="238"/>
      <c r="GW78" s="238"/>
      <c r="GX78" s="238"/>
      <c r="GY78" s="238"/>
      <c r="GZ78" s="238"/>
      <c r="HA78" s="238"/>
      <c r="HB78" s="238"/>
      <c r="HC78" s="238"/>
      <c r="HD78" s="238"/>
      <c r="HE78" s="238"/>
      <c r="HF78" s="238"/>
      <c r="HG78" s="238"/>
      <c r="HH78" s="238"/>
      <c r="HI78" s="238"/>
      <c r="HJ78" s="238"/>
      <c r="HK78" s="238"/>
      <c r="HL78" s="238"/>
      <c r="HM78" s="238"/>
      <c r="HN78" s="238"/>
      <c r="HO78" s="238"/>
      <c r="HP78" s="238"/>
      <c r="HQ78" s="238"/>
      <c r="HR78" s="238"/>
      <c r="HS78" s="238"/>
      <c r="HT78" s="238"/>
      <c r="HU78" s="238"/>
      <c r="HV78" s="238"/>
      <c r="HW78" s="238"/>
      <c r="HX78" s="257"/>
      <c r="HY78" s="257"/>
      <c r="HZ78" s="257"/>
      <c r="IA78" s="257"/>
      <c r="IB78" s="257"/>
      <c r="IC78" s="257"/>
      <c r="ID78" s="257"/>
      <c r="IE78" s="257"/>
      <c r="IF78" s="257"/>
      <c r="IG78" s="257"/>
      <c r="IH78" s="257"/>
      <c r="II78" s="257"/>
      <c r="IJ78" s="257"/>
      <c r="IK78" s="257"/>
      <c r="IL78" s="257"/>
      <c r="IM78" s="257"/>
      <c r="IN78" s="257"/>
      <c r="IO78" s="257"/>
      <c r="IP78" s="257"/>
      <c r="IQ78" s="257"/>
      <c r="IR78" s="257"/>
      <c r="IS78" s="257"/>
      <c r="IT78" s="257"/>
      <c r="IU78" s="257"/>
      <c r="IV78" s="257"/>
      <c r="IW78" s="257"/>
      <c r="IX78" s="257"/>
      <c r="IY78" s="257"/>
      <c r="IZ78" s="257"/>
      <c r="JA78" s="257"/>
      <c r="JB78" s="257"/>
      <c r="JC78" s="257"/>
      <c r="JD78" s="257"/>
      <c r="JE78" s="257"/>
      <c r="JF78" s="238"/>
      <c r="JG78" s="238"/>
      <c r="JH78" s="238"/>
      <c r="JI78" s="238"/>
      <c r="JJ78" s="238"/>
      <c r="JK78" s="238"/>
      <c r="JL78" s="238"/>
      <c r="JM78" s="238"/>
      <c r="JN78" s="238"/>
      <c r="JO78" s="238"/>
      <c r="JP78" s="238"/>
      <c r="JQ78" s="238"/>
      <c r="JR78" s="238"/>
      <c r="JS78" s="238"/>
      <c r="JT78" s="238"/>
      <c r="JU78" s="238"/>
      <c r="JV78" s="238"/>
      <c r="JW78" s="238"/>
      <c r="JX78" s="238"/>
      <c r="JY78" s="238"/>
      <c r="JZ78" s="238"/>
      <c r="KA78" s="238"/>
      <c r="KB78" s="238"/>
      <c r="KC78" s="238"/>
      <c r="KD78" s="238"/>
      <c r="KE78" s="238"/>
      <c r="KF78" s="238"/>
      <c r="KG78" s="238"/>
      <c r="KH78" s="238"/>
      <c r="KI78" s="238"/>
      <c r="KJ78" s="238"/>
      <c r="KK78" s="238"/>
      <c r="KL78" s="238"/>
      <c r="KM78" s="238"/>
      <c r="KN78" s="238"/>
      <c r="KO78" s="238"/>
      <c r="KP78" s="238"/>
      <c r="KQ78" s="238"/>
      <c r="KR78" s="238"/>
      <c r="KS78" s="238"/>
      <c r="KT78" s="238"/>
      <c r="KU78" s="238"/>
      <c r="KV78" s="238"/>
      <c r="KW78" s="238"/>
      <c r="KX78" s="238"/>
      <c r="KY78" s="238"/>
      <c r="KZ78" s="238"/>
      <c r="LA78" s="238"/>
      <c r="LB78" s="238"/>
      <c r="LC78" s="238"/>
      <c r="LD78" s="238"/>
      <c r="LE78" s="238"/>
      <c r="LF78" s="238"/>
      <c r="LG78" s="238"/>
      <c r="LH78" s="238"/>
      <c r="LI78" s="238"/>
      <c r="LJ78" s="238"/>
      <c r="LK78" s="238"/>
      <c r="LL78" s="238"/>
      <c r="LM78" s="238"/>
      <c r="LN78" s="238"/>
      <c r="LO78" s="238"/>
      <c r="LP78" s="238"/>
      <c r="LQ78" s="238"/>
      <c r="LR78" s="238"/>
      <c r="LS78" s="238"/>
      <c r="LT78" s="238"/>
      <c r="LU78" s="238"/>
      <c r="LV78" s="238"/>
      <c r="LW78" s="238"/>
      <c r="LX78" s="238"/>
      <c r="LY78" s="238"/>
      <c r="LZ78" s="238"/>
      <c r="MA78" s="238"/>
      <c r="MB78" s="238"/>
      <c r="MC78" s="238"/>
      <c r="MD78" s="238"/>
      <c r="ME78" s="238"/>
      <c r="MF78" s="238"/>
      <c r="MG78" s="238"/>
      <c r="MH78" s="238"/>
      <c r="MI78" s="238"/>
      <c r="MJ78" s="238"/>
      <c r="MK78" s="238"/>
      <c r="ML78" s="238"/>
    </row>
    <row r="79" ht="18.75" customHeight="1">
      <c r="A79" s="283"/>
      <c r="B79" s="234" t="str">
        <f>'Building Bill of Materials_SLIM'!P79</f>
        <v/>
      </c>
      <c r="C79" s="234" t="str">
        <f>'Building Bill of Materials_SLIM'!Q79</f>
        <v/>
      </c>
      <c r="D79" s="234" t="str">
        <f>'Building Bill of Materials_SLIM'!R79</f>
        <v/>
      </c>
      <c r="E79" s="234" t="str">
        <f>'Building Bill of Materials_SLIM'!S79</f>
        <v/>
      </c>
      <c r="F79" s="234"/>
      <c r="G79" s="234"/>
      <c r="H79" s="234"/>
      <c r="I79" s="234"/>
      <c r="J79" s="234" t="str">
        <f>'Building Bill of Materials_SLIM'!V79</f>
        <v/>
      </c>
      <c r="K79" s="238"/>
      <c r="L79" s="238"/>
      <c r="M79" s="238"/>
      <c r="N79" s="238"/>
      <c r="O79" s="238"/>
      <c r="P79" s="238"/>
      <c r="Q79" s="238"/>
      <c r="R79" s="238"/>
      <c r="S79" s="238"/>
      <c r="T79" s="238"/>
      <c r="U79" s="238"/>
      <c r="V79" s="238"/>
      <c r="W79" s="238"/>
      <c r="X79" s="238"/>
      <c r="Y79" s="238"/>
      <c r="Z79" s="238"/>
      <c r="AA79" s="192"/>
      <c r="AB79" s="257"/>
      <c r="AC79" s="257"/>
      <c r="AD79" s="257"/>
      <c r="AE79" s="257"/>
      <c r="AF79" s="257"/>
      <c r="AG79" s="257"/>
      <c r="AH79" s="257"/>
      <c r="AI79" s="257"/>
      <c r="AJ79" s="257"/>
      <c r="AK79" s="257"/>
      <c r="AL79" s="257"/>
      <c r="AM79" s="257"/>
      <c r="AN79" s="257"/>
      <c r="AO79" s="257"/>
      <c r="AP79" s="257"/>
      <c r="AQ79" s="257"/>
      <c r="AR79" s="257"/>
      <c r="AS79" s="257"/>
      <c r="AT79" s="257"/>
      <c r="AU79" s="257"/>
      <c r="AV79" s="257"/>
      <c r="AW79" s="257"/>
      <c r="AX79" s="257"/>
      <c r="AY79" s="257"/>
      <c r="AZ79" s="257"/>
      <c r="BA79" s="257"/>
      <c r="BB79" s="257"/>
      <c r="BC79" s="257"/>
      <c r="BD79" s="257"/>
      <c r="BE79" s="257"/>
      <c r="BF79" s="257"/>
      <c r="BG79" s="257"/>
      <c r="BH79" s="257"/>
      <c r="BI79" s="257"/>
      <c r="BJ79" s="238"/>
      <c r="BK79" s="238"/>
      <c r="BL79" s="238"/>
      <c r="BM79" s="238"/>
      <c r="BN79" s="238"/>
      <c r="BO79" s="238"/>
      <c r="BP79" s="238"/>
      <c r="BQ79" s="238"/>
      <c r="BR79" s="238"/>
      <c r="BS79" s="238"/>
      <c r="BT79" s="238"/>
      <c r="BU79" s="238"/>
      <c r="BV79" s="238"/>
      <c r="BW79" s="238"/>
      <c r="BX79" s="238"/>
      <c r="BY79" s="238"/>
      <c r="BZ79" s="238"/>
      <c r="CA79" s="238"/>
      <c r="CB79" s="238"/>
      <c r="CC79" s="238"/>
      <c r="CD79" s="238"/>
      <c r="CE79" s="257"/>
      <c r="CF79" s="257"/>
      <c r="CG79" s="238"/>
      <c r="CH79" s="238"/>
      <c r="CI79" s="238"/>
      <c r="CJ79" s="238"/>
      <c r="CK79" s="238"/>
      <c r="CL79" s="238"/>
      <c r="CM79" s="238"/>
      <c r="CN79" s="238"/>
      <c r="CO79" s="238"/>
      <c r="CP79" s="238"/>
      <c r="CQ79" s="238"/>
      <c r="CR79" s="238"/>
      <c r="CS79" s="238"/>
      <c r="CT79" s="238"/>
      <c r="CU79" s="238"/>
      <c r="CV79" s="238"/>
      <c r="CW79" s="238"/>
      <c r="CX79" s="238"/>
      <c r="CY79" s="238"/>
      <c r="CZ79" s="238"/>
      <c r="DA79" s="238"/>
      <c r="DB79" s="238"/>
      <c r="DC79" s="238"/>
      <c r="DD79" s="238"/>
      <c r="DE79" s="238"/>
      <c r="DF79" s="238"/>
      <c r="DG79" s="257"/>
      <c r="DH79" s="238"/>
      <c r="DI79" s="238"/>
      <c r="DJ79" s="238"/>
      <c r="DK79" s="238"/>
      <c r="DL79" s="238"/>
      <c r="DM79" s="238"/>
      <c r="DN79" s="238"/>
      <c r="DO79" s="238"/>
      <c r="DP79" s="238"/>
      <c r="DQ79" s="238"/>
      <c r="DR79" s="238"/>
      <c r="DS79" s="238"/>
      <c r="DT79" s="238"/>
      <c r="DU79" s="238"/>
      <c r="DV79" s="238"/>
      <c r="DW79" s="238"/>
      <c r="DX79" s="238"/>
      <c r="DY79" s="238"/>
      <c r="DZ79" s="238"/>
      <c r="EA79" s="238"/>
      <c r="EB79" s="238"/>
      <c r="EC79" s="238"/>
      <c r="ED79" s="238"/>
      <c r="EE79" s="238"/>
      <c r="EF79" s="238"/>
      <c r="EG79" s="238"/>
      <c r="EH79" s="238"/>
      <c r="EI79" s="238"/>
      <c r="EJ79" s="238"/>
      <c r="EK79" s="238"/>
      <c r="EL79" s="238"/>
      <c r="EM79" s="238"/>
      <c r="EN79" s="238"/>
      <c r="EO79" s="238"/>
      <c r="EP79" s="238"/>
      <c r="EQ79" s="238"/>
      <c r="ER79" s="238"/>
      <c r="ES79" s="238"/>
      <c r="ET79" s="238"/>
      <c r="EU79" s="238"/>
      <c r="EV79" s="238"/>
      <c r="EW79" s="238"/>
      <c r="EX79" s="238"/>
      <c r="EY79" s="238"/>
      <c r="EZ79" s="238"/>
      <c r="FA79" s="238"/>
      <c r="FB79" s="238"/>
      <c r="FC79" s="238"/>
      <c r="FD79" s="238"/>
      <c r="FE79" s="238"/>
      <c r="FF79" s="238"/>
      <c r="FG79" s="238"/>
      <c r="FH79" s="257"/>
      <c r="FI79" s="257"/>
      <c r="FJ79" s="257"/>
      <c r="FK79" s="257"/>
      <c r="FL79" s="257"/>
      <c r="FM79" s="257"/>
      <c r="FN79" s="257"/>
      <c r="FO79" s="257"/>
      <c r="FP79" s="257"/>
      <c r="FQ79" s="257"/>
      <c r="FR79" s="257"/>
      <c r="FS79" s="257"/>
      <c r="FT79" s="257"/>
      <c r="FU79" s="257"/>
      <c r="FV79" s="257"/>
      <c r="FW79" s="257"/>
      <c r="FX79" s="257"/>
      <c r="FY79" s="238"/>
      <c r="FZ79" s="238"/>
      <c r="GA79" s="238"/>
      <c r="GB79" s="238"/>
      <c r="GC79" s="238"/>
      <c r="GD79" s="238"/>
      <c r="GE79" s="238"/>
      <c r="GF79" s="238"/>
      <c r="GG79" s="238"/>
      <c r="GH79" s="238"/>
      <c r="GI79" s="238"/>
      <c r="GJ79" s="238"/>
      <c r="GK79" s="238"/>
      <c r="GL79" s="238"/>
      <c r="GM79" s="238"/>
      <c r="GN79" s="238"/>
      <c r="GO79" s="238"/>
      <c r="GP79" s="238"/>
      <c r="GQ79" s="238"/>
      <c r="GR79" s="238"/>
      <c r="GS79" s="238"/>
      <c r="GT79" s="238"/>
      <c r="GU79" s="238"/>
      <c r="GV79" s="238"/>
      <c r="GW79" s="238"/>
      <c r="GX79" s="238"/>
      <c r="GY79" s="238"/>
      <c r="GZ79" s="238"/>
      <c r="HA79" s="238"/>
      <c r="HB79" s="238"/>
      <c r="HC79" s="238"/>
      <c r="HD79" s="238"/>
      <c r="HE79" s="238"/>
      <c r="HF79" s="238"/>
      <c r="HG79" s="238"/>
      <c r="HH79" s="238"/>
      <c r="HI79" s="238"/>
      <c r="HJ79" s="238"/>
      <c r="HK79" s="238"/>
      <c r="HL79" s="238"/>
      <c r="HM79" s="238"/>
      <c r="HN79" s="238"/>
      <c r="HO79" s="238"/>
      <c r="HP79" s="238"/>
      <c r="HQ79" s="238"/>
      <c r="HR79" s="238"/>
      <c r="HS79" s="238"/>
      <c r="HT79" s="238"/>
      <c r="HU79" s="238"/>
      <c r="HV79" s="238"/>
      <c r="HW79" s="238"/>
      <c r="HX79" s="257"/>
      <c r="HY79" s="257"/>
      <c r="HZ79" s="257"/>
      <c r="IA79" s="257"/>
      <c r="IB79" s="257"/>
      <c r="IC79" s="257"/>
      <c r="ID79" s="257"/>
      <c r="IE79" s="257"/>
      <c r="IF79" s="257"/>
      <c r="IG79" s="257"/>
      <c r="IH79" s="257"/>
      <c r="II79" s="257"/>
      <c r="IJ79" s="257"/>
      <c r="IK79" s="257"/>
      <c r="IL79" s="257"/>
      <c r="IM79" s="257"/>
      <c r="IN79" s="257"/>
      <c r="IO79" s="257"/>
      <c r="IP79" s="257"/>
      <c r="IQ79" s="257"/>
      <c r="IR79" s="257"/>
      <c r="IS79" s="257"/>
      <c r="IT79" s="257"/>
      <c r="IU79" s="257"/>
      <c r="IV79" s="257"/>
      <c r="IW79" s="257"/>
      <c r="IX79" s="257"/>
      <c r="IY79" s="257"/>
      <c r="IZ79" s="257"/>
      <c r="JA79" s="257"/>
      <c r="JB79" s="257"/>
      <c r="JC79" s="257"/>
      <c r="JD79" s="257"/>
      <c r="JE79" s="257"/>
      <c r="JF79" s="238"/>
      <c r="JG79" s="238"/>
      <c r="JH79" s="238"/>
      <c r="JI79" s="238"/>
      <c r="JJ79" s="238"/>
      <c r="JK79" s="238"/>
      <c r="JL79" s="238"/>
      <c r="JM79" s="238"/>
      <c r="JN79" s="238"/>
      <c r="JO79" s="238"/>
      <c r="JP79" s="238"/>
      <c r="JQ79" s="238"/>
      <c r="JR79" s="238"/>
      <c r="JS79" s="238"/>
      <c r="JT79" s="238"/>
      <c r="JU79" s="238"/>
      <c r="JV79" s="238"/>
      <c r="JW79" s="238"/>
      <c r="JX79" s="238"/>
      <c r="JY79" s="238"/>
      <c r="JZ79" s="238"/>
      <c r="KA79" s="238"/>
      <c r="KB79" s="238"/>
      <c r="KC79" s="238"/>
      <c r="KD79" s="238"/>
      <c r="KE79" s="238"/>
      <c r="KF79" s="238"/>
      <c r="KG79" s="238"/>
      <c r="KH79" s="238"/>
      <c r="KI79" s="238"/>
      <c r="KJ79" s="238"/>
      <c r="KK79" s="238"/>
      <c r="KL79" s="238"/>
      <c r="KM79" s="238"/>
      <c r="KN79" s="238"/>
      <c r="KO79" s="238"/>
      <c r="KP79" s="238"/>
      <c r="KQ79" s="238"/>
      <c r="KR79" s="238"/>
      <c r="KS79" s="238"/>
      <c r="KT79" s="238"/>
      <c r="KU79" s="238"/>
      <c r="KV79" s="238"/>
      <c r="KW79" s="238"/>
      <c r="KX79" s="238"/>
      <c r="KY79" s="238"/>
      <c r="KZ79" s="238"/>
      <c r="LA79" s="238"/>
      <c r="LB79" s="238"/>
      <c r="LC79" s="238"/>
      <c r="LD79" s="238"/>
      <c r="LE79" s="238"/>
      <c r="LF79" s="238"/>
      <c r="LG79" s="238"/>
      <c r="LH79" s="238"/>
      <c r="LI79" s="238"/>
      <c r="LJ79" s="238"/>
      <c r="LK79" s="238"/>
      <c r="LL79" s="238"/>
      <c r="LM79" s="238"/>
      <c r="LN79" s="238"/>
      <c r="LO79" s="238"/>
      <c r="LP79" s="238"/>
      <c r="LQ79" s="238"/>
      <c r="LR79" s="238"/>
      <c r="LS79" s="238"/>
      <c r="LT79" s="238"/>
      <c r="LU79" s="238"/>
      <c r="LV79" s="238"/>
      <c r="LW79" s="238"/>
      <c r="LX79" s="238"/>
      <c r="LY79" s="238"/>
      <c r="LZ79" s="238"/>
      <c r="MA79" s="238"/>
      <c r="MB79" s="238"/>
      <c r="MC79" s="238"/>
      <c r="MD79" s="238"/>
      <c r="ME79" s="238"/>
      <c r="MF79" s="238"/>
      <c r="MG79" s="238"/>
      <c r="MH79" s="238"/>
      <c r="MI79" s="238"/>
      <c r="MJ79" s="238"/>
      <c r="MK79" s="238"/>
      <c r="ML79" s="238"/>
    </row>
    <row r="80" ht="18.75" customHeight="1">
      <c r="A80" s="283"/>
      <c r="B80" s="234" t="str">
        <f>'Building Bill of Materials_SLIM'!P80</f>
        <v/>
      </c>
      <c r="C80" s="234" t="str">
        <f>'Building Bill of Materials_SLIM'!Q80</f>
        <v/>
      </c>
      <c r="D80" s="234" t="str">
        <f>'Building Bill of Materials_SLIM'!R80</f>
        <v/>
      </c>
      <c r="E80" s="234" t="str">
        <f>'Building Bill of Materials_SLIM'!S80</f>
        <v/>
      </c>
      <c r="F80" s="234"/>
      <c r="G80" s="234"/>
      <c r="H80" s="234"/>
      <c r="I80" s="234"/>
      <c r="J80" s="234" t="str">
        <f>'Building Bill of Materials_SLIM'!V80</f>
        <v/>
      </c>
      <c r="K80" s="238"/>
      <c r="L80" s="238"/>
      <c r="M80" s="238"/>
      <c r="N80" s="238"/>
      <c r="O80" s="238"/>
      <c r="P80" s="238"/>
      <c r="Q80" s="238"/>
      <c r="R80" s="238"/>
      <c r="S80" s="238"/>
      <c r="T80" s="238"/>
      <c r="U80" s="238"/>
      <c r="V80" s="238"/>
      <c r="W80" s="238"/>
      <c r="X80" s="238"/>
      <c r="Y80" s="238"/>
      <c r="Z80" s="238"/>
      <c r="AA80" s="192"/>
      <c r="AB80" s="257"/>
      <c r="AC80" s="257"/>
      <c r="AD80" s="257"/>
      <c r="AE80" s="257"/>
      <c r="AF80" s="257"/>
      <c r="AG80" s="257"/>
      <c r="AH80" s="257"/>
      <c r="AI80" s="257"/>
      <c r="AJ80" s="257"/>
      <c r="AK80" s="257"/>
      <c r="AL80" s="257"/>
      <c r="AM80" s="257"/>
      <c r="AN80" s="257"/>
      <c r="AO80" s="257"/>
      <c r="AP80" s="257"/>
      <c r="AQ80" s="257"/>
      <c r="AR80" s="257"/>
      <c r="AS80" s="257"/>
      <c r="AT80" s="257"/>
      <c r="AU80" s="257"/>
      <c r="AV80" s="257"/>
      <c r="AW80" s="257"/>
      <c r="AX80" s="257"/>
      <c r="AY80" s="257"/>
      <c r="AZ80" s="257"/>
      <c r="BA80" s="257"/>
      <c r="BB80" s="257"/>
      <c r="BC80" s="257"/>
      <c r="BD80" s="257"/>
      <c r="BE80" s="257"/>
      <c r="BF80" s="257"/>
      <c r="BG80" s="257"/>
      <c r="BH80" s="257"/>
      <c r="BI80" s="257"/>
      <c r="BJ80" s="238"/>
      <c r="BK80" s="238"/>
      <c r="BL80" s="238"/>
      <c r="BM80" s="238"/>
      <c r="BN80" s="238"/>
      <c r="BO80" s="238"/>
      <c r="BP80" s="238"/>
      <c r="BQ80" s="238"/>
      <c r="BR80" s="238"/>
      <c r="BS80" s="238"/>
      <c r="BT80" s="238"/>
      <c r="BU80" s="238"/>
      <c r="BV80" s="238"/>
      <c r="BW80" s="238"/>
      <c r="BX80" s="238"/>
      <c r="BY80" s="238"/>
      <c r="BZ80" s="238"/>
      <c r="CA80" s="238"/>
      <c r="CB80" s="238"/>
      <c r="CC80" s="238"/>
      <c r="CD80" s="238"/>
      <c r="CE80" s="257"/>
      <c r="CF80" s="257"/>
      <c r="CG80" s="238"/>
      <c r="CH80" s="238"/>
      <c r="CI80" s="238"/>
      <c r="CJ80" s="238"/>
      <c r="CK80" s="238"/>
      <c r="CL80" s="238"/>
      <c r="CM80" s="238"/>
      <c r="CN80" s="238"/>
      <c r="CO80" s="238"/>
      <c r="CP80" s="238"/>
      <c r="CQ80" s="238"/>
      <c r="CR80" s="238"/>
      <c r="CS80" s="238"/>
      <c r="CT80" s="238"/>
      <c r="CU80" s="238"/>
      <c r="CV80" s="238"/>
      <c r="CW80" s="238"/>
      <c r="CX80" s="238"/>
      <c r="CY80" s="238"/>
      <c r="CZ80" s="238"/>
      <c r="DA80" s="238"/>
      <c r="DB80" s="238"/>
      <c r="DC80" s="238"/>
      <c r="DD80" s="238"/>
      <c r="DE80" s="238"/>
      <c r="DF80" s="238"/>
      <c r="DG80" s="257"/>
      <c r="DH80" s="238"/>
      <c r="DI80" s="238"/>
      <c r="DJ80" s="238"/>
      <c r="DK80" s="238"/>
      <c r="DL80" s="238"/>
      <c r="DM80" s="238"/>
      <c r="DN80" s="238"/>
      <c r="DO80" s="238"/>
      <c r="DP80" s="238"/>
      <c r="DQ80" s="238"/>
      <c r="DR80" s="238"/>
      <c r="DS80" s="238"/>
      <c r="DT80" s="238"/>
      <c r="DU80" s="238"/>
      <c r="DV80" s="238"/>
      <c r="DW80" s="238"/>
      <c r="DX80" s="238"/>
      <c r="DY80" s="238"/>
      <c r="DZ80" s="238"/>
      <c r="EA80" s="238"/>
      <c r="EB80" s="238"/>
      <c r="EC80" s="238"/>
      <c r="ED80" s="238"/>
      <c r="EE80" s="238"/>
      <c r="EF80" s="238"/>
      <c r="EG80" s="238"/>
      <c r="EH80" s="238"/>
      <c r="EI80" s="238"/>
      <c r="EJ80" s="238"/>
      <c r="EK80" s="238"/>
      <c r="EL80" s="238"/>
      <c r="EM80" s="238"/>
      <c r="EN80" s="238"/>
      <c r="EO80" s="238"/>
      <c r="EP80" s="238"/>
      <c r="EQ80" s="238"/>
      <c r="ER80" s="238"/>
      <c r="ES80" s="238"/>
      <c r="ET80" s="238"/>
      <c r="EU80" s="238"/>
      <c r="EV80" s="238"/>
      <c r="EW80" s="238"/>
      <c r="EX80" s="238"/>
      <c r="EY80" s="238"/>
      <c r="EZ80" s="238"/>
      <c r="FA80" s="238"/>
      <c r="FB80" s="238"/>
      <c r="FC80" s="238"/>
      <c r="FD80" s="238"/>
      <c r="FE80" s="238"/>
      <c r="FF80" s="238"/>
      <c r="FG80" s="238"/>
      <c r="FH80" s="257"/>
      <c r="FI80" s="257"/>
      <c r="FJ80" s="257"/>
      <c r="FK80" s="257"/>
      <c r="FL80" s="257"/>
      <c r="FM80" s="257"/>
      <c r="FN80" s="257"/>
      <c r="FO80" s="257"/>
      <c r="FP80" s="257"/>
      <c r="FQ80" s="257"/>
      <c r="FR80" s="257"/>
      <c r="FS80" s="257"/>
      <c r="FT80" s="257"/>
      <c r="FU80" s="257"/>
      <c r="FV80" s="257"/>
      <c r="FW80" s="257"/>
      <c r="FX80" s="257"/>
      <c r="FY80" s="238"/>
      <c r="FZ80" s="238"/>
      <c r="GA80" s="238"/>
      <c r="GB80" s="238"/>
      <c r="GC80" s="238"/>
      <c r="GD80" s="238"/>
      <c r="GE80" s="238"/>
      <c r="GF80" s="238"/>
      <c r="GG80" s="238"/>
      <c r="GH80" s="238"/>
      <c r="GI80" s="238"/>
      <c r="GJ80" s="238"/>
      <c r="GK80" s="238"/>
      <c r="GL80" s="238"/>
      <c r="GM80" s="238"/>
      <c r="GN80" s="238"/>
      <c r="GO80" s="238"/>
      <c r="GP80" s="238"/>
      <c r="GQ80" s="238"/>
      <c r="GR80" s="238"/>
      <c r="GS80" s="238"/>
      <c r="GT80" s="238"/>
      <c r="GU80" s="238"/>
      <c r="GV80" s="238"/>
      <c r="GW80" s="238"/>
      <c r="GX80" s="238"/>
      <c r="GY80" s="238"/>
      <c r="GZ80" s="238"/>
      <c r="HA80" s="238"/>
      <c r="HB80" s="238"/>
      <c r="HC80" s="238"/>
      <c r="HD80" s="238"/>
      <c r="HE80" s="238"/>
      <c r="HF80" s="238"/>
      <c r="HG80" s="238"/>
      <c r="HH80" s="238"/>
      <c r="HI80" s="238"/>
      <c r="HJ80" s="238"/>
      <c r="HK80" s="238"/>
      <c r="HL80" s="238"/>
      <c r="HM80" s="238"/>
      <c r="HN80" s="238"/>
      <c r="HO80" s="238"/>
      <c r="HP80" s="238"/>
      <c r="HQ80" s="238"/>
      <c r="HR80" s="238"/>
      <c r="HS80" s="238"/>
      <c r="HT80" s="238"/>
      <c r="HU80" s="238"/>
      <c r="HV80" s="238"/>
      <c r="HW80" s="238"/>
      <c r="HX80" s="257"/>
      <c r="HY80" s="257"/>
      <c r="HZ80" s="257"/>
      <c r="IA80" s="257"/>
      <c r="IB80" s="257"/>
      <c r="IC80" s="257"/>
      <c r="ID80" s="257"/>
      <c r="IE80" s="257"/>
      <c r="IF80" s="257"/>
      <c r="IG80" s="257"/>
      <c r="IH80" s="257"/>
      <c r="II80" s="257"/>
      <c r="IJ80" s="257"/>
      <c r="IK80" s="257"/>
      <c r="IL80" s="257"/>
      <c r="IM80" s="257"/>
      <c r="IN80" s="257"/>
      <c r="IO80" s="257"/>
      <c r="IP80" s="257"/>
      <c r="IQ80" s="257"/>
      <c r="IR80" s="257"/>
      <c r="IS80" s="257"/>
      <c r="IT80" s="257"/>
      <c r="IU80" s="257"/>
      <c r="IV80" s="257"/>
      <c r="IW80" s="257"/>
      <c r="IX80" s="257"/>
      <c r="IY80" s="257"/>
      <c r="IZ80" s="257"/>
      <c r="JA80" s="257"/>
      <c r="JB80" s="257"/>
      <c r="JC80" s="257"/>
      <c r="JD80" s="257"/>
      <c r="JE80" s="257"/>
      <c r="JF80" s="238"/>
      <c r="JG80" s="238"/>
      <c r="JH80" s="238"/>
      <c r="JI80" s="238"/>
      <c r="JJ80" s="238"/>
      <c r="JK80" s="238"/>
      <c r="JL80" s="238"/>
      <c r="JM80" s="238"/>
      <c r="JN80" s="238"/>
      <c r="JO80" s="238"/>
      <c r="JP80" s="238"/>
      <c r="JQ80" s="238"/>
      <c r="JR80" s="238"/>
      <c r="JS80" s="238"/>
      <c r="JT80" s="238"/>
      <c r="JU80" s="238"/>
      <c r="JV80" s="238"/>
      <c r="JW80" s="238"/>
      <c r="JX80" s="238"/>
      <c r="JY80" s="238"/>
      <c r="JZ80" s="238"/>
      <c r="KA80" s="238"/>
      <c r="KB80" s="238"/>
      <c r="KC80" s="238"/>
      <c r="KD80" s="238"/>
      <c r="KE80" s="238"/>
      <c r="KF80" s="238"/>
      <c r="KG80" s="238"/>
      <c r="KH80" s="238"/>
      <c r="KI80" s="238"/>
      <c r="KJ80" s="238"/>
      <c r="KK80" s="238"/>
      <c r="KL80" s="238"/>
      <c r="KM80" s="238"/>
      <c r="KN80" s="238"/>
      <c r="KO80" s="238"/>
      <c r="KP80" s="238"/>
      <c r="KQ80" s="238"/>
      <c r="KR80" s="238"/>
      <c r="KS80" s="238"/>
      <c r="KT80" s="238"/>
      <c r="KU80" s="238"/>
      <c r="KV80" s="238"/>
      <c r="KW80" s="238"/>
      <c r="KX80" s="238"/>
      <c r="KY80" s="238"/>
      <c r="KZ80" s="238"/>
      <c r="LA80" s="238"/>
      <c r="LB80" s="238"/>
      <c r="LC80" s="238"/>
      <c r="LD80" s="238"/>
      <c r="LE80" s="238"/>
      <c r="LF80" s="238"/>
      <c r="LG80" s="238"/>
      <c r="LH80" s="238"/>
      <c r="LI80" s="238"/>
      <c r="LJ80" s="238"/>
      <c r="LK80" s="238"/>
      <c r="LL80" s="238"/>
      <c r="LM80" s="238"/>
      <c r="LN80" s="238"/>
      <c r="LO80" s="238"/>
      <c r="LP80" s="238"/>
      <c r="LQ80" s="238"/>
      <c r="LR80" s="238"/>
      <c r="LS80" s="238"/>
      <c r="LT80" s="238"/>
      <c r="LU80" s="238"/>
      <c r="LV80" s="238"/>
      <c r="LW80" s="238"/>
      <c r="LX80" s="238"/>
      <c r="LY80" s="238"/>
      <c r="LZ80" s="238"/>
      <c r="MA80" s="238"/>
      <c r="MB80" s="238"/>
      <c r="MC80" s="238"/>
      <c r="MD80" s="238"/>
      <c r="ME80" s="238"/>
      <c r="MF80" s="238"/>
      <c r="MG80" s="238"/>
      <c r="MH80" s="238"/>
      <c r="MI80" s="238"/>
      <c r="MJ80" s="238"/>
      <c r="MK80" s="238"/>
      <c r="ML80" s="238"/>
    </row>
    <row r="81" ht="18.75" customHeight="1">
      <c r="A81" s="283"/>
      <c r="B81" s="234" t="str">
        <f>'Building Bill of Materials_SLIM'!P81</f>
        <v/>
      </c>
      <c r="C81" s="234" t="str">
        <f>'Building Bill of Materials_SLIM'!Q81</f>
        <v/>
      </c>
      <c r="D81" s="234" t="str">
        <f>'Building Bill of Materials_SLIM'!R81</f>
        <v/>
      </c>
      <c r="E81" s="234" t="str">
        <f>'Building Bill of Materials_SLIM'!S81</f>
        <v/>
      </c>
      <c r="F81" s="234"/>
      <c r="G81" s="234"/>
      <c r="H81" s="234"/>
      <c r="I81" s="234"/>
      <c r="J81" s="234" t="str">
        <f>'Building Bill of Materials_SLIM'!V81</f>
        <v/>
      </c>
      <c r="K81" s="238"/>
      <c r="L81" s="238"/>
      <c r="M81" s="238"/>
      <c r="N81" s="238"/>
      <c r="O81" s="238"/>
      <c r="P81" s="238"/>
      <c r="Q81" s="238"/>
      <c r="R81" s="238"/>
      <c r="S81" s="238"/>
      <c r="T81" s="238"/>
      <c r="U81" s="238"/>
      <c r="V81" s="238"/>
      <c r="W81" s="238"/>
      <c r="X81" s="238"/>
      <c r="Y81" s="238"/>
      <c r="Z81" s="238"/>
      <c r="AA81" s="192"/>
      <c r="AB81" s="257"/>
      <c r="AC81" s="257"/>
      <c r="AD81" s="257"/>
      <c r="AE81" s="257"/>
      <c r="AF81" s="257"/>
      <c r="AG81" s="257"/>
      <c r="AH81" s="257"/>
      <c r="AI81" s="257"/>
      <c r="AJ81" s="257"/>
      <c r="AK81" s="257"/>
      <c r="AL81" s="257"/>
      <c r="AM81" s="257"/>
      <c r="AN81" s="257"/>
      <c r="AO81" s="257"/>
      <c r="AP81" s="257"/>
      <c r="AQ81" s="257"/>
      <c r="AR81" s="257"/>
      <c r="AS81" s="257"/>
      <c r="AT81" s="257"/>
      <c r="AU81" s="257"/>
      <c r="AV81" s="257"/>
      <c r="AW81" s="257"/>
      <c r="AX81" s="257"/>
      <c r="AY81" s="257"/>
      <c r="AZ81" s="257"/>
      <c r="BA81" s="257"/>
      <c r="BB81" s="257"/>
      <c r="BC81" s="257"/>
      <c r="BD81" s="257"/>
      <c r="BE81" s="257"/>
      <c r="BF81" s="257"/>
      <c r="BG81" s="257"/>
      <c r="BH81" s="257"/>
      <c r="BI81" s="257"/>
      <c r="BJ81" s="238"/>
      <c r="BK81" s="238"/>
      <c r="BL81" s="238"/>
      <c r="BM81" s="238"/>
      <c r="BN81" s="238"/>
      <c r="BO81" s="238"/>
      <c r="BP81" s="238"/>
      <c r="BQ81" s="238"/>
      <c r="BR81" s="238"/>
      <c r="BS81" s="238"/>
      <c r="BT81" s="238"/>
      <c r="BU81" s="238"/>
      <c r="BV81" s="238"/>
      <c r="BW81" s="238"/>
      <c r="BX81" s="238"/>
      <c r="BY81" s="238"/>
      <c r="BZ81" s="238"/>
      <c r="CA81" s="238"/>
      <c r="CB81" s="238"/>
      <c r="CC81" s="238"/>
      <c r="CD81" s="238"/>
      <c r="CE81" s="257"/>
      <c r="CF81" s="257"/>
      <c r="CG81" s="238"/>
      <c r="CH81" s="238"/>
      <c r="CI81" s="238"/>
      <c r="CJ81" s="238"/>
      <c r="CK81" s="238"/>
      <c r="CL81" s="238"/>
      <c r="CM81" s="238"/>
      <c r="CN81" s="238"/>
      <c r="CO81" s="238"/>
      <c r="CP81" s="238"/>
      <c r="CQ81" s="238"/>
      <c r="CR81" s="238"/>
      <c r="CS81" s="238"/>
      <c r="CT81" s="238"/>
      <c r="CU81" s="238"/>
      <c r="CV81" s="238"/>
      <c r="CW81" s="238"/>
      <c r="CX81" s="238"/>
      <c r="CY81" s="238"/>
      <c r="CZ81" s="238"/>
      <c r="DA81" s="238"/>
      <c r="DB81" s="238"/>
      <c r="DC81" s="238"/>
      <c r="DD81" s="238"/>
      <c r="DE81" s="238"/>
      <c r="DF81" s="238"/>
      <c r="DG81" s="257"/>
      <c r="DH81" s="238"/>
      <c r="DI81" s="238"/>
      <c r="DJ81" s="238"/>
      <c r="DK81" s="238"/>
      <c r="DL81" s="238"/>
      <c r="DM81" s="238"/>
      <c r="DN81" s="238"/>
      <c r="DO81" s="238"/>
      <c r="DP81" s="238"/>
      <c r="DQ81" s="238"/>
      <c r="DR81" s="238"/>
      <c r="DS81" s="238"/>
      <c r="DT81" s="238"/>
      <c r="DU81" s="238"/>
      <c r="DV81" s="238"/>
      <c r="DW81" s="238"/>
      <c r="DX81" s="238"/>
      <c r="DY81" s="238"/>
      <c r="DZ81" s="238"/>
      <c r="EA81" s="238"/>
      <c r="EB81" s="238"/>
      <c r="EC81" s="238"/>
      <c r="ED81" s="238"/>
      <c r="EE81" s="238"/>
      <c r="EF81" s="238"/>
      <c r="EG81" s="238"/>
      <c r="EH81" s="238"/>
      <c r="EI81" s="238"/>
      <c r="EJ81" s="238"/>
      <c r="EK81" s="238"/>
      <c r="EL81" s="238"/>
      <c r="EM81" s="238"/>
      <c r="EN81" s="238"/>
      <c r="EO81" s="238"/>
      <c r="EP81" s="238"/>
      <c r="EQ81" s="238"/>
      <c r="ER81" s="238"/>
      <c r="ES81" s="238"/>
      <c r="ET81" s="238"/>
      <c r="EU81" s="238"/>
      <c r="EV81" s="238"/>
      <c r="EW81" s="238"/>
      <c r="EX81" s="238"/>
      <c r="EY81" s="238"/>
      <c r="EZ81" s="238"/>
      <c r="FA81" s="238"/>
      <c r="FB81" s="238"/>
      <c r="FC81" s="238"/>
      <c r="FD81" s="238"/>
      <c r="FE81" s="238"/>
      <c r="FF81" s="238"/>
      <c r="FG81" s="238"/>
      <c r="FH81" s="257"/>
      <c r="FI81" s="257"/>
      <c r="FJ81" s="257"/>
      <c r="FK81" s="257"/>
      <c r="FL81" s="257"/>
      <c r="FM81" s="257"/>
      <c r="FN81" s="257"/>
      <c r="FO81" s="257"/>
      <c r="FP81" s="257"/>
      <c r="FQ81" s="257"/>
      <c r="FR81" s="257"/>
      <c r="FS81" s="257"/>
      <c r="FT81" s="257"/>
      <c r="FU81" s="257"/>
      <c r="FV81" s="257"/>
      <c r="FW81" s="257"/>
      <c r="FX81" s="257"/>
      <c r="FY81" s="238"/>
      <c r="FZ81" s="238"/>
      <c r="GA81" s="238"/>
      <c r="GB81" s="238"/>
      <c r="GC81" s="238"/>
      <c r="GD81" s="238"/>
      <c r="GE81" s="238"/>
      <c r="GF81" s="238"/>
      <c r="GG81" s="238"/>
      <c r="GH81" s="238"/>
      <c r="GI81" s="238"/>
      <c r="GJ81" s="238"/>
      <c r="GK81" s="238"/>
      <c r="GL81" s="238"/>
      <c r="GM81" s="238"/>
      <c r="GN81" s="238"/>
      <c r="GO81" s="238"/>
      <c r="GP81" s="238"/>
      <c r="GQ81" s="238"/>
      <c r="GR81" s="238"/>
      <c r="GS81" s="238"/>
      <c r="GT81" s="238"/>
      <c r="GU81" s="238"/>
      <c r="GV81" s="238"/>
      <c r="GW81" s="238"/>
      <c r="GX81" s="238"/>
      <c r="GY81" s="238"/>
      <c r="GZ81" s="238"/>
      <c r="HA81" s="238"/>
      <c r="HB81" s="238"/>
      <c r="HC81" s="238"/>
      <c r="HD81" s="238"/>
      <c r="HE81" s="238"/>
      <c r="HF81" s="238"/>
      <c r="HG81" s="238"/>
      <c r="HH81" s="238"/>
      <c r="HI81" s="238"/>
      <c r="HJ81" s="238"/>
      <c r="HK81" s="238"/>
      <c r="HL81" s="238"/>
      <c r="HM81" s="238"/>
      <c r="HN81" s="238"/>
      <c r="HO81" s="238"/>
      <c r="HP81" s="238"/>
      <c r="HQ81" s="238"/>
      <c r="HR81" s="238"/>
      <c r="HS81" s="238"/>
      <c r="HT81" s="238"/>
      <c r="HU81" s="238"/>
      <c r="HV81" s="238"/>
      <c r="HW81" s="238"/>
      <c r="HX81" s="257"/>
      <c r="HY81" s="257"/>
      <c r="HZ81" s="257"/>
      <c r="IA81" s="257"/>
      <c r="IB81" s="257"/>
      <c r="IC81" s="257"/>
      <c r="ID81" s="257"/>
      <c r="IE81" s="257"/>
      <c r="IF81" s="257"/>
      <c r="IG81" s="257"/>
      <c r="IH81" s="257"/>
      <c r="II81" s="257"/>
      <c r="IJ81" s="257"/>
      <c r="IK81" s="257"/>
      <c r="IL81" s="257"/>
      <c r="IM81" s="257"/>
      <c r="IN81" s="257"/>
      <c r="IO81" s="257"/>
      <c r="IP81" s="257"/>
      <c r="IQ81" s="257"/>
      <c r="IR81" s="257"/>
      <c r="IS81" s="257"/>
      <c r="IT81" s="257"/>
      <c r="IU81" s="257"/>
      <c r="IV81" s="257"/>
      <c r="IW81" s="257"/>
      <c r="IX81" s="257"/>
      <c r="IY81" s="257"/>
      <c r="IZ81" s="257"/>
      <c r="JA81" s="257"/>
      <c r="JB81" s="257"/>
      <c r="JC81" s="257"/>
      <c r="JD81" s="257"/>
      <c r="JE81" s="257"/>
      <c r="JF81" s="238"/>
      <c r="JG81" s="238"/>
      <c r="JH81" s="238"/>
      <c r="JI81" s="238"/>
      <c r="JJ81" s="238"/>
      <c r="JK81" s="238"/>
      <c r="JL81" s="238"/>
      <c r="JM81" s="238"/>
      <c r="JN81" s="238"/>
      <c r="JO81" s="238"/>
      <c r="JP81" s="238"/>
      <c r="JQ81" s="238"/>
      <c r="JR81" s="238"/>
      <c r="JS81" s="238"/>
      <c r="JT81" s="238"/>
      <c r="JU81" s="238"/>
      <c r="JV81" s="238"/>
      <c r="JW81" s="238"/>
      <c r="JX81" s="238"/>
      <c r="JY81" s="238"/>
      <c r="JZ81" s="238"/>
      <c r="KA81" s="238"/>
      <c r="KB81" s="238"/>
      <c r="KC81" s="238"/>
      <c r="KD81" s="238"/>
      <c r="KE81" s="238"/>
      <c r="KF81" s="238"/>
      <c r="KG81" s="238"/>
      <c r="KH81" s="238"/>
      <c r="KI81" s="238"/>
      <c r="KJ81" s="238"/>
      <c r="KK81" s="238"/>
      <c r="KL81" s="238"/>
      <c r="KM81" s="238"/>
      <c r="KN81" s="238"/>
      <c r="KO81" s="238"/>
      <c r="KP81" s="238"/>
      <c r="KQ81" s="238"/>
      <c r="KR81" s="238"/>
      <c r="KS81" s="238"/>
      <c r="KT81" s="238"/>
      <c r="KU81" s="238"/>
      <c r="KV81" s="238"/>
      <c r="KW81" s="238"/>
      <c r="KX81" s="238"/>
      <c r="KY81" s="238"/>
      <c r="KZ81" s="238"/>
      <c r="LA81" s="238"/>
      <c r="LB81" s="238"/>
      <c r="LC81" s="238"/>
      <c r="LD81" s="238"/>
      <c r="LE81" s="238"/>
      <c r="LF81" s="238"/>
      <c r="LG81" s="238"/>
      <c r="LH81" s="238"/>
      <c r="LI81" s="238"/>
      <c r="LJ81" s="238"/>
      <c r="LK81" s="238"/>
      <c r="LL81" s="238"/>
      <c r="LM81" s="238"/>
      <c r="LN81" s="238"/>
      <c r="LO81" s="238"/>
      <c r="LP81" s="238"/>
      <c r="LQ81" s="238"/>
      <c r="LR81" s="238"/>
      <c r="LS81" s="238"/>
      <c r="LT81" s="238"/>
      <c r="LU81" s="238"/>
      <c r="LV81" s="238"/>
      <c r="LW81" s="238"/>
      <c r="LX81" s="238"/>
      <c r="LY81" s="238"/>
      <c r="LZ81" s="238"/>
      <c r="MA81" s="238"/>
      <c r="MB81" s="238"/>
      <c r="MC81" s="238"/>
      <c r="MD81" s="238"/>
      <c r="ME81" s="238"/>
      <c r="MF81" s="238"/>
      <c r="MG81" s="238"/>
      <c r="MH81" s="238"/>
      <c r="MI81" s="238"/>
      <c r="MJ81" s="238"/>
      <c r="MK81" s="238"/>
      <c r="ML81" s="238"/>
    </row>
    <row r="82" ht="18.75" customHeight="1">
      <c r="A82" s="283"/>
      <c r="B82" s="234" t="str">
        <f>'Building Bill of Materials_SLIM'!P82</f>
        <v/>
      </c>
      <c r="C82" s="234" t="str">
        <f>'Building Bill of Materials_SLIM'!Q82</f>
        <v/>
      </c>
      <c r="D82" s="234" t="str">
        <f>'Building Bill of Materials_SLIM'!R82</f>
        <v/>
      </c>
      <c r="E82" s="234" t="str">
        <f>'Building Bill of Materials_SLIM'!S82</f>
        <v/>
      </c>
      <c r="F82" s="234"/>
      <c r="G82" s="234"/>
      <c r="H82" s="234"/>
      <c r="I82" s="234"/>
      <c r="J82" s="234" t="str">
        <f>'Building Bill of Materials_SLIM'!V82</f>
        <v/>
      </c>
      <c r="K82" s="238"/>
      <c r="L82" s="238"/>
      <c r="M82" s="238"/>
      <c r="N82" s="238"/>
      <c r="O82" s="238"/>
      <c r="P82" s="238"/>
      <c r="Q82" s="238"/>
      <c r="R82" s="238"/>
      <c r="S82" s="238"/>
      <c r="T82" s="238"/>
      <c r="U82" s="238"/>
      <c r="V82" s="238"/>
      <c r="W82" s="238"/>
      <c r="X82" s="238"/>
      <c r="Y82" s="238"/>
      <c r="Z82" s="238"/>
      <c r="AA82" s="192"/>
      <c r="AB82" s="257"/>
      <c r="AC82" s="257"/>
      <c r="AD82" s="257"/>
      <c r="AE82" s="257"/>
      <c r="AF82" s="257"/>
      <c r="AG82" s="257"/>
      <c r="AH82" s="257"/>
      <c r="AI82" s="257"/>
      <c r="AJ82" s="257"/>
      <c r="AK82" s="257"/>
      <c r="AL82" s="257"/>
      <c r="AM82" s="257"/>
      <c r="AN82" s="257"/>
      <c r="AO82" s="257"/>
      <c r="AP82" s="257"/>
      <c r="AQ82" s="257"/>
      <c r="AR82" s="257"/>
      <c r="AS82" s="257"/>
      <c r="AT82" s="257"/>
      <c r="AU82" s="257"/>
      <c r="AV82" s="257"/>
      <c r="AW82" s="257"/>
      <c r="AX82" s="257"/>
      <c r="AY82" s="257"/>
      <c r="AZ82" s="257"/>
      <c r="BA82" s="257"/>
      <c r="BB82" s="257"/>
      <c r="BC82" s="257"/>
      <c r="BD82" s="257"/>
      <c r="BE82" s="257"/>
      <c r="BF82" s="257"/>
      <c r="BG82" s="257"/>
      <c r="BH82" s="257"/>
      <c r="BI82" s="257"/>
      <c r="BJ82" s="238"/>
      <c r="BK82" s="238"/>
      <c r="BL82" s="238"/>
      <c r="BM82" s="238"/>
      <c r="BN82" s="238"/>
      <c r="BO82" s="238"/>
      <c r="BP82" s="238"/>
      <c r="BQ82" s="238"/>
      <c r="BR82" s="238"/>
      <c r="BS82" s="238"/>
      <c r="BT82" s="238"/>
      <c r="BU82" s="238"/>
      <c r="BV82" s="238"/>
      <c r="BW82" s="238"/>
      <c r="BX82" s="238"/>
      <c r="BY82" s="238"/>
      <c r="BZ82" s="238"/>
      <c r="CA82" s="238"/>
      <c r="CB82" s="238"/>
      <c r="CC82" s="238"/>
      <c r="CD82" s="238"/>
      <c r="CE82" s="257"/>
      <c r="CF82" s="257"/>
      <c r="CG82" s="238"/>
      <c r="CH82" s="238"/>
      <c r="CI82" s="238"/>
      <c r="CJ82" s="238"/>
      <c r="CK82" s="238"/>
      <c r="CL82" s="238"/>
      <c r="CM82" s="238"/>
      <c r="CN82" s="238"/>
      <c r="CO82" s="238"/>
      <c r="CP82" s="238"/>
      <c r="CQ82" s="238"/>
      <c r="CR82" s="238"/>
      <c r="CS82" s="238"/>
      <c r="CT82" s="238"/>
      <c r="CU82" s="238"/>
      <c r="CV82" s="238"/>
      <c r="CW82" s="238"/>
      <c r="CX82" s="238"/>
      <c r="CY82" s="238"/>
      <c r="CZ82" s="238"/>
      <c r="DA82" s="238"/>
      <c r="DB82" s="238"/>
      <c r="DC82" s="238"/>
      <c r="DD82" s="238"/>
      <c r="DE82" s="238"/>
      <c r="DF82" s="238"/>
      <c r="DG82" s="257"/>
      <c r="DH82" s="238"/>
      <c r="DI82" s="238"/>
      <c r="DJ82" s="238"/>
      <c r="DK82" s="238"/>
      <c r="DL82" s="238"/>
      <c r="DM82" s="238"/>
      <c r="DN82" s="238"/>
      <c r="DO82" s="238"/>
      <c r="DP82" s="238"/>
      <c r="DQ82" s="238"/>
      <c r="DR82" s="238"/>
      <c r="DS82" s="238"/>
      <c r="DT82" s="238"/>
      <c r="DU82" s="238"/>
      <c r="DV82" s="238"/>
      <c r="DW82" s="238"/>
      <c r="DX82" s="238"/>
      <c r="DY82" s="238"/>
      <c r="DZ82" s="238"/>
      <c r="EA82" s="238"/>
      <c r="EB82" s="238"/>
      <c r="EC82" s="238"/>
      <c r="ED82" s="238"/>
      <c r="EE82" s="238"/>
      <c r="EF82" s="238"/>
      <c r="EG82" s="238"/>
      <c r="EH82" s="238"/>
      <c r="EI82" s="238"/>
      <c r="EJ82" s="238"/>
      <c r="EK82" s="238"/>
      <c r="EL82" s="238"/>
      <c r="EM82" s="238"/>
      <c r="EN82" s="238"/>
      <c r="EO82" s="238"/>
      <c r="EP82" s="238"/>
      <c r="EQ82" s="238"/>
      <c r="ER82" s="238"/>
      <c r="ES82" s="238"/>
      <c r="ET82" s="238"/>
      <c r="EU82" s="238"/>
      <c r="EV82" s="238"/>
      <c r="EW82" s="238"/>
      <c r="EX82" s="238"/>
      <c r="EY82" s="238"/>
      <c r="EZ82" s="238"/>
      <c r="FA82" s="238"/>
      <c r="FB82" s="238"/>
      <c r="FC82" s="238"/>
      <c r="FD82" s="238"/>
      <c r="FE82" s="238"/>
      <c r="FF82" s="238"/>
      <c r="FG82" s="238"/>
      <c r="FH82" s="257"/>
      <c r="FI82" s="257"/>
      <c r="FJ82" s="257"/>
      <c r="FK82" s="257"/>
      <c r="FL82" s="257"/>
      <c r="FM82" s="257"/>
      <c r="FN82" s="257"/>
      <c r="FO82" s="257"/>
      <c r="FP82" s="257"/>
      <c r="FQ82" s="257"/>
      <c r="FR82" s="257"/>
      <c r="FS82" s="257"/>
      <c r="FT82" s="257"/>
      <c r="FU82" s="257"/>
      <c r="FV82" s="257"/>
      <c r="FW82" s="257"/>
      <c r="FX82" s="257"/>
      <c r="FY82" s="238"/>
      <c r="FZ82" s="238"/>
      <c r="GA82" s="238"/>
      <c r="GB82" s="238"/>
      <c r="GC82" s="238"/>
      <c r="GD82" s="238"/>
      <c r="GE82" s="238"/>
      <c r="GF82" s="238"/>
      <c r="GG82" s="238"/>
      <c r="GH82" s="238"/>
      <c r="GI82" s="238"/>
      <c r="GJ82" s="238"/>
      <c r="GK82" s="238"/>
      <c r="GL82" s="238"/>
      <c r="GM82" s="238"/>
      <c r="GN82" s="238"/>
      <c r="GO82" s="238"/>
      <c r="GP82" s="238"/>
      <c r="GQ82" s="238"/>
      <c r="GR82" s="238"/>
      <c r="GS82" s="238"/>
      <c r="GT82" s="238"/>
      <c r="GU82" s="238"/>
      <c r="GV82" s="238"/>
      <c r="GW82" s="238"/>
      <c r="GX82" s="238"/>
      <c r="GY82" s="238"/>
      <c r="GZ82" s="238"/>
      <c r="HA82" s="238"/>
      <c r="HB82" s="238"/>
      <c r="HC82" s="238"/>
      <c r="HD82" s="238"/>
      <c r="HE82" s="238"/>
      <c r="HF82" s="238"/>
      <c r="HG82" s="238"/>
      <c r="HH82" s="238"/>
      <c r="HI82" s="238"/>
      <c r="HJ82" s="238"/>
      <c r="HK82" s="238"/>
      <c r="HL82" s="238"/>
      <c r="HM82" s="238"/>
      <c r="HN82" s="238"/>
      <c r="HO82" s="238"/>
      <c r="HP82" s="238"/>
      <c r="HQ82" s="238"/>
      <c r="HR82" s="238"/>
      <c r="HS82" s="238"/>
      <c r="HT82" s="238"/>
      <c r="HU82" s="238"/>
      <c r="HV82" s="238"/>
      <c r="HW82" s="238"/>
      <c r="HX82" s="257"/>
      <c r="HY82" s="257"/>
      <c r="HZ82" s="257"/>
      <c r="IA82" s="257"/>
      <c r="IB82" s="257"/>
      <c r="IC82" s="257"/>
      <c r="ID82" s="257"/>
      <c r="IE82" s="257"/>
      <c r="IF82" s="257"/>
      <c r="IG82" s="257"/>
      <c r="IH82" s="257"/>
      <c r="II82" s="257"/>
      <c r="IJ82" s="257"/>
      <c r="IK82" s="257"/>
      <c r="IL82" s="257"/>
      <c r="IM82" s="257"/>
      <c r="IN82" s="257"/>
      <c r="IO82" s="257"/>
      <c r="IP82" s="257"/>
      <c r="IQ82" s="257"/>
      <c r="IR82" s="257"/>
      <c r="IS82" s="257"/>
      <c r="IT82" s="257"/>
      <c r="IU82" s="257"/>
      <c r="IV82" s="257"/>
      <c r="IW82" s="257"/>
      <c r="IX82" s="257"/>
      <c r="IY82" s="257"/>
      <c r="IZ82" s="257"/>
      <c r="JA82" s="257"/>
      <c r="JB82" s="257"/>
      <c r="JC82" s="257"/>
      <c r="JD82" s="257"/>
      <c r="JE82" s="257"/>
      <c r="JF82" s="238"/>
      <c r="JG82" s="238"/>
      <c r="JH82" s="238"/>
      <c r="JI82" s="238"/>
      <c r="JJ82" s="238"/>
      <c r="JK82" s="238"/>
      <c r="JL82" s="238"/>
      <c r="JM82" s="238"/>
      <c r="JN82" s="238"/>
      <c r="JO82" s="238"/>
      <c r="JP82" s="238"/>
      <c r="JQ82" s="238"/>
      <c r="JR82" s="238"/>
      <c r="JS82" s="238"/>
      <c r="JT82" s="238"/>
      <c r="JU82" s="238"/>
      <c r="JV82" s="238"/>
      <c r="JW82" s="238"/>
      <c r="JX82" s="238"/>
      <c r="JY82" s="238"/>
      <c r="JZ82" s="238"/>
      <c r="KA82" s="238"/>
      <c r="KB82" s="238"/>
      <c r="KC82" s="238"/>
      <c r="KD82" s="238"/>
      <c r="KE82" s="238"/>
      <c r="KF82" s="238"/>
      <c r="KG82" s="238"/>
      <c r="KH82" s="238"/>
      <c r="KI82" s="238"/>
      <c r="KJ82" s="238"/>
      <c r="KK82" s="238"/>
      <c r="KL82" s="238"/>
      <c r="KM82" s="238"/>
      <c r="KN82" s="238"/>
      <c r="KO82" s="238"/>
      <c r="KP82" s="238"/>
      <c r="KQ82" s="238"/>
      <c r="KR82" s="238"/>
      <c r="KS82" s="238"/>
      <c r="KT82" s="238"/>
      <c r="KU82" s="238"/>
      <c r="KV82" s="238"/>
      <c r="KW82" s="238"/>
      <c r="KX82" s="238"/>
      <c r="KY82" s="238"/>
      <c r="KZ82" s="238"/>
      <c r="LA82" s="238"/>
      <c r="LB82" s="238"/>
      <c r="LC82" s="238"/>
      <c r="LD82" s="238"/>
      <c r="LE82" s="238"/>
      <c r="LF82" s="238"/>
      <c r="LG82" s="238"/>
      <c r="LH82" s="238"/>
      <c r="LI82" s="238"/>
      <c r="LJ82" s="238"/>
      <c r="LK82" s="238"/>
      <c r="LL82" s="238"/>
      <c r="LM82" s="238"/>
      <c r="LN82" s="238"/>
      <c r="LO82" s="238"/>
      <c r="LP82" s="238"/>
      <c r="LQ82" s="238"/>
      <c r="LR82" s="238"/>
      <c r="LS82" s="238"/>
      <c r="LT82" s="238"/>
      <c r="LU82" s="238"/>
      <c r="LV82" s="238"/>
      <c r="LW82" s="238"/>
      <c r="LX82" s="238"/>
      <c r="LY82" s="238"/>
      <c r="LZ82" s="238"/>
      <c r="MA82" s="238"/>
      <c r="MB82" s="238"/>
      <c r="MC82" s="238"/>
      <c r="MD82" s="238"/>
      <c r="ME82" s="238"/>
      <c r="MF82" s="238"/>
      <c r="MG82" s="238"/>
      <c r="MH82" s="238"/>
      <c r="MI82" s="238"/>
      <c r="MJ82" s="238"/>
      <c r="MK82" s="238"/>
      <c r="ML82" s="238"/>
    </row>
    <row r="83" ht="18.75" customHeight="1">
      <c r="A83" s="283"/>
      <c r="B83" s="234" t="str">
        <f>'Building Bill of Materials_SLIM'!P83</f>
        <v/>
      </c>
      <c r="C83" s="234" t="str">
        <f>'Building Bill of Materials_SLIM'!Q83</f>
        <v/>
      </c>
      <c r="D83" s="234" t="str">
        <f>'Building Bill of Materials_SLIM'!R83</f>
        <v/>
      </c>
      <c r="E83" s="234" t="str">
        <f>'Building Bill of Materials_SLIM'!S83</f>
        <v/>
      </c>
      <c r="F83" s="234"/>
      <c r="G83" s="234"/>
      <c r="H83" s="234"/>
      <c r="I83" s="234"/>
      <c r="J83" s="234" t="str">
        <f>'Building Bill of Materials_SLIM'!V83</f>
        <v/>
      </c>
      <c r="K83" s="238"/>
      <c r="L83" s="238"/>
      <c r="M83" s="238"/>
      <c r="N83" s="238"/>
      <c r="O83" s="238"/>
      <c r="P83" s="238"/>
      <c r="Q83" s="238"/>
      <c r="R83" s="238"/>
      <c r="S83" s="238"/>
      <c r="T83" s="238"/>
      <c r="U83" s="238"/>
      <c r="V83" s="238"/>
      <c r="W83" s="238"/>
      <c r="X83" s="238"/>
      <c r="Y83" s="238"/>
      <c r="Z83" s="238"/>
      <c r="AA83" s="192"/>
      <c r="AB83" s="257"/>
      <c r="AC83" s="257"/>
      <c r="AD83" s="257"/>
      <c r="AE83" s="257"/>
      <c r="AF83" s="257"/>
      <c r="AG83" s="257"/>
      <c r="AH83" s="257"/>
      <c r="AI83" s="257"/>
      <c r="AJ83" s="257"/>
      <c r="AK83" s="257"/>
      <c r="AL83" s="257"/>
      <c r="AM83" s="257"/>
      <c r="AN83" s="257"/>
      <c r="AO83" s="257"/>
      <c r="AP83" s="257"/>
      <c r="AQ83" s="257"/>
      <c r="AR83" s="257"/>
      <c r="AS83" s="257"/>
      <c r="AT83" s="257"/>
      <c r="AU83" s="257"/>
      <c r="AV83" s="257"/>
      <c r="AW83" s="257"/>
      <c r="AX83" s="257"/>
      <c r="AY83" s="257"/>
      <c r="AZ83" s="257"/>
      <c r="BA83" s="257"/>
      <c r="BB83" s="257"/>
      <c r="BC83" s="257"/>
      <c r="BD83" s="257"/>
      <c r="BE83" s="257"/>
      <c r="BF83" s="257"/>
      <c r="BG83" s="257"/>
      <c r="BH83" s="257"/>
      <c r="BI83" s="257"/>
      <c r="BJ83" s="238"/>
      <c r="BK83" s="238"/>
      <c r="BL83" s="238"/>
      <c r="BM83" s="238"/>
      <c r="BN83" s="238"/>
      <c r="BO83" s="238"/>
      <c r="BP83" s="238"/>
      <c r="BQ83" s="238"/>
      <c r="BR83" s="238"/>
      <c r="BS83" s="238"/>
      <c r="BT83" s="238"/>
      <c r="BU83" s="238"/>
      <c r="BV83" s="238"/>
      <c r="BW83" s="238"/>
      <c r="BX83" s="238"/>
      <c r="BY83" s="238"/>
      <c r="BZ83" s="238"/>
      <c r="CA83" s="238"/>
      <c r="CB83" s="238"/>
      <c r="CC83" s="238"/>
      <c r="CD83" s="238"/>
      <c r="CE83" s="257"/>
      <c r="CF83" s="257"/>
      <c r="CG83" s="238"/>
      <c r="CH83" s="238"/>
      <c r="CI83" s="238"/>
      <c r="CJ83" s="238"/>
      <c r="CK83" s="238"/>
      <c r="CL83" s="238"/>
      <c r="CM83" s="238"/>
      <c r="CN83" s="238"/>
      <c r="CO83" s="238"/>
      <c r="CP83" s="238"/>
      <c r="CQ83" s="238"/>
      <c r="CR83" s="238"/>
      <c r="CS83" s="238"/>
      <c r="CT83" s="238"/>
      <c r="CU83" s="238"/>
      <c r="CV83" s="238"/>
      <c r="CW83" s="238"/>
      <c r="CX83" s="238"/>
      <c r="CY83" s="238"/>
      <c r="CZ83" s="238"/>
      <c r="DA83" s="238"/>
      <c r="DB83" s="238"/>
      <c r="DC83" s="238"/>
      <c r="DD83" s="238"/>
      <c r="DE83" s="238"/>
      <c r="DF83" s="238"/>
      <c r="DG83" s="257"/>
      <c r="DH83" s="238"/>
      <c r="DI83" s="238"/>
      <c r="DJ83" s="238"/>
      <c r="DK83" s="238"/>
      <c r="DL83" s="238"/>
      <c r="DM83" s="238"/>
      <c r="DN83" s="238"/>
      <c r="DO83" s="238"/>
      <c r="DP83" s="238"/>
      <c r="DQ83" s="238"/>
      <c r="DR83" s="238"/>
      <c r="DS83" s="238"/>
      <c r="DT83" s="238"/>
      <c r="DU83" s="238"/>
      <c r="DV83" s="238"/>
      <c r="DW83" s="238"/>
      <c r="DX83" s="238"/>
      <c r="DY83" s="238"/>
      <c r="DZ83" s="238"/>
      <c r="EA83" s="238"/>
      <c r="EB83" s="238"/>
      <c r="EC83" s="238"/>
      <c r="ED83" s="238"/>
      <c r="EE83" s="238"/>
      <c r="EF83" s="238"/>
      <c r="EG83" s="238"/>
      <c r="EH83" s="238"/>
      <c r="EI83" s="238"/>
      <c r="EJ83" s="238"/>
      <c r="EK83" s="238"/>
      <c r="EL83" s="238"/>
      <c r="EM83" s="238"/>
      <c r="EN83" s="238"/>
      <c r="EO83" s="238"/>
      <c r="EP83" s="238"/>
      <c r="EQ83" s="238"/>
      <c r="ER83" s="238"/>
      <c r="ES83" s="238"/>
      <c r="ET83" s="238"/>
      <c r="EU83" s="238"/>
      <c r="EV83" s="238"/>
      <c r="EW83" s="238"/>
      <c r="EX83" s="238"/>
      <c r="EY83" s="238"/>
      <c r="EZ83" s="238"/>
      <c r="FA83" s="238"/>
      <c r="FB83" s="238"/>
      <c r="FC83" s="238"/>
      <c r="FD83" s="238"/>
      <c r="FE83" s="238"/>
      <c r="FF83" s="238"/>
      <c r="FG83" s="238"/>
      <c r="FH83" s="257"/>
      <c r="FI83" s="257"/>
      <c r="FJ83" s="257"/>
      <c r="FK83" s="257"/>
      <c r="FL83" s="257"/>
      <c r="FM83" s="257"/>
      <c r="FN83" s="257"/>
      <c r="FO83" s="257"/>
      <c r="FP83" s="257"/>
      <c r="FQ83" s="257"/>
      <c r="FR83" s="257"/>
      <c r="FS83" s="257"/>
      <c r="FT83" s="257"/>
      <c r="FU83" s="257"/>
      <c r="FV83" s="257"/>
      <c r="FW83" s="257"/>
      <c r="FX83" s="257"/>
      <c r="FY83" s="238"/>
      <c r="FZ83" s="238"/>
      <c r="GA83" s="238"/>
      <c r="GB83" s="238"/>
      <c r="GC83" s="238"/>
      <c r="GD83" s="238"/>
      <c r="GE83" s="238"/>
      <c r="GF83" s="238"/>
      <c r="GG83" s="238"/>
      <c r="GH83" s="238"/>
      <c r="GI83" s="238"/>
      <c r="GJ83" s="238"/>
      <c r="GK83" s="238"/>
      <c r="GL83" s="238"/>
      <c r="GM83" s="238"/>
      <c r="GN83" s="238"/>
      <c r="GO83" s="238"/>
      <c r="GP83" s="238"/>
      <c r="GQ83" s="238"/>
      <c r="GR83" s="238"/>
      <c r="GS83" s="238"/>
      <c r="GT83" s="238"/>
      <c r="GU83" s="238"/>
      <c r="GV83" s="238"/>
      <c r="GW83" s="238"/>
      <c r="GX83" s="238"/>
      <c r="GY83" s="238"/>
      <c r="GZ83" s="238"/>
      <c r="HA83" s="238"/>
      <c r="HB83" s="238"/>
      <c r="HC83" s="238"/>
      <c r="HD83" s="238"/>
      <c r="HE83" s="238"/>
      <c r="HF83" s="238"/>
      <c r="HG83" s="238"/>
      <c r="HH83" s="238"/>
      <c r="HI83" s="238"/>
      <c r="HJ83" s="238"/>
      <c r="HK83" s="238"/>
      <c r="HL83" s="238"/>
      <c r="HM83" s="238"/>
      <c r="HN83" s="238"/>
      <c r="HO83" s="238"/>
      <c r="HP83" s="238"/>
      <c r="HQ83" s="238"/>
      <c r="HR83" s="238"/>
      <c r="HS83" s="238"/>
      <c r="HT83" s="238"/>
      <c r="HU83" s="238"/>
      <c r="HV83" s="238"/>
      <c r="HW83" s="238"/>
      <c r="HX83" s="257"/>
      <c r="HY83" s="257"/>
      <c r="HZ83" s="257"/>
      <c r="IA83" s="257"/>
      <c r="IB83" s="257"/>
      <c r="IC83" s="257"/>
      <c r="ID83" s="257"/>
      <c r="IE83" s="257"/>
      <c r="IF83" s="257"/>
      <c r="IG83" s="257"/>
      <c r="IH83" s="257"/>
      <c r="II83" s="257"/>
      <c r="IJ83" s="257"/>
      <c r="IK83" s="257"/>
      <c r="IL83" s="257"/>
      <c r="IM83" s="257"/>
      <c r="IN83" s="257"/>
      <c r="IO83" s="257"/>
      <c r="IP83" s="257"/>
      <c r="IQ83" s="257"/>
      <c r="IR83" s="257"/>
      <c r="IS83" s="257"/>
      <c r="IT83" s="257"/>
      <c r="IU83" s="257"/>
      <c r="IV83" s="257"/>
      <c r="IW83" s="257"/>
      <c r="IX83" s="257"/>
      <c r="IY83" s="257"/>
      <c r="IZ83" s="257"/>
      <c r="JA83" s="257"/>
      <c r="JB83" s="257"/>
      <c r="JC83" s="257"/>
      <c r="JD83" s="257"/>
      <c r="JE83" s="257"/>
      <c r="JF83" s="238"/>
      <c r="JG83" s="238"/>
      <c r="JH83" s="238"/>
      <c r="JI83" s="238"/>
      <c r="JJ83" s="238"/>
      <c r="JK83" s="238"/>
      <c r="JL83" s="238"/>
      <c r="JM83" s="238"/>
      <c r="JN83" s="238"/>
      <c r="JO83" s="238"/>
      <c r="JP83" s="238"/>
      <c r="JQ83" s="238"/>
      <c r="JR83" s="238"/>
      <c r="JS83" s="238"/>
      <c r="JT83" s="238"/>
      <c r="JU83" s="238"/>
      <c r="JV83" s="238"/>
      <c r="JW83" s="238"/>
      <c r="JX83" s="238"/>
      <c r="JY83" s="238"/>
      <c r="JZ83" s="238"/>
      <c r="KA83" s="238"/>
      <c r="KB83" s="238"/>
      <c r="KC83" s="238"/>
      <c r="KD83" s="238"/>
      <c r="KE83" s="238"/>
      <c r="KF83" s="238"/>
      <c r="KG83" s="238"/>
      <c r="KH83" s="238"/>
      <c r="KI83" s="238"/>
      <c r="KJ83" s="238"/>
      <c r="KK83" s="238"/>
      <c r="KL83" s="238"/>
      <c r="KM83" s="238"/>
      <c r="KN83" s="238"/>
      <c r="KO83" s="238"/>
      <c r="KP83" s="238"/>
      <c r="KQ83" s="238"/>
      <c r="KR83" s="238"/>
      <c r="KS83" s="238"/>
      <c r="KT83" s="238"/>
      <c r="KU83" s="238"/>
      <c r="KV83" s="238"/>
      <c r="KW83" s="238"/>
      <c r="KX83" s="238"/>
      <c r="KY83" s="238"/>
      <c r="KZ83" s="238"/>
      <c r="LA83" s="238"/>
      <c r="LB83" s="238"/>
      <c r="LC83" s="238"/>
      <c r="LD83" s="238"/>
      <c r="LE83" s="238"/>
      <c r="LF83" s="238"/>
      <c r="LG83" s="238"/>
      <c r="LH83" s="238"/>
      <c r="LI83" s="238"/>
      <c r="LJ83" s="238"/>
      <c r="LK83" s="238"/>
      <c r="LL83" s="238"/>
      <c r="LM83" s="238"/>
      <c r="LN83" s="238"/>
      <c r="LO83" s="238"/>
      <c r="LP83" s="238"/>
      <c r="LQ83" s="238"/>
      <c r="LR83" s="238"/>
      <c r="LS83" s="238"/>
      <c r="LT83" s="238"/>
      <c r="LU83" s="238"/>
      <c r="LV83" s="238"/>
      <c r="LW83" s="238"/>
      <c r="LX83" s="238"/>
      <c r="LY83" s="238"/>
      <c r="LZ83" s="238"/>
      <c r="MA83" s="238"/>
      <c r="MB83" s="238"/>
      <c r="MC83" s="238"/>
      <c r="MD83" s="238"/>
      <c r="ME83" s="238"/>
      <c r="MF83" s="238"/>
      <c r="MG83" s="238"/>
      <c r="MH83" s="238"/>
      <c r="MI83" s="238"/>
      <c r="MJ83" s="238"/>
      <c r="MK83" s="238"/>
      <c r="ML83" s="238"/>
    </row>
    <row r="84" ht="18.75" customHeight="1">
      <c r="A84" s="283"/>
      <c r="B84" s="234" t="str">
        <f>'Building Bill of Materials_SLIM'!P84</f>
        <v/>
      </c>
      <c r="C84" s="234" t="str">
        <f>'Building Bill of Materials_SLIM'!Q84</f>
        <v/>
      </c>
      <c r="D84" s="234" t="str">
        <f>'Building Bill of Materials_SLIM'!R84</f>
        <v/>
      </c>
      <c r="E84" s="234" t="str">
        <f>'Building Bill of Materials_SLIM'!S84</f>
        <v/>
      </c>
      <c r="F84" s="284" t="str">
        <f>'Building Bill of Materials_SLIM'!U84</f>
        <v/>
      </c>
      <c r="G84" s="234"/>
      <c r="H84" s="234"/>
      <c r="I84" s="234"/>
      <c r="J84" s="234" t="str">
        <f>'Building Bill of Materials_SLIM'!V84</f>
        <v/>
      </c>
      <c r="K84" s="238"/>
      <c r="L84" s="238"/>
      <c r="M84" s="238"/>
      <c r="N84" s="238"/>
      <c r="O84" s="238"/>
      <c r="P84" s="238"/>
      <c r="Q84" s="238"/>
      <c r="R84" s="238"/>
      <c r="S84" s="238"/>
      <c r="T84" s="238"/>
      <c r="U84" s="238"/>
      <c r="V84" s="238"/>
      <c r="W84" s="238"/>
      <c r="X84" s="238"/>
      <c r="Y84" s="238"/>
      <c r="Z84" s="238"/>
      <c r="AA84" s="192"/>
      <c r="AB84" s="257"/>
      <c r="AC84" s="257"/>
      <c r="AD84" s="257"/>
      <c r="AE84" s="257"/>
      <c r="AF84" s="257"/>
      <c r="AG84" s="257"/>
      <c r="AH84" s="257"/>
      <c r="AI84" s="257"/>
      <c r="AJ84" s="257"/>
      <c r="AK84" s="257"/>
      <c r="AL84" s="257"/>
      <c r="AM84" s="257"/>
      <c r="AN84" s="257"/>
      <c r="AO84" s="257"/>
      <c r="AP84" s="257"/>
      <c r="AQ84" s="257"/>
      <c r="AR84" s="257"/>
      <c r="AS84" s="257"/>
      <c r="AT84" s="257"/>
      <c r="AU84" s="257"/>
      <c r="AV84" s="257"/>
      <c r="AW84" s="257"/>
      <c r="AX84" s="257"/>
      <c r="AY84" s="257"/>
      <c r="AZ84" s="257"/>
      <c r="BA84" s="257"/>
      <c r="BB84" s="257"/>
      <c r="BC84" s="257"/>
      <c r="BD84" s="257"/>
      <c r="BE84" s="257"/>
      <c r="BF84" s="257"/>
      <c r="BG84" s="257"/>
      <c r="BH84" s="257"/>
      <c r="BI84" s="257"/>
      <c r="BJ84" s="238"/>
      <c r="BK84" s="238"/>
      <c r="BL84" s="238"/>
      <c r="BM84" s="238"/>
      <c r="BN84" s="238"/>
      <c r="BO84" s="238"/>
      <c r="BP84" s="238"/>
      <c r="BQ84" s="238"/>
      <c r="BR84" s="238"/>
      <c r="BS84" s="238"/>
      <c r="BT84" s="238"/>
      <c r="BU84" s="238"/>
      <c r="BV84" s="238"/>
      <c r="BW84" s="238"/>
      <c r="BX84" s="238"/>
      <c r="BY84" s="238"/>
      <c r="BZ84" s="238"/>
      <c r="CA84" s="238"/>
      <c r="CB84" s="238"/>
      <c r="CC84" s="238"/>
      <c r="CD84" s="238"/>
      <c r="CE84" s="257"/>
      <c r="CF84" s="257"/>
      <c r="CG84" s="238"/>
      <c r="CH84" s="238"/>
      <c r="CI84" s="238"/>
      <c r="CJ84" s="238"/>
      <c r="CK84" s="238"/>
      <c r="CL84" s="238"/>
      <c r="CM84" s="238"/>
      <c r="CN84" s="238"/>
      <c r="CO84" s="238"/>
      <c r="CP84" s="238"/>
      <c r="CQ84" s="238"/>
      <c r="CR84" s="238"/>
      <c r="CS84" s="238"/>
      <c r="CT84" s="238"/>
      <c r="CU84" s="238"/>
      <c r="CV84" s="238"/>
      <c r="CW84" s="238"/>
      <c r="CX84" s="238"/>
      <c r="CY84" s="238"/>
      <c r="CZ84" s="238"/>
      <c r="DA84" s="238"/>
      <c r="DB84" s="238"/>
      <c r="DC84" s="238"/>
      <c r="DD84" s="238"/>
      <c r="DE84" s="238"/>
      <c r="DF84" s="238"/>
      <c r="DG84" s="257"/>
      <c r="DH84" s="238"/>
      <c r="DI84" s="238"/>
      <c r="DJ84" s="238"/>
      <c r="DK84" s="238"/>
      <c r="DL84" s="238"/>
      <c r="DM84" s="238"/>
      <c r="DN84" s="238"/>
      <c r="DO84" s="238"/>
      <c r="DP84" s="238"/>
      <c r="DQ84" s="238"/>
      <c r="DR84" s="238"/>
      <c r="DS84" s="238"/>
      <c r="DT84" s="238"/>
      <c r="DU84" s="238"/>
      <c r="DV84" s="238"/>
      <c r="DW84" s="238"/>
      <c r="DX84" s="238"/>
      <c r="DY84" s="238"/>
      <c r="DZ84" s="238"/>
      <c r="EA84" s="238"/>
      <c r="EB84" s="238"/>
      <c r="EC84" s="238"/>
      <c r="ED84" s="238"/>
      <c r="EE84" s="238"/>
      <c r="EF84" s="238"/>
      <c r="EG84" s="238"/>
      <c r="EH84" s="238"/>
      <c r="EI84" s="238"/>
      <c r="EJ84" s="238"/>
      <c r="EK84" s="238"/>
      <c r="EL84" s="238"/>
      <c r="EM84" s="238"/>
      <c r="EN84" s="238"/>
      <c r="EO84" s="238"/>
      <c r="EP84" s="238"/>
      <c r="EQ84" s="238"/>
      <c r="ER84" s="238"/>
      <c r="ES84" s="238"/>
      <c r="ET84" s="238"/>
      <c r="EU84" s="238"/>
      <c r="EV84" s="238"/>
      <c r="EW84" s="238"/>
      <c r="EX84" s="238"/>
      <c r="EY84" s="238"/>
      <c r="EZ84" s="238"/>
      <c r="FA84" s="238"/>
      <c r="FB84" s="238"/>
      <c r="FC84" s="238"/>
      <c r="FD84" s="238"/>
      <c r="FE84" s="238"/>
      <c r="FF84" s="238"/>
      <c r="FG84" s="238"/>
      <c r="FH84" s="257"/>
      <c r="FI84" s="257"/>
      <c r="FJ84" s="257"/>
      <c r="FK84" s="257"/>
      <c r="FL84" s="257"/>
      <c r="FM84" s="257"/>
      <c r="FN84" s="257"/>
      <c r="FO84" s="257"/>
      <c r="FP84" s="257"/>
      <c r="FQ84" s="257"/>
      <c r="FR84" s="257"/>
      <c r="FS84" s="257"/>
      <c r="FT84" s="257"/>
      <c r="FU84" s="257"/>
      <c r="FV84" s="257"/>
      <c r="FW84" s="257"/>
      <c r="FX84" s="257"/>
      <c r="FY84" s="238"/>
      <c r="FZ84" s="238"/>
      <c r="GA84" s="238"/>
      <c r="GB84" s="238"/>
      <c r="GC84" s="238"/>
      <c r="GD84" s="238"/>
      <c r="GE84" s="238"/>
      <c r="GF84" s="238"/>
      <c r="GG84" s="238"/>
      <c r="GH84" s="238"/>
      <c r="GI84" s="238"/>
      <c r="GJ84" s="238"/>
      <c r="GK84" s="238"/>
      <c r="GL84" s="238"/>
      <c r="GM84" s="238"/>
      <c r="GN84" s="238"/>
      <c r="GO84" s="238"/>
      <c r="GP84" s="238"/>
      <c r="GQ84" s="238"/>
      <c r="GR84" s="238"/>
      <c r="GS84" s="238"/>
      <c r="GT84" s="238"/>
      <c r="GU84" s="238"/>
      <c r="GV84" s="238"/>
      <c r="GW84" s="238"/>
      <c r="GX84" s="238"/>
      <c r="GY84" s="238"/>
      <c r="GZ84" s="238"/>
      <c r="HA84" s="238"/>
      <c r="HB84" s="238"/>
      <c r="HC84" s="238"/>
      <c r="HD84" s="238"/>
      <c r="HE84" s="238"/>
      <c r="HF84" s="238"/>
      <c r="HG84" s="238"/>
      <c r="HH84" s="238"/>
      <c r="HI84" s="238"/>
      <c r="HJ84" s="238"/>
      <c r="HK84" s="238"/>
      <c r="HL84" s="238"/>
      <c r="HM84" s="238"/>
      <c r="HN84" s="238"/>
      <c r="HO84" s="238"/>
      <c r="HP84" s="238"/>
      <c r="HQ84" s="238"/>
      <c r="HR84" s="238"/>
      <c r="HS84" s="238"/>
      <c r="HT84" s="238"/>
      <c r="HU84" s="238"/>
      <c r="HV84" s="238"/>
      <c r="HW84" s="238"/>
      <c r="HX84" s="257"/>
      <c r="HY84" s="257"/>
      <c r="HZ84" s="257"/>
      <c r="IA84" s="257"/>
      <c r="IB84" s="257"/>
      <c r="IC84" s="257"/>
      <c r="ID84" s="257"/>
      <c r="IE84" s="257"/>
      <c r="IF84" s="257"/>
      <c r="IG84" s="257"/>
      <c r="IH84" s="257"/>
      <c r="II84" s="257"/>
      <c r="IJ84" s="257"/>
      <c r="IK84" s="257"/>
      <c r="IL84" s="257"/>
      <c r="IM84" s="257"/>
      <c r="IN84" s="257"/>
      <c r="IO84" s="257"/>
      <c r="IP84" s="257"/>
      <c r="IQ84" s="257"/>
      <c r="IR84" s="257"/>
      <c r="IS84" s="257"/>
      <c r="IT84" s="257"/>
      <c r="IU84" s="257"/>
      <c r="IV84" s="257"/>
      <c r="IW84" s="257"/>
      <c r="IX84" s="257"/>
      <c r="IY84" s="257"/>
      <c r="IZ84" s="257"/>
      <c r="JA84" s="257"/>
      <c r="JB84" s="257"/>
      <c r="JC84" s="257"/>
      <c r="JD84" s="257"/>
      <c r="JE84" s="257"/>
      <c r="JF84" s="238"/>
      <c r="JG84" s="238"/>
      <c r="JH84" s="238"/>
      <c r="JI84" s="238"/>
      <c r="JJ84" s="238"/>
      <c r="JK84" s="238"/>
      <c r="JL84" s="238"/>
      <c r="JM84" s="238"/>
      <c r="JN84" s="238"/>
      <c r="JO84" s="238"/>
      <c r="JP84" s="238"/>
      <c r="JQ84" s="238"/>
      <c r="JR84" s="238"/>
      <c r="JS84" s="238"/>
      <c r="JT84" s="238"/>
      <c r="JU84" s="238"/>
      <c r="JV84" s="238"/>
      <c r="JW84" s="238"/>
      <c r="JX84" s="238"/>
      <c r="JY84" s="238"/>
      <c r="JZ84" s="238"/>
      <c r="KA84" s="238"/>
      <c r="KB84" s="238"/>
      <c r="KC84" s="238"/>
      <c r="KD84" s="238"/>
      <c r="KE84" s="238"/>
      <c r="KF84" s="238"/>
      <c r="KG84" s="238"/>
      <c r="KH84" s="238"/>
      <c r="KI84" s="238"/>
      <c r="KJ84" s="238"/>
      <c r="KK84" s="238"/>
      <c r="KL84" s="238"/>
      <c r="KM84" s="238"/>
      <c r="KN84" s="238"/>
      <c r="KO84" s="238"/>
      <c r="KP84" s="238"/>
      <c r="KQ84" s="238"/>
      <c r="KR84" s="238"/>
      <c r="KS84" s="238"/>
      <c r="KT84" s="238"/>
      <c r="KU84" s="238"/>
      <c r="KV84" s="238"/>
      <c r="KW84" s="238"/>
      <c r="KX84" s="238"/>
      <c r="KY84" s="238"/>
      <c r="KZ84" s="238"/>
      <c r="LA84" s="238"/>
      <c r="LB84" s="238"/>
      <c r="LC84" s="238"/>
      <c r="LD84" s="238"/>
      <c r="LE84" s="238"/>
      <c r="LF84" s="238"/>
      <c r="LG84" s="238"/>
      <c r="LH84" s="238"/>
      <c r="LI84" s="238"/>
      <c r="LJ84" s="238"/>
      <c r="LK84" s="238"/>
      <c r="LL84" s="238"/>
      <c r="LM84" s="238"/>
      <c r="LN84" s="238"/>
      <c r="LO84" s="238"/>
      <c r="LP84" s="238"/>
      <c r="LQ84" s="238"/>
      <c r="LR84" s="238"/>
      <c r="LS84" s="238"/>
      <c r="LT84" s="238"/>
      <c r="LU84" s="238"/>
      <c r="LV84" s="238"/>
      <c r="LW84" s="238"/>
      <c r="LX84" s="238"/>
      <c r="LY84" s="238"/>
      <c r="LZ84" s="238"/>
      <c r="MA84" s="238"/>
      <c r="MB84" s="238"/>
      <c r="MC84" s="238"/>
      <c r="MD84" s="238"/>
      <c r="ME84" s="238"/>
      <c r="MF84" s="238"/>
      <c r="MG84" s="238"/>
      <c r="MH84" s="238"/>
      <c r="MI84" s="238"/>
      <c r="MJ84" s="238"/>
      <c r="MK84" s="238"/>
      <c r="ML84" s="238"/>
    </row>
    <row r="85" ht="18.75" customHeight="1">
      <c r="A85" s="283"/>
      <c r="B85" s="234" t="str">
        <f>'Building Bill of Materials_SLIM'!P85</f>
        <v/>
      </c>
      <c r="C85" s="234" t="str">
        <f>'Building Bill of Materials_SLIM'!Q85</f>
        <v/>
      </c>
      <c r="D85" s="234" t="str">
        <f>'Building Bill of Materials_SLIM'!R85</f>
        <v/>
      </c>
      <c r="E85" s="234" t="str">
        <f>'Building Bill of Materials_SLIM'!S85</f>
        <v/>
      </c>
      <c r="F85" s="284" t="str">
        <f>'Building Bill of Materials_SLIM'!U85</f>
        <v/>
      </c>
      <c r="G85" s="234"/>
      <c r="H85" s="234"/>
      <c r="I85" s="234"/>
      <c r="J85" s="234" t="str">
        <f>'Building Bill of Materials_SLIM'!V85</f>
        <v/>
      </c>
      <c r="K85" s="238"/>
      <c r="L85" s="238"/>
      <c r="M85" s="238"/>
      <c r="N85" s="238"/>
      <c r="O85" s="238"/>
      <c r="P85" s="238"/>
      <c r="Q85" s="238"/>
      <c r="R85" s="238"/>
      <c r="S85" s="238"/>
      <c r="T85" s="238"/>
      <c r="U85" s="238"/>
      <c r="V85" s="238"/>
      <c r="W85" s="238"/>
      <c r="X85" s="238"/>
      <c r="Y85" s="238"/>
      <c r="Z85" s="238"/>
      <c r="AA85" s="192"/>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38"/>
      <c r="BK85" s="238"/>
      <c r="BL85" s="238"/>
      <c r="BM85" s="238"/>
      <c r="BN85" s="238"/>
      <c r="BO85" s="238"/>
      <c r="BP85" s="238"/>
      <c r="BQ85" s="238"/>
      <c r="BR85" s="238"/>
      <c r="BS85" s="238"/>
      <c r="BT85" s="238"/>
      <c r="BU85" s="238"/>
      <c r="BV85" s="238"/>
      <c r="BW85" s="238"/>
      <c r="BX85" s="238"/>
      <c r="BY85" s="238"/>
      <c r="BZ85" s="238"/>
      <c r="CA85" s="238"/>
      <c r="CB85" s="238"/>
      <c r="CC85" s="238"/>
      <c r="CD85" s="238"/>
      <c r="CE85" s="257"/>
      <c r="CF85" s="257"/>
      <c r="CG85" s="238"/>
      <c r="CH85" s="238"/>
      <c r="CI85" s="238"/>
      <c r="CJ85" s="238"/>
      <c r="CK85" s="238"/>
      <c r="CL85" s="238"/>
      <c r="CM85" s="238"/>
      <c r="CN85" s="238"/>
      <c r="CO85" s="238"/>
      <c r="CP85" s="238"/>
      <c r="CQ85" s="238"/>
      <c r="CR85" s="238"/>
      <c r="CS85" s="238"/>
      <c r="CT85" s="238"/>
      <c r="CU85" s="238"/>
      <c r="CV85" s="238"/>
      <c r="CW85" s="238"/>
      <c r="CX85" s="238"/>
      <c r="CY85" s="238"/>
      <c r="CZ85" s="238"/>
      <c r="DA85" s="238"/>
      <c r="DB85" s="238"/>
      <c r="DC85" s="238"/>
      <c r="DD85" s="238"/>
      <c r="DE85" s="238"/>
      <c r="DF85" s="238"/>
      <c r="DG85" s="257"/>
      <c r="DH85" s="238"/>
      <c r="DI85" s="238"/>
      <c r="DJ85" s="238"/>
      <c r="DK85" s="238"/>
      <c r="DL85" s="238"/>
      <c r="DM85" s="238"/>
      <c r="DN85" s="238"/>
      <c r="DO85" s="238"/>
      <c r="DP85" s="238"/>
      <c r="DQ85" s="238"/>
      <c r="DR85" s="238"/>
      <c r="DS85" s="238"/>
      <c r="DT85" s="238"/>
      <c r="DU85" s="238"/>
      <c r="DV85" s="238"/>
      <c r="DW85" s="238"/>
      <c r="DX85" s="238"/>
      <c r="DY85" s="238"/>
      <c r="DZ85" s="238"/>
      <c r="EA85" s="238"/>
      <c r="EB85" s="238"/>
      <c r="EC85" s="238"/>
      <c r="ED85" s="238"/>
      <c r="EE85" s="238"/>
      <c r="EF85" s="238"/>
      <c r="EG85" s="238"/>
      <c r="EH85" s="238"/>
      <c r="EI85" s="238"/>
      <c r="EJ85" s="238"/>
      <c r="EK85" s="238"/>
      <c r="EL85" s="238"/>
      <c r="EM85" s="238"/>
      <c r="EN85" s="238"/>
      <c r="EO85" s="238"/>
      <c r="EP85" s="238"/>
      <c r="EQ85" s="238"/>
      <c r="ER85" s="238"/>
      <c r="ES85" s="238"/>
      <c r="ET85" s="238"/>
      <c r="EU85" s="238"/>
      <c r="EV85" s="238"/>
      <c r="EW85" s="238"/>
      <c r="EX85" s="238"/>
      <c r="EY85" s="238"/>
      <c r="EZ85" s="238"/>
      <c r="FA85" s="238"/>
      <c r="FB85" s="238"/>
      <c r="FC85" s="238"/>
      <c r="FD85" s="238"/>
      <c r="FE85" s="238"/>
      <c r="FF85" s="238"/>
      <c r="FG85" s="238"/>
      <c r="FH85" s="257"/>
      <c r="FI85" s="257"/>
      <c r="FJ85" s="257"/>
      <c r="FK85" s="257"/>
      <c r="FL85" s="257"/>
      <c r="FM85" s="257"/>
      <c r="FN85" s="257"/>
      <c r="FO85" s="257"/>
      <c r="FP85" s="257"/>
      <c r="FQ85" s="257"/>
      <c r="FR85" s="257"/>
      <c r="FS85" s="257"/>
      <c r="FT85" s="257"/>
      <c r="FU85" s="257"/>
      <c r="FV85" s="257"/>
      <c r="FW85" s="257"/>
      <c r="FX85" s="257"/>
      <c r="FY85" s="238"/>
      <c r="FZ85" s="238"/>
      <c r="GA85" s="238"/>
      <c r="GB85" s="238"/>
      <c r="GC85" s="238"/>
      <c r="GD85" s="238"/>
      <c r="GE85" s="238"/>
      <c r="GF85" s="238"/>
      <c r="GG85" s="238"/>
      <c r="GH85" s="238"/>
      <c r="GI85" s="238"/>
      <c r="GJ85" s="238"/>
      <c r="GK85" s="238"/>
      <c r="GL85" s="238"/>
      <c r="GM85" s="238"/>
      <c r="GN85" s="238"/>
      <c r="GO85" s="238"/>
      <c r="GP85" s="238"/>
      <c r="GQ85" s="238"/>
      <c r="GR85" s="238"/>
      <c r="GS85" s="238"/>
      <c r="GT85" s="238"/>
      <c r="GU85" s="238"/>
      <c r="GV85" s="238"/>
      <c r="GW85" s="238"/>
      <c r="GX85" s="238"/>
      <c r="GY85" s="238"/>
      <c r="GZ85" s="238"/>
      <c r="HA85" s="238"/>
      <c r="HB85" s="238"/>
      <c r="HC85" s="238"/>
      <c r="HD85" s="238"/>
      <c r="HE85" s="238"/>
      <c r="HF85" s="238"/>
      <c r="HG85" s="238"/>
      <c r="HH85" s="238"/>
      <c r="HI85" s="238"/>
      <c r="HJ85" s="238"/>
      <c r="HK85" s="238"/>
      <c r="HL85" s="238"/>
      <c r="HM85" s="238"/>
      <c r="HN85" s="238"/>
      <c r="HO85" s="238"/>
      <c r="HP85" s="238"/>
      <c r="HQ85" s="238"/>
      <c r="HR85" s="238"/>
      <c r="HS85" s="238"/>
      <c r="HT85" s="238"/>
      <c r="HU85" s="238"/>
      <c r="HV85" s="238"/>
      <c r="HW85" s="238"/>
      <c r="HX85" s="257"/>
      <c r="HY85" s="257"/>
      <c r="HZ85" s="257"/>
      <c r="IA85" s="257"/>
      <c r="IB85" s="257"/>
      <c r="IC85" s="257"/>
      <c r="ID85" s="257"/>
      <c r="IE85" s="257"/>
      <c r="IF85" s="257"/>
      <c r="IG85" s="257"/>
      <c r="IH85" s="257"/>
      <c r="II85" s="257"/>
      <c r="IJ85" s="257"/>
      <c r="IK85" s="257"/>
      <c r="IL85" s="257"/>
      <c r="IM85" s="257"/>
      <c r="IN85" s="257"/>
      <c r="IO85" s="257"/>
      <c r="IP85" s="257"/>
      <c r="IQ85" s="257"/>
      <c r="IR85" s="257"/>
      <c r="IS85" s="257"/>
      <c r="IT85" s="257"/>
      <c r="IU85" s="257"/>
      <c r="IV85" s="257"/>
      <c r="IW85" s="257"/>
      <c r="IX85" s="257"/>
      <c r="IY85" s="257"/>
      <c r="IZ85" s="257"/>
      <c r="JA85" s="257"/>
      <c r="JB85" s="257"/>
      <c r="JC85" s="257"/>
      <c r="JD85" s="257"/>
      <c r="JE85" s="257"/>
      <c r="JF85" s="238"/>
      <c r="JG85" s="238"/>
      <c r="JH85" s="238"/>
      <c r="JI85" s="238"/>
      <c r="JJ85" s="238"/>
      <c r="JK85" s="238"/>
      <c r="JL85" s="238"/>
      <c r="JM85" s="238"/>
      <c r="JN85" s="238"/>
      <c r="JO85" s="238"/>
      <c r="JP85" s="238"/>
      <c r="JQ85" s="238"/>
      <c r="JR85" s="238"/>
      <c r="JS85" s="238"/>
      <c r="JT85" s="238"/>
      <c r="JU85" s="238"/>
      <c r="JV85" s="238"/>
      <c r="JW85" s="238"/>
      <c r="JX85" s="238"/>
      <c r="JY85" s="238"/>
      <c r="JZ85" s="238"/>
      <c r="KA85" s="238"/>
      <c r="KB85" s="238"/>
      <c r="KC85" s="238"/>
      <c r="KD85" s="238"/>
      <c r="KE85" s="238"/>
      <c r="KF85" s="238"/>
      <c r="KG85" s="238"/>
      <c r="KH85" s="238"/>
      <c r="KI85" s="238"/>
      <c r="KJ85" s="238"/>
      <c r="KK85" s="238"/>
      <c r="KL85" s="238"/>
      <c r="KM85" s="238"/>
      <c r="KN85" s="238"/>
      <c r="KO85" s="238"/>
      <c r="KP85" s="238"/>
      <c r="KQ85" s="238"/>
      <c r="KR85" s="238"/>
      <c r="KS85" s="238"/>
      <c r="KT85" s="238"/>
      <c r="KU85" s="238"/>
      <c r="KV85" s="238"/>
      <c r="KW85" s="238"/>
      <c r="KX85" s="238"/>
      <c r="KY85" s="238"/>
      <c r="KZ85" s="238"/>
      <c r="LA85" s="238"/>
      <c r="LB85" s="238"/>
      <c r="LC85" s="238"/>
      <c r="LD85" s="238"/>
      <c r="LE85" s="238"/>
      <c r="LF85" s="238"/>
      <c r="LG85" s="238"/>
      <c r="LH85" s="238"/>
      <c r="LI85" s="238"/>
      <c r="LJ85" s="238"/>
      <c r="LK85" s="238"/>
      <c r="LL85" s="238"/>
      <c r="LM85" s="238"/>
      <c r="LN85" s="238"/>
      <c r="LO85" s="238"/>
      <c r="LP85" s="238"/>
      <c r="LQ85" s="238"/>
      <c r="LR85" s="238"/>
      <c r="LS85" s="238"/>
      <c r="LT85" s="238"/>
      <c r="LU85" s="238"/>
      <c r="LV85" s="238"/>
      <c r="LW85" s="238"/>
      <c r="LX85" s="238"/>
      <c r="LY85" s="238"/>
      <c r="LZ85" s="238"/>
      <c r="MA85" s="238"/>
      <c r="MB85" s="238"/>
      <c r="MC85" s="238"/>
      <c r="MD85" s="238"/>
      <c r="ME85" s="238"/>
      <c r="MF85" s="238"/>
      <c r="MG85" s="238"/>
      <c r="MH85" s="238"/>
      <c r="MI85" s="238"/>
      <c r="MJ85" s="238"/>
      <c r="MK85" s="238"/>
      <c r="ML85" s="238"/>
    </row>
    <row r="86" ht="18.75" customHeight="1">
      <c r="A86" s="283"/>
      <c r="B86" s="234" t="str">
        <f>'Building Bill of Materials_SLIM'!P86</f>
        <v/>
      </c>
      <c r="C86" s="234" t="str">
        <f>'Building Bill of Materials_SLIM'!Q86</f>
        <v/>
      </c>
      <c r="D86" s="234" t="str">
        <f>'Building Bill of Materials_SLIM'!R86</f>
        <v/>
      </c>
      <c r="E86" s="234" t="str">
        <f>'Building Bill of Materials_SLIM'!S86</f>
        <v/>
      </c>
      <c r="F86" s="284" t="str">
        <f>'Building Bill of Materials_SLIM'!U86</f>
        <v/>
      </c>
      <c r="G86" s="234"/>
      <c r="H86" s="234"/>
      <c r="I86" s="234"/>
      <c r="J86" s="234" t="str">
        <f>'Building Bill of Materials_SLIM'!V86</f>
        <v/>
      </c>
      <c r="K86" s="238"/>
      <c r="L86" s="238"/>
      <c r="M86" s="238"/>
      <c r="N86" s="238"/>
      <c r="O86" s="238"/>
      <c r="P86" s="238"/>
      <c r="Q86" s="238"/>
      <c r="R86" s="238"/>
      <c r="S86" s="238"/>
      <c r="T86" s="238"/>
      <c r="U86" s="238"/>
      <c r="V86" s="238"/>
      <c r="W86" s="238"/>
      <c r="X86" s="238"/>
      <c r="Y86" s="238"/>
      <c r="Z86" s="238"/>
      <c r="AA86" s="192"/>
      <c r="AB86" s="257"/>
      <c r="AC86" s="257"/>
      <c r="AD86" s="257"/>
      <c r="AE86" s="257"/>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38"/>
      <c r="BK86" s="238"/>
      <c r="BL86" s="238"/>
      <c r="BM86" s="238"/>
      <c r="BN86" s="238"/>
      <c r="BO86" s="238"/>
      <c r="BP86" s="238"/>
      <c r="BQ86" s="238"/>
      <c r="BR86" s="238"/>
      <c r="BS86" s="238"/>
      <c r="BT86" s="238"/>
      <c r="BU86" s="238"/>
      <c r="BV86" s="238"/>
      <c r="BW86" s="238"/>
      <c r="BX86" s="238"/>
      <c r="BY86" s="238"/>
      <c r="BZ86" s="238"/>
      <c r="CA86" s="238"/>
      <c r="CB86" s="238"/>
      <c r="CC86" s="238"/>
      <c r="CD86" s="238"/>
      <c r="CE86" s="257"/>
      <c r="CF86" s="257"/>
      <c r="CG86" s="238"/>
      <c r="CH86" s="238"/>
      <c r="CI86" s="238"/>
      <c r="CJ86" s="238"/>
      <c r="CK86" s="238"/>
      <c r="CL86" s="238"/>
      <c r="CM86" s="238"/>
      <c r="CN86" s="238"/>
      <c r="CO86" s="238"/>
      <c r="CP86" s="238"/>
      <c r="CQ86" s="238"/>
      <c r="CR86" s="238"/>
      <c r="CS86" s="238"/>
      <c r="CT86" s="238"/>
      <c r="CU86" s="238"/>
      <c r="CV86" s="238"/>
      <c r="CW86" s="238"/>
      <c r="CX86" s="238"/>
      <c r="CY86" s="238"/>
      <c r="CZ86" s="238"/>
      <c r="DA86" s="238"/>
      <c r="DB86" s="238"/>
      <c r="DC86" s="238"/>
      <c r="DD86" s="238"/>
      <c r="DE86" s="238"/>
      <c r="DF86" s="238"/>
      <c r="DG86" s="257"/>
      <c r="DH86" s="238"/>
      <c r="DI86" s="238"/>
      <c r="DJ86" s="238"/>
      <c r="DK86" s="238"/>
      <c r="DL86" s="238"/>
      <c r="DM86" s="238"/>
      <c r="DN86" s="238"/>
      <c r="DO86" s="238"/>
      <c r="DP86" s="238"/>
      <c r="DQ86" s="238"/>
      <c r="DR86" s="238"/>
      <c r="DS86" s="238"/>
      <c r="DT86" s="238"/>
      <c r="DU86" s="238"/>
      <c r="DV86" s="238"/>
      <c r="DW86" s="238"/>
      <c r="DX86" s="238"/>
      <c r="DY86" s="238"/>
      <c r="DZ86" s="238"/>
      <c r="EA86" s="238"/>
      <c r="EB86" s="238"/>
      <c r="EC86" s="238"/>
      <c r="ED86" s="238"/>
      <c r="EE86" s="238"/>
      <c r="EF86" s="238"/>
      <c r="EG86" s="238"/>
      <c r="EH86" s="238"/>
      <c r="EI86" s="238"/>
      <c r="EJ86" s="238"/>
      <c r="EK86" s="238"/>
      <c r="EL86" s="238"/>
      <c r="EM86" s="238"/>
      <c r="EN86" s="238"/>
      <c r="EO86" s="238"/>
      <c r="EP86" s="238"/>
      <c r="EQ86" s="238"/>
      <c r="ER86" s="238"/>
      <c r="ES86" s="238"/>
      <c r="ET86" s="238"/>
      <c r="EU86" s="238"/>
      <c r="EV86" s="238"/>
      <c r="EW86" s="238"/>
      <c r="EX86" s="238"/>
      <c r="EY86" s="238"/>
      <c r="EZ86" s="238"/>
      <c r="FA86" s="238"/>
      <c r="FB86" s="238"/>
      <c r="FC86" s="238"/>
      <c r="FD86" s="238"/>
      <c r="FE86" s="238"/>
      <c r="FF86" s="238"/>
      <c r="FG86" s="238"/>
      <c r="FH86" s="257"/>
      <c r="FI86" s="257"/>
      <c r="FJ86" s="257"/>
      <c r="FK86" s="257"/>
      <c r="FL86" s="257"/>
      <c r="FM86" s="257"/>
      <c r="FN86" s="257"/>
      <c r="FO86" s="257"/>
      <c r="FP86" s="257"/>
      <c r="FQ86" s="257"/>
      <c r="FR86" s="257"/>
      <c r="FS86" s="257"/>
      <c r="FT86" s="257"/>
      <c r="FU86" s="257"/>
      <c r="FV86" s="257"/>
      <c r="FW86" s="257"/>
      <c r="FX86" s="257"/>
      <c r="FY86" s="238"/>
      <c r="FZ86" s="238"/>
      <c r="GA86" s="238"/>
      <c r="GB86" s="238"/>
      <c r="GC86" s="238"/>
      <c r="GD86" s="238"/>
      <c r="GE86" s="238"/>
      <c r="GF86" s="238"/>
      <c r="GG86" s="238"/>
      <c r="GH86" s="238"/>
      <c r="GI86" s="238"/>
      <c r="GJ86" s="238"/>
      <c r="GK86" s="238"/>
      <c r="GL86" s="238"/>
      <c r="GM86" s="238"/>
      <c r="GN86" s="238"/>
      <c r="GO86" s="238"/>
      <c r="GP86" s="238"/>
      <c r="GQ86" s="238"/>
      <c r="GR86" s="238"/>
      <c r="GS86" s="238"/>
      <c r="GT86" s="238"/>
      <c r="GU86" s="238"/>
      <c r="GV86" s="238"/>
      <c r="GW86" s="238"/>
      <c r="GX86" s="238"/>
      <c r="GY86" s="238"/>
      <c r="GZ86" s="238"/>
      <c r="HA86" s="238"/>
      <c r="HB86" s="238"/>
      <c r="HC86" s="238"/>
      <c r="HD86" s="238"/>
      <c r="HE86" s="238"/>
      <c r="HF86" s="238"/>
      <c r="HG86" s="238"/>
      <c r="HH86" s="238"/>
      <c r="HI86" s="238"/>
      <c r="HJ86" s="238"/>
      <c r="HK86" s="238"/>
      <c r="HL86" s="238"/>
      <c r="HM86" s="238"/>
      <c r="HN86" s="238"/>
      <c r="HO86" s="238"/>
      <c r="HP86" s="238"/>
      <c r="HQ86" s="238"/>
      <c r="HR86" s="238"/>
      <c r="HS86" s="238"/>
      <c r="HT86" s="238"/>
      <c r="HU86" s="238"/>
      <c r="HV86" s="238"/>
      <c r="HW86" s="238"/>
      <c r="HX86" s="257"/>
      <c r="HY86" s="257"/>
      <c r="HZ86" s="257"/>
      <c r="IA86" s="257"/>
      <c r="IB86" s="257"/>
      <c r="IC86" s="257"/>
      <c r="ID86" s="257"/>
      <c r="IE86" s="257"/>
      <c r="IF86" s="257"/>
      <c r="IG86" s="257"/>
      <c r="IH86" s="257"/>
      <c r="II86" s="257"/>
      <c r="IJ86" s="257"/>
      <c r="IK86" s="257"/>
      <c r="IL86" s="257"/>
      <c r="IM86" s="257"/>
      <c r="IN86" s="257"/>
      <c r="IO86" s="257"/>
      <c r="IP86" s="257"/>
      <c r="IQ86" s="257"/>
      <c r="IR86" s="257"/>
      <c r="IS86" s="257"/>
      <c r="IT86" s="257"/>
      <c r="IU86" s="257"/>
      <c r="IV86" s="257"/>
      <c r="IW86" s="257"/>
      <c r="IX86" s="257"/>
      <c r="IY86" s="257"/>
      <c r="IZ86" s="257"/>
      <c r="JA86" s="257"/>
      <c r="JB86" s="257"/>
      <c r="JC86" s="257"/>
      <c r="JD86" s="257"/>
      <c r="JE86" s="257"/>
      <c r="JF86" s="238"/>
      <c r="JG86" s="238"/>
      <c r="JH86" s="238"/>
      <c r="JI86" s="238"/>
      <c r="JJ86" s="238"/>
      <c r="JK86" s="238"/>
      <c r="JL86" s="238"/>
      <c r="JM86" s="238"/>
      <c r="JN86" s="238"/>
      <c r="JO86" s="238"/>
      <c r="JP86" s="238"/>
      <c r="JQ86" s="238"/>
      <c r="JR86" s="238"/>
      <c r="JS86" s="238"/>
      <c r="JT86" s="238"/>
      <c r="JU86" s="238"/>
      <c r="JV86" s="238"/>
      <c r="JW86" s="238"/>
      <c r="JX86" s="238"/>
      <c r="JY86" s="238"/>
      <c r="JZ86" s="238"/>
      <c r="KA86" s="238"/>
      <c r="KB86" s="238"/>
      <c r="KC86" s="238"/>
      <c r="KD86" s="238"/>
      <c r="KE86" s="238"/>
      <c r="KF86" s="238"/>
      <c r="KG86" s="238"/>
      <c r="KH86" s="238"/>
      <c r="KI86" s="238"/>
      <c r="KJ86" s="238"/>
      <c r="KK86" s="238"/>
      <c r="KL86" s="238"/>
      <c r="KM86" s="238"/>
      <c r="KN86" s="238"/>
      <c r="KO86" s="238"/>
      <c r="KP86" s="238"/>
      <c r="KQ86" s="238"/>
      <c r="KR86" s="238"/>
      <c r="KS86" s="238"/>
      <c r="KT86" s="238"/>
      <c r="KU86" s="238"/>
      <c r="KV86" s="238"/>
      <c r="KW86" s="238"/>
      <c r="KX86" s="238"/>
      <c r="KY86" s="238"/>
      <c r="KZ86" s="238"/>
      <c r="LA86" s="238"/>
      <c r="LB86" s="238"/>
      <c r="LC86" s="238"/>
      <c r="LD86" s="238"/>
      <c r="LE86" s="238"/>
      <c r="LF86" s="238"/>
      <c r="LG86" s="238"/>
      <c r="LH86" s="238"/>
      <c r="LI86" s="238"/>
      <c r="LJ86" s="238"/>
      <c r="LK86" s="238"/>
      <c r="LL86" s="238"/>
      <c r="LM86" s="238"/>
      <c r="LN86" s="238"/>
      <c r="LO86" s="238"/>
      <c r="LP86" s="238"/>
      <c r="LQ86" s="238"/>
      <c r="LR86" s="238"/>
      <c r="LS86" s="238"/>
      <c r="LT86" s="238"/>
      <c r="LU86" s="238"/>
      <c r="LV86" s="238"/>
      <c r="LW86" s="238"/>
      <c r="LX86" s="238"/>
      <c r="LY86" s="238"/>
      <c r="LZ86" s="238"/>
      <c r="MA86" s="238"/>
      <c r="MB86" s="238"/>
      <c r="MC86" s="238"/>
      <c r="MD86" s="238"/>
      <c r="ME86" s="238"/>
      <c r="MF86" s="238"/>
      <c r="MG86" s="238"/>
      <c r="MH86" s="238"/>
      <c r="MI86" s="238"/>
      <c r="MJ86" s="238"/>
      <c r="MK86" s="238"/>
      <c r="ML86" s="238"/>
    </row>
    <row r="87" ht="18.75" customHeight="1">
      <c r="A87" s="283"/>
      <c r="B87" s="234" t="str">
        <f>'Building Bill of Materials_SLIM'!P87</f>
        <v/>
      </c>
      <c r="C87" s="234" t="str">
        <f>'Building Bill of Materials_SLIM'!Q87</f>
        <v/>
      </c>
      <c r="D87" s="234" t="str">
        <f>'Building Bill of Materials_SLIM'!R87</f>
        <v/>
      </c>
      <c r="E87" s="234" t="str">
        <f>'Building Bill of Materials_SLIM'!S87</f>
        <v/>
      </c>
      <c r="F87" s="284" t="str">
        <f>'Building Bill of Materials_SLIM'!U87</f>
        <v/>
      </c>
      <c r="G87" s="234"/>
      <c r="H87" s="234"/>
      <c r="I87" s="234"/>
      <c r="J87" s="234" t="str">
        <f>'Building Bill of Materials_SLIM'!V87</f>
        <v/>
      </c>
      <c r="K87" s="238"/>
      <c r="L87" s="238"/>
      <c r="M87" s="238"/>
      <c r="N87" s="238"/>
      <c r="O87" s="238"/>
      <c r="P87" s="238"/>
      <c r="Q87" s="238"/>
      <c r="R87" s="238"/>
      <c r="S87" s="238"/>
      <c r="T87" s="238"/>
      <c r="U87" s="238"/>
      <c r="V87" s="238"/>
      <c r="W87" s="238"/>
      <c r="X87" s="238"/>
      <c r="Y87" s="238"/>
      <c r="Z87" s="238"/>
      <c r="AA87" s="192"/>
      <c r="AB87" s="257"/>
      <c r="AC87" s="257"/>
      <c r="AD87" s="257"/>
      <c r="AE87" s="257"/>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38"/>
      <c r="BK87" s="238"/>
      <c r="BL87" s="238"/>
      <c r="BM87" s="238"/>
      <c r="BN87" s="238"/>
      <c r="BO87" s="238"/>
      <c r="BP87" s="238"/>
      <c r="BQ87" s="238"/>
      <c r="BR87" s="238"/>
      <c r="BS87" s="238"/>
      <c r="BT87" s="238"/>
      <c r="BU87" s="238"/>
      <c r="BV87" s="238"/>
      <c r="BW87" s="238"/>
      <c r="BX87" s="238"/>
      <c r="BY87" s="238"/>
      <c r="BZ87" s="238"/>
      <c r="CA87" s="238"/>
      <c r="CB87" s="238"/>
      <c r="CC87" s="238"/>
      <c r="CD87" s="238"/>
      <c r="CE87" s="257"/>
      <c r="CF87" s="257"/>
      <c r="CG87" s="238"/>
      <c r="CH87" s="238"/>
      <c r="CI87" s="238"/>
      <c r="CJ87" s="238"/>
      <c r="CK87" s="238"/>
      <c r="CL87" s="238"/>
      <c r="CM87" s="238"/>
      <c r="CN87" s="238"/>
      <c r="CO87" s="238"/>
      <c r="CP87" s="238"/>
      <c r="CQ87" s="238"/>
      <c r="CR87" s="238"/>
      <c r="CS87" s="238"/>
      <c r="CT87" s="238"/>
      <c r="CU87" s="238"/>
      <c r="CV87" s="238"/>
      <c r="CW87" s="238"/>
      <c r="CX87" s="238"/>
      <c r="CY87" s="238"/>
      <c r="CZ87" s="238"/>
      <c r="DA87" s="238"/>
      <c r="DB87" s="238"/>
      <c r="DC87" s="238"/>
      <c r="DD87" s="238"/>
      <c r="DE87" s="238"/>
      <c r="DF87" s="238"/>
      <c r="DG87" s="257"/>
      <c r="DH87" s="238"/>
      <c r="DI87" s="238"/>
      <c r="DJ87" s="238"/>
      <c r="DK87" s="238"/>
      <c r="DL87" s="238"/>
      <c r="DM87" s="238"/>
      <c r="DN87" s="238"/>
      <c r="DO87" s="238"/>
      <c r="DP87" s="238"/>
      <c r="DQ87" s="238"/>
      <c r="DR87" s="238"/>
      <c r="DS87" s="238"/>
      <c r="DT87" s="238"/>
      <c r="DU87" s="238"/>
      <c r="DV87" s="238"/>
      <c r="DW87" s="238"/>
      <c r="DX87" s="238"/>
      <c r="DY87" s="238"/>
      <c r="DZ87" s="238"/>
      <c r="EA87" s="238"/>
      <c r="EB87" s="238"/>
      <c r="EC87" s="238"/>
      <c r="ED87" s="238"/>
      <c r="EE87" s="238"/>
      <c r="EF87" s="238"/>
      <c r="EG87" s="238"/>
      <c r="EH87" s="238"/>
      <c r="EI87" s="238"/>
      <c r="EJ87" s="238"/>
      <c r="EK87" s="238"/>
      <c r="EL87" s="238"/>
      <c r="EM87" s="238"/>
      <c r="EN87" s="238"/>
      <c r="EO87" s="238"/>
      <c r="EP87" s="238"/>
      <c r="EQ87" s="238"/>
      <c r="ER87" s="238"/>
      <c r="ES87" s="238"/>
      <c r="ET87" s="238"/>
      <c r="EU87" s="238"/>
      <c r="EV87" s="238"/>
      <c r="EW87" s="238"/>
      <c r="EX87" s="238"/>
      <c r="EY87" s="238"/>
      <c r="EZ87" s="238"/>
      <c r="FA87" s="238"/>
      <c r="FB87" s="238"/>
      <c r="FC87" s="238"/>
      <c r="FD87" s="238"/>
      <c r="FE87" s="238"/>
      <c r="FF87" s="238"/>
      <c r="FG87" s="238"/>
      <c r="FH87" s="257"/>
      <c r="FI87" s="257"/>
      <c r="FJ87" s="257"/>
      <c r="FK87" s="257"/>
      <c r="FL87" s="257"/>
      <c r="FM87" s="257"/>
      <c r="FN87" s="257"/>
      <c r="FO87" s="257"/>
      <c r="FP87" s="257"/>
      <c r="FQ87" s="257"/>
      <c r="FR87" s="257"/>
      <c r="FS87" s="257"/>
      <c r="FT87" s="257"/>
      <c r="FU87" s="257"/>
      <c r="FV87" s="257"/>
      <c r="FW87" s="257"/>
      <c r="FX87" s="257"/>
      <c r="FY87" s="238"/>
      <c r="FZ87" s="238"/>
      <c r="GA87" s="238"/>
      <c r="GB87" s="238"/>
      <c r="GC87" s="238"/>
      <c r="GD87" s="238"/>
      <c r="GE87" s="238"/>
      <c r="GF87" s="238"/>
      <c r="GG87" s="238"/>
      <c r="GH87" s="238"/>
      <c r="GI87" s="238"/>
      <c r="GJ87" s="238"/>
      <c r="GK87" s="238"/>
      <c r="GL87" s="238"/>
      <c r="GM87" s="238"/>
      <c r="GN87" s="238"/>
      <c r="GO87" s="238"/>
      <c r="GP87" s="238"/>
      <c r="GQ87" s="238"/>
      <c r="GR87" s="238"/>
      <c r="GS87" s="238"/>
      <c r="GT87" s="238"/>
      <c r="GU87" s="238"/>
      <c r="GV87" s="238"/>
      <c r="GW87" s="238"/>
      <c r="GX87" s="238"/>
      <c r="GY87" s="238"/>
      <c r="GZ87" s="238"/>
      <c r="HA87" s="238"/>
      <c r="HB87" s="238"/>
      <c r="HC87" s="238"/>
      <c r="HD87" s="238"/>
      <c r="HE87" s="238"/>
      <c r="HF87" s="238"/>
      <c r="HG87" s="238"/>
      <c r="HH87" s="238"/>
      <c r="HI87" s="238"/>
      <c r="HJ87" s="238"/>
      <c r="HK87" s="238"/>
      <c r="HL87" s="238"/>
      <c r="HM87" s="238"/>
      <c r="HN87" s="238"/>
      <c r="HO87" s="238"/>
      <c r="HP87" s="238"/>
      <c r="HQ87" s="238"/>
      <c r="HR87" s="238"/>
      <c r="HS87" s="238"/>
      <c r="HT87" s="238"/>
      <c r="HU87" s="238"/>
      <c r="HV87" s="238"/>
      <c r="HW87" s="238"/>
      <c r="HX87" s="257"/>
      <c r="HY87" s="257"/>
      <c r="HZ87" s="257"/>
      <c r="IA87" s="257"/>
      <c r="IB87" s="257"/>
      <c r="IC87" s="257"/>
      <c r="ID87" s="257"/>
      <c r="IE87" s="257"/>
      <c r="IF87" s="257"/>
      <c r="IG87" s="257"/>
      <c r="IH87" s="257"/>
      <c r="II87" s="257"/>
      <c r="IJ87" s="257"/>
      <c r="IK87" s="257"/>
      <c r="IL87" s="257"/>
      <c r="IM87" s="257"/>
      <c r="IN87" s="257"/>
      <c r="IO87" s="257"/>
      <c r="IP87" s="257"/>
      <c r="IQ87" s="257"/>
      <c r="IR87" s="257"/>
      <c r="IS87" s="257"/>
      <c r="IT87" s="257"/>
      <c r="IU87" s="257"/>
      <c r="IV87" s="257"/>
      <c r="IW87" s="257"/>
      <c r="IX87" s="257"/>
      <c r="IY87" s="257"/>
      <c r="IZ87" s="257"/>
      <c r="JA87" s="257"/>
      <c r="JB87" s="257"/>
      <c r="JC87" s="257"/>
      <c r="JD87" s="257"/>
      <c r="JE87" s="257"/>
      <c r="JF87" s="238"/>
      <c r="JG87" s="238"/>
      <c r="JH87" s="238"/>
      <c r="JI87" s="238"/>
      <c r="JJ87" s="238"/>
      <c r="JK87" s="238"/>
      <c r="JL87" s="238"/>
      <c r="JM87" s="238"/>
      <c r="JN87" s="238"/>
      <c r="JO87" s="238"/>
      <c r="JP87" s="238"/>
      <c r="JQ87" s="238"/>
      <c r="JR87" s="238"/>
      <c r="JS87" s="238"/>
      <c r="JT87" s="238"/>
      <c r="JU87" s="238"/>
      <c r="JV87" s="238"/>
      <c r="JW87" s="238"/>
      <c r="JX87" s="238"/>
      <c r="JY87" s="238"/>
      <c r="JZ87" s="238"/>
      <c r="KA87" s="238"/>
      <c r="KB87" s="238"/>
      <c r="KC87" s="238"/>
      <c r="KD87" s="238"/>
      <c r="KE87" s="238"/>
      <c r="KF87" s="238"/>
      <c r="KG87" s="238"/>
      <c r="KH87" s="238"/>
      <c r="KI87" s="238"/>
      <c r="KJ87" s="238"/>
      <c r="KK87" s="238"/>
      <c r="KL87" s="238"/>
      <c r="KM87" s="238"/>
      <c r="KN87" s="238"/>
      <c r="KO87" s="238"/>
      <c r="KP87" s="238"/>
      <c r="KQ87" s="238"/>
      <c r="KR87" s="238"/>
      <c r="KS87" s="238"/>
      <c r="KT87" s="238"/>
      <c r="KU87" s="238"/>
      <c r="KV87" s="238"/>
      <c r="KW87" s="238"/>
      <c r="KX87" s="238"/>
      <c r="KY87" s="238"/>
      <c r="KZ87" s="238"/>
      <c r="LA87" s="238"/>
      <c r="LB87" s="238"/>
      <c r="LC87" s="238"/>
      <c r="LD87" s="238"/>
      <c r="LE87" s="238"/>
      <c r="LF87" s="238"/>
      <c r="LG87" s="238"/>
      <c r="LH87" s="238"/>
      <c r="LI87" s="238"/>
      <c r="LJ87" s="238"/>
      <c r="LK87" s="238"/>
      <c r="LL87" s="238"/>
      <c r="LM87" s="238"/>
      <c r="LN87" s="238"/>
      <c r="LO87" s="238"/>
      <c r="LP87" s="238"/>
      <c r="LQ87" s="238"/>
      <c r="LR87" s="238"/>
      <c r="LS87" s="238"/>
      <c r="LT87" s="238"/>
      <c r="LU87" s="238"/>
      <c r="LV87" s="238"/>
      <c r="LW87" s="238"/>
      <c r="LX87" s="238"/>
      <c r="LY87" s="238"/>
      <c r="LZ87" s="238"/>
      <c r="MA87" s="238"/>
      <c r="MB87" s="238"/>
      <c r="MC87" s="238"/>
      <c r="MD87" s="238"/>
      <c r="ME87" s="238"/>
      <c r="MF87" s="238"/>
      <c r="MG87" s="238"/>
      <c r="MH87" s="238"/>
      <c r="MI87" s="238"/>
      <c r="MJ87" s="238"/>
      <c r="MK87" s="238"/>
      <c r="ML87" s="238"/>
    </row>
    <row r="88" ht="18.75" customHeight="1">
      <c r="A88" s="283"/>
      <c r="B88" s="234" t="str">
        <f>'Building Bill of Materials_SLIM'!P88</f>
        <v/>
      </c>
      <c r="C88" s="234" t="str">
        <f>'Building Bill of Materials_SLIM'!Q88</f>
        <v/>
      </c>
      <c r="D88" s="234" t="str">
        <f>'Building Bill of Materials_SLIM'!R88</f>
        <v/>
      </c>
      <c r="E88" s="234" t="str">
        <f>'Building Bill of Materials_SLIM'!S88</f>
        <v/>
      </c>
      <c r="F88" s="284" t="str">
        <f>'Building Bill of Materials_SLIM'!U88</f>
        <v/>
      </c>
      <c r="G88" s="234"/>
      <c r="H88" s="234"/>
      <c r="I88" s="234"/>
      <c r="J88" s="234" t="str">
        <f>'Building Bill of Materials_SLIM'!V88</f>
        <v/>
      </c>
      <c r="K88" s="238"/>
      <c r="L88" s="238"/>
      <c r="M88" s="238"/>
      <c r="N88" s="238"/>
      <c r="O88" s="238"/>
      <c r="P88" s="238"/>
      <c r="Q88" s="238"/>
      <c r="R88" s="238"/>
      <c r="S88" s="238"/>
      <c r="T88" s="238"/>
      <c r="U88" s="238"/>
      <c r="V88" s="238"/>
      <c r="W88" s="238"/>
      <c r="X88" s="238"/>
      <c r="Y88" s="238"/>
      <c r="Z88" s="238"/>
      <c r="AA88" s="192"/>
      <c r="AB88" s="257"/>
      <c r="AC88" s="257"/>
      <c r="AD88" s="257"/>
      <c r="AE88" s="257"/>
      <c r="AF88" s="257"/>
      <c r="AG88" s="257"/>
      <c r="AH88" s="257"/>
      <c r="AI88" s="257"/>
      <c r="AJ88" s="257"/>
      <c r="AK88" s="257"/>
      <c r="AL88" s="257"/>
      <c r="AM88" s="257"/>
      <c r="AN88" s="257"/>
      <c r="AO88" s="257"/>
      <c r="AP88" s="257"/>
      <c r="AQ88" s="257"/>
      <c r="AR88" s="257"/>
      <c r="AS88" s="257"/>
      <c r="AT88" s="257"/>
      <c r="AU88" s="257"/>
      <c r="AV88" s="257"/>
      <c r="AW88" s="257"/>
      <c r="AX88" s="257"/>
      <c r="AY88" s="257"/>
      <c r="AZ88" s="257"/>
      <c r="BA88" s="257"/>
      <c r="BB88" s="257"/>
      <c r="BC88" s="257"/>
      <c r="BD88" s="257"/>
      <c r="BE88" s="257"/>
      <c r="BF88" s="257"/>
      <c r="BG88" s="257"/>
      <c r="BH88" s="257"/>
      <c r="BI88" s="257"/>
      <c r="BJ88" s="238"/>
      <c r="BK88" s="238"/>
      <c r="BL88" s="238"/>
      <c r="BM88" s="238"/>
      <c r="BN88" s="238"/>
      <c r="BO88" s="238"/>
      <c r="BP88" s="238"/>
      <c r="BQ88" s="238"/>
      <c r="BR88" s="238"/>
      <c r="BS88" s="238"/>
      <c r="BT88" s="238"/>
      <c r="BU88" s="238"/>
      <c r="BV88" s="238"/>
      <c r="BW88" s="238"/>
      <c r="BX88" s="238"/>
      <c r="BY88" s="238"/>
      <c r="BZ88" s="238"/>
      <c r="CA88" s="238"/>
      <c r="CB88" s="238"/>
      <c r="CC88" s="238"/>
      <c r="CD88" s="238"/>
      <c r="CE88" s="257"/>
      <c r="CF88" s="257"/>
      <c r="CG88" s="238"/>
      <c r="CH88" s="238"/>
      <c r="CI88" s="238"/>
      <c r="CJ88" s="238"/>
      <c r="CK88" s="238"/>
      <c r="CL88" s="238"/>
      <c r="CM88" s="238"/>
      <c r="CN88" s="238"/>
      <c r="CO88" s="238"/>
      <c r="CP88" s="238"/>
      <c r="CQ88" s="238"/>
      <c r="CR88" s="238"/>
      <c r="CS88" s="238"/>
      <c r="CT88" s="238"/>
      <c r="CU88" s="238"/>
      <c r="CV88" s="238"/>
      <c r="CW88" s="238"/>
      <c r="CX88" s="238"/>
      <c r="CY88" s="238"/>
      <c r="CZ88" s="238"/>
      <c r="DA88" s="238"/>
      <c r="DB88" s="238"/>
      <c r="DC88" s="238"/>
      <c r="DD88" s="238"/>
      <c r="DE88" s="238"/>
      <c r="DF88" s="238"/>
      <c r="DG88" s="257"/>
      <c r="DH88" s="238"/>
      <c r="DI88" s="238"/>
      <c r="DJ88" s="238"/>
      <c r="DK88" s="238"/>
      <c r="DL88" s="238"/>
      <c r="DM88" s="238"/>
      <c r="DN88" s="238"/>
      <c r="DO88" s="238"/>
      <c r="DP88" s="238"/>
      <c r="DQ88" s="238"/>
      <c r="DR88" s="238"/>
      <c r="DS88" s="238"/>
      <c r="DT88" s="238"/>
      <c r="DU88" s="238"/>
      <c r="DV88" s="238"/>
      <c r="DW88" s="238"/>
      <c r="DX88" s="238"/>
      <c r="DY88" s="238"/>
      <c r="DZ88" s="238"/>
      <c r="EA88" s="238"/>
      <c r="EB88" s="238"/>
      <c r="EC88" s="238"/>
      <c r="ED88" s="238"/>
      <c r="EE88" s="238"/>
      <c r="EF88" s="238"/>
      <c r="EG88" s="238"/>
      <c r="EH88" s="238"/>
      <c r="EI88" s="238"/>
      <c r="EJ88" s="238"/>
      <c r="EK88" s="238"/>
      <c r="EL88" s="238"/>
      <c r="EM88" s="238"/>
      <c r="EN88" s="238"/>
      <c r="EO88" s="238"/>
      <c r="EP88" s="238"/>
      <c r="EQ88" s="238"/>
      <c r="ER88" s="238"/>
      <c r="ES88" s="238"/>
      <c r="ET88" s="238"/>
      <c r="EU88" s="238"/>
      <c r="EV88" s="238"/>
      <c r="EW88" s="238"/>
      <c r="EX88" s="238"/>
      <c r="EY88" s="238"/>
      <c r="EZ88" s="238"/>
      <c r="FA88" s="238"/>
      <c r="FB88" s="238"/>
      <c r="FC88" s="238"/>
      <c r="FD88" s="238"/>
      <c r="FE88" s="238"/>
      <c r="FF88" s="238"/>
      <c r="FG88" s="238"/>
      <c r="FH88" s="257"/>
      <c r="FI88" s="257"/>
      <c r="FJ88" s="257"/>
      <c r="FK88" s="257"/>
      <c r="FL88" s="257"/>
      <c r="FM88" s="257"/>
      <c r="FN88" s="257"/>
      <c r="FO88" s="257"/>
      <c r="FP88" s="257"/>
      <c r="FQ88" s="257"/>
      <c r="FR88" s="257"/>
      <c r="FS88" s="257"/>
      <c r="FT88" s="257"/>
      <c r="FU88" s="257"/>
      <c r="FV88" s="257"/>
      <c r="FW88" s="257"/>
      <c r="FX88" s="257"/>
      <c r="FY88" s="238"/>
      <c r="FZ88" s="238"/>
      <c r="GA88" s="238"/>
      <c r="GB88" s="238"/>
      <c r="GC88" s="238"/>
      <c r="GD88" s="238"/>
      <c r="GE88" s="238"/>
      <c r="GF88" s="238"/>
      <c r="GG88" s="238"/>
      <c r="GH88" s="238"/>
      <c r="GI88" s="238"/>
      <c r="GJ88" s="238"/>
      <c r="GK88" s="238"/>
      <c r="GL88" s="238"/>
      <c r="GM88" s="238"/>
      <c r="GN88" s="238"/>
      <c r="GO88" s="238"/>
      <c r="GP88" s="238"/>
      <c r="GQ88" s="238"/>
      <c r="GR88" s="238"/>
      <c r="GS88" s="238"/>
      <c r="GT88" s="238"/>
      <c r="GU88" s="238"/>
      <c r="GV88" s="238"/>
      <c r="GW88" s="238"/>
      <c r="GX88" s="238"/>
      <c r="GY88" s="238"/>
      <c r="GZ88" s="238"/>
      <c r="HA88" s="238"/>
      <c r="HB88" s="238"/>
      <c r="HC88" s="238"/>
      <c r="HD88" s="238"/>
      <c r="HE88" s="238"/>
      <c r="HF88" s="238"/>
      <c r="HG88" s="238"/>
      <c r="HH88" s="238"/>
      <c r="HI88" s="238"/>
      <c r="HJ88" s="238"/>
      <c r="HK88" s="238"/>
      <c r="HL88" s="238"/>
      <c r="HM88" s="238"/>
      <c r="HN88" s="238"/>
      <c r="HO88" s="238"/>
      <c r="HP88" s="238"/>
      <c r="HQ88" s="238"/>
      <c r="HR88" s="238"/>
      <c r="HS88" s="238"/>
      <c r="HT88" s="238"/>
      <c r="HU88" s="238"/>
      <c r="HV88" s="238"/>
      <c r="HW88" s="238"/>
      <c r="HX88" s="257"/>
      <c r="HY88" s="257"/>
      <c r="HZ88" s="257"/>
      <c r="IA88" s="257"/>
      <c r="IB88" s="257"/>
      <c r="IC88" s="257"/>
      <c r="ID88" s="257"/>
      <c r="IE88" s="257"/>
      <c r="IF88" s="257"/>
      <c r="IG88" s="257"/>
      <c r="IH88" s="257"/>
      <c r="II88" s="257"/>
      <c r="IJ88" s="257"/>
      <c r="IK88" s="257"/>
      <c r="IL88" s="257"/>
      <c r="IM88" s="257"/>
      <c r="IN88" s="257"/>
      <c r="IO88" s="257"/>
      <c r="IP88" s="257"/>
      <c r="IQ88" s="257"/>
      <c r="IR88" s="257"/>
      <c r="IS88" s="257"/>
      <c r="IT88" s="257"/>
      <c r="IU88" s="257"/>
      <c r="IV88" s="257"/>
      <c r="IW88" s="257"/>
      <c r="IX88" s="257"/>
      <c r="IY88" s="257"/>
      <c r="IZ88" s="257"/>
      <c r="JA88" s="257"/>
      <c r="JB88" s="257"/>
      <c r="JC88" s="257"/>
      <c r="JD88" s="257"/>
      <c r="JE88" s="257"/>
      <c r="JF88" s="238"/>
      <c r="JG88" s="238"/>
      <c r="JH88" s="238"/>
      <c r="JI88" s="238"/>
      <c r="JJ88" s="238"/>
      <c r="JK88" s="238"/>
      <c r="JL88" s="238"/>
      <c r="JM88" s="238"/>
      <c r="JN88" s="238"/>
      <c r="JO88" s="238"/>
      <c r="JP88" s="238"/>
      <c r="JQ88" s="238"/>
      <c r="JR88" s="238"/>
      <c r="JS88" s="238"/>
      <c r="JT88" s="238"/>
      <c r="JU88" s="238"/>
      <c r="JV88" s="238"/>
      <c r="JW88" s="238"/>
      <c r="JX88" s="238"/>
      <c r="JY88" s="238"/>
      <c r="JZ88" s="238"/>
      <c r="KA88" s="238"/>
      <c r="KB88" s="238"/>
      <c r="KC88" s="238"/>
      <c r="KD88" s="238"/>
      <c r="KE88" s="238"/>
      <c r="KF88" s="238"/>
      <c r="KG88" s="238"/>
      <c r="KH88" s="238"/>
      <c r="KI88" s="238"/>
      <c r="KJ88" s="238"/>
      <c r="KK88" s="238"/>
      <c r="KL88" s="238"/>
      <c r="KM88" s="238"/>
      <c r="KN88" s="238"/>
      <c r="KO88" s="238"/>
      <c r="KP88" s="238"/>
      <c r="KQ88" s="238"/>
      <c r="KR88" s="238"/>
      <c r="KS88" s="238"/>
      <c r="KT88" s="238"/>
      <c r="KU88" s="238"/>
      <c r="KV88" s="238"/>
      <c r="KW88" s="238"/>
      <c r="KX88" s="238"/>
      <c r="KY88" s="238"/>
      <c r="KZ88" s="238"/>
      <c r="LA88" s="238"/>
      <c r="LB88" s="238"/>
      <c r="LC88" s="238"/>
      <c r="LD88" s="238"/>
      <c r="LE88" s="238"/>
      <c r="LF88" s="238"/>
      <c r="LG88" s="238"/>
      <c r="LH88" s="238"/>
      <c r="LI88" s="238"/>
      <c r="LJ88" s="238"/>
      <c r="LK88" s="238"/>
      <c r="LL88" s="238"/>
      <c r="LM88" s="238"/>
      <c r="LN88" s="238"/>
      <c r="LO88" s="238"/>
      <c r="LP88" s="238"/>
      <c r="LQ88" s="238"/>
      <c r="LR88" s="238"/>
      <c r="LS88" s="238"/>
      <c r="LT88" s="238"/>
      <c r="LU88" s="238"/>
      <c r="LV88" s="238"/>
      <c r="LW88" s="238"/>
      <c r="LX88" s="238"/>
      <c r="LY88" s="238"/>
      <c r="LZ88" s="238"/>
      <c r="MA88" s="238"/>
      <c r="MB88" s="238"/>
      <c r="MC88" s="238"/>
      <c r="MD88" s="238"/>
      <c r="ME88" s="238"/>
      <c r="MF88" s="238"/>
      <c r="MG88" s="238"/>
      <c r="MH88" s="238"/>
      <c r="MI88" s="238"/>
      <c r="MJ88" s="238"/>
      <c r="MK88" s="238"/>
      <c r="ML88" s="238"/>
    </row>
    <row r="89" ht="18.75" customHeight="1">
      <c r="A89" s="283"/>
      <c r="B89" s="234" t="str">
        <f>'Building Bill of Materials_SLIM'!P89</f>
        <v/>
      </c>
      <c r="C89" s="234" t="str">
        <f>'Building Bill of Materials_SLIM'!Q89</f>
        <v/>
      </c>
      <c r="D89" s="234" t="str">
        <f>'Building Bill of Materials_SLIM'!R89</f>
        <v/>
      </c>
      <c r="E89" s="234" t="str">
        <f>'Building Bill of Materials_SLIM'!S89</f>
        <v/>
      </c>
      <c r="F89" s="284" t="str">
        <f>'Building Bill of Materials_SLIM'!U89</f>
        <v/>
      </c>
      <c r="G89" s="234"/>
      <c r="H89" s="234"/>
      <c r="I89" s="234"/>
      <c r="J89" s="234" t="str">
        <f>'Building Bill of Materials_SLIM'!V89</f>
        <v/>
      </c>
      <c r="K89" s="238"/>
      <c r="L89" s="238"/>
      <c r="M89" s="238"/>
      <c r="N89" s="238"/>
      <c r="O89" s="238"/>
      <c r="P89" s="238"/>
      <c r="Q89" s="238"/>
      <c r="R89" s="238"/>
      <c r="S89" s="238"/>
      <c r="T89" s="238"/>
      <c r="U89" s="238"/>
      <c r="V89" s="238"/>
      <c r="W89" s="238"/>
      <c r="X89" s="238"/>
      <c r="Y89" s="238"/>
      <c r="Z89" s="238"/>
      <c r="AA89" s="192"/>
      <c r="AB89" s="257"/>
      <c r="AC89" s="257"/>
      <c r="AD89" s="257"/>
      <c r="AE89" s="257"/>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7"/>
      <c r="BB89" s="257"/>
      <c r="BC89" s="257"/>
      <c r="BD89" s="257"/>
      <c r="BE89" s="257"/>
      <c r="BF89" s="257"/>
      <c r="BG89" s="257"/>
      <c r="BH89" s="257"/>
      <c r="BI89" s="257"/>
      <c r="BJ89" s="238"/>
      <c r="BK89" s="238"/>
      <c r="BL89" s="238"/>
      <c r="BM89" s="238"/>
      <c r="BN89" s="238"/>
      <c r="BO89" s="238"/>
      <c r="BP89" s="238"/>
      <c r="BQ89" s="238"/>
      <c r="BR89" s="238"/>
      <c r="BS89" s="238"/>
      <c r="BT89" s="238"/>
      <c r="BU89" s="238"/>
      <c r="BV89" s="238"/>
      <c r="BW89" s="238"/>
      <c r="BX89" s="238"/>
      <c r="BY89" s="238"/>
      <c r="BZ89" s="238"/>
      <c r="CA89" s="238"/>
      <c r="CB89" s="238"/>
      <c r="CC89" s="238"/>
      <c r="CD89" s="238"/>
      <c r="CE89" s="257"/>
      <c r="CF89" s="257"/>
      <c r="CG89" s="238"/>
      <c r="CH89" s="238"/>
      <c r="CI89" s="238"/>
      <c r="CJ89" s="238"/>
      <c r="CK89" s="238"/>
      <c r="CL89" s="238"/>
      <c r="CM89" s="238"/>
      <c r="CN89" s="238"/>
      <c r="CO89" s="238"/>
      <c r="CP89" s="238"/>
      <c r="CQ89" s="238"/>
      <c r="CR89" s="238"/>
      <c r="CS89" s="238"/>
      <c r="CT89" s="238"/>
      <c r="CU89" s="238"/>
      <c r="CV89" s="238"/>
      <c r="CW89" s="238"/>
      <c r="CX89" s="238"/>
      <c r="CY89" s="238"/>
      <c r="CZ89" s="238"/>
      <c r="DA89" s="238"/>
      <c r="DB89" s="238"/>
      <c r="DC89" s="238"/>
      <c r="DD89" s="238"/>
      <c r="DE89" s="238"/>
      <c r="DF89" s="238"/>
      <c r="DG89" s="257"/>
      <c r="DH89" s="238"/>
      <c r="DI89" s="238"/>
      <c r="DJ89" s="238"/>
      <c r="DK89" s="238"/>
      <c r="DL89" s="238"/>
      <c r="DM89" s="238"/>
      <c r="DN89" s="238"/>
      <c r="DO89" s="238"/>
      <c r="DP89" s="238"/>
      <c r="DQ89" s="238"/>
      <c r="DR89" s="238"/>
      <c r="DS89" s="238"/>
      <c r="DT89" s="238"/>
      <c r="DU89" s="238"/>
      <c r="DV89" s="238"/>
      <c r="DW89" s="238"/>
      <c r="DX89" s="238"/>
      <c r="DY89" s="238"/>
      <c r="DZ89" s="238"/>
      <c r="EA89" s="238"/>
      <c r="EB89" s="238"/>
      <c r="EC89" s="238"/>
      <c r="ED89" s="238"/>
      <c r="EE89" s="238"/>
      <c r="EF89" s="238"/>
      <c r="EG89" s="238"/>
      <c r="EH89" s="238"/>
      <c r="EI89" s="238"/>
      <c r="EJ89" s="238"/>
      <c r="EK89" s="238"/>
      <c r="EL89" s="238"/>
      <c r="EM89" s="238"/>
      <c r="EN89" s="238"/>
      <c r="EO89" s="238"/>
      <c r="EP89" s="238"/>
      <c r="EQ89" s="238"/>
      <c r="ER89" s="238"/>
      <c r="ES89" s="238"/>
      <c r="ET89" s="238"/>
      <c r="EU89" s="238"/>
      <c r="EV89" s="238"/>
      <c r="EW89" s="238"/>
      <c r="EX89" s="238"/>
      <c r="EY89" s="238"/>
      <c r="EZ89" s="238"/>
      <c r="FA89" s="238"/>
      <c r="FB89" s="238"/>
      <c r="FC89" s="238"/>
      <c r="FD89" s="238"/>
      <c r="FE89" s="238"/>
      <c r="FF89" s="238"/>
      <c r="FG89" s="238"/>
      <c r="FH89" s="257"/>
      <c r="FI89" s="257"/>
      <c r="FJ89" s="257"/>
      <c r="FK89" s="257"/>
      <c r="FL89" s="257"/>
      <c r="FM89" s="257"/>
      <c r="FN89" s="257"/>
      <c r="FO89" s="257"/>
      <c r="FP89" s="257"/>
      <c r="FQ89" s="257"/>
      <c r="FR89" s="257"/>
      <c r="FS89" s="257"/>
      <c r="FT89" s="257"/>
      <c r="FU89" s="257"/>
      <c r="FV89" s="257"/>
      <c r="FW89" s="257"/>
      <c r="FX89" s="257"/>
      <c r="FY89" s="238"/>
      <c r="FZ89" s="238"/>
      <c r="GA89" s="238"/>
      <c r="GB89" s="238"/>
      <c r="GC89" s="238"/>
      <c r="GD89" s="238"/>
      <c r="GE89" s="238"/>
      <c r="GF89" s="238"/>
      <c r="GG89" s="238"/>
      <c r="GH89" s="238"/>
      <c r="GI89" s="238"/>
      <c r="GJ89" s="238"/>
      <c r="GK89" s="238"/>
      <c r="GL89" s="238"/>
      <c r="GM89" s="238"/>
      <c r="GN89" s="238"/>
      <c r="GO89" s="238"/>
      <c r="GP89" s="238"/>
      <c r="GQ89" s="238"/>
      <c r="GR89" s="238"/>
      <c r="GS89" s="238"/>
      <c r="GT89" s="238"/>
      <c r="GU89" s="238"/>
      <c r="GV89" s="238"/>
      <c r="GW89" s="238"/>
      <c r="GX89" s="238"/>
      <c r="GY89" s="238"/>
      <c r="GZ89" s="238"/>
      <c r="HA89" s="238"/>
      <c r="HB89" s="238"/>
      <c r="HC89" s="238"/>
      <c r="HD89" s="238"/>
      <c r="HE89" s="238"/>
      <c r="HF89" s="238"/>
      <c r="HG89" s="238"/>
      <c r="HH89" s="238"/>
      <c r="HI89" s="238"/>
      <c r="HJ89" s="238"/>
      <c r="HK89" s="238"/>
      <c r="HL89" s="238"/>
      <c r="HM89" s="238"/>
      <c r="HN89" s="238"/>
      <c r="HO89" s="238"/>
      <c r="HP89" s="238"/>
      <c r="HQ89" s="238"/>
      <c r="HR89" s="238"/>
      <c r="HS89" s="238"/>
      <c r="HT89" s="238"/>
      <c r="HU89" s="238"/>
      <c r="HV89" s="238"/>
      <c r="HW89" s="238"/>
      <c r="HX89" s="257"/>
      <c r="HY89" s="257"/>
      <c r="HZ89" s="257"/>
      <c r="IA89" s="257"/>
      <c r="IB89" s="257"/>
      <c r="IC89" s="257"/>
      <c r="ID89" s="257"/>
      <c r="IE89" s="257"/>
      <c r="IF89" s="257"/>
      <c r="IG89" s="257"/>
      <c r="IH89" s="257"/>
      <c r="II89" s="257"/>
      <c r="IJ89" s="257"/>
      <c r="IK89" s="257"/>
      <c r="IL89" s="257"/>
      <c r="IM89" s="257"/>
      <c r="IN89" s="257"/>
      <c r="IO89" s="257"/>
      <c r="IP89" s="257"/>
      <c r="IQ89" s="257"/>
      <c r="IR89" s="257"/>
      <c r="IS89" s="257"/>
      <c r="IT89" s="257"/>
      <c r="IU89" s="257"/>
      <c r="IV89" s="257"/>
      <c r="IW89" s="257"/>
      <c r="IX89" s="257"/>
      <c r="IY89" s="257"/>
      <c r="IZ89" s="257"/>
      <c r="JA89" s="257"/>
      <c r="JB89" s="257"/>
      <c r="JC89" s="257"/>
      <c r="JD89" s="257"/>
      <c r="JE89" s="257"/>
      <c r="JF89" s="238"/>
      <c r="JG89" s="238"/>
      <c r="JH89" s="238"/>
      <c r="JI89" s="238"/>
      <c r="JJ89" s="238"/>
      <c r="JK89" s="238"/>
      <c r="JL89" s="238"/>
      <c r="JM89" s="238"/>
      <c r="JN89" s="238"/>
      <c r="JO89" s="238"/>
      <c r="JP89" s="238"/>
      <c r="JQ89" s="238"/>
      <c r="JR89" s="238"/>
      <c r="JS89" s="238"/>
      <c r="JT89" s="238"/>
      <c r="JU89" s="238"/>
      <c r="JV89" s="238"/>
      <c r="JW89" s="238"/>
      <c r="JX89" s="238"/>
      <c r="JY89" s="238"/>
      <c r="JZ89" s="238"/>
      <c r="KA89" s="238"/>
      <c r="KB89" s="238"/>
      <c r="KC89" s="238"/>
      <c r="KD89" s="238"/>
      <c r="KE89" s="238"/>
      <c r="KF89" s="238"/>
      <c r="KG89" s="238"/>
      <c r="KH89" s="238"/>
      <c r="KI89" s="238"/>
      <c r="KJ89" s="238"/>
      <c r="KK89" s="238"/>
      <c r="KL89" s="238"/>
      <c r="KM89" s="238"/>
      <c r="KN89" s="238"/>
      <c r="KO89" s="238"/>
      <c r="KP89" s="238"/>
      <c r="KQ89" s="238"/>
      <c r="KR89" s="238"/>
      <c r="KS89" s="238"/>
      <c r="KT89" s="238"/>
      <c r="KU89" s="238"/>
      <c r="KV89" s="238"/>
      <c r="KW89" s="238"/>
      <c r="KX89" s="238"/>
      <c r="KY89" s="238"/>
      <c r="KZ89" s="238"/>
      <c r="LA89" s="238"/>
      <c r="LB89" s="238"/>
      <c r="LC89" s="238"/>
      <c r="LD89" s="238"/>
      <c r="LE89" s="238"/>
      <c r="LF89" s="238"/>
      <c r="LG89" s="238"/>
      <c r="LH89" s="238"/>
      <c r="LI89" s="238"/>
      <c r="LJ89" s="238"/>
      <c r="LK89" s="238"/>
      <c r="LL89" s="238"/>
      <c r="LM89" s="238"/>
      <c r="LN89" s="238"/>
      <c r="LO89" s="238"/>
      <c r="LP89" s="238"/>
      <c r="LQ89" s="238"/>
      <c r="LR89" s="238"/>
      <c r="LS89" s="238"/>
      <c r="LT89" s="238"/>
      <c r="LU89" s="238"/>
      <c r="LV89" s="238"/>
      <c r="LW89" s="238"/>
      <c r="LX89" s="238"/>
      <c r="LY89" s="238"/>
      <c r="LZ89" s="238"/>
      <c r="MA89" s="238"/>
      <c r="MB89" s="238"/>
      <c r="MC89" s="238"/>
      <c r="MD89" s="238"/>
      <c r="ME89" s="238"/>
      <c r="MF89" s="238"/>
      <c r="MG89" s="238"/>
      <c r="MH89" s="238"/>
      <c r="MI89" s="238"/>
      <c r="MJ89" s="238"/>
      <c r="MK89" s="238"/>
      <c r="ML89" s="238"/>
    </row>
    <row r="90" ht="18.75" customHeight="1">
      <c r="A90" s="283"/>
      <c r="B90" s="234" t="str">
        <f>'Building Bill of Materials_SLIM'!P90</f>
        <v/>
      </c>
      <c r="C90" s="234" t="str">
        <f>'Building Bill of Materials_SLIM'!Q90</f>
        <v/>
      </c>
      <c r="D90" s="234" t="str">
        <f>'Building Bill of Materials_SLIM'!R90</f>
        <v/>
      </c>
      <c r="E90" s="234" t="str">
        <f>'Building Bill of Materials_SLIM'!S90</f>
        <v/>
      </c>
      <c r="F90" s="284" t="str">
        <f>'Building Bill of Materials_SLIM'!U90</f>
        <v/>
      </c>
      <c r="G90" s="234"/>
      <c r="H90" s="234"/>
      <c r="I90" s="234"/>
      <c r="J90" s="234" t="str">
        <f>'Building Bill of Materials_SLIM'!V90</f>
        <v/>
      </c>
      <c r="K90" s="238"/>
      <c r="L90" s="238"/>
      <c r="M90" s="238"/>
      <c r="N90" s="238"/>
      <c r="O90" s="238"/>
      <c r="P90" s="238"/>
      <c r="Q90" s="238"/>
      <c r="R90" s="238"/>
      <c r="S90" s="238"/>
      <c r="T90" s="238"/>
      <c r="U90" s="238"/>
      <c r="V90" s="238"/>
      <c r="W90" s="238"/>
      <c r="X90" s="238"/>
      <c r="Y90" s="238"/>
      <c r="Z90" s="238"/>
      <c r="AA90" s="192"/>
      <c r="AB90" s="257"/>
      <c r="AC90" s="257"/>
      <c r="AD90" s="257"/>
      <c r="AE90" s="257"/>
      <c r="AF90" s="257"/>
      <c r="AG90" s="257"/>
      <c r="AH90" s="257"/>
      <c r="AI90" s="257"/>
      <c r="AJ90" s="257"/>
      <c r="AK90" s="257"/>
      <c r="AL90" s="257"/>
      <c r="AM90" s="257"/>
      <c r="AN90" s="257"/>
      <c r="AO90" s="257"/>
      <c r="AP90" s="257"/>
      <c r="AQ90" s="257"/>
      <c r="AR90" s="257"/>
      <c r="AS90" s="257"/>
      <c r="AT90" s="257"/>
      <c r="AU90" s="257"/>
      <c r="AV90" s="257"/>
      <c r="AW90" s="257"/>
      <c r="AX90" s="257"/>
      <c r="AY90" s="257"/>
      <c r="AZ90" s="257"/>
      <c r="BA90" s="257"/>
      <c r="BB90" s="257"/>
      <c r="BC90" s="257"/>
      <c r="BD90" s="257"/>
      <c r="BE90" s="257"/>
      <c r="BF90" s="257"/>
      <c r="BG90" s="257"/>
      <c r="BH90" s="257"/>
      <c r="BI90" s="257"/>
      <c r="BJ90" s="238"/>
      <c r="BK90" s="238"/>
      <c r="BL90" s="238"/>
      <c r="BM90" s="238"/>
      <c r="BN90" s="238"/>
      <c r="BO90" s="238"/>
      <c r="BP90" s="238"/>
      <c r="BQ90" s="238"/>
      <c r="BR90" s="238"/>
      <c r="BS90" s="238"/>
      <c r="BT90" s="238"/>
      <c r="BU90" s="238"/>
      <c r="BV90" s="238"/>
      <c r="BW90" s="238"/>
      <c r="BX90" s="238"/>
      <c r="BY90" s="238"/>
      <c r="BZ90" s="238"/>
      <c r="CA90" s="238"/>
      <c r="CB90" s="238"/>
      <c r="CC90" s="238"/>
      <c r="CD90" s="238"/>
      <c r="CE90" s="257"/>
      <c r="CF90" s="257"/>
      <c r="CG90" s="238"/>
      <c r="CH90" s="238"/>
      <c r="CI90" s="238"/>
      <c r="CJ90" s="238"/>
      <c r="CK90" s="238"/>
      <c r="CL90" s="238"/>
      <c r="CM90" s="238"/>
      <c r="CN90" s="238"/>
      <c r="CO90" s="238"/>
      <c r="CP90" s="238"/>
      <c r="CQ90" s="238"/>
      <c r="CR90" s="238"/>
      <c r="CS90" s="238"/>
      <c r="CT90" s="238"/>
      <c r="CU90" s="238"/>
      <c r="CV90" s="238"/>
      <c r="CW90" s="238"/>
      <c r="CX90" s="238"/>
      <c r="CY90" s="238"/>
      <c r="CZ90" s="238"/>
      <c r="DA90" s="238"/>
      <c r="DB90" s="238"/>
      <c r="DC90" s="238"/>
      <c r="DD90" s="238"/>
      <c r="DE90" s="238"/>
      <c r="DF90" s="238"/>
      <c r="DG90" s="257"/>
      <c r="DH90" s="238"/>
      <c r="DI90" s="238"/>
      <c r="DJ90" s="238"/>
      <c r="DK90" s="238"/>
      <c r="DL90" s="238"/>
      <c r="DM90" s="238"/>
      <c r="DN90" s="238"/>
      <c r="DO90" s="238"/>
      <c r="DP90" s="238"/>
      <c r="DQ90" s="238"/>
      <c r="DR90" s="238"/>
      <c r="DS90" s="238"/>
      <c r="DT90" s="238"/>
      <c r="DU90" s="238"/>
      <c r="DV90" s="238"/>
      <c r="DW90" s="238"/>
      <c r="DX90" s="238"/>
      <c r="DY90" s="238"/>
      <c r="DZ90" s="238"/>
      <c r="EA90" s="238"/>
      <c r="EB90" s="238"/>
      <c r="EC90" s="238"/>
      <c r="ED90" s="238"/>
      <c r="EE90" s="238"/>
      <c r="EF90" s="238"/>
      <c r="EG90" s="238"/>
      <c r="EH90" s="238"/>
      <c r="EI90" s="238"/>
      <c r="EJ90" s="238"/>
      <c r="EK90" s="238"/>
      <c r="EL90" s="238"/>
      <c r="EM90" s="238"/>
      <c r="EN90" s="238"/>
      <c r="EO90" s="238"/>
      <c r="EP90" s="238"/>
      <c r="EQ90" s="238"/>
      <c r="ER90" s="238"/>
      <c r="ES90" s="238"/>
      <c r="ET90" s="238"/>
      <c r="EU90" s="238"/>
      <c r="EV90" s="238"/>
      <c r="EW90" s="238"/>
      <c r="EX90" s="238"/>
      <c r="EY90" s="238"/>
      <c r="EZ90" s="238"/>
      <c r="FA90" s="238"/>
      <c r="FB90" s="238"/>
      <c r="FC90" s="238"/>
      <c r="FD90" s="238"/>
      <c r="FE90" s="238"/>
      <c r="FF90" s="238"/>
      <c r="FG90" s="238"/>
      <c r="FH90" s="257"/>
      <c r="FI90" s="257"/>
      <c r="FJ90" s="257"/>
      <c r="FK90" s="257"/>
      <c r="FL90" s="257"/>
      <c r="FM90" s="257"/>
      <c r="FN90" s="257"/>
      <c r="FO90" s="257"/>
      <c r="FP90" s="257"/>
      <c r="FQ90" s="257"/>
      <c r="FR90" s="257"/>
      <c r="FS90" s="257"/>
      <c r="FT90" s="257"/>
      <c r="FU90" s="257"/>
      <c r="FV90" s="257"/>
      <c r="FW90" s="257"/>
      <c r="FX90" s="257"/>
      <c r="FY90" s="238"/>
      <c r="FZ90" s="238"/>
      <c r="GA90" s="238"/>
      <c r="GB90" s="238"/>
      <c r="GC90" s="238"/>
      <c r="GD90" s="238"/>
      <c r="GE90" s="238"/>
      <c r="GF90" s="238"/>
      <c r="GG90" s="238"/>
      <c r="GH90" s="238"/>
      <c r="GI90" s="238"/>
      <c r="GJ90" s="238"/>
      <c r="GK90" s="238"/>
      <c r="GL90" s="238"/>
      <c r="GM90" s="238"/>
      <c r="GN90" s="238"/>
      <c r="GO90" s="238"/>
      <c r="GP90" s="238"/>
      <c r="GQ90" s="238"/>
      <c r="GR90" s="238"/>
      <c r="GS90" s="238"/>
      <c r="GT90" s="238"/>
      <c r="GU90" s="238"/>
      <c r="GV90" s="238"/>
      <c r="GW90" s="238"/>
      <c r="GX90" s="238"/>
      <c r="GY90" s="238"/>
      <c r="GZ90" s="238"/>
      <c r="HA90" s="238"/>
      <c r="HB90" s="238"/>
      <c r="HC90" s="238"/>
      <c r="HD90" s="238"/>
      <c r="HE90" s="238"/>
      <c r="HF90" s="238"/>
      <c r="HG90" s="238"/>
      <c r="HH90" s="238"/>
      <c r="HI90" s="238"/>
      <c r="HJ90" s="238"/>
      <c r="HK90" s="238"/>
      <c r="HL90" s="238"/>
      <c r="HM90" s="238"/>
      <c r="HN90" s="238"/>
      <c r="HO90" s="238"/>
      <c r="HP90" s="238"/>
      <c r="HQ90" s="238"/>
      <c r="HR90" s="238"/>
      <c r="HS90" s="238"/>
      <c r="HT90" s="238"/>
      <c r="HU90" s="238"/>
      <c r="HV90" s="238"/>
      <c r="HW90" s="238"/>
      <c r="HX90" s="257"/>
      <c r="HY90" s="257"/>
      <c r="HZ90" s="257"/>
      <c r="IA90" s="257"/>
      <c r="IB90" s="257"/>
      <c r="IC90" s="257"/>
      <c r="ID90" s="257"/>
      <c r="IE90" s="257"/>
      <c r="IF90" s="257"/>
      <c r="IG90" s="257"/>
      <c r="IH90" s="257"/>
      <c r="II90" s="257"/>
      <c r="IJ90" s="257"/>
      <c r="IK90" s="257"/>
      <c r="IL90" s="257"/>
      <c r="IM90" s="257"/>
      <c r="IN90" s="257"/>
      <c r="IO90" s="257"/>
      <c r="IP90" s="257"/>
      <c r="IQ90" s="257"/>
      <c r="IR90" s="257"/>
      <c r="IS90" s="257"/>
      <c r="IT90" s="257"/>
      <c r="IU90" s="257"/>
      <c r="IV90" s="257"/>
      <c r="IW90" s="257"/>
      <c r="IX90" s="257"/>
      <c r="IY90" s="257"/>
      <c r="IZ90" s="257"/>
      <c r="JA90" s="257"/>
      <c r="JB90" s="257"/>
      <c r="JC90" s="257"/>
      <c r="JD90" s="257"/>
      <c r="JE90" s="257"/>
      <c r="JF90" s="238"/>
      <c r="JG90" s="238"/>
      <c r="JH90" s="238"/>
      <c r="JI90" s="238"/>
      <c r="JJ90" s="238"/>
      <c r="JK90" s="238"/>
      <c r="JL90" s="238"/>
      <c r="JM90" s="238"/>
      <c r="JN90" s="238"/>
      <c r="JO90" s="238"/>
      <c r="JP90" s="238"/>
      <c r="JQ90" s="238"/>
      <c r="JR90" s="238"/>
      <c r="JS90" s="238"/>
      <c r="JT90" s="238"/>
      <c r="JU90" s="238"/>
      <c r="JV90" s="238"/>
      <c r="JW90" s="238"/>
      <c r="JX90" s="238"/>
      <c r="JY90" s="238"/>
      <c r="JZ90" s="238"/>
      <c r="KA90" s="238"/>
      <c r="KB90" s="238"/>
      <c r="KC90" s="238"/>
      <c r="KD90" s="238"/>
      <c r="KE90" s="238"/>
      <c r="KF90" s="238"/>
      <c r="KG90" s="238"/>
      <c r="KH90" s="238"/>
      <c r="KI90" s="238"/>
      <c r="KJ90" s="238"/>
      <c r="KK90" s="238"/>
      <c r="KL90" s="238"/>
      <c r="KM90" s="238"/>
      <c r="KN90" s="238"/>
      <c r="KO90" s="238"/>
      <c r="KP90" s="238"/>
      <c r="KQ90" s="238"/>
      <c r="KR90" s="238"/>
      <c r="KS90" s="238"/>
      <c r="KT90" s="238"/>
      <c r="KU90" s="238"/>
      <c r="KV90" s="238"/>
      <c r="KW90" s="238"/>
      <c r="KX90" s="238"/>
      <c r="KY90" s="238"/>
      <c r="KZ90" s="238"/>
      <c r="LA90" s="238"/>
      <c r="LB90" s="238"/>
      <c r="LC90" s="238"/>
      <c r="LD90" s="238"/>
      <c r="LE90" s="238"/>
      <c r="LF90" s="238"/>
      <c r="LG90" s="238"/>
      <c r="LH90" s="238"/>
      <c r="LI90" s="238"/>
      <c r="LJ90" s="238"/>
      <c r="LK90" s="238"/>
      <c r="LL90" s="238"/>
      <c r="LM90" s="238"/>
      <c r="LN90" s="238"/>
      <c r="LO90" s="238"/>
      <c r="LP90" s="238"/>
      <c r="LQ90" s="238"/>
      <c r="LR90" s="238"/>
      <c r="LS90" s="238"/>
      <c r="LT90" s="238"/>
      <c r="LU90" s="238"/>
      <c r="LV90" s="238"/>
      <c r="LW90" s="238"/>
      <c r="LX90" s="238"/>
      <c r="LY90" s="238"/>
      <c r="LZ90" s="238"/>
      <c r="MA90" s="238"/>
      <c r="MB90" s="238"/>
      <c r="MC90" s="238"/>
      <c r="MD90" s="238"/>
      <c r="ME90" s="238"/>
      <c r="MF90" s="238"/>
      <c r="MG90" s="238"/>
      <c r="MH90" s="238"/>
      <c r="MI90" s="238"/>
      <c r="MJ90" s="238"/>
      <c r="MK90" s="238"/>
      <c r="ML90" s="238"/>
    </row>
    <row r="91" ht="18.75" customHeight="1">
      <c r="A91" s="283"/>
      <c r="B91" s="234" t="str">
        <f>'Building Bill of Materials_SLIM'!P91</f>
        <v/>
      </c>
      <c r="C91" s="234" t="str">
        <f>'Building Bill of Materials_SLIM'!Q91</f>
        <v/>
      </c>
      <c r="D91" s="234" t="str">
        <f>'Building Bill of Materials_SLIM'!R91</f>
        <v/>
      </c>
      <c r="E91" s="234" t="str">
        <f>'Building Bill of Materials_SLIM'!S91</f>
        <v/>
      </c>
      <c r="F91" s="284" t="str">
        <f>'Building Bill of Materials_SLIM'!U91</f>
        <v/>
      </c>
      <c r="G91" s="234"/>
      <c r="H91" s="234"/>
      <c r="I91" s="234"/>
      <c r="J91" s="234" t="str">
        <f>'Building Bill of Materials_SLIM'!V91</f>
        <v/>
      </c>
      <c r="K91" s="238"/>
      <c r="L91" s="238"/>
      <c r="M91" s="238"/>
      <c r="N91" s="238"/>
      <c r="O91" s="238"/>
      <c r="P91" s="238"/>
      <c r="Q91" s="238"/>
      <c r="R91" s="238"/>
      <c r="S91" s="238"/>
      <c r="T91" s="238"/>
      <c r="U91" s="238"/>
      <c r="V91" s="238"/>
      <c r="W91" s="238"/>
      <c r="X91" s="238"/>
      <c r="Y91" s="238"/>
      <c r="Z91" s="238"/>
      <c r="AA91" s="192"/>
      <c r="AB91" s="257"/>
      <c r="AC91" s="257"/>
      <c r="AD91" s="257"/>
      <c r="AE91" s="257"/>
      <c r="AF91" s="257"/>
      <c r="AG91" s="257"/>
      <c r="AH91" s="257"/>
      <c r="AI91" s="257"/>
      <c r="AJ91" s="257"/>
      <c r="AK91" s="257"/>
      <c r="AL91" s="257"/>
      <c r="AM91" s="257"/>
      <c r="AN91" s="257"/>
      <c r="AO91" s="257"/>
      <c r="AP91" s="257"/>
      <c r="AQ91" s="257"/>
      <c r="AR91" s="257"/>
      <c r="AS91" s="257"/>
      <c r="AT91" s="257"/>
      <c r="AU91" s="257"/>
      <c r="AV91" s="257"/>
      <c r="AW91" s="257"/>
      <c r="AX91" s="257"/>
      <c r="AY91" s="257"/>
      <c r="AZ91" s="257"/>
      <c r="BA91" s="257"/>
      <c r="BB91" s="257"/>
      <c r="BC91" s="257"/>
      <c r="BD91" s="257"/>
      <c r="BE91" s="257"/>
      <c r="BF91" s="257"/>
      <c r="BG91" s="257"/>
      <c r="BH91" s="257"/>
      <c r="BI91" s="257"/>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57"/>
      <c r="CF91" s="257"/>
      <c r="CG91" s="238"/>
      <c r="CH91" s="238"/>
      <c r="CI91" s="238"/>
      <c r="CJ91" s="238"/>
      <c r="CK91" s="238"/>
      <c r="CL91" s="238"/>
      <c r="CM91" s="238"/>
      <c r="CN91" s="238"/>
      <c r="CO91" s="238"/>
      <c r="CP91" s="238"/>
      <c r="CQ91" s="238"/>
      <c r="CR91" s="238"/>
      <c r="CS91" s="238"/>
      <c r="CT91" s="238"/>
      <c r="CU91" s="238"/>
      <c r="CV91" s="238"/>
      <c r="CW91" s="238"/>
      <c r="CX91" s="238"/>
      <c r="CY91" s="238"/>
      <c r="CZ91" s="238"/>
      <c r="DA91" s="238"/>
      <c r="DB91" s="238"/>
      <c r="DC91" s="238"/>
      <c r="DD91" s="238"/>
      <c r="DE91" s="238"/>
      <c r="DF91" s="238"/>
      <c r="DG91" s="257"/>
      <c r="DH91" s="238"/>
      <c r="DI91" s="238"/>
      <c r="DJ91" s="238"/>
      <c r="DK91" s="238"/>
      <c r="DL91" s="238"/>
      <c r="DM91" s="238"/>
      <c r="DN91" s="238"/>
      <c r="DO91" s="238"/>
      <c r="DP91" s="238"/>
      <c r="DQ91" s="238"/>
      <c r="DR91" s="238"/>
      <c r="DS91" s="238"/>
      <c r="DT91" s="238"/>
      <c r="DU91" s="238"/>
      <c r="DV91" s="238"/>
      <c r="DW91" s="238"/>
      <c r="DX91" s="238"/>
      <c r="DY91" s="238"/>
      <c r="DZ91" s="238"/>
      <c r="EA91" s="238"/>
      <c r="EB91" s="238"/>
      <c r="EC91" s="238"/>
      <c r="ED91" s="238"/>
      <c r="EE91" s="238"/>
      <c r="EF91" s="238"/>
      <c r="EG91" s="238"/>
      <c r="EH91" s="238"/>
      <c r="EI91" s="238"/>
      <c r="EJ91" s="238"/>
      <c r="EK91" s="238"/>
      <c r="EL91" s="238"/>
      <c r="EM91" s="238"/>
      <c r="EN91" s="238"/>
      <c r="EO91" s="238"/>
      <c r="EP91" s="238"/>
      <c r="EQ91" s="238"/>
      <c r="ER91" s="238"/>
      <c r="ES91" s="238"/>
      <c r="ET91" s="238"/>
      <c r="EU91" s="238"/>
      <c r="EV91" s="238"/>
      <c r="EW91" s="238"/>
      <c r="EX91" s="238"/>
      <c r="EY91" s="238"/>
      <c r="EZ91" s="238"/>
      <c r="FA91" s="238"/>
      <c r="FB91" s="238"/>
      <c r="FC91" s="238"/>
      <c r="FD91" s="238"/>
      <c r="FE91" s="238"/>
      <c r="FF91" s="238"/>
      <c r="FG91" s="238"/>
      <c r="FH91" s="257"/>
      <c r="FI91" s="257"/>
      <c r="FJ91" s="257"/>
      <c r="FK91" s="257"/>
      <c r="FL91" s="257"/>
      <c r="FM91" s="257"/>
      <c r="FN91" s="257"/>
      <c r="FO91" s="257"/>
      <c r="FP91" s="257"/>
      <c r="FQ91" s="257"/>
      <c r="FR91" s="257"/>
      <c r="FS91" s="257"/>
      <c r="FT91" s="257"/>
      <c r="FU91" s="257"/>
      <c r="FV91" s="257"/>
      <c r="FW91" s="257"/>
      <c r="FX91" s="257"/>
      <c r="FY91" s="238"/>
      <c r="FZ91" s="238"/>
      <c r="GA91" s="238"/>
      <c r="GB91" s="238"/>
      <c r="GC91" s="238"/>
      <c r="GD91" s="238"/>
      <c r="GE91" s="238"/>
      <c r="GF91" s="238"/>
      <c r="GG91" s="238"/>
      <c r="GH91" s="238"/>
      <c r="GI91" s="238"/>
      <c r="GJ91" s="238"/>
      <c r="GK91" s="238"/>
      <c r="GL91" s="238"/>
      <c r="GM91" s="238"/>
      <c r="GN91" s="238"/>
      <c r="GO91" s="238"/>
      <c r="GP91" s="238"/>
      <c r="GQ91" s="238"/>
      <c r="GR91" s="238"/>
      <c r="GS91" s="238"/>
      <c r="GT91" s="238"/>
      <c r="GU91" s="238"/>
      <c r="GV91" s="238"/>
      <c r="GW91" s="238"/>
      <c r="GX91" s="238"/>
      <c r="GY91" s="238"/>
      <c r="GZ91" s="238"/>
      <c r="HA91" s="238"/>
      <c r="HB91" s="238"/>
      <c r="HC91" s="238"/>
      <c r="HD91" s="238"/>
      <c r="HE91" s="238"/>
      <c r="HF91" s="238"/>
      <c r="HG91" s="238"/>
      <c r="HH91" s="238"/>
      <c r="HI91" s="238"/>
      <c r="HJ91" s="238"/>
      <c r="HK91" s="238"/>
      <c r="HL91" s="238"/>
      <c r="HM91" s="238"/>
      <c r="HN91" s="238"/>
      <c r="HO91" s="238"/>
      <c r="HP91" s="238"/>
      <c r="HQ91" s="238"/>
      <c r="HR91" s="238"/>
      <c r="HS91" s="238"/>
      <c r="HT91" s="238"/>
      <c r="HU91" s="238"/>
      <c r="HV91" s="238"/>
      <c r="HW91" s="238"/>
      <c r="HX91" s="257"/>
      <c r="HY91" s="257"/>
      <c r="HZ91" s="257"/>
      <c r="IA91" s="257"/>
      <c r="IB91" s="257"/>
      <c r="IC91" s="257"/>
      <c r="ID91" s="257"/>
      <c r="IE91" s="257"/>
      <c r="IF91" s="257"/>
      <c r="IG91" s="257"/>
      <c r="IH91" s="257"/>
      <c r="II91" s="257"/>
      <c r="IJ91" s="257"/>
      <c r="IK91" s="257"/>
      <c r="IL91" s="257"/>
      <c r="IM91" s="257"/>
      <c r="IN91" s="257"/>
      <c r="IO91" s="257"/>
      <c r="IP91" s="257"/>
      <c r="IQ91" s="257"/>
      <c r="IR91" s="257"/>
      <c r="IS91" s="257"/>
      <c r="IT91" s="257"/>
      <c r="IU91" s="257"/>
      <c r="IV91" s="257"/>
      <c r="IW91" s="257"/>
      <c r="IX91" s="257"/>
      <c r="IY91" s="257"/>
      <c r="IZ91" s="257"/>
      <c r="JA91" s="257"/>
      <c r="JB91" s="257"/>
      <c r="JC91" s="257"/>
      <c r="JD91" s="257"/>
      <c r="JE91" s="257"/>
      <c r="JF91" s="238"/>
      <c r="JG91" s="238"/>
      <c r="JH91" s="238"/>
      <c r="JI91" s="238"/>
      <c r="JJ91" s="238"/>
      <c r="JK91" s="238"/>
      <c r="JL91" s="238"/>
      <c r="JM91" s="238"/>
      <c r="JN91" s="238"/>
      <c r="JO91" s="238"/>
      <c r="JP91" s="238"/>
      <c r="JQ91" s="238"/>
      <c r="JR91" s="238"/>
      <c r="JS91" s="238"/>
      <c r="JT91" s="238"/>
      <c r="JU91" s="238"/>
      <c r="JV91" s="238"/>
      <c r="JW91" s="238"/>
      <c r="JX91" s="238"/>
      <c r="JY91" s="238"/>
      <c r="JZ91" s="238"/>
      <c r="KA91" s="238"/>
      <c r="KB91" s="238"/>
      <c r="KC91" s="238"/>
      <c r="KD91" s="238"/>
      <c r="KE91" s="238"/>
      <c r="KF91" s="238"/>
      <c r="KG91" s="238"/>
      <c r="KH91" s="238"/>
      <c r="KI91" s="238"/>
      <c r="KJ91" s="238"/>
      <c r="KK91" s="238"/>
      <c r="KL91" s="238"/>
      <c r="KM91" s="238"/>
      <c r="KN91" s="238"/>
      <c r="KO91" s="238"/>
      <c r="KP91" s="238"/>
      <c r="KQ91" s="238"/>
      <c r="KR91" s="238"/>
      <c r="KS91" s="238"/>
      <c r="KT91" s="238"/>
      <c r="KU91" s="238"/>
      <c r="KV91" s="238"/>
      <c r="KW91" s="238"/>
      <c r="KX91" s="238"/>
      <c r="KY91" s="238"/>
      <c r="KZ91" s="238"/>
      <c r="LA91" s="238"/>
      <c r="LB91" s="238"/>
      <c r="LC91" s="238"/>
      <c r="LD91" s="238"/>
      <c r="LE91" s="238"/>
      <c r="LF91" s="238"/>
      <c r="LG91" s="238"/>
      <c r="LH91" s="238"/>
      <c r="LI91" s="238"/>
      <c r="LJ91" s="238"/>
      <c r="LK91" s="238"/>
      <c r="LL91" s="238"/>
      <c r="LM91" s="238"/>
      <c r="LN91" s="238"/>
      <c r="LO91" s="238"/>
      <c r="LP91" s="238"/>
      <c r="LQ91" s="238"/>
      <c r="LR91" s="238"/>
      <c r="LS91" s="238"/>
      <c r="LT91" s="238"/>
      <c r="LU91" s="238"/>
      <c r="LV91" s="238"/>
      <c r="LW91" s="238"/>
      <c r="LX91" s="238"/>
      <c r="LY91" s="238"/>
      <c r="LZ91" s="238"/>
      <c r="MA91" s="238"/>
      <c r="MB91" s="238"/>
      <c r="MC91" s="238"/>
      <c r="MD91" s="238"/>
      <c r="ME91" s="238"/>
      <c r="MF91" s="238"/>
      <c r="MG91" s="238"/>
      <c r="MH91" s="238"/>
      <c r="MI91" s="238"/>
      <c r="MJ91" s="238"/>
      <c r="MK91" s="238"/>
      <c r="ML91" s="238"/>
    </row>
    <row r="92" ht="18.75" customHeight="1">
      <c r="A92" s="283"/>
      <c r="B92" s="234" t="str">
        <f>'Building Bill of Materials_SLIM'!P92</f>
        <v/>
      </c>
      <c r="C92" s="234" t="str">
        <f>'Building Bill of Materials_SLIM'!Q92</f>
        <v/>
      </c>
      <c r="D92" s="234" t="str">
        <f>'Building Bill of Materials_SLIM'!R92</f>
        <v/>
      </c>
      <c r="E92" s="234" t="str">
        <f>'Building Bill of Materials_SLIM'!S92</f>
        <v/>
      </c>
      <c r="F92" s="284" t="str">
        <f>'Building Bill of Materials_SLIM'!U92</f>
        <v/>
      </c>
      <c r="G92" s="234"/>
      <c r="H92" s="234"/>
      <c r="I92" s="234"/>
      <c r="J92" s="234" t="str">
        <f>'Building Bill of Materials_SLIM'!V92</f>
        <v/>
      </c>
      <c r="K92" s="238"/>
      <c r="L92" s="238"/>
      <c r="M92" s="238"/>
      <c r="N92" s="238"/>
      <c r="O92" s="238"/>
      <c r="P92" s="238"/>
      <c r="Q92" s="238"/>
      <c r="R92" s="238"/>
      <c r="S92" s="238"/>
      <c r="T92" s="238"/>
      <c r="U92" s="238"/>
      <c r="V92" s="238"/>
      <c r="W92" s="238"/>
      <c r="X92" s="238"/>
      <c r="Y92" s="238"/>
      <c r="Z92" s="238"/>
      <c r="AA92" s="192"/>
      <c r="AB92" s="257"/>
      <c r="AC92" s="257"/>
      <c r="AD92" s="257"/>
      <c r="AE92" s="257"/>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38"/>
      <c r="BK92" s="238"/>
      <c r="BL92" s="238"/>
      <c r="BM92" s="238"/>
      <c r="BN92" s="238"/>
      <c r="BO92" s="238"/>
      <c r="BP92" s="238"/>
      <c r="BQ92" s="238"/>
      <c r="BR92" s="238"/>
      <c r="BS92" s="238"/>
      <c r="BT92" s="238"/>
      <c r="BU92" s="238"/>
      <c r="BV92" s="238"/>
      <c r="BW92" s="238"/>
      <c r="BX92" s="238"/>
      <c r="BY92" s="238"/>
      <c r="BZ92" s="238"/>
      <c r="CA92" s="238"/>
      <c r="CB92" s="238"/>
      <c r="CC92" s="238"/>
      <c r="CD92" s="238"/>
      <c r="CE92" s="257"/>
      <c r="CF92" s="257"/>
      <c r="CG92" s="238"/>
      <c r="CH92" s="238"/>
      <c r="CI92" s="238"/>
      <c r="CJ92" s="238"/>
      <c r="CK92" s="238"/>
      <c r="CL92" s="238"/>
      <c r="CM92" s="238"/>
      <c r="CN92" s="238"/>
      <c r="CO92" s="238"/>
      <c r="CP92" s="238"/>
      <c r="CQ92" s="238"/>
      <c r="CR92" s="238"/>
      <c r="CS92" s="238"/>
      <c r="CT92" s="238"/>
      <c r="CU92" s="238"/>
      <c r="CV92" s="238"/>
      <c r="CW92" s="238"/>
      <c r="CX92" s="238"/>
      <c r="CY92" s="238"/>
      <c r="CZ92" s="238"/>
      <c r="DA92" s="238"/>
      <c r="DB92" s="238"/>
      <c r="DC92" s="238"/>
      <c r="DD92" s="238"/>
      <c r="DE92" s="238"/>
      <c r="DF92" s="238"/>
      <c r="DG92" s="257"/>
      <c r="DH92" s="238"/>
      <c r="DI92" s="238"/>
      <c r="DJ92" s="238"/>
      <c r="DK92" s="238"/>
      <c r="DL92" s="238"/>
      <c r="DM92" s="238"/>
      <c r="DN92" s="238"/>
      <c r="DO92" s="238"/>
      <c r="DP92" s="238"/>
      <c r="DQ92" s="238"/>
      <c r="DR92" s="238"/>
      <c r="DS92" s="238"/>
      <c r="DT92" s="238"/>
      <c r="DU92" s="238"/>
      <c r="DV92" s="238"/>
      <c r="DW92" s="238"/>
      <c r="DX92" s="238"/>
      <c r="DY92" s="238"/>
      <c r="DZ92" s="238"/>
      <c r="EA92" s="238"/>
      <c r="EB92" s="238"/>
      <c r="EC92" s="238"/>
      <c r="ED92" s="238"/>
      <c r="EE92" s="238"/>
      <c r="EF92" s="238"/>
      <c r="EG92" s="238"/>
      <c r="EH92" s="238"/>
      <c r="EI92" s="238"/>
      <c r="EJ92" s="238"/>
      <c r="EK92" s="238"/>
      <c r="EL92" s="238"/>
      <c r="EM92" s="238"/>
      <c r="EN92" s="238"/>
      <c r="EO92" s="238"/>
      <c r="EP92" s="238"/>
      <c r="EQ92" s="238"/>
      <c r="ER92" s="238"/>
      <c r="ES92" s="238"/>
      <c r="ET92" s="238"/>
      <c r="EU92" s="238"/>
      <c r="EV92" s="238"/>
      <c r="EW92" s="238"/>
      <c r="EX92" s="238"/>
      <c r="EY92" s="238"/>
      <c r="EZ92" s="238"/>
      <c r="FA92" s="238"/>
      <c r="FB92" s="238"/>
      <c r="FC92" s="238"/>
      <c r="FD92" s="238"/>
      <c r="FE92" s="238"/>
      <c r="FF92" s="238"/>
      <c r="FG92" s="238"/>
      <c r="FH92" s="257"/>
      <c r="FI92" s="257"/>
      <c r="FJ92" s="257"/>
      <c r="FK92" s="257"/>
      <c r="FL92" s="257"/>
      <c r="FM92" s="257"/>
      <c r="FN92" s="257"/>
      <c r="FO92" s="257"/>
      <c r="FP92" s="257"/>
      <c r="FQ92" s="257"/>
      <c r="FR92" s="257"/>
      <c r="FS92" s="257"/>
      <c r="FT92" s="257"/>
      <c r="FU92" s="257"/>
      <c r="FV92" s="257"/>
      <c r="FW92" s="257"/>
      <c r="FX92" s="257"/>
      <c r="FY92" s="238"/>
      <c r="FZ92" s="238"/>
      <c r="GA92" s="238"/>
      <c r="GB92" s="238"/>
      <c r="GC92" s="238"/>
      <c r="GD92" s="238"/>
      <c r="GE92" s="238"/>
      <c r="GF92" s="238"/>
      <c r="GG92" s="238"/>
      <c r="GH92" s="238"/>
      <c r="GI92" s="238"/>
      <c r="GJ92" s="238"/>
      <c r="GK92" s="238"/>
      <c r="GL92" s="238"/>
      <c r="GM92" s="238"/>
      <c r="GN92" s="238"/>
      <c r="GO92" s="238"/>
      <c r="GP92" s="238"/>
      <c r="GQ92" s="238"/>
      <c r="GR92" s="238"/>
      <c r="GS92" s="238"/>
      <c r="GT92" s="238"/>
      <c r="GU92" s="238"/>
      <c r="GV92" s="238"/>
      <c r="GW92" s="238"/>
      <c r="GX92" s="238"/>
      <c r="GY92" s="238"/>
      <c r="GZ92" s="238"/>
      <c r="HA92" s="238"/>
      <c r="HB92" s="238"/>
      <c r="HC92" s="238"/>
      <c r="HD92" s="238"/>
      <c r="HE92" s="238"/>
      <c r="HF92" s="238"/>
      <c r="HG92" s="238"/>
      <c r="HH92" s="238"/>
      <c r="HI92" s="238"/>
      <c r="HJ92" s="238"/>
      <c r="HK92" s="238"/>
      <c r="HL92" s="238"/>
      <c r="HM92" s="238"/>
      <c r="HN92" s="238"/>
      <c r="HO92" s="238"/>
      <c r="HP92" s="238"/>
      <c r="HQ92" s="238"/>
      <c r="HR92" s="238"/>
      <c r="HS92" s="238"/>
      <c r="HT92" s="238"/>
      <c r="HU92" s="238"/>
      <c r="HV92" s="238"/>
      <c r="HW92" s="238"/>
      <c r="HX92" s="257"/>
      <c r="HY92" s="257"/>
      <c r="HZ92" s="257"/>
      <c r="IA92" s="257"/>
      <c r="IB92" s="257"/>
      <c r="IC92" s="257"/>
      <c r="ID92" s="257"/>
      <c r="IE92" s="257"/>
      <c r="IF92" s="257"/>
      <c r="IG92" s="257"/>
      <c r="IH92" s="257"/>
      <c r="II92" s="257"/>
      <c r="IJ92" s="257"/>
      <c r="IK92" s="257"/>
      <c r="IL92" s="257"/>
      <c r="IM92" s="257"/>
      <c r="IN92" s="257"/>
      <c r="IO92" s="257"/>
      <c r="IP92" s="257"/>
      <c r="IQ92" s="257"/>
      <c r="IR92" s="257"/>
      <c r="IS92" s="257"/>
      <c r="IT92" s="257"/>
      <c r="IU92" s="257"/>
      <c r="IV92" s="257"/>
      <c r="IW92" s="257"/>
      <c r="IX92" s="257"/>
      <c r="IY92" s="257"/>
      <c r="IZ92" s="257"/>
      <c r="JA92" s="257"/>
      <c r="JB92" s="257"/>
      <c r="JC92" s="257"/>
      <c r="JD92" s="257"/>
      <c r="JE92" s="257"/>
      <c r="JF92" s="238"/>
      <c r="JG92" s="238"/>
      <c r="JH92" s="238"/>
      <c r="JI92" s="238"/>
      <c r="JJ92" s="238"/>
      <c r="JK92" s="238"/>
      <c r="JL92" s="238"/>
      <c r="JM92" s="238"/>
      <c r="JN92" s="238"/>
      <c r="JO92" s="238"/>
      <c r="JP92" s="238"/>
      <c r="JQ92" s="238"/>
      <c r="JR92" s="238"/>
      <c r="JS92" s="238"/>
      <c r="JT92" s="238"/>
      <c r="JU92" s="238"/>
      <c r="JV92" s="238"/>
      <c r="JW92" s="238"/>
      <c r="JX92" s="238"/>
      <c r="JY92" s="238"/>
      <c r="JZ92" s="238"/>
      <c r="KA92" s="238"/>
      <c r="KB92" s="238"/>
      <c r="KC92" s="238"/>
      <c r="KD92" s="238"/>
      <c r="KE92" s="238"/>
      <c r="KF92" s="238"/>
      <c r="KG92" s="238"/>
      <c r="KH92" s="238"/>
      <c r="KI92" s="238"/>
      <c r="KJ92" s="238"/>
      <c r="KK92" s="238"/>
      <c r="KL92" s="238"/>
      <c r="KM92" s="238"/>
      <c r="KN92" s="238"/>
      <c r="KO92" s="238"/>
      <c r="KP92" s="238"/>
      <c r="KQ92" s="238"/>
      <c r="KR92" s="238"/>
      <c r="KS92" s="238"/>
      <c r="KT92" s="238"/>
      <c r="KU92" s="238"/>
      <c r="KV92" s="238"/>
      <c r="KW92" s="238"/>
      <c r="KX92" s="238"/>
      <c r="KY92" s="238"/>
      <c r="KZ92" s="238"/>
      <c r="LA92" s="238"/>
      <c r="LB92" s="238"/>
      <c r="LC92" s="238"/>
      <c r="LD92" s="238"/>
      <c r="LE92" s="238"/>
      <c r="LF92" s="238"/>
      <c r="LG92" s="238"/>
      <c r="LH92" s="238"/>
      <c r="LI92" s="238"/>
      <c r="LJ92" s="238"/>
      <c r="LK92" s="238"/>
      <c r="LL92" s="238"/>
      <c r="LM92" s="238"/>
      <c r="LN92" s="238"/>
      <c r="LO92" s="238"/>
      <c r="LP92" s="238"/>
      <c r="LQ92" s="238"/>
      <c r="LR92" s="238"/>
      <c r="LS92" s="238"/>
      <c r="LT92" s="238"/>
      <c r="LU92" s="238"/>
      <c r="LV92" s="238"/>
      <c r="LW92" s="238"/>
      <c r="LX92" s="238"/>
      <c r="LY92" s="238"/>
      <c r="LZ92" s="238"/>
      <c r="MA92" s="238"/>
      <c r="MB92" s="238"/>
      <c r="MC92" s="238"/>
      <c r="MD92" s="238"/>
      <c r="ME92" s="238"/>
      <c r="MF92" s="238"/>
      <c r="MG92" s="238"/>
      <c r="MH92" s="238"/>
      <c r="MI92" s="238"/>
      <c r="MJ92" s="238"/>
      <c r="MK92" s="238"/>
      <c r="ML92" s="238"/>
    </row>
    <row r="93" ht="18.75" customHeight="1">
      <c r="A93" s="283"/>
      <c r="B93" s="234" t="str">
        <f>'Building Bill of Materials_SLIM'!P93</f>
        <v/>
      </c>
      <c r="C93" s="234" t="str">
        <f>'Building Bill of Materials_SLIM'!Q93</f>
        <v/>
      </c>
      <c r="D93" s="234" t="str">
        <f>'Building Bill of Materials_SLIM'!R93</f>
        <v/>
      </c>
      <c r="E93" s="234" t="str">
        <f>'Building Bill of Materials_SLIM'!S93</f>
        <v/>
      </c>
      <c r="F93" s="284" t="str">
        <f>'Building Bill of Materials_SLIM'!U93</f>
        <v/>
      </c>
      <c r="G93" s="234"/>
      <c r="H93" s="234"/>
      <c r="I93" s="234"/>
      <c r="J93" s="234" t="str">
        <f>'Building Bill of Materials_SLIM'!V93</f>
        <v/>
      </c>
      <c r="K93" s="238"/>
      <c r="L93" s="238"/>
      <c r="M93" s="238"/>
      <c r="N93" s="238"/>
      <c r="O93" s="238"/>
      <c r="P93" s="238"/>
      <c r="Q93" s="238"/>
      <c r="R93" s="238"/>
      <c r="S93" s="238"/>
      <c r="T93" s="238"/>
      <c r="U93" s="238"/>
      <c r="V93" s="238"/>
      <c r="W93" s="238"/>
      <c r="X93" s="238"/>
      <c r="Y93" s="238"/>
      <c r="Z93" s="238"/>
      <c r="AA93" s="192"/>
      <c r="AB93" s="257"/>
      <c r="AC93" s="257"/>
      <c r="AD93" s="257"/>
      <c r="AE93" s="257"/>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38"/>
      <c r="BK93" s="238"/>
      <c r="BL93" s="238"/>
      <c r="BM93" s="238"/>
      <c r="BN93" s="238"/>
      <c r="BO93" s="238"/>
      <c r="BP93" s="238"/>
      <c r="BQ93" s="238"/>
      <c r="BR93" s="238"/>
      <c r="BS93" s="238"/>
      <c r="BT93" s="238"/>
      <c r="BU93" s="238"/>
      <c r="BV93" s="238"/>
      <c r="BW93" s="238"/>
      <c r="BX93" s="238"/>
      <c r="BY93" s="238"/>
      <c r="BZ93" s="238"/>
      <c r="CA93" s="238"/>
      <c r="CB93" s="238"/>
      <c r="CC93" s="238"/>
      <c r="CD93" s="238"/>
      <c r="CE93" s="257"/>
      <c r="CF93" s="257"/>
      <c r="CG93" s="238"/>
      <c r="CH93" s="238"/>
      <c r="CI93" s="238"/>
      <c r="CJ93" s="238"/>
      <c r="CK93" s="238"/>
      <c r="CL93" s="238"/>
      <c r="CM93" s="238"/>
      <c r="CN93" s="238"/>
      <c r="CO93" s="238"/>
      <c r="CP93" s="238"/>
      <c r="CQ93" s="238"/>
      <c r="CR93" s="238"/>
      <c r="CS93" s="238"/>
      <c r="CT93" s="238"/>
      <c r="CU93" s="238"/>
      <c r="CV93" s="238"/>
      <c r="CW93" s="238"/>
      <c r="CX93" s="238"/>
      <c r="CY93" s="238"/>
      <c r="CZ93" s="238"/>
      <c r="DA93" s="238"/>
      <c r="DB93" s="238"/>
      <c r="DC93" s="238"/>
      <c r="DD93" s="238"/>
      <c r="DE93" s="238"/>
      <c r="DF93" s="238"/>
      <c r="DG93" s="257"/>
      <c r="DH93" s="238"/>
      <c r="DI93" s="238"/>
      <c r="DJ93" s="238"/>
      <c r="DK93" s="238"/>
      <c r="DL93" s="238"/>
      <c r="DM93" s="238"/>
      <c r="DN93" s="238"/>
      <c r="DO93" s="238"/>
      <c r="DP93" s="238"/>
      <c r="DQ93" s="238"/>
      <c r="DR93" s="238"/>
      <c r="DS93" s="238"/>
      <c r="DT93" s="238"/>
      <c r="DU93" s="238"/>
      <c r="DV93" s="238"/>
      <c r="DW93" s="238"/>
      <c r="DX93" s="238"/>
      <c r="DY93" s="238"/>
      <c r="DZ93" s="238"/>
      <c r="EA93" s="238"/>
      <c r="EB93" s="238"/>
      <c r="EC93" s="238"/>
      <c r="ED93" s="238"/>
      <c r="EE93" s="238"/>
      <c r="EF93" s="238"/>
      <c r="EG93" s="238"/>
      <c r="EH93" s="238"/>
      <c r="EI93" s="238"/>
      <c r="EJ93" s="238"/>
      <c r="EK93" s="238"/>
      <c r="EL93" s="238"/>
      <c r="EM93" s="238"/>
      <c r="EN93" s="238"/>
      <c r="EO93" s="238"/>
      <c r="EP93" s="238"/>
      <c r="EQ93" s="238"/>
      <c r="ER93" s="238"/>
      <c r="ES93" s="238"/>
      <c r="ET93" s="238"/>
      <c r="EU93" s="238"/>
      <c r="EV93" s="238"/>
      <c r="EW93" s="238"/>
      <c r="EX93" s="238"/>
      <c r="EY93" s="238"/>
      <c r="EZ93" s="238"/>
      <c r="FA93" s="238"/>
      <c r="FB93" s="238"/>
      <c r="FC93" s="238"/>
      <c r="FD93" s="238"/>
      <c r="FE93" s="238"/>
      <c r="FF93" s="238"/>
      <c r="FG93" s="238"/>
      <c r="FH93" s="257"/>
      <c r="FI93" s="257"/>
      <c r="FJ93" s="257"/>
      <c r="FK93" s="257"/>
      <c r="FL93" s="257"/>
      <c r="FM93" s="257"/>
      <c r="FN93" s="257"/>
      <c r="FO93" s="257"/>
      <c r="FP93" s="257"/>
      <c r="FQ93" s="257"/>
      <c r="FR93" s="257"/>
      <c r="FS93" s="257"/>
      <c r="FT93" s="257"/>
      <c r="FU93" s="257"/>
      <c r="FV93" s="257"/>
      <c r="FW93" s="257"/>
      <c r="FX93" s="257"/>
      <c r="FY93" s="238"/>
      <c r="FZ93" s="238"/>
      <c r="GA93" s="238"/>
      <c r="GB93" s="238"/>
      <c r="GC93" s="238"/>
      <c r="GD93" s="238"/>
      <c r="GE93" s="238"/>
      <c r="GF93" s="238"/>
      <c r="GG93" s="238"/>
      <c r="GH93" s="238"/>
      <c r="GI93" s="238"/>
      <c r="GJ93" s="238"/>
      <c r="GK93" s="238"/>
      <c r="GL93" s="238"/>
      <c r="GM93" s="238"/>
      <c r="GN93" s="238"/>
      <c r="GO93" s="238"/>
      <c r="GP93" s="238"/>
      <c r="GQ93" s="238"/>
      <c r="GR93" s="238"/>
      <c r="GS93" s="238"/>
      <c r="GT93" s="238"/>
      <c r="GU93" s="238"/>
      <c r="GV93" s="238"/>
      <c r="GW93" s="238"/>
      <c r="GX93" s="238"/>
      <c r="GY93" s="238"/>
      <c r="GZ93" s="238"/>
      <c r="HA93" s="238"/>
      <c r="HB93" s="238"/>
      <c r="HC93" s="238"/>
      <c r="HD93" s="238"/>
      <c r="HE93" s="238"/>
      <c r="HF93" s="238"/>
      <c r="HG93" s="238"/>
      <c r="HH93" s="238"/>
      <c r="HI93" s="238"/>
      <c r="HJ93" s="238"/>
      <c r="HK93" s="238"/>
      <c r="HL93" s="238"/>
      <c r="HM93" s="238"/>
      <c r="HN93" s="238"/>
      <c r="HO93" s="238"/>
      <c r="HP93" s="238"/>
      <c r="HQ93" s="238"/>
      <c r="HR93" s="238"/>
      <c r="HS93" s="238"/>
      <c r="HT93" s="238"/>
      <c r="HU93" s="238"/>
      <c r="HV93" s="238"/>
      <c r="HW93" s="238"/>
      <c r="HX93" s="257"/>
      <c r="HY93" s="257"/>
      <c r="HZ93" s="257"/>
      <c r="IA93" s="257"/>
      <c r="IB93" s="257"/>
      <c r="IC93" s="257"/>
      <c r="ID93" s="257"/>
      <c r="IE93" s="257"/>
      <c r="IF93" s="257"/>
      <c r="IG93" s="257"/>
      <c r="IH93" s="257"/>
      <c r="II93" s="257"/>
      <c r="IJ93" s="257"/>
      <c r="IK93" s="257"/>
      <c r="IL93" s="257"/>
      <c r="IM93" s="257"/>
      <c r="IN93" s="257"/>
      <c r="IO93" s="257"/>
      <c r="IP93" s="257"/>
      <c r="IQ93" s="257"/>
      <c r="IR93" s="257"/>
      <c r="IS93" s="257"/>
      <c r="IT93" s="257"/>
      <c r="IU93" s="257"/>
      <c r="IV93" s="257"/>
      <c r="IW93" s="257"/>
      <c r="IX93" s="257"/>
      <c r="IY93" s="257"/>
      <c r="IZ93" s="257"/>
      <c r="JA93" s="257"/>
      <c r="JB93" s="257"/>
      <c r="JC93" s="257"/>
      <c r="JD93" s="257"/>
      <c r="JE93" s="257"/>
      <c r="JF93" s="238"/>
      <c r="JG93" s="238"/>
      <c r="JH93" s="238"/>
      <c r="JI93" s="238"/>
      <c r="JJ93" s="238"/>
      <c r="JK93" s="238"/>
      <c r="JL93" s="238"/>
      <c r="JM93" s="238"/>
      <c r="JN93" s="238"/>
      <c r="JO93" s="238"/>
      <c r="JP93" s="238"/>
      <c r="JQ93" s="238"/>
      <c r="JR93" s="238"/>
      <c r="JS93" s="238"/>
      <c r="JT93" s="238"/>
      <c r="JU93" s="238"/>
      <c r="JV93" s="238"/>
      <c r="JW93" s="238"/>
      <c r="JX93" s="238"/>
      <c r="JY93" s="238"/>
      <c r="JZ93" s="238"/>
      <c r="KA93" s="238"/>
      <c r="KB93" s="238"/>
      <c r="KC93" s="238"/>
      <c r="KD93" s="238"/>
      <c r="KE93" s="238"/>
      <c r="KF93" s="238"/>
      <c r="KG93" s="238"/>
      <c r="KH93" s="238"/>
      <c r="KI93" s="238"/>
      <c r="KJ93" s="238"/>
      <c r="KK93" s="238"/>
      <c r="KL93" s="238"/>
      <c r="KM93" s="238"/>
      <c r="KN93" s="238"/>
      <c r="KO93" s="238"/>
      <c r="KP93" s="238"/>
      <c r="KQ93" s="238"/>
      <c r="KR93" s="238"/>
      <c r="KS93" s="238"/>
      <c r="KT93" s="238"/>
      <c r="KU93" s="238"/>
      <c r="KV93" s="238"/>
      <c r="KW93" s="238"/>
      <c r="KX93" s="238"/>
      <c r="KY93" s="238"/>
      <c r="KZ93" s="238"/>
      <c r="LA93" s="238"/>
      <c r="LB93" s="238"/>
      <c r="LC93" s="238"/>
      <c r="LD93" s="238"/>
      <c r="LE93" s="238"/>
      <c r="LF93" s="238"/>
      <c r="LG93" s="238"/>
      <c r="LH93" s="238"/>
      <c r="LI93" s="238"/>
      <c r="LJ93" s="238"/>
      <c r="LK93" s="238"/>
      <c r="LL93" s="238"/>
      <c r="LM93" s="238"/>
      <c r="LN93" s="238"/>
      <c r="LO93" s="238"/>
      <c r="LP93" s="238"/>
      <c r="LQ93" s="238"/>
      <c r="LR93" s="238"/>
      <c r="LS93" s="238"/>
      <c r="LT93" s="238"/>
      <c r="LU93" s="238"/>
      <c r="LV93" s="238"/>
      <c r="LW93" s="238"/>
      <c r="LX93" s="238"/>
      <c r="LY93" s="238"/>
      <c r="LZ93" s="238"/>
      <c r="MA93" s="238"/>
      <c r="MB93" s="238"/>
      <c r="MC93" s="238"/>
      <c r="MD93" s="238"/>
      <c r="ME93" s="238"/>
      <c r="MF93" s="238"/>
      <c r="MG93" s="238"/>
      <c r="MH93" s="238"/>
      <c r="MI93" s="238"/>
      <c r="MJ93" s="238"/>
      <c r="MK93" s="238"/>
      <c r="ML93" s="238"/>
    </row>
    <row r="94" ht="18.75" customHeight="1">
      <c r="A94" s="283"/>
      <c r="B94" s="234" t="str">
        <f>'Building Bill of Materials_SLIM'!P94</f>
        <v/>
      </c>
      <c r="C94" s="234" t="str">
        <f>'Building Bill of Materials_SLIM'!Q94</f>
        <v/>
      </c>
      <c r="D94" s="234" t="str">
        <f>'Building Bill of Materials_SLIM'!R94</f>
        <v/>
      </c>
      <c r="E94" s="234" t="str">
        <f>'Building Bill of Materials_SLIM'!S94</f>
        <v/>
      </c>
      <c r="F94" s="284" t="str">
        <f>'Building Bill of Materials_SLIM'!U94</f>
        <v/>
      </c>
      <c r="G94" s="234"/>
      <c r="H94" s="234"/>
      <c r="I94" s="234"/>
      <c r="J94" s="234" t="str">
        <f>'Building Bill of Materials_SLIM'!V94</f>
        <v/>
      </c>
      <c r="K94" s="238"/>
      <c r="L94" s="238"/>
      <c r="M94" s="238"/>
      <c r="N94" s="238"/>
      <c r="O94" s="238"/>
      <c r="P94" s="238"/>
      <c r="Q94" s="238"/>
      <c r="R94" s="238"/>
      <c r="S94" s="238"/>
      <c r="T94" s="238"/>
      <c r="U94" s="238"/>
      <c r="V94" s="238"/>
      <c r="W94" s="238"/>
      <c r="X94" s="238"/>
      <c r="Y94" s="238"/>
      <c r="Z94" s="238"/>
      <c r="AA94" s="192"/>
      <c r="AB94" s="257"/>
      <c r="AC94" s="257"/>
      <c r="AD94" s="257"/>
      <c r="AE94" s="257"/>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38"/>
      <c r="BK94" s="238"/>
      <c r="BL94" s="238"/>
      <c r="BM94" s="238"/>
      <c r="BN94" s="238"/>
      <c r="BO94" s="238"/>
      <c r="BP94" s="238"/>
      <c r="BQ94" s="238"/>
      <c r="BR94" s="238"/>
      <c r="BS94" s="238"/>
      <c r="BT94" s="238"/>
      <c r="BU94" s="238"/>
      <c r="BV94" s="238"/>
      <c r="BW94" s="238"/>
      <c r="BX94" s="238"/>
      <c r="BY94" s="238"/>
      <c r="BZ94" s="238"/>
      <c r="CA94" s="238"/>
      <c r="CB94" s="238"/>
      <c r="CC94" s="238"/>
      <c r="CD94" s="238"/>
      <c r="CE94" s="257"/>
      <c r="CF94" s="257"/>
      <c r="CG94" s="238"/>
      <c r="CH94" s="238"/>
      <c r="CI94" s="238"/>
      <c r="CJ94" s="238"/>
      <c r="CK94" s="238"/>
      <c r="CL94" s="238"/>
      <c r="CM94" s="238"/>
      <c r="CN94" s="238"/>
      <c r="CO94" s="238"/>
      <c r="CP94" s="238"/>
      <c r="CQ94" s="238"/>
      <c r="CR94" s="238"/>
      <c r="CS94" s="238"/>
      <c r="CT94" s="238"/>
      <c r="CU94" s="238"/>
      <c r="CV94" s="238"/>
      <c r="CW94" s="238"/>
      <c r="CX94" s="238"/>
      <c r="CY94" s="238"/>
      <c r="CZ94" s="238"/>
      <c r="DA94" s="238"/>
      <c r="DB94" s="238"/>
      <c r="DC94" s="238"/>
      <c r="DD94" s="238"/>
      <c r="DE94" s="238"/>
      <c r="DF94" s="238"/>
      <c r="DG94" s="257"/>
      <c r="DH94" s="238"/>
      <c r="DI94" s="238"/>
      <c r="DJ94" s="238"/>
      <c r="DK94" s="238"/>
      <c r="DL94" s="238"/>
      <c r="DM94" s="238"/>
      <c r="DN94" s="238"/>
      <c r="DO94" s="238"/>
      <c r="DP94" s="238"/>
      <c r="DQ94" s="238"/>
      <c r="DR94" s="238"/>
      <c r="DS94" s="238"/>
      <c r="DT94" s="238"/>
      <c r="DU94" s="238"/>
      <c r="DV94" s="238"/>
      <c r="DW94" s="238"/>
      <c r="DX94" s="238"/>
      <c r="DY94" s="238"/>
      <c r="DZ94" s="238"/>
      <c r="EA94" s="238"/>
      <c r="EB94" s="238"/>
      <c r="EC94" s="238"/>
      <c r="ED94" s="238"/>
      <c r="EE94" s="238"/>
      <c r="EF94" s="238"/>
      <c r="EG94" s="238"/>
      <c r="EH94" s="238"/>
      <c r="EI94" s="238"/>
      <c r="EJ94" s="238"/>
      <c r="EK94" s="238"/>
      <c r="EL94" s="238"/>
      <c r="EM94" s="238"/>
      <c r="EN94" s="238"/>
      <c r="EO94" s="238"/>
      <c r="EP94" s="238"/>
      <c r="EQ94" s="238"/>
      <c r="ER94" s="238"/>
      <c r="ES94" s="238"/>
      <c r="ET94" s="238"/>
      <c r="EU94" s="238"/>
      <c r="EV94" s="238"/>
      <c r="EW94" s="238"/>
      <c r="EX94" s="238"/>
      <c r="EY94" s="238"/>
      <c r="EZ94" s="238"/>
      <c r="FA94" s="238"/>
      <c r="FB94" s="238"/>
      <c r="FC94" s="238"/>
      <c r="FD94" s="238"/>
      <c r="FE94" s="238"/>
      <c r="FF94" s="238"/>
      <c r="FG94" s="238"/>
      <c r="FH94" s="257"/>
      <c r="FI94" s="257"/>
      <c r="FJ94" s="257"/>
      <c r="FK94" s="257"/>
      <c r="FL94" s="257"/>
      <c r="FM94" s="257"/>
      <c r="FN94" s="257"/>
      <c r="FO94" s="257"/>
      <c r="FP94" s="257"/>
      <c r="FQ94" s="257"/>
      <c r="FR94" s="257"/>
      <c r="FS94" s="257"/>
      <c r="FT94" s="257"/>
      <c r="FU94" s="257"/>
      <c r="FV94" s="257"/>
      <c r="FW94" s="257"/>
      <c r="FX94" s="257"/>
      <c r="FY94" s="238"/>
      <c r="FZ94" s="238"/>
      <c r="GA94" s="238"/>
      <c r="GB94" s="238"/>
      <c r="GC94" s="238"/>
      <c r="GD94" s="238"/>
      <c r="GE94" s="238"/>
      <c r="GF94" s="238"/>
      <c r="GG94" s="238"/>
      <c r="GH94" s="238"/>
      <c r="GI94" s="238"/>
      <c r="GJ94" s="238"/>
      <c r="GK94" s="238"/>
      <c r="GL94" s="238"/>
      <c r="GM94" s="238"/>
      <c r="GN94" s="238"/>
      <c r="GO94" s="238"/>
      <c r="GP94" s="238"/>
      <c r="GQ94" s="238"/>
      <c r="GR94" s="238"/>
      <c r="GS94" s="238"/>
      <c r="GT94" s="238"/>
      <c r="GU94" s="238"/>
      <c r="GV94" s="238"/>
      <c r="GW94" s="238"/>
      <c r="GX94" s="238"/>
      <c r="GY94" s="238"/>
      <c r="GZ94" s="238"/>
      <c r="HA94" s="238"/>
      <c r="HB94" s="238"/>
      <c r="HC94" s="238"/>
      <c r="HD94" s="238"/>
      <c r="HE94" s="238"/>
      <c r="HF94" s="238"/>
      <c r="HG94" s="238"/>
      <c r="HH94" s="238"/>
      <c r="HI94" s="238"/>
      <c r="HJ94" s="238"/>
      <c r="HK94" s="238"/>
      <c r="HL94" s="238"/>
      <c r="HM94" s="238"/>
      <c r="HN94" s="238"/>
      <c r="HO94" s="238"/>
      <c r="HP94" s="238"/>
      <c r="HQ94" s="238"/>
      <c r="HR94" s="238"/>
      <c r="HS94" s="238"/>
      <c r="HT94" s="238"/>
      <c r="HU94" s="238"/>
      <c r="HV94" s="238"/>
      <c r="HW94" s="238"/>
      <c r="HX94" s="257"/>
      <c r="HY94" s="257"/>
      <c r="HZ94" s="257"/>
      <c r="IA94" s="257"/>
      <c r="IB94" s="257"/>
      <c r="IC94" s="257"/>
      <c r="ID94" s="257"/>
      <c r="IE94" s="257"/>
      <c r="IF94" s="257"/>
      <c r="IG94" s="257"/>
      <c r="IH94" s="257"/>
      <c r="II94" s="257"/>
      <c r="IJ94" s="257"/>
      <c r="IK94" s="257"/>
      <c r="IL94" s="257"/>
      <c r="IM94" s="257"/>
      <c r="IN94" s="257"/>
      <c r="IO94" s="257"/>
      <c r="IP94" s="257"/>
      <c r="IQ94" s="257"/>
      <c r="IR94" s="257"/>
      <c r="IS94" s="257"/>
      <c r="IT94" s="257"/>
      <c r="IU94" s="257"/>
      <c r="IV94" s="257"/>
      <c r="IW94" s="257"/>
      <c r="IX94" s="257"/>
      <c r="IY94" s="257"/>
      <c r="IZ94" s="257"/>
      <c r="JA94" s="257"/>
      <c r="JB94" s="257"/>
      <c r="JC94" s="257"/>
      <c r="JD94" s="257"/>
      <c r="JE94" s="257"/>
      <c r="JF94" s="238"/>
      <c r="JG94" s="238"/>
      <c r="JH94" s="238"/>
      <c r="JI94" s="238"/>
      <c r="JJ94" s="238"/>
      <c r="JK94" s="238"/>
      <c r="JL94" s="238"/>
      <c r="JM94" s="238"/>
      <c r="JN94" s="238"/>
      <c r="JO94" s="238"/>
      <c r="JP94" s="238"/>
      <c r="JQ94" s="238"/>
      <c r="JR94" s="238"/>
      <c r="JS94" s="238"/>
      <c r="JT94" s="238"/>
      <c r="JU94" s="238"/>
      <c r="JV94" s="238"/>
      <c r="JW94" s="238"/>
      <c r="JX94" s="238"/>
      <c r="JY94" s="238"/>
      <c r="JZ94" s="238"/>
      <c r="KA94" s="238"/>
      <c r="KB94" s="238"/>
      <c r="KC94" s="238"/>
      <c r="KD94" s="238"/>
      <c r="KE94" s="238"/>
      <c r="KF94" s="238"/>
      <c r="KG94" s="238"/>
      <c r="KH94" s="238"/>
      <c r="KI94" s="238"/>
      <c r="KJ94" s="238"/>
      <c r="KK94" s="238"/>
      <c r="KL94" s="238"/>
      <c r="KM94" s="238"/>
      <c r="KN94" s="238"/>
      <c r="KO94" s="238"/>
      <c r="KP94" s="238"/>
      <c r="KQ94" s="238"/>
      <c r="KR94" s="238"/>
      <c r="KS94" s="238"/>
      <c r="KT94" s="238"/>
      <c r="KU94" s="238"/>
      <c r="KV94" s="238"/>
      <c r="KW94" s="238"/>
      <c r="KX94" s="238"/>
      <c r="KY94" s="238"/>
      <c r="KZ94" s="238"/>
      <c r="LA94" s="238"/>
      <c r="LB94" s="238"/>
      <c r="LC94" s="238"/>
      <c r="LD94" s="238"/>
      <c r="LE94" s="238"/>
      <c r="LF94" s="238"/>
      <c r="LG94" s="238"/>
      <c r="LH94" s="238"/>
      <c r="LI94" s="238"/>
      <c r="LJ94" s="238"/>
      <c r="LK94" s="238"/>
      <c r="LL94" s="238"/>
      <c r="LM94" s="238"/>
      <c r="LN94" s="238"/>
      <c r="LO94" s="238"/>
      <c r="LP94" s="238"/>
      <c r="LQ94" s="238"/>
      <c r="LR94" s="238"/>
      <c r="LS94" s="238"/>
      <c r="LT94" s="238"/>
      <c r="LU94" s="238"/>
      <c r="LV94" s="238"/>
      <c r="LW94" s="238"/>
      <c r="LX94" s="238"/>
      <c r="LY94" s="238"/>
      <c r="LZ94" s="238"/>
      <c r="MA94" s="238"/>
      <c r="MB94" s="238"/>
      <c r="MC94" s="238"/>
      <c r="MD94" s="238"/>
      <c r="ME94" s="238"/>
      <c r="MF94" s="238"/>
      <c r="MG94" s="238"/>
      <c r="MH94" s="238"/>
      <c r="MI94" s="238"/>
      <c r="MJ94" s="238"/>
      <c r="MK94" s="238"/>
      <c r="ML94" s="238"/>
    </row>
    <row r="95" ht="18.75" customHeight="1">
      <c r="A95" s="283"/>
      <c r="B95" s="234" t="str">
        <f>'Building Bill of Materials_SLIM'!P95</f>
        <v/>
      </c>
      <c r="C95" s="234" t="str">
        <f>'Building Bill of Materials_SLIM'!Q95</f>
        <v/>
      </c>
      <c r="D95" s="234" t="str">
        <f>'Building Bill of Materials_SLIM'!R95</f>
        <v/>
      </c>
      <c r="E95" s="234" t="str">
        <f>'Building Bill of Materials_SLIM'!S95</f>
        <v/>
      </c>
      <c r="F95" s="284" t="str">
        <f>'Building Bill of Materials_SLIM'!U95</f>
        <v/>
      </c>
      <c r="G95" s="234"/>
      <c r="H95" s="234"/>
      <c r="I95" s="234"/>
      <c r="J95" s="234" t="str">
        <f>'Building Bill of Materials_SLIM'!V95</f>
        <v/>
      </c>
      <c r="K95" s="238"/>
      <c r="L95" s="238"/>
      <c r="M95" s="238"/>
      <c r="N95" s="238"/>
      <c r="O95" s="238"/>
      <c r="P95" s="238"/>
      <c r="Q95" s="238"/>
      <c r="R95" s="238"/>
      <c r="S95" s="238"/>
      <c r="T95" s="238"/>
      <c r="U95" s="238"/>
      <c r="V95" s="238"/>
      <c r="W95" s="238"/>
      <c r="X95" s="238"/>
      <c r="Y95" s="238"/>
      <c r="Z95" s="238"/>
      <c r="AA95" s="192"/>
      <c r="AB95" s="257"/>
      <c r="AC95" s="257"/>
      <c r="AD95" s="257"/>
      <c r="AE95" s="257"/>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38"/>
      <c r="BK95" s="238"/>
      <c r="BL95" s="238"/>
      <c r="BM95" s="238"/>
      <c r="BN95" s="238"/>
      <c r="BO95" s="238"/>
      <c r="BP95" s="238"/>
      <c r="BQ95" s="238"/>
      <c r="BR95" s="238"/>
      <c r="BS95" s="238"/>
      <c r="BT95" s="238"/>
      <c r="BU95" s="238"/>
      <c r="BV95" s="238"/>
      <c r="BW95" s="238"/>
      <c r="BX95" s="238"/>
      <c r="BY95" s="238"/>
      <c r="BZ95" s="238"/>
      <c r="CA95" s="238"/>
      <c r="CB95" s="238"/>
      <c r="CC95" s="238"/>
      <c r="CD95" s="238"/>
      <c r="CE95" s="257"/>
      <c r="CF95" s="257"/>
      <c r="CG95" s="238"/>
      <c r="CH95" s="238"/>
      <c r="CI95" s="238"/>
      <c r="CJ95" s="238"/>
      <c r="CK95" s="238"/>
      <c r="CL95" s="238"/>
      <c r="CM95" s="238"/>
      <c r="CN95" s="238"/>
      <c r="CO95" s="238"/>
      <c r="CP95" s="238"/>
      <c r="CQ95" s="238"/>
      <c r="CR95" s="238"/>
      <c r="CS95" s="238"/>
      <c r="CT95" s="238"/>
      <c r="CU95" s="238"/>
      <c r="CV95" s="238"/>
      <c r="CW95" s="238"/>
      <c r="CX95" s="238"/>
      <c r="CY95" s="238"/>
      <c r="CZ95" s="238"/>
      <c r="DA95" s="238"/>
      <c r="DB95" s="238"/>
      <c r="DC95" s="238"/>
      <c r="DD95" s="238"/>
      <c r="DE95" s="238"/>
      <c r="DF95" s="238"/>
      <c r="DG95" s="257"/>
      <c r="DH95" s="238"/>
      <c r="DI95" s="238"/>
      <c r="DJ95" s="238"/>
      <c r="DK95" s="238"/>
      <c r="DL95" s="238"/>
      <c r="DM95" s="238"/>
      <c r="DN95" s="238"/>
      <c r="DO95" s="238"/>
      <c r="DP95" s="238"/>
      <c r="DQ95" s="238"/>
      <c r="DR95" s="238"/>
      <c r="DS95" s="238"/>
      <c r="DT95" s="238"/>
      <c r="DU95" s="238"/>
      <c r="DV95" s="238"/>
      <c r="DW95" s="238"/>
      <c r="DX95" s="238"/>
      <c r="DY95" s="238"/>
      <c r="DZ95" s="238"/>
      <c r="EA95" s="238"/>
      <c r="EB95" s="238"/>
      <c r="EC95" s="238"/>
      <c r="ED95" s="238"/>
      <c r="EE95" s="238"/>
      <c r="EF95" s="238"/>
      <c r="EG95" s="238"/>
      <c r="EH95" s="238"/>
      <c r="EI95" s="238"/>
      <c r="EJ95" s="238"/>
      <c r="EK95" s="238"/>
      <c r="EL95" s="238"/>
      <c r="EM95" s="238"/>
      <c r="EN95" s="238"/>
      <c r="EO95" s="238"/>
      <c r="EP95" s="238"/>
      <c r="EQ95" s="238"/>
      <c r="ER95" s="238"/>
      <c r="ES95" s="238"/>
      <c r="ET95" s="238"/>
      <c r="EU95" s="238"/>
      <c r="EV95" s="238"/>
      <c r="EW95" s="238"/>
      <c r="EX95" s="238"/>
      <c r="EY95" s="238"/>
      <c r="EZ95" s="238"/>
      <c r="FA95" s="238"/>
      <c r="FB95" s="238"/>
      <c r="FC95" s="238"/>
      <c r="FD95" s="238"/>
      <c r="FE95" s="238"/>
      <c r="FF95" s="238"/>
      <c r="FG95" s="238"/>
      <c r="FH95" s="257"/>
      <c r="FI95" s="257"/>
      <c r="FJ95" s="257"/>
      <c r="FK95" s="257"/>
      <c r="FL95" s="257"/>
      <c r="FM95" s="257"/>
      <c r="FN95" s="257"/>
      <c r="FO95" s="257"/>
      <c r="FP95" s="257"/>
      <c r="FQ95" s="257"/>
      <c r="FR95" s="257"/>
      <c r="FS95" s="257"/>
      <c r="FT95" s="257"/>
      <c r="FU95" s="257"/>
      <c r="FV95" s="257"/>
      <c r="FW95" s="257"/>
      <c r="FX95" s="257"/>
      <c r="FY95" s="238"/>
      <c r="FZ95" s="238"/>
      <c r="GA95" s="238"/>
      <c r="GB95" s="238"/>
      <c r="GC95" s="238"/>
      <c r="GD95" s="238"/>
      <c r="GE95" s="238"/>
      <c r="GF95" s="238"/>
      <c r="GG95" s="238"/>
      <c r="GH95" s="238"/>
      <c r="GI95" s="238"/>
      <c r="GJ95" s="238"/>
      <c r="GK95" s="238"/>
      <c r="GL95" s="238"/>
      <c r="GM95" s="238"/>
      <c r="GN95" s="238"/>
      <c r="GO95" s="238"/>
      <c r="GP95" s="238"/>
      <c r="GQ95" s="238"/>
      <c r="GR95" s="238"/>
      <c r="GS95" s="238"/>
      <c r="GT95" s="238"/>
      <c r="GU95" s="238"/>
      <c r="GV95" s="238"/>
      <c r="GW95" s="238"/>
      <c r="GX95" s="238"/>
      <c r="GY95" s="238"/>
      <c r="GZ95" s="238"/>
      <c r="HA95" s="238"/>
      <c r="HB95" s="238"/>
      <c r="HC95" s="238"/>
      <c r="HD95" s="238"/>
      <c r="HE95" s="238"/>
      <c r="HF95" s="238"/>
      <c r="HG95" s="238"/>
      <c r="HH95" s="238"/>
      <c r="HI95" s="238"/>
      <c r="HJ95" s="238"/>
      <c r="HK95" s="238"/>
      <c r="HL95" s="238"/>
      <c r="HM95" s="238"/>
      <c r="HN95" s="238"/>
      <c r="HO95" s="238"/>
      <c r="HP95" s="238"/>
      <c r="HQ95" s="238"/>
      <c r="HR95" s="238"/>
      <c r="HS95" s="238"/>
      <c r="HT95" s="238"/>
      <c r="HU95" s="238"/>
      <c r="HV95" s="238"/>
      <c r="HW95" s="238"/>
      <c r="HX95" s="257"/>
      <c r="HY95" s="257"/>
      <c r="HZ95" s="257"/>
      <c r="IA95" s="257"/>
      <c r="IB95" s="257"/>
      <c r="IC95" s="257"/>
      <c r="ID95" s="257"/>
      <c r="IE95" s="257"/>
      <c r="IF95" s="257"/>
      <c r="IG95" s="257"/>
      <c r="IH95" s="257"/>
      <c r="II95" s="257"/>
      <c r="IJ95" s="257"/>
      <c r="IK95" s="257"/>
      <c r="IL95" s="257"/>
      <c r="IM95" s="257"/>
      <c r="IN95" s="257"/>
      <c r="IO95" s="257"/>
      <c r="IP95" s="257"/>
      <c r="IQ95" s="257"/>
      <c r="IR95" s="257"/>
      <c r="IS95" s="257"/>
      <c r="IT95" s="257"/>
      <c r="IU95" s="257"/>
      <c r="IV95" s="257"/>
      <c r="IW95" s="257"/>
      <c r="IX95" s="257"/>
      <c r="IY95" s="257"/>
      <c r="IZ95" s="257"/>
      <c r="JA95" s="257"/>
      <c r="JB95" s="257"/>
      <c r="JC95" s="257"/>
      <c r="JD95" s="257"/>
      <c r="JE95" s="257"/>
      <c r="JF95" s="238"/>
      <c r="JG95" s="238"/>
      <c r="JH95" s="238"/>
      <c r="JI95" s="238"/>
      <c r="JJ95" s="238"/>
      <c r="JK95" s="238"/>
      <c r="JL95" s="238"/>
      <c r="JM95" s="238"/>
      <c r="JN95" s="238"/>
      <c r="JO95" s="238"/>
      <c r="JP95" s="238"/>
      <c r="JQ95" s="238"/>
      <c r="JR95" s="238"/>
      <c r="JS95" s="238"/>
      <c r="JT95" s="238"/>
      <c r="JU95" s="238"/>
      <c r="JV95" s="238"/>
      <c r="JW95" s="238"/>
      <c r="JX95" s="238"/>
      <c r="JY95" s="238"/>
      <c r="JZ95" s="238"/>
      <c r="KA95" s="238"/>
      <c r="KB95" s="238"/>
      <c r="KC95" s="238"/>
      <c r="KD95" s="238"/>
      <c r="KE95" s="238"/>
      <c r="KF95" s="238"/>
      <c r="KG95" s="238"/>
      <c r="KH95" s="238"/>
      <c r="KI95" s="238"/>
      <c r="KJ95" s="238"/>
      <c r="KK95" s="238"/>
      <c r="KL95" s="238"/>
      <c r="KM95" s="238"/>
      <c r="KN95" s="238"/>
      <c r="KO95" s="238"/>
      <c r="KP95" s="238"/>
      <c r="KQ95" s="238"/>
      <c r="KR95" s="238"/>
      <c r="KS95" s="238"/>
      <c r="KT95" s="238"/>
      <c r="KU95" s="238"/>
      <c r="KV95" s="238"/>
      <c r="KW95" s="238"/>
      <c r="KX95" s="238"/>
      <c r="KY95" s="238"/>
      <c r="KZ95" s="238"/>
      <c r="LA95" s="238"/>
      <c r="LB95" s="238"/>
      <c r="LC95" s="238"/>
      <c r="LD95" s="238"/>
      <c r="LE95" s="238"/>
      <c r="LF95" s="238"/>
      <c r="LG95" s="238"/>
      <c r="LH95" s="238"/>
      <c r="LI95" s="238"/>
      <c r="LJ95" s="238"/>
      <c r="LK95" s="238"/>
      <c r="LL95" s="238"/>
      <c r="LM95" s="238"/>
      <c r="LN95" s="238"/>
      <c r="LO95" s="238"/>
      <c r="LP95" s="238"/>
      <c r="LQ95" s="238"/>
      <c r="LR95" s="238"/>
      <c r="LS95" s="238"/>
      <c r="LT95" s="238"/>
      <c r="LU95" s="238"/>
      <c r="LV95" s="238"/>
      <c r="LW95" s="238"/>
      <c r="LX95" s="238"/>
      <c r="LY95" s="238"/>
      <c r="LZ95" s="238"/>
      <c r="MA95" s="238"/>
      <c r="MB95" s="238"/>
      <c r="MC95" s="238"/>
      <c r="MD95" s="238"/>
      <c r="ME95" s="238"/>
      <c r="MF95" s="238"/>
      <c r="MG95" s="238"/>
      <c r="MH95" s="238"/>
      <c r="MI95" s="238"/>
      <c r="MJ95" s="238"/>
      <c r="MK95" s="238"/>
      <c r="ML95" s="238"/>
    </row>
    <row r="96" ht="18.75" customHeight="1">
      <c r="A96" s="283"/>
      <c r="B96" s="234" t="str">
        <f>'Building Bill of Materials_SLIM'!P96</f>
        <v/>
      </c>
      <c r="C96" s="234" t="str">
        <f>'Building Bill of Materials_SLIM'!Q96</f>
        <v/>
      </c>
      <c r="D96" s="234" t="str">
        <f>'Building Bill of Materials_SLIM'!R96</f>
        <v/>
      </c>
      <c r="E96" s="234" t="str">
        <f>'Building Bill of Materials_SLIM'!S96</f>
        <v/>
      </c>
      <c r="F96" s="234" t="str">
        <f>'Building Bill of Materials_SLIM'!U96</f>
        <v/>
      </c>
      <c r="G96" s="234"/>
      <c r="H96" s="234"/>
      <c r="I96" s="234"/>
      <c r="J96" s="234" t="str">
        <f>'Building Bill of Materials_SLIM'!V96</f>
        <v/>
      </c>
      <c r="K96" s="238"/>
      <c r="L96" s="238"/>
      <c r="M96" s="238"/>
      <c r="N96" s="238"/>
      <c r="O96" s="238"/>
      <c r="P96" s="238"/>
      <c r="Q96" s="238"/>
      <c r="R96" s="238"/>
      <c r="S96" s="238"/>
      <c r="T96" s="238"/>
      <c r="U96" s="238"/>
      <c r="V96" s="238"/>
      <c r="W96" s="238"/>
      <c r="X96" s="238"/>
      <c r="Y96" s="238"/>
      <c r="Z96" s="238"/>
      <c r="AA96" s="192"/>
      <c r="AB96" s="257"/>
      <c r="AC96" s="257"/>
      <c r="AD96" s="257"/>
      <c r="AE96" s="257"/>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38"/>
      <c r="BK96" s="238"/>
      <c r="BL96" s="238"/>
      <c r="BM96" s="238"/>
      <c r="BN96" s="238"/>
      <c r="BO96" s="238"/>
      <c r="BP96" s="238"/>
      <c r="BQ96" s="238"/>
      <c r="BR96" s="238"/>
      <c r="BS96" s="238"/>
      <c r="BT96" s="238"/>
      <c r="BU96" s="238"/>
      <c r="BV96" s="238"/>
      <c r="BW96" s="238"/>
      <c r="BX96" s="238"/>
      <c r="BY96" s="238"/>
      <c r="BZ96" s="238"/>
      <c r="CA96" s="238"/>
      <c r="CB96" s="238"/>
      <c r="CC96" s="238"/>
      <c r="CD96" s="238"/>
      <c r="CE96" s="257"/>
      <c r="CF96" s="257"/>
      <c r="CG96" s="238"/>
      <c r="CH96" s="238"/>
      <c r="CI96" s="238"/>
      <c r="CJ96" s="238"/>
      <c r="CK96" s="238"/>
      <c r="CL96" s="238"/>
      <c r="CM96" s="238"/>
      <c r="CN96" s="238"/>
      <c r="CO96" s="238"/>
      <c r="CP96" s="238"/>
      <c r="CQ96" s="238"/>
      <c r="CR96" s="238"/>
      <c r="CS96" s="238"/>
      <c r="CT96" s="238"/>
      <c r="CU96" s="238"/>
      <c r="CV96" s="238"/>
      <c r="CW96" s="238"/>
      <c r="CX96" s="238"/>
      <c r="CY96" s="238"/>
      <c r="CZ96" s="238"/>
      <c r="DA96" s="238"/>
      <c r="DB96" s="238"/>
      <c r="DC96" s="238"/>
      <c r="DD96" s="238"/>
      <c r="DE96" s="238"/>
      <c r="DF96" s="238"/>
      <c r="DG96" s="257"/>
      <c r="DH96" s="238"/>
      <c r="DI96" s="238"/>
      <c r="DJ96" s="238"/>
      <c r="DK96" s="238"/>
      <c r="DL96" s="238"/>
      <c r="DM96" s="238"/>
      <c r="DN96" s="238"/>
      <c r="DO96" s="238"/>
      <c r="DP96" s="238"/>
      <c r="DQ96" s="238"/>
      <c r="DR96" s="238"/>
      <c r="DS96" s="238"/>
      <c r="DT96" s="238"/>
      <c r="DU96" s="238"/>
      <c r="DV96" s="238"/>
      <c r="DW96" s="238"/>
      <c r="DX96" s="238"/>
      <c r="DY96" s="238"/>
      <c r="DZ96" s="238"/>
      <c r="EA96" s="238"/>
      <c r="EB96" s="238"/>
      <c r="EC96" s="238"/>
      <c r="ED96" s="238"/>
      <c r="EE96" s="238"/>
      <c r="EF96" s="238"/>
      <c r="EG96" s="238"/>
      <c r="EH96" s="238"/>
      <c r="EI96" s="238"/>
      <c r="EJ96" s="238"/>
      <c r="EK96" s="238"/>
      <c r="EL96" s="238"/>
      <c r="EM96" s="238"/>
      <c r="EN96" s="238"/>
      <c r="EO96" s="238"/>
      <c r="EP96" s="238"/>
      <c r="EQ96" s="238"/>
      <c r="ER96" s="238"/>
      <c r="ES96" s="238"/>
      <c r="ET96" s="238"/>
      <c r="EU96" s="238"/>
      <c r="EV96" s="238"/>
      <c r="EW96" s="238"/>
      <c r="EX96" s="238"/>
      <c r="EY96" s="238"/>
      <c r="EZ96" s="238"/>
      <c r="FA96" s="238"/>
      <c r="FB96" s="238"/>
      <c r="FC96" s="238"/>
      <c r="FD96" s="238"/>
      <c r="FE96" s="238"/>
      <c r="FF96" s="238"/>
      <c r="FG96" s="238"/>
      <c r="FH96" s="257"/>
      <c r="FI96" s="257"/>
      <c r="FJ96" s="257"/>
      <c r="FK96" s="257"/>
      <c r="FL96" s="257"/>
      <c r="FM96" s="257"/>
      <c r="FN96" s="257"/>
      <c r="FO96" s="257"/>
      <c r="FP96" s="257"/>
      <c r="FQ96" s="257"/>
      <c r="FR96" s="257"/>
      <c r="FS96" s="257"/>
      <c r="FT96" s="257"/>
      <c r="FU96" s="257"/>
      <c r="FV96" s="257"/>
      <c r="FW96" s="257"/>
      <c r="FX96" s="257"/>
      <c r="FY96" s="238"/>
      <c r="FZ96" s="238"/>
      <c r="GA96" s="238"/>
      <c r="GB96" s="238"/>
      <c r="GC96" s="238"/>
      <c r="GD96" s="238"/>
      <c r="GE96" s="238"/>
      <c r="GF96" s="238"/>
      <c r="GG96" s="238"/>
      <c r="GH96" s="238"/>
      <c r="GI96" s="238"/>
      <c r="GJ96" s="238"/>
      <c r="GK96" s="238"/>
      <c r="GL96" s="238"/>
      <c r="GM96" s="238"/>
      <c r="GN96" s="238"/>
      <c r="GO96" s="238"/>
      <c r="GP96" s="238"/>
      <c r="GQ96" s="238"/>
      <c r="GR96" s="238"/>
      <c r="GS96" s="238"/>
      <c r="GT96" s="238"/>
      <c r="GU96" s="238"/>
      <c r="GV96" s="238"/>
      <c r="GW96" s="238"/>
      <c r="GX96" s="238"/>
      <c r="GY96" s="238"/>
      <c r="GZ96" s="238"/>
      <c r="HA96" s="238"/>
      <c r="HB96" s="238"/>
      <c r="HC96" s="238"/>
      <c r="HD96" s="238"/>
      <c r="HE96" s="238"/>
      <c r="HF96" s="238"/>
      <c r="HG96" s="238"/>
      <c r="HH96" s="238"/>
      <c r="HI96" s="238"/>
      <c r="HJ96" s="238"/>
      <c r="HK96" s="238"/>
      <c r="HL96" s="238"/>
      <c r="HM96" s="238"/>
      <c r="HN96" s="238"/>
      <c r="HO96" s="238"/>
      <c r="HP96" s="238"/>
      <c r="HQ96" s="238"/>
      <c r="HR96" s="238"/>
      <c r="HS96" s="238"/>
      <c r="HT96" s="238"/>
      <c r="HU96" s="238"/>
      <c r="HV96" s="238"/>
      <c r="HW96" s="238"/>
      <c r="HX96" s="257"/>
      <c r="HY96" s="257"/>
      <c r="HZ96" s="257"/>
      <c r="IA96" s="257"/>
      <c r="IB96" s="257"/>
      <c r="IC96" s="257"/>
      <c r="ID96" s="257"/>
      <c r="IE96" s="257"/>
      <c r="IF96" s="257"/>
      <c r="IG96" s="257"/>
      <c r="IH96" s="257"/>
      <c r="II96" s="257"/>
      <c r="IJ96" s="257"/>
      <c r="IK96" s="257"/>
      <c r="IL96" s="257"/>
      <c r="IM96" s="257"/>
      <c r="IN96" s="257"/>
      <c r="IO96" s="257"/>
      <c r="IP96" s="257"/>
      <c r="IQ96" s="257"/>
      <c r="IR96" s="257"/>
      <c r="IS96" s="257"/>
      <c r="IT96" s="257"/>
      <c r="IU96" s="257"/>
      <c r="IV96" s="257"/>
      <c r="IW96" s="257"/>
      <c r="IX96" s="257"/>
      <c r="IY96" s="257"/>
      <c r="IZ96" s="257"/>
      <c r="JA96" s="257"/>
      <c r="JB96" s="257"/>
      <c r="JC96" s="257"/>
      <c r="JD96" s="257"/>
      <c r="JE96" s="257"/>
      <c r="JF96" s="238"/>
      <c r="JG96" s="238"/>
      <c r="JH96" s="238"/>
      <c r="JI96" s="238"/>
      <c r="JJ96" s="238"/>
      <c r="JK96" s="238"/>
      <c r="JL96" s="238"/>
      <c r="JM96" s="238"/>
      <c r="JN96" s="238"/>
      <c r="JO96" s="238"/>
      <c r="JP96" s="238"/>
      <c r="JQ96" s="238"/>
      <c r="JR96" s="238"/>
      <c r="JS96" s="238"/>
      <c r="JT96" s="238"/>
      <c r="JU96" s="238"/>
      <c r="JV96" s="238"/>
      <c r="JW96" s="238"/>
      <c r="JX96" s="238"/>
      <c r="JY96" s="238"/>
      <c r="JZ96" s="238"/>
      <c r="KA96" s="238"/>
      <c r="KB96" s="238"/>
      <c r="KC96" s="238"/>
      <c r="KD96" s="238"/>
      <c r="KE96" s="238"/>
      <c r="KF96" s="238"/>
      <c r="KG96" s="238"/>
      <c r="KH96" s="238"/>
      <c r="KI96" s="238"/>
      <c r="KJ96" s="238"/>
      <c r="KK96" s="238"/>
      <c r="KL96" s="238"/>
      <c r="KM96" s="238"/>
      <c r="KN96" s="238"/>
      <c r="KO96" s="238"/>
      <c r="KP96" s="238"/>
      <c r="KQ96" s="238"/>
      <c r="KR96" s="238"/>
      <c r="KS96" s="238"/>
      <c r="KT96" s="238"/>
      <c r="KU96" s="238"/>
      <c r="KV96" s="238"/>
      <c r="KW96" s="238"/>
      <c r="KX96" s="238"/>
      <c r="KY96" s="238"/>
      <c r="KZ96" s="238"/>
      <c r="LA96" s="238"/>
      <c r="LB96" s="238"/>
      <c r="LC96" s="238"/>
      <c r="LD96" s="238"/>
      <c r="LE96" s="238"/>
      <c r="LF96" s="238"/>
      <c r="LG96" s="238"/>
      <c r="LH96" s="238"/>
      <c r="LI96" s="238"/>
      <c r="LJ96" s="238"/>
      <c r="LK96" s="238"/>
      <c r="LL96" s="238"/>
      <c r="LM96" s="238"/>
      <c r="LN96" s="238"/>
      <c r="LO96" s="238"/>
      <c r="LP96" s="238"/>
      <c r="LQ96" s="238"/>
      <c r="LR96" s="238"/>
      <c r="LS96" s="238"/>
      <c r="LT96" s="238"/>
      <c r="LU96" s="238"/>
      <c r="LV96" s="238"/>
      <c r="LW96" s="238"/>
      <c r="LX96" s="238"/>
      <c r="LY96" s="238"/>
      <c r="LZ96" s="238"/>
      <c r="MA96" s="238"/>
      <c r="MB96" s="238"/>
      <c r="MC96" s="238"/>
      <c r="MD96" s="238"/>
      <c r="ME96" s="238"/>
      <c r="MF96" s="238"/>
      <c r="MG96" s="238"/>
      <c r="MH96" s="238"/>
      <c r="MI96" s="238"/>
      <c r="MJ96" s="238"/>
      <c r="MK96" s="238"/>
      <c r="ML96" s="238"/>
    </row>
    <row r="97" ht="18.75" customHeight="1">
      <c r="A97" s="283"/>
      <c r="B97" s="234" t="str">
        <f>'Building Bill of Materials_SLIM'!P97</f>
        <v/>
      </c>
      <c r="C97" s="234" t="str">
        <f>'Building Bill of Materials_SLIM'!Q97</f>
        <v/>
      </c>
      <c r="D97" s="234" t="str">
        <f>'Building Bill of Materials_SLIM'!R97</f>
        <v/>
      </c>
      <c r="E97" s="234" t="str">
        <f>'Building Bill of Materials_SLIM'!S97</f>
        <v/>
      </c>
      <c r="F97" s="234" t="str">
        <f>'Building Bill of Materials_SLIM'!U97</f>
        <v/>
      </c>
      <c r="G97" s="234"/>
      <c r="H97" s="234"/>
      <c r="I97" s="234"/>
      <c r="J97" s="234" t="str">
        <f>'Building Bill of Materials_SLIM'!V97</f>
        <v/>
      </c>
      <c r="K97" s="238"/>
      <c r="L97" s="238"/>
      <c r="M97" s="238"/>
      <c r="N97" s="238"/>
      <c r="O97" s="238"/>
      <c r="P97" s="238"/>
      <c r="Q97" s="238"/>
      <c r="R97" s="238"/>
      <c r="S97" s="238"/>
      <c r="T97" s="238"/>
      <c r="U97" s="238"/>
      <c r="V97" s="238"/>
      <c r="W97" s="238"/>
      <c r="X97" s="238"/>
      <c r="Y97" s="238"/>
      <c r="Z97" s="238"/>
      <c r="AA97" s="192"/>
      <c r="AB97" s="257"/>
      <c r="AC97" s="257"/>
      <c r="AD97" s="257"/>
      <c r="AE97" s="257"/>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38"/>
      <c r="BK97" s="238"/>
      <c r="BL97" s="238"/>
      <c r="BM97" s="238"/>
      <c r="BN97" s="238"/>
      <c r="BO97" s="238"/>
      <c r="BP97" s="238"/>
      <c r="BQ97" s="238"/>
      <c r="BR97" s="238"/>
      <c r="BS97" s="238"/>
      <c r="BT97" s="238"/>
      <c r="BU97" s="238"/>
      <c r="BV97" s="238"/>
      <c r="BW97" s="238"/>
      <c r="BX97" s="238"/>
      <c r="BY97" s="238"/>
      <c r="BZ97" s="238"/>
      <c r="CA97" s="238"/>
      <c r="CB97" s="238"/>
      <c r="CC97" s="238"/>
      <c r="CD97" s="238"/>
      <c r="CE97" s="257"/>
      <c r="CF97" s="257"/>
      <c r="CG97" s="238"/>
      <c r="CH97" s="238"/>
      <c r="CI97" s="238"/>
      <c r="CJ97" s="238"/>
      <c r="CK97" s="238"/>
      <c r="CL97" s="238"/>
      <c r="CM97" s="238"/>
      <c r="CN97" s="238"/>
      <c r="CO97" s="238"/>
      <c r="CP97" s="238"/>
      <c r="CQ97" s="238"/>
      <c r="CR97" s="238"/>
      <c r="CS97" s="238"/>
      <c r="CT97" s="238"/>
      <c r="CU97" s="238"/>
      <c r="CV97" s="238"/>
      <c r="CW97" s="238"/>
      <c r="CX97" s="238"/>
      <c r="CY97" s="238"/>
      <c r="CZ97" s="238"/>
      <c r="DA97" s="238"/>
      <c r="DB97" s="238"/>
      <c r="DC97" s="238"/>
      <c r="DD97" s="238"/>
      <c r="DE97" s="238"/>
      <c r="DF97" s="238"/>
      <c r="DG97" s="257"/>
      <c r="DH97" s="238"/>
      <c r="DI97" s="238"/>
      <c r="DJ97" s="238"/>
      <c r="DK97" s="238"/>
      <c r="DL97" s="238"/>
      <c r="DM97" s="238"/>
      <c r="DN97" s="238"/>
      <c r="DO97" s="238"/>
      <c r="DP97" s="238"/>
      <c r="DQ97" s="238"/>
      <c r="DR97" s="238"/>
      <c r="DS97" s="238"/>
      <c r="DT97" s="238"/>
      <c r="DU97" s="238"/>
      <c r="DV97" s="238"/>
      <c r="DW97" s="238"/>
      <c r="DX97" s="238"/>
      <c r="DY97" s="238"/>
      <c r="DZ97" s="238"/>
      <c r="EA97" s="238"/>
      <c r="EB97" s="238"/>
      <c r="EC97" s="238"/>
      <c r="ED97" s="238"/>
      <c r="EE97" s="238"/>
      <c r="EF97" s="238"/>
      <c r="EG97" s="238"/>
      <c r="EH97" s="238"/>
      <c r="EI97" s="238"/>
      <c r="EJ97" s="238"/>
      <c r="EK97" s="238"/>
      <c r="EL97" s="238"/>
      <c r="EM97" s="238"/>
      <c r="EN97" s="238"/>
      <c r="EO97" s="238"/>
      <c r="EP97" s="238"/>
      <c r="EQ97" s="238"/>
      <c r="ER97" s="238"/>
      <c r="ES97" s="238"/>
      <c r="ET97" s="238"/>
      <c r="EU97" s="238"/>
      <c r="EV97" s="238"/>
      <c r="EW97" s="238"/>
      <c r="EX97" s="238"/>
      <c r="EY97" s="238"/>
      <c r="EZ97" s="238"/>
      <c r="FA97" s="238"/>
      <c r="FB97" s="238"/>
      <c r="FC97" s="238"/>
      <c r="FD97" s="238"/>
      <c r="FE97" s="238"/>
      <c r="FF97" s="238"/>
      <c r="FG97" s="238"/>
      <c r="FH97" s="257"/>
      <c r="FI97" s="257"/>
      <c r="FJ97" s="257"/>
      <c r="FK97" s="257"/>
      <c r="FL97" s="257"/>
      <c r="FM97" s="257"/>
      <c r="FN97" s="257"/>
      <c r="FO97" s="257"/>
      <c r="FP97" s="257"/>
      <c r="FQ97" s="257"/>
      <c r="FR97" s="257"/>
      <c r="FS97" s="257"/>
      <c r="FT97" s="257"/>
      <c r="FU97" s="257"/>
      <c r="FV97" s="257"/>
      <c r="FW97" s="257"/>
      <c r="FX97" s="257"/>
      <c r="FY97" s="238"/>
      <c r="FZ97" s="238"/>
      <c r="GA97" s="238"/>
      <c r="GB97" s="238"/>
      <c r="GC97" s="238"/>
      <c r="GD97" s="238"/>
      <c r="GE97" s="238"/>
      <c r="GF97" s="238"/>
      <c r="GG97" s="238"/>
      <c r="GH97" s="238"/>
      <c r="GI97" s="238"/>
      <c r="GJ97" s="238"/>
      <c r="GK97" s="238"/>
      <c r="GL97" s="238"/>
      <c r="GM97" s="238"/>
      <c r="GN97" s="238"/>
      <c r="GO97" s="238"/>
      <c r="GP97" s="238"/>
      <c r="GQ97" s="238"/>
      <c r="GR97" s="238"/>
      <c r="GS97" s="238"/>
      <c r="GT97" s="238"/>
      <c r="GU97" s="238"/>
      <c r="GV97" s="238"/>
      <c r="GW97" s="238"/>
      <c r="GX97" s="238"/>
      <c r="GY97" s="238"/>
      <c r="GZ97" s="238"/>
      <c r="HA97" s="238"/>
      <c r="HB97" s="238"/>
      <c r="HC97" s="238"/>
      <c r="HD97" s="238"/>
      <c r="HE97" s="238"/>
      <c r="HF97" s="238"/>
      <c r="HG97" s="238"/>
      <c r="HH97" s="238"/>
      <c r="HI97" s="238"/>
      <c r="HJ97" s="238"/>
      <c r="HK97" s="238"/>
      <c r="HL97" s="238"/>
      <c r="HM97" s="238"/>
      <c r="HN97" s="238"/>
      <c r="HO97" s="238"/>
      <c r="HP97" s="238"/>
      <c r="HQ97" s="238"/>
      <c r="HR97" s="238"/>
      <c r="HS97" s="238"/>
      <c r="HT97" s="238"/>
      <c r="HU97" s="238"/>
      <c r="HV97" s="238"/>
      <c r="HW97" s="238"/>
      <c r="HX97" s="257"/>
      <c r="HY97" s="257"/>
      <c r="HZ97" s="257"/>
      <c r="IA97" s="257"/>
      <c r="IB97" s="257"/>
      <c r="IC97" s="257"/>
      <c r="ID97" s="257"/>
      <c r="IE97" s="257"/>
      <c r="IF97" s="257"/>
      <c r="IG97" s="257"/>
      <c r="IH97" s="257"/>
      <c r="II97" s="257"/>
      <c r="IJ97" s="257"/>
      <c r="IK97" s="257"/>
      <c r="IL97" s="257"/>
      <c r="IM97" s="257"/>
      <c r="IN97" s="257"/>
      <c r="IO97" s="257"/>
      <c r="IP97" s="257"/>
      <c r="IQ97" s="257"/>
      <c r="IR97" s="257"/>
      <c r="IS97" s="257"/>
      <c r="IT97" s="257"/>
      <c r="IU97" s="257"/>
      <c r="IV97" s="257"/>
      <c r="IW97" s="257"/>
      <c r="IX97" s="257"/>
      <c r="IY97" s="257"/>
      <c r="IZ97" s="257"/>
      <c r="JA97" s="257"/>
      <c r="JB97" s="257"/>
      <c r="JC97" s="257"/>
      <c r="JD97" s="257"/>
      <c r="JE97" s="257"/>
      <c r="JF97" s="238"/>
      <c r="JG97" s="238"/>
      <c r="JH97" s="238"/>
      <c r="JI97" s="238"/>
      <c r="JJ97" s="238"/>
      <c r="JK97" s="238"/>
      <c r="JL97" s="238"/>
      <c r="JM97" s="238"/>
      <c r="JN97" s="238"/>
      <c r="JO97" s="238"/>
      <c r="JP97" s="238"/>
      <c r="JQ97" s="238"/>
      <c r="JR97" s="238"/>
      <c r="JS97" s="238"/>
      <c r="JT97" s="238"/>
      <c r="JU97" s="238"/>
      <c r="JV97" s="238"/>
      <c r="JW97" s="238"/>
      <c r="JX97" s="238"/>
      <c r="JY97" s="238"/>
      <c r="JZ97" s="238"/>
      <c r="KA97" s="238"/>
      <c r="KB97" s="238"/>
      <c r="KC97" s="238"/>
      <c r="KD97" s="238"/>
      <c r="KE97" s="238"/>
      <c r="KF97" s="238"/>
      <c r="KG97" s="238"/>
      <c r="KH97" s="238"/>
      <c r="KI97" s="238"/>
      <c r="KJ97" s="238"/>
      <c r="KK97" s="238"/>
      <c r="KL97" s="238"/>
      <c r="KM97" s="238"/>
      <c r="KN97" s="238"/>
      <c r="KO97" s="238"/>
      <c r="KP97" s="238"/>
      <c r="KQ97" s="238"/>
      <c r="KR97" s="238"/>
      <c r="KS97" s="238"/>
      <c r="KT97" s="238"/>
      <c r="KU97" s="238"/>
      <c r="KV97" s="238"/>
      <c r="KW97" s="238"/>
      <c r="KX97" s="238"/>
      <c r="KY97" s="238"/>
      <c r="KZ97" s="238"/>
      <c r="LA97" s="238"/>
      <c r="LB97" s="238"/>
      <c r="LC97" s="238"/>
      <c r="LD97" s="238"/>
      <c r="LE97" s="238"/>
      <c r="LF97" s="238"/>
      <c r="LG97" s="238"/>
      <c r="LH97" s="238"/>
      <c r="LI97" s="238"/>
      <c r="LJ97" s="238"/>
      <c r="LK97" s="238"/>
      <c r="LL97" s="238"/>
      <c r="LM97" s="238"/>
      <c r="LN97" s="238"/>
      <c r="LO97" s="238"/>
      <c r="LP97" s="238"/>
      <c r="LQ97" s="238"/>
      <c r="LR97" s="238"/>
      <c r="LS97" s="238"/>
      <c r="LT97" s="238"/>
      <c r="LU97" s="238"/>
      <c r="LV97" s="238"/>
      <c r="LW97" s="238"/>
      <c r="LX97" s="238"/>
      <c r="LY97" s="238"/>
      <c r="LZ97" s="238"/>
      <c r="MA97" s="238"/>
      <c r="MB97" s="238"/>
      <c r="MC97" s="238"/>
      <c r="MD97" s="238"/>
      <c r="ME97" s="238"/>
      <c r="MF97" s="238"/>
      <c r="MG97" s="238"/>
      <c r="MH97" s="238"/>
      <c r="MI97" s="238"/>
      <c r="MJ97" s="238"/>
      <c r="MK97" s="238"/>
      <c r="ML97" s="238"/>
    </row>
    <row r="98" ht="18.75" customHeight="1">
      <c r="A98" s="283"/>
      <c r="B98" s="234" t="str">
        <f>'Building Bill of Materials_SLIM'!P98</f>
        <v/>
      </c>
      <c r="C98" s="234" t="str">
        <f>'Building Bill of Materials_SLIM'!Q98</f>
        <v/>
      </c>
      <c r="D98" s="234" t="str">
        <f>'Building Bill of Materials_SLIM'!R98</f>
        <v/>
      </c>
      <c r="E98" s="234" t="str">
        <f>'Building Bill of Materials_SLIM'!S98</f>
        <v/>
      </c>
      <c r="F98" s="234" t="str">
        <f>'Building Bill of Materials_SLIM'!U98</f>
        <v/>
      </c>
      <c r="G98" s="234"/>
      <c r="H98" s="234"/>
      <c r="I98" s="234"/>
      <c r="J98" s="234" t="str">
        <f>'Building Bill of Materials_SLIM'!V98</f>
        <v/>
      </c>
      <c r="K98" s="238"/>
      <c r="L98" s="238"/>
      <c r="M98" s="238"/>
      <c r="N98" s="238"/>
      <c r="O98" s="238"/>
      <c r="P98" s="238"/>
      <c r="Q98" s="238"/>
      <c r="R98" s="238"/>
      <c r="S98" s="238"/>
      <c r="T98" s="238"/>
      <c r="U98" s="238"/>
      <c r="V98" s="238"/>
      <c r="W98" s="238"/>
      <c r="X98" s="238"/>
      <c r="Y98" s="238"/>
      <c r="Z98" s="238"/>
      <c r="AA98" s="192"/>
      <c r="AB98" s="257"/>
      <c r="AC98" s="257"/>
      <c r="AD98" s="257"/>
      <c r="AE98" s="257"/>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38"/>
      <c r="BK98" s="238"/>
      <c r="BL98" s="238"/>
      <c r="BM98" s="238"/>
      <c r="BN98" s="238"/>
      <c r="BO98" s="238"/>
      <c r="BP98" s="238"/>
      <c r="BQ98" s="238"/>
      <c r="BR98" s="238"/>
      <c r="BS98" s="238"/>
      <c r="BT98" s="238"/>
      <c r="BU98" s="238"/>
      <c r="BV98" s="238"/>
      <c r="BW98" s="238"/>
      <c r="BX98" s="238"/>
      <c r="BY98" s="238"/>
      <c r="BZ98" s="238"/>
      <c r="CA98" s="238"/>
      <c r="CB98" s="238"/>
      <c r="CC98" s="238"/>
      <c r="CD98" s="238"/>
      <c r="CE98" s="257"/>
      <c r="CF98" s="257"/>
      <c r="CG98" s="238"/>
      <c r="CH98" s="238"/>
      <c r="CI98" s="238"/>
      <c r="CJ98" s="238"/>
      <c r="CK98" s="238"/>
      <c r="CL98" s="238"/>
      <c r="CM98" s="238"/>
      <c r="CN98" s="238"/>
      <c r="CO98" s="238"/>
      <c r="CP98" s="238"/>
      <c r="CQ98" s="238"/>
      <c r="CR98" s="238"/>
      <c r="CS98" s="238"/>
      <c r="CT98" s="238"/>
      <c r="CU98" s="238"/>
      <c r="CV98" s="238"/>
      <c r="CW98" s="238"/>
      <c r="CX98" s="238"/>
      <c r="CY98" s="238"/>
      <c r="CZ98" s="238"/>
      <c r="DA98" s="238"/>
      <c r="DB98" s="238"/>
      <c r="DC98" s="238"/>
      <c r="DD98" s="238"/>
      <c r="DE98" s="238"/>
      <c r="DF98" s="238"/>
      <c r="DG98" s="257"/>
      <c r="DH98" s="238"/>
      <c r="DI98" s="238"/>
      <c r="DJ98" s="238"/>
      <c r="DK98" s="238"/>
      <c r="DL98" s="238"/>
      <c r="DM98" s="238"/>
      <c r="DN98" s="238"/>
      <c r="DO98" s="238"/>
      <c r="DP98" s="238"/>
      <c r="DQ98" s="238"/>
      <c r="DR98" s="238"/>
      <c r="DS98" s="238"/>
      <c r="DT98" s="238"/>
      <c r="DU98" s="238"/>
      <c r="DV98" s="238"/>
      <c r="DW98" s="238"/>
      <c r="DX98" s="238"/>
      <c r="DY98" s="238"/>
      <c r="DZ98" s="238"/>
      <c r="EA98" s="238"/>
      <c r="EB98" s="238"/>
      <c r="EC98" s="238"/>
      <c r="ED98" s="238"/>
      <c r="EE98" s="238"/>
      <c r="EF98" s="238"/>
      <c r="EG98" s="238"/>
      <c r="EH98" s="238"/>
      <c r="EI98" s="238"/>
      <c r="EJ98" s="238"/>
      <c r="EK98" s="238"/>
      <c r="EL98" s="238"/>
      <c r="EM98" s="238"/>
      <c r="EN98" s="238"/>
      <c r="EO98" s="238"/>
      <c r="EP98" s="238"/>
      <c r="EQ98" s="238"/>
      <c r="ER98" s="238"/>
      <c r="ES98" s="238"/>
      <c r="ET98" s="238"/>
      <c r="EU98" s="238"/>
      <c r="EV98" s="238"/>
      <c r="EW98" s="238"/>
      <c r="EX98" s="238"/>
      <c r="EY98" s="238"/>
      <c r="EZ98" s="238"/>
      <c r="FA98" s="238"/>
      <c r="FB98" s="238"/>
      <c r="FC98" s="238"/>
      <c r="FD98" s="238"/>
      <c r="FE98" s="238"/>
      <c r="FF98" s="238"/>
      <c r="FG98" s="238"/>
      <c r="FH98" s="257"/>
      <c r="FI98" s="257"/>
      <c r="FJ98" s="257"/>
      <c r="FK98" s="257"/>
      <c r="FL98" s="257"/>
      <c r="FM98" s="257"/>
      <c r="FN98" s="257"/>
      <c r="FO98" s="257"/>
      <c r="FP98" s="257"/>
      <c r="FQ98" s="257"/>
      <c r="FR98" s="257"/>
      <c r="FS98" s="257"/>
      <c r="FT98" s="257"/>
      <c r="FU98" s="257"/>
      <c r="FV98" s="257"/>
      <c r="FW98" s="257"/>
      <c r="FX98" s="257"/>
      <c r="FY98" s="238"/>
      <c r="FZ98" s="238"/>
      <c r="GA98" s="238"/>
      <c r="GB98" s="238"/>
      <c r="GC98" s="238"/>
      <c r="GD98" s="238"/>
      <c r="GE98" s="238"/>
      <c r="GF98" s="238"/>
      <c r="GG98" s="238"/>
      <c r="GH98" s="238"/>
      <c r="GI98" s="238"/>
      <c r="GJ98" s="238"/>
      <c r="GK98" s="238"/>
      <c r="GL98" s="238"/>
      <c r="GM98" s="238"/>
      <c r="GN98" s="238"/>
      <c r="GO98" s="238"/>
      <c r="GP98" s="238"/>
      <c r="GQ98" s="238"/>
      <c r="GR98" s="238"/>
      <c r="GS98" s="238"/>
      <c r="GT98" s="238"/>
      <c r="GU98" s="238"/>
      <c r="GV98" s="238"/>
      <c r="GW98" s="238"/>
      <c r="GX98" s="238"/>
      <c r="GY98" s="238"/>
      <c r="GZ98" s="238"/>
      <c r="HA98" s="238"/>
      <c r="HB98" s="238"/>
      <c r="HC98" s="238"/>
      <c r="HD98" s="238"/>
      <c r="HE98" s="238"/>
      <c r="HF98" s="238"/>
      <c r="HG98" s="238"/>
      <c r="HH98" s="238"/>
      <c r="HI98" s="238"/>
      <c r="HJ98" s="238"/>
      <c r="HK98" s="238"/>
      <c r="HL98" s="238"/>
      <c r="HM98" s="238"/>
      <c r="HN98" s="238"/>
      <c r="HO98" s="238"/>
      <c r="HP98" s="238"/>
      <c r="HQ98" s="238"/>
      <c r="HR98" s="238"/>
      <c r="HS98" s="238"/>
      <c r="HT98" s="238"/>
      <c r="HU98" s="238"/>
      <c r="HV98" s="238"/>
      <c r="HW98" s="238"/>
      <c r="HX98" s="257"/>
      <c r="HY98" s="257"/>
      <c r="HZ98" s="257"/>
      <c r="IA98" s="257"/>
      <c r="IB98" s="257"/>
      <c r="IC98" s="257"/>
      <c r="ID98" s="257"/>
      <c r="IE98" s="257"/>
      <c r="IF98" s="257"/>
      <c r="IG98" s="257"/>
      <c r="IH98" s="257"/>
      <c r="II98" s="257"/>
      <c r="IJ98" s="257"/>
      <c r="IK98" s="257"/>
      <c r="IL98" s="257"/>
      <c r="IM98" s="257"/>
      <c r="IN98" s="257"/>
      <c r="IO98" s="257"/>
      <c r="IP98" s="257"/>
      <c r="IQ98" s="257"/>
      <c r="IR98" s="257"/>
      <c r="IS98" s="257"/>
      <c r="IT98" s="257"/>
      <c r="IU98" s="257"/>
      <c r="IV98" s="257"/>
      <c r="IW98" s="257"/>
      <c r="IX98" s="257"/>
      <c r="IY98" s="257"/>
      <c r="IZ98" s="257"/>
      <c r="JA98" s="257"/>
      <c r="JB98" s="257"/>
      <c r="JC98" s="257"/>
      <c r="JD98" s="257"/>
      <c r="JE98" s="257"/>
      <c r="JF98" s="238"/>
      <c r="JG98" s="238"/>
      <c r="JH98" s="238"/>
      <c r="JI98" s="238"/>
      <c r="JJ98" s="238"/>
      <c r="JK98" s="238"/>
      <c r="JL98" s="238"/>
      <c r="JM98" s="238"/>
      <c r="JN98" s="238"/>
      <c r="JO98" s="238"/>
      <c r="JP98" s="238"/>
      <c r="JQ98" s="238"/>
      <c r="JR98" s="238"/>
      <c r="JS98" s="238"/>
      <c r="JT98" s="238"/>
      <c r="JU98" s="238"/>
      <c r="JV98" s="238"/>
      <c r="JW98" s="238"/>
      <c r="JX98" s="238"/>
      <c r="JY98" s="238"/>
      <c r="JZ98" s="238"/>
      <c r="KA98" s="238"/>
      <c r="KB98" s="238"/>
      <c r="KC98" s="238"/>
      <c r="KD98" s="238"/>
      <c r="KE98" s="238"/>
      <c r="KF98" s="238"/>
      <c r="KG98" s="238"/>
      <c r="KH98" s="238"/>
      <c r="KI98" s="238"/>
      <c r="KJ98" s="238"/>
      <c r="KK98" s="238"/>
      <c r="KL98" s="238"/>
      <c r="KM98" s="238"/>
      <c r="KN98" s="238"/>
      <c r="KO98" s="238"/>
      <c r="KP98" s="238"/>
      <c r="KQ98" s="238"/>
      <c r="KR98" s="238"/>
      <c r="KS98" s="238"/>
      <c r="KT98" s="238"/>
      <c r="KU98" s="238"/>
      <c r="KV98" s="238"/>
      <c r="KW98" s="238"/>
      <c r="KX98" s="238"/>
      <c r="KY98" s="238"/>
      <c r="KZ98" s="238"/>
      <c r="LA98" s="238"/>
      <c r="LB98" s="238"/>
      <c r="LC98" s="238"/>
      <c r="LD98" s="238"/>
      <c r="LE98" s="238"/>
      <c r="LF98" s="238"/>
      <c r="LG98" s="238"/>
      <c r="LH98" s="238"/>
      <c r="LI98" s="238"/>
      <c r="LJ98" s="238"/>
      <c r="LK98" s="238"/>
      <c r="LL98" s="238"/>
      <c r="LM98" s="238"/>
      <c r="LN98" s="238"/>
      <c r="LO98" s="238"/>
      <c r="LP98" s="238"/>
      <c r="LQ98" s="238"/>
      <c r="LR98" s="238"/>
      <c r="LS98" s="238"/>
      <c r="LT98" s="238"/>
      <c r="LU98" s="238"/>
      <c r="LV98" s="238"/>
      <c r="LW98" s="238"/>
      <c r="LX98" s="238"/>
      <c r="LY98" s="238"/>
      <c r="LZ98" s="238"/>
      <c r="MA98" s="238"/>
      <c r="MB98" s="238"/>
      <c r="MC98" s="238"/>
      <c r="MD98" s="238"/>
      <c r="ME98" s="238"/>
      <c r="MF98" s="238"/>
      <c r="MG98" s="238"/>
      <c r="MH98" s="238"/>
      <c r="MI98" s="238"/>
      <c r="MJ98" s="238"/>
      <c r="MK98" s="238"/>
      <c r="ML98" s="238"/>
    </row>
    <row r="99" ht="18.75" customHeight="1">
      <c r="A99" s="283"/>
      <c r="B99" s="234" t="str">
        <f>'Building Bill of Materials_SLIM'!P99</f>
        <v/>
      </c>
      <c r="C99" s="234" t="str">
        <f>'Building Bill of Materials_SLIM'!Q99</f>
        <v/>
      </c>
      <c r="D99" s="234" t="str">
        <f>'Building Bill of Materials_SLIM'!R99</f>
        <v/>
      </c>
      <c r="E99" s="234" t="str">
        <f>'Building Bill of Materials_SLIM'!S99</f>
        <v/>
      </c>
      <c r="F99" s="234" t="str">
        <f>'Building Bill of Materials_SLIM'!U99</f>
        <v/>
      </c>
      <c r="G99" s="234"/>
      <c r="H99" s="234"/>
      <c r="I99" s="234"/>
      <c r="J99" s="234" t="str">
        <f>'Building Bill of Materials_SLIM'!V99</f>
        <v/>
      </c>
      <c r="K99" s="238"/>
      <c r="L99" s="238"/>
      <c r="M99" s="238"/>
      <c r="N99" s="238"/>
      <c r="O99" s="238"/>
      <c r="P99" s="238"/>
      <c r="Q99" s="238"/>
      <c r="R99" s="238"/>
      <c r="S99" s="238"/>
      <c r="T99" s="238"/>
      <c r="U99" s="238"/>
      <c r="V99" s="238"/>
      <c r="W99" s="238"/>
      <c r="X99" s="238"/>
      <c r="Y99" s="238"/>
      <c r="Z99" s="238"/>
      <c r="AA99" s="192"/>
      <c r="AB99" s="257"/>
      <c r="AC99" s="257"/>
      <c r="AD99" s="257"/>
      <c r="AE99" s="257"/>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38"/>
      <c r="BK99" s="238"/>
      <c r="BL99" s="238"/>
      <c r="BM99" s="238"/>
      <c r="BN99" s="238"/>
      <c r="BO99" s="238"/>
      <c r="BP99" s="238"/>
      <c r="BQ99" s="238"/>
      <c r="BR99" s="238"/>
      <c r="BS99" s="238"/>
      <c r="BT99" s="238"/>
      <c r="BU99" s="238"/>
      <c r="BV99" s="238"/>
      <c r="BW99" s="238"/>
      <c r="BX99" s="238"/>
      <c r="BY99" s="238"/>
      <c r="BZ99" s="238"/>
      <c r="CA99" s="238"/>
      <c r="CB99" s="238"/>
      <c r="CC99" s="238"/>
      <c r="CD99" s="238"/>
      <c r="CE99" s="257"/>
      <c r="CF99" s="257"/>
      <c r="CG99" s="238"/>
      <c r="CH99" s="238"/>
      <c r="CI99" s="238"/>
      <c r="CJ99" s="238"/>
      <c r="CK99" s="238"/>
      <c r="CL99" s="238"/>
      <c r="CM99" s="238"/>
      <c r="CN99" s="238"/>
      <c r="CO99" s="238"/>
      <c r="CP99" s="238"/>
      <c r="CQ99" s="238"/>
      <c r="CR99" s="238"/>
      <c r="CS99" s="238"/>
      <c r="CT99" s="238"/>
      <c r="CU99" s="238"/>
      <c r="CV99" s="238"/>
      <c r="CW99" s="238"/>
      <c r="CX99" s="238"/>
      <c r="CY99" s="238"/>
      <c r="CZ99" s="238"/>
      <c r="DA99" s="238"/>
      <c r="DB99" s="238"/>
      <c r="DC99" s="238"/>
      <c r="DD99" s="238"/>
      <c r="DE99" s="238"/>
      <c r="DF99" s="238"/>
      <c r="DG99" s="257"/>
      <c r="DH99" s="238"/>
      <c r="DI99" s="238"/>
      <c r="DJ99" s="238"/>
      <c r="DK99" s="238"/>
      <c r="DL99" s="238"/>
      <c r="DM99" s="238"/>
      <c r="DN99" s="238"/>
      <c r="DO99" s="238"/>
      <c r="DP99" s="238"/>
      <c r="DQ99" s="238"/>
      <c r="DR99" s="238"/>
      <c r="DS99" s="238"/>
      <c r="DT99" s="238"/>
      <c r="DU99" s="238"/>
      <c r="DV99" s="238"/>
      <c r="DW99" s="238"/>
      <c r="DX99" s="238"/>
      <c r="DY99" s="238"/>
      <c r="DZ99" s="238"/>
      <c r="EA99" s="238"/>
      <c r="EB99" s="238"/>
      <c r="EC99" s="238"/>
      <c r="ED99" s="238"/>
      <c r="EE99" s="238"/>
      <c r="EF99" s="238"/>
      <c r="EG99" s="238"/>
      <c r="EH99" s="238"/>
      <c r="EI99" s="238"/>
      <c r="EJ99" s="238"/>
      <c r="EK99" s="238"/>
      <c r="EL99" s="238"/>
      <c r="EM99" s="238"/>
      <c r="EN99" s="238"/>
      <c r="EO99" s="238"/>
      <c r="EP99" s="238"/>
      <c r="EQ99" s="238"/>
      <c r="ER99" s="238"/>
      <c r="ES99" s="238"/>
      <c r="ET99" s="238"/>
      <c r="EU99" s="238"/>
      <c r="EV99" s="238"/>
      <c r="EW99" s="238"/>
      <c r="EX99" s="238"/>
      <c r="EY99" s="238"/>
      <c r="EZ99" s="238"/>
      <c r="FA99" s="238"/>
      <c r="FB99" s="238"/>
      <c r="FC99" s="238"/>
      <c r="FD99" s="238"/>
      <c r="FE99" s="238"/>
      <c r="FF99" s="238"/>
      <c r="FG99" s="238"/>
      <c r="FH99" s="257"/>
      <c r="FI99" s="257"/>
      <c r="FJ99" s="257"/>
      <c r="FK99" s="257"/>
      <c r="FL99" s="257"/>
      <c r="FM99" s="257"/>
      <c r="FN99" s="257"/>
      <c r="FO99" s="257"/>
      <c r="FP99" s="257"/>
      <c r="FQ99" s="257"/>
      <c r="FR99" s="257"/>
      <c r="FS99" s="257"/>
      <c r="FT99" s="257"/>
      <c r="FU99" s="257"/>
      <c r="FV99" s="257"/>
      <c r="FW99" s="257"/>
      <c r="FX99" s="257"/>
      <c r="FY99" s="238"/>
      <c r="FZ99" s="238"/>
      <c r="GA99" s="238"/>
      <c r="GB99" s="238"/>
      <c r="GC99" s="238"/>
      <c r="GD99" s="238"/>
      <c r="GE99" s="238"/>
      <c r="GF99" s="238"/>
      <c r="GG99" s="238"/>
      <c r="GH99" s="238"/>
      <c r="GI99" s="238"/>
      <c r="GJ99" s="238"/>
      <c r="GK99" s="238"/>
      <c r="GL99" s="238"/>
      <c r="GM99" s="238"/>
      <c r="GN99" s="238"/>
      <c r="GO99" s="238"/>
      <c r="GP99" s="238"/>
      <c r="GQ99" s="238"/>
      <c r="GR99" s="238"/>
      <c r="GS99" s="238"/>
      <c r="GT99" s="238"/>
      <c r="GU99" s="238"/>
      <c r="GV99" s="238"/>
      <c r="GW99" s="238"/>
      <c r="GX99" s="238"/>
      <c r="GY99" s="238"/>
      <c r="GZ99" s="238"/>
      <c r="HA99" s="238"/>
      <c r="HB99" s="238"/>
      <c r="HC99" s="238"/>
      <c r="HD99" s="238"/>
      <c r="HE99" s="238"/>
      <c r="HF99" s="238"/>
      <c r="HG99" s="238"/>
      <c r="HH99" s="238"/>
      <c r="HI99" s="238"/>
      <c r="HJ99" s="238"/>
      <c r="HK99" s="238"/>
      <c r="HL99" s="238"/>
      <c r="HM99" s="238"/>
      <c r="HN99" s="238"/>
      <c r="HO99" s="238"/>
      <c r="HP99" s="238"/>
      <c r="HQ99" s="238"/>
      <c r="HR99" s="238"/>
      <c r="HS99" s="238"/>
      <c r="HT99" s="238"/>
      <c r="HU99" s="238"/>
      <c r="HV99" s="238"/>
      <c r="HW99" s="238"/>
      <c r="HX99" s="257"/>
      <c r="HY99" s="257"/>
      <c r="HZ99" s="257"/>
      <c r="IA99" s="257"/>
      <c r="IB99" s="257"/>
      <c r="IC99" s="257"/>
      <c r="ID99" s="257"/>
      <c r="IE99" s="257"/>
      <c r="IF99" s="257"/>
      <c r="IG99" s="257"/>
      <c r="IH99" s="257"/>
      <c r="II99" s="257"/>
      <c r="IJ99" s="257"/>
      <c r="IK99" s="257"/>
      <c r="IL99" s="257"/>
      <c r="IM99" s="257"/>
      <c r="IN99" s="257"/>
      <c r="IO99" s="257"/>
      <c r="IP99" s="257"/>
      <c r="IQ99" s="257"/>
      <c r="IR99" s="257"/>
      <c r="IS99" s="257"/>
      <c r="IT99" s="257"/>
      <c r="IU99" s="257"/>
      <c r="IV99" s="257"/>
      <c r="IW99" s="257"/>
      <c r="IX99" s="257"/>
      <c r="IY99" s="257"/>
      <c r="IZ99" s="257"/>
      <c r="JA99" s="257"/>
      <c r="JB99" s="257"/>
      <c r="JC99" s="257"/>
      <c r="JD99" s="257"/>
      <c r="JE99" s="257"/>
      <c r="JF99" s="238"/>
      <c r="JG99" s="238"/>
      <c r="JH99" s="238"/>
      <c r="JI99" s="238"/>
      <c r="JJ99" s="238"/>
      <c r="JK99" s="238"/>
      <c r="JL99" s="238"/>
      <c r="JM99" s="238"/>
      <c r="JN99" s="238"/>
      <c r="JO99" s="238"/>
      <c r="JP99" s="238"/>
      <c r="JQ99" s="238"/>
      <c r="JR99" s="238"/>
      <c r="JS99" s="238"/>
      <c r="JT99" s="238"/>
      <c r="JU99" s="238"/>
      <c r="JV99" s="238"/>
      <c r="JW99" s="238"/>
      <c r="JX99" s="238"/>
      <c r="JY99" s="238"/>
      <c r="JZ99" s="238"/>
      <c r="KA99" s="238"/>
      <c r="KB99" s="238"/>
      <c r="KC99" s="238"/>
      <c r="KD99" s="238"/>
      <c r="KE99" s="238"/>
      <c r="KF99" s="238"/>
      <c r="KG99" s="238"/>
      <c r="KH99" s="238"/>
      <c r="KI99" s="238"/>
      <c r="KJ99" s="238"/>
      <c r="KK99" s="238"/>
      <c r="KL99" s="238"/>
      <c r="KM99" s="238"/>
      <c r="KN99" s="238"/>
      <c r="KO99" s="238"/>
      <c r="KP99" s="238"/>
      <c r="KQ99" s="238"/>
      <c r="KR99" s="238"/>
      <c r="KS99" s="238"/>
      <c r="KT99" s="238"/>
      <c r="KU99" s="238"/>
      <c r="KV99" s="238"/>
      <c r="KW99" s="238"/>
      <c r="KX99" s="238"/>
      <c r="KY99" s="238"/>
      <c r="KZ99" s="238"/>
      <c r="LA99" s="238"/>
      <c r="LB99" s="238"/>
      <c r="LC99" s="238"/>
      <c r="LD99" s="238"/>
      <c r="LE99" s="238"/>
      <c r="LF99" s="238"/>
      <c r="LG99" s="238"/>
      <c r="LH99" s="238"/>
      <c r="LI99" s="238"/>
      <c r="LJ99" s="238"/>
      <c r="LK99" s="238"/>
      <c r="LL99" s="238"/>
      <c r="LM99" s="238"/>
      <c r="LN99" s="238"/>
      <c r="LO99" s="238"/>
      <c r="LP99" s="238"/>
      <c r="LQ99" s="238"/>
      <c r="LR99" s="238"/>
      <c r="LS99" s="238"/>
      <c r="LT99" s="238"/>
      <c r="LU99" s="238"/>
      <c r="LV99" s="238"/>
      <c r="LW99" s="238"/>
      <c r="LX99" s="238"/>
      <c r="LY99" s="238"/>
      <c r="LZ99" s="238"/>
      <c r="MA99" s="238"/>
      <c r="MB99" s="238"/>
      <c r="MC99" s="238"/>
      <c r="MD99" s="238"/>
      <c r="ME99" s="238"/>
      <c r="MF99" s="238"/>
      <c r="MG99" s="238"/>
      <c r="MH99" s="238"/>
      <c r="MI99" s="238"/>
      <c r="MJ99" s="238"/>
      <c r="MK99" s="238"/>
      <c r="ML99" s="238"/>
    </row>
    <row r="100" ht="18.75" customHeight="1">
      <c r="A100" s="283"/>
      <c r="B100" s="234" t="str">
        <f>'Building Bill of Materials_SLIM'!P100</f>
        <v/>
      </c>
      <c r="C100" s="234" t="str">
        <f>'Building Bill of Materials_SLIM'!Q100</f>
        <v/>
      </c>
      <c r="D100" s="234" t="str">
        <f>'Building Bill of Materials_SLIM'!R100</f>
        <v/>
      </c>
      <c r="E100" s="234" t="str">
        <f>'Building Bill of Materials_SLIM'!S100</f>
        <v/>
      </c>
      <c r="F100" s="234" t="str">
        <f>'Building Bill of Materials_SLIM'!U100</f>
        <v/>
      </c>
      <c r="G100" s="234"/>
      <c r="H100" s="234"/>
      <c r="I100" s="234"/>
      <c r="J100" s="234" t="str">
        <f>'Building Bill of Materials_SLIM'!V100</f>
        <v/>
      </c>
      <c r="K100" s="238"/>
      <c r="L100" s="238"/>
      <c r="M100" s="238"/>
      <c r="N100" s="238"/>
      <c r="O100" s="238"/>
      <c r="P100" s="238"/>
      <c r="Q100" s="238"/>
      <c r="R100" s="238"/>
      <c r="S100" s="238"/>
      <c r="T100" s="238"/>
      <c r="U100" s="238"/>
      <c r="V100" s="238"/>
      <c r="W100" s="238"/>
      <c r="X100" s="238"/>
      <c r="Y100" s="238"/>
      <c r="Z100" s="238"/>
      <c r="AA100" s="192"/>
      <c r="AB100" s="257"/>
      <c r="AC100" s="257"/>
      <c r="AD100" s="257"/>
      <c r="AE100" s="257"/>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38"/>
      <c r="BK100" s="238"/>
      <c r="BL100" s="238"/>
      <c r="BM100" s="238"/>
      <c r="BN100" s="238"/>
      <c r="BO100" s="238"/>
      <c r="BP100" s="238"/>
      <c r="BQ100" s="238"/>
      <c r="BR100" s="238"/>
      <c r="BS100" s="238"/>
      <c r="BT100" s="238"/>
      <c r="BU100" s="238"/>
      <c r="BV100" s="238"/>
      <c r="BW100" s="238"/>
      <c r="BX100" s="238"/>
      <c r="BY100" s="238"/>
      <c r="BZ100" s="238"/>
      <c r="CA100" s="238"/>
      <c r="CB100" s="238"/>
      <c r="CC100" s="238"/>
      <c r="CD100" s="238"/>
      <c r="CE100" s="257"/>
      <c r="CF100" s="257"/>
      <c r="CG100" s="238"/>
      <c r="CH100" s="238"/>
      <c r="CI100" s="238"/>
      <c r="CJ100" s="238"/>
      <c r="CK100" s="238"/>
      <c r="CL100" s="238"/>
      <c r="CM100" s="238"/>
      <c r="CN100" s="238"/>
      <c r="CO100" s="238"/>
      <c r="CP100" s="238"/>
      <c r="CQ100" s="238"/>
      <c r="CR100" s="238"/>
      <c r="CS100" s="238"/>
      <c r="CT100" s="238"/>
      <c r="CU100" s="238"/>
      <c r="CV100" s="238"/>
      <c r="CW100" s="238"/>
      <c r="CX100" s="238"/>
      <c r="CY100" s="238"/>
      <c r="CZ100" s="238"/>
      <c r="DA100" s="238"/>
      <c r="DB100" s="238"/>
      <c r="DC100" s="238"/>
      <c r="DD100" s="238"/>
      <c r="DE100" s="238"/>
      <c r="DF100" s="238"/>
      <c r="DG100" s="257"/>
      <c r="DH100" s="238"/>
      <c r="DI100" s="238"/>
      <c r="DJ100" s="238"/>
      <c r="DK100" s="238"/>
      <c r="DL100" s="238"/>
      <c r="DM100" s="238"/>
      <c r="DN100" s="238"/>
      <c r="DO100" s="238"/>
      <c r="DP100" s="238"/>
      <c r="DQ100" s="238"/>
      <c r="DR100" s="238"/>
      <c r="DS100" s="238"/>
      <c r="DT100" s="238"/>
      <c r="DU100" s="238"/>
      <c r="DV100" s="238"/>
      <c r="DW100" s="238"/>
      <c r="DX100" s="238"/>
      <c r="DY100" s="238"/>
      <c r="DZ100" s="238"/>
      <c r="EA100" s="238"/>
      <c r="EB100" s="238"/>
      <c r="EC100" s="238"/>
      <c r="ED100" s="238"/>
      <c r="EE100" s="238"/>
      <c r="EF100" s="238"/>
      <c r="EG100" s="238"/>
      <c r="EH100" s="238"/>
      <c r="EI100" s="238"/>
      <c r="EJ100" s="238"/>
      <c r="EK100" s="238"/>
      <c r="EL100" s="238"/>
      <c r="EM100" s="238"/>
      <c r="EN100" s="238"/>
      <c r="EO100" s="238"/>
      <c r="EP100" s="238"/>
      <c r="EQ100" s="238"/>
      <c r="ER100" s="238"/>
      <c r="ES100" s="238"/>
      <c r="ET100" s="238"/>
      <c r="EU100" s="238"/>
      <c r="EV100" s="238"/>
      <c r="EW100" s="238"/>
      <c r="EX100" s="238"/>
      <c r="EY100" s="238"/>
      <c r="EZ100" s="238"/>
      <c r="FA100" s="238"/>
      <c r="FB100" s="238"/>
      <c r="FC100" s="238"/>
      <c r="FD100" s="238"/>
      <c r="FE100" s="238"/>
      <c r="FF100" s="238"/>
      <c r="FG100" s="238"/>
      <c r="FH100" s="257"/>
      <c r="FI100" s="257"/>
      <c r="FJ100" s="257"/>
      <c r="FK100" s="257"/>
      <c r="FL100" s="257"/>
      <c r="FM100" s="257"/>
      <c r="FN100" s="257"/>
      <c r="FO100" s="257"/>
      <c r="FP100" s="257"/>
      <c r="FQ100" s="257"/>
      <c r="FR100" s="257"/>
      <c r="FS100" s="257"/>
      <c r="FT100" s="257"/>
      <c r="FU100" s="257"/>
      <c r="FV100" s="257"/>
      <c r="FW100" s="257"/>
      <c r="FX100" s="257"/>
      <c r="FY100" s="238"/>
      <c r="FZ100" s="238"/>
      <c r="GA100" s="238"/>
      <c r="GB100" s="238"/>
      <c r="GC100" s="238"/>
      <c r="GD100" s="238"/>
      <c r="GE100" s="238"/>
      <c r="GF100" s="238"/>
      <c r="GG100" s="238"/>
      <c r="GH100" s="238"/>
      <c r="GI100" s="238"/>
      <c r="GJ100" s="238"/>
      <c r="GK100" s="238"/>
      <c r="GL100" s="238"/>
      <c r="GM100" s="238"/>
      <c r="GN100" s="238"/>
      <c r="GO100" s="238"/>
      <c r="GP100" s="238"/>
      <c r="GQ100" s="238"/>
      <c r="GR100" s="238"/>
      <c r="GS100" s="238"/>
      <c r="GT100" s="238"/>
      <c r="GU100" s="238"/>
      <c r="GV100" s="238"/>
      <c r="GW100" s="238"/>
      <c r="GX100" s="238"/>
      <c r="GY100" s="238"/>
      <c r="GZ100" s="238"/>
      <c r="HA100" s="238"/>
      <c r="HB100" s="238"/>
      <c r="HC100" s="238"/>
      <c r="HD100" s="238"/>
      <c r="HE100" s="238"/>
      <c r="HF100" s="238"/>
      <c r="HG100" s="238"/>
      <c r="HH100" s="238"/>
      <c r="HI100" s="238"/>
      <c r="HJ100" s="238"/>
      <c r="HK100" s="238"/>
      <c r="HL100" s="238"/>
      <c r="HM100" s="238"/>
      <c r="HN100" s="238"/>
      <c r="HO100" s="238"/>
      <c r="HP100" s="238"/>
      <c r="HQ100" s="238"/>
      <c r="HR100" s="238"/>
      <c r="HS100" s="238"/>
      <c r="HT100" s="238"/>
      <c r="HU100" s="238"/>
      <c r="HV100" s="238"/>
      <c r="HW100" s="238"/>
      <c r="HX100" s="257"/>
      <c r="HY100" s="257"/>
      <c r="HZ100" s="257"/>
      <c r="IA100" s="257"/>
      <c r="IB100" s="257"/>
      <c r="IC100" s="257"/>
      <c r="ID100" s="257"/>
      <c r="IE100" s="257"/>
      <c r="IF100" s="257"/>
      <c r="IG100" s="257"/>
      <c r="IH100" s="257"/>
      <c r="II100" s="257"/>
      <c r="IJ100" s="257"/>
      <c r="IK100" s="257"/>
      <c r="IL100" s="257"/>
      <c r="IM100" s="257"/>
      <c r="IN100" s="257"/>
      <c r="IO100" s="257"/>
      <c r="IP100" s="257"/>
      <c r="IQ100" s="257"/>
      <c r="IR100" s="257"/>
      <c r="IS100" s="257"/>
      <c r="IT100" s="257"/>
      <c r="IU100" s="257"/>
      <c r="IV100" s="257"/>
      <c r="IW100" s="257"/>
      <c r="IX100" s="257"/>
      <c r="IY100" s="257"/>
      <c r="IZ100" s="257"/>
      <c r="JA100" s="257"/>
      <c r="JB100" s="257"/>
      <c r="JC100" s="257"/>
      <c r="JD100" s="257"/>
      <c r="JE100" s="257"/>
      <c r="JF100" s="238"/>
      <c r="JG100" s="238"/>
      <c r="JH100" s="238"/>
      <c r="JI100" s="238"/>
      <c r="JJ100" s="238"/>
      <c r="JK100" s="238"/>
      <c r="JL100" s="238"/>
      <c r="JM100" s="238"/>
      <c r="JN100" s="238"/>
      <c r="JO100" s="238"/>
      <c r="JP100" s="238"/>
      <c r="JQ100" s="238"/>
      <c r="JR100" s="238"/>
      <c r="JS100" s="238"/>
      <c r="JT100" s="238"/>
      <c r="JU100" s="238"/>
      <c r="JV100" s="238"/>
      <c r="JW100" s="238"/>
      <c r="JX100" s="238"/>
      <c r="JY100" s="238"/>
      <c r="JZ100" s="238"/>
      <c r="KA100" s="238"/>
      <c r="KB100" s="238"/>
      <c r="KC100" s="238"/>
      <c r="KD100" s="238"/>
      <c r="KE100" s="238"/>
      <c r="KF100" s="238"/>
      <c r="KG100" s="238"/>
      <c r="KH100" s="238"/>
      <c r="KI100" s="238"/>
      <c r="KJ100" s="238"/>
      <c r="KK100" s="238"/>
      <c r="KL100" s="238"/>
      <c r="KM100" s="238"/>
      <c r="KN100" s="238"/>
      <c r="KO100" s="238"/>
      <c r="KP100" s="238"/>
      <c r="KQ100" s="238"/>
      <c r="KR100" s="238"/>
      <c r="KS100" s="238"/>
      <c r="KT100" s="238"/>
      <c r="KU100" s="238"/>
      <c r="KV100" s="238"/>
      <c r="KW100" s="238"/>
      <c r="KX100" s="238"/>
      <c r="KY100" s="238"/>
      <c r="KZ100" s="238"/>
      <c r="LA100" s="238"/>
      <c r="LB100" s="238"/>
      <c r="LC100" s="238"/>
      <c r="LD100" s="238"/>
      <c r="LE100" s="238"/>
      <c r="LF100" s="238"/>
      <c r="LG100" s="238"/>
      <c r="LH100" s="238"/>
      <c r="LI100" s="238"/>
      <c r="LJ100" s="238"/>
      <c r="LK100" s="238"/>
      <c r="LL100" s="238"/>
      <c r="LM100" s="238"/>
      <c r="LN100" s="238"/>
      <c r="LO100" s="238"/>
      <c r="LP100" s="238"/>
      <c r="LQ100" s="238"/>
      <c r="LR100" s="238"/>
      <c r="LS100" s="238"/>
      <c r="LT100" s="238"/>
      <c r="LU100" s="238"/>
      <c r="LV100" s="238"/>
      <c r="LW100" s="238"/>
      <c r="LX100" s="238"/>
      <c r="LY100" s="238"/>
      <c r="LZ100" s="238"/>
      <c r="MA100" s="238"/>
      <c r="MB100" s="238"/>
      <c r="MC100" s="238"/>
      <c r="MD100" s="238"/>
      <c r="ME100" s="238"/>
      <c r="MF100" s="238"/>
      <c r="MG100" s="238"/>
      <c r="MH100" s="238"/>
      <c r="MI100" s="238"/>
      <c r="MJ100" s="238"/>
      <c r="MK100" s="238"/>
      <c r="ML100" s="238"/>
    </row>
    <row r="101" ht="18.75" customHeight="1">
      <c r="A101" s="283"/>
      <c r="B101" s="234" t="str">
        <f>'Building Bill of Materials_SLIM'!P101</f>
        <v/>
      </c>
      <c r="C101" s="234" t="str">
        <f>'Building Bill of Materials_SLIM'!Q101</f>
        <v/>
      </c>
      <c r="D101" s="234" t="str">
        <f>'Building Bill of Materials_SLIM'!R101</f>
        <v/>
      </c>
      <c r="E101" s="234" t="str">
        <f>'Building Bill of Materials_SLIM'!S101</f>
        <v/>
      </c>
      <c r="F101" s="234" t="str">
        <f>'Building Bill of Materials_SLIM'!U101</f>
        <v/>
      </c>
      <c r="G101" s="234"/>
      <c r="H101" s="234"/>
      <c r="I101" s="234"/>
      <c r="J101" s="234" t="str">
        <f>'Building Bill of Materials_SLIM'!V101</f>
        <v/>
      </c>
      <c r="K101" s="238"/>
      <c r="L101" s="238"/>
      <c r="M101" s="238"/>
      <c r="N101" s="238"/>
      <c r="O101" s="238"/>
      <c r="P101" s="238"/>
      <c r="Q101" s="238"/>
      <c r="R101" s="238"/>
      <c r="S101" s="238"/>
      <c r="T101" s="238"/>
      <c r="U101" s="238"/>
      <c r="V101" s="238"/>
      <c r="W101" s="238"/>
      <c r="X101" s="238"/>
      <c r="Y101" s="238"/>
      <c r="Z101" s="238"/>
      <c r="AA101" s="192"/>
      <c r="AB101" s="257"/>
      <c r="AC101" s="257"/>
      <c r="AD101" s="257"/>
      <c r="AE101" s="257"/>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38"/>
      <c r="BK101" s="238"/>
      <c r="BL101" s="238"/>
      <c r="BM101" s="238"/>
      <c r="BN101" s="238"/>
      <c r="BO101" s="238"/>
      <c r="BP101" s="238"/>
      <c r="BQ101" s="238"/>
      <c r="BR101" s="238"/>
      <c r="BS101" s="238"/>
      <c r="BT101" s="238"/>
      <c r="BU101" s="238"/>
      <c r="BV101" s="238"/>
      <c r="BW101" s="238"/>
      <c r="BX101" s="238"/>
      <c r="BY101" s="238"/>
      <c r="BZ101" s="238"/>
      <c r="CA101" s="238"/>
      <c r="CB101" s="238"/>
      <c r="CC101" s="238"/>
      <c r="CD101" s="238"/>
      <c r="CE101" s="257"/>
      <c r="CF101" s="257"/>
      <c r="CG101" s="238"/>
      <c r="CH101" s="238"/>
      <c r="CI101" s="238"/>
      <c r="CJ101" s="238"/>
      <c r="CK101" s="238"/>
      <c r="CL101" s="238"/>
      <c r="CM101" s="238"/>
      <c r="CN101" s="238"/>
      <c r="CO101" s="238"/>
      <c r="CP101" s="238"/>
      <c r="CQ101" s="238"/>
      <c r="CR101" s="238"/>
      <c r="CS101" s="238"/>
      <c r="CT101" s="238"/>
      <c r="CU101" s="238"/>
      <c r="CV101" s="238"/>
      <c r="CW101" s="238"/>
      <c r="CX101" s="238"/>
      <c r="CY101" s="238"/>
      <c r="CZ101" s="238"/>
      <c r="DA101" s="238"/>
      <c r="DB101" s="238"/>
      <c r="DC101" s="238"/>
      <c r="DD101" s="238"/>
      <c r="DE101" s="238"/>
      <c r="DF101" s="238"/>
      <c r="DG101" s="257"/>
      <c r="DH101" s="238"/>
      <c r="DI101" s="238"/>
      <c r="DJ101" s="238"/>
      <c r="DK101" s="238"/>
      <c r="DL101" s="238"/>
      <c r="DM101" s="238"/>
      <c r="DN101" s="238"/>
      <c r="DO101" s="238"/>
      <c r="DP101" s="238"/>
      <c r="DQ101" s="238"/>
      <c r="DR101" s="238"/>
      <c r="DS101" s="238"/>
      <c r="DT101" s="238"/>
      <c r="DU101" s="238"/>
      <c r="DV101" s="238"/>
      <c r="DW101" s="238"/>
      <c r="DX101" s="238"/>
      <c r="DY101" s="238"/>
      <c r="DZ101" s="238"/>
      <c r="EA101" s="238"/>
      <c r="EB101" s="238"/>
      <c r="EC101" s="238"/>
      <c r="ED101" s="238"/>
      <c r="EE101" s="238"/>
      <c r="EF101" s="238"/>
      <c r="EG101" s="238"/>
      <c r="EH101" s="238"/>
      <c r="EI101" s="238"/>
      <c r="EJ101" s="238"/>
      <c r="EK101" s="238"/>
      <c r="EL101" s="238"/>
      <c r="EM101" s="238"/>
      <c r="EN101" s="238"/>
      <c r="EO101" s="238"/>
      <c r="EP101" s="238"/>
      <c r="EQ101" s="238"/>
      <c r="ER101" s="238"/>
      <c r="ES101" s="238"/>
      <c r="ET101" s="238"/>
      <c r="EU101" s="238"/>
      <c r="EV101" s="238"/>
      <c r="EW101" s="238"/>
      <c r="EX101" s="238"/>
      <c r="EY101" s="238"/>
      <c r="EZ101" s="238"/>
      <c r="FA101" s="238"/>
      <c r="FB101" s="238"/>
      <c r="FC101" s="238"/>
      <c r="FD101" s="238"/>
      <c r="FE101" s="238"/>
      <c r="FF101" s="238"/>
      <c r="FG101" s="238"/>
      <c r="FH101" s="257"/>
      <c r="FI101" s="257"/>
      <c r="FJ101" s="257"/>
      <c r="FK101" s="257"/>
      <c r="FL101" s="257"/>
      <c r="FM101" s="257"/>
      <c r="FN101" s="257"/>
      <c r="FO101" s="257"/>
      <c r="FP101" s="257"/>
      <c r="FQ101" s="257"/>
      <c r="FR101" s="257"/>
      <c r="FS101" s="257"/>
      <c r="FT101" s="257"/>
      <c r="FU101" s="257"/>
      <c r="FV101" s="257"/>
      <c r="FW101" s="257"/>
      <c r="FX101" s="257"/>
      <c r="FY101" s="238"/>
      <c r="FZ101" s="238"/>
      <c r="GA101" s="238"/>
      <c r="GB101" s="238"/>
      <c r="GC101" s="238"/>
      <c r="GD101" s="238"/>
      <c r="GE101" s="238"/>
      <c r="GF101" s="238"/>
      <c r="GG101" s="238"/>
      <c r="GH101" s="238"/>
      <c r="GI101" s="238"/>
      <c r="GJ101" s="238"/>
      <c r="GK101" s="238"/>
      <c r="GL101" s="238"/>
      <c r="GM101" s="238"/>
      <c r="GN101" s="238"/>
      <c r="GO101" s="238"/>
      <c r="GP101" s="238"/>
      <c r="GQ101" s="238"/>
      <c r="GR101" s="238"/>
      <c r="GS101" s="238"/>
      <c r="GT101" s="238"/>
      <c r="GU101" s="238"/>
      <c r="GV101" s="238"/>
      <c r="GW101" s="238"/>
      <c r="GX101" s="238"/>
      <c r="GY101" s="238"/>
      <c r="GZ101" s="238"/>
      <c r="HA101" s="238"/>
      <c r="HB101" s="238"/>
      <c r="HC101" s="238"/>
      <c r="HD101" s="238"/>
      <c r="HE101" s="238"/>
      <c r="HF101" s="238"/>
      <c r="HG101" s="238"/>
      <c r="HH101" s="238"/>
      <c r="HI101" s="238"/>
      <c r="HJ101" s="238"/>
      <c r="HK101" s="238"/>
      <c r="HL101" s="238"/>
      <c r="HM101" s="238"/>
      <c r="HN101" s="238"/>
      <c r="HO101" s="238"/>
      <c r="HP101" s="238"/>
      <c r="HQ101" s="238"/>
      <c r="HR101" s="238"/>
      <c r="HS101" s="238"/>
      <c r="HT101" s="238"/>
      <c r="HU101" s="238"/>
      <c r="HV101" s="238"/>
      <c r="HW101" s="238"/>
      <c r="HX101" s="257"/>
      <c r="HY101" s="257"/>
      <c r="HZ101" s="257"/>
      <c r="IA101" s="257"/>
      <c r="IB101" s="257"/>
      <c r="IC101" s="257"/>
      <c r="ID101" s="257"/>
      <c r="IE101" s="257"/>
      <c r="IF101" s="257"/>
      <c r="IG101" s="257"/>
      <c r="IH101" s="257"/>
      <c r="II101" s="257"/>
      <c r="IJ101" s="257"/>
      <c r="IK101" s="257"/>
      <c r="IL101" s="257"/>
      <c r="IM101" s="257"/>
      <c r="IN101" s="257"/>
      <c r="IO101" s="257"/>
      <c r="IP101" s="257"/>
      <c r="IQ101" s="257"/>
      <c r="IR101" s="257"/>
      <c r="IS101" s="257"/>
      <c r="IT101" s="257"/>
      <c r="IU101" s="257"/>
      <c r="IV101" s="257"/>
      <c r="IW101" s="257"/>
      <c r="IX101" s="257"/>
      <c r="IY101" s="257"/>
      <c r="IZ101" s="257"/>
      <c r="JA101" s="257"/>
      <c r="JB101" s="257"/>
      <c r="JC101" s="257"/>
      <c r="JD101" s="257"/>
      <c r="JE101" s="257"/>
      <c r="JF101" s="238"/>
      <c r="JG101" s="238"/>
      <c r="JH101" s="238"/>
      <c r="JI101" s="238"/>
      <c r="JJ101" s="238"/>
      <c r="JK101" s="238"/>
      <c r="JL101" s="238"/>
      <c r="JM101" s="238"/>
      <c r="JN101" s="238"/>
      <c r="JO101" s="238"/>
      <c r="JP101" s="238"/>
      <c r="JQ101" s="238"/>
      <c r="JR101" s="238"/>
      <c r="JS101" s="238"/>
      <c r="JT101" s="238"/>
      <c r="JU101" s="238"/>
      <c r="JV101" s="238"/>
      <c r="JW101" s="238"/>
      <c r="JX101" s="238"/>
      <c r="JY101" s="238"/>
      <c r="JZ101" s="238"/>
      <c r="KA101" s="238"/>
      <c r="KB101" s="238"/>
      <c r="KC101" s="238"/>
      <c r="KD101" s="238"/>
      <c r="KE101" s="238"/>
      <c r="KF101" s="238"/>
      <c r="KG101" s="238"/>
      <c r="KH101" s="238"/>
      <c r="KI101" s="238"/>
      <c r="KJ101" s="238"/>
      <c r="KK101" s="238"/>
      <c r="KL101" s="238"/>
      <c r="KM101" s="238"/>
      <c r="KN101" s="238"/>
      <c r="KO101" s="238"/>
      <c r="KP101" s="238"/>
      <c r="KQ101" s="238"/>
      <c r="KR101" s="238"/>
      <c r="KS101" s="238"/>
      <c r="KT101" s="238"/>
      <c r="KU101" s="238"/>
      <c r="KV101" s="238"/>
      <c r="KW101" s="238"/>
      <c r="KX101" s="238"/>
      <c r="KY101" s="238"/>
      <c r="KZ101" s="238"/>
      <c r="LA101" s="238"/>
      <c r="LB101" s="238"/>
      <c r="LC101" s="238"/>
      <c r="LD101" s="238"/>
      <c r="LE101" s="238"/>
      <c r="LF101" s="238"/>
      <c r="LG101" s="238"/>
      <c r="LH101" s="238"/>
      <c r="LI101" s="238"/>
      <c r="LJ101" s="238"/>
      <c r="LK101" s="238"/>
      <c r="LL101" s="238"/>
      <c r="LM101" s="238"/>
      <c r="LN101" s="238"/>
      <c r="LO101" s="238"/>
      <c r="LP101" s="238"/>
      <c r="LQ101" s="238"/>
      <c r="LR101" s="238"/>
      <c r="LS101" s="238"/>
      <c r="LT101" s="238"/>
      <c r="LU101" s="238"/>
      <c r="LV101" s="238"/>
      <c r="LW101" s="238"/>
      <c r="LX101" s="238"/>
      <c r="LY101" s="238"/>
      <c r="LZ101" s="238"/>
      <c r="MA101" s="238"/>
      <c r="MB101" s="238"/>
      <c r="MC101" s="238"/>
      <c r="MD101" s="238"/>
      <c r="ME101" s="238"/>
      <c r="MF101" s="238"/>
      <c r="MG101" s="238"/>
      <c r="MH101" s="238"/>
      <c r="MI101" s="238"/>
      <c r="MJ101" s="238"/>
      <c r="MK101" s="238"/>
      <c r="ML101" s="238"/>
    </row>
    <row r="102" ht="18.75" customHeight="1">
      <c r="A102" s="283"/>
      <c r="B102" s="234" t="str">
        <f>'Building Bill of Materials_SLIM'!P102</f>
        <v/>
      </c>
      <c r="C102" s="234" t="str">
        <f>'Building Bill of Materials_SLIM'!Q102</f>
        <v/>
      </c>
      <c r="D102" s="234" t="str">
        <f>'Building Bill of Materials_SLIM'!R102</f>
        <v/>
      </c>
      <c r="E102" s="234" t="str">
        <f>'Building Bill of Materials_SLIM'!S102</f>
        <v/>
      </c>
      <c r="F102" s="234" t="str">
        <f>'Building Bill of Materials_SLIM'!U102</f>
        <v/>
      </c>
      <c r="G102" s="234"/>
      <c r="H102" s="234"/>
      <c r="I102" s="234"/>
      <c r="J102" s="234" t="str">
        <f>'Building Bill of Materials_SLIM'!V102</f>
        <v/>
      </c>
      <c r="K102" s="238"/>
      <c r="L102" s="238"/>
      <c r="M102" s="238"/>
      <c r="N102" s="238"/>
      <c r="O102" s="238"/>
      <c r="P102" s="238"/>
      <c r="Q102" s="238"/>
      <c r="R102" s="238"/>
      <c r="S102" s="238"/>
      <c r="T102" s="238"/>
      <c r="U102" s="238"/>
      <c r="V102" s="238"/>
      <c r="W102" s="238"/>
      <c r="X102" s="238"/>
      <c r="Y102" s="238"/>
      <c r="Z102" s="238"/>
      <c r="AA102" s="192"/>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38"/>
      <c r="BK102" s="238"/>
      <c r="BL102" s="238"/>
      <c r="BM102" s="238"/>
      <c r="BN102" s="238"/>
      <c r="BO102" s="238"/>
      <c r="BP102" s="238"/>
      <c r="BQ102" s="238"/>
      <c r="BR102" s="238"/>
      <c r="BS102" s="238"/>
      <c r="BT102" s="238"/>
      <c r="BU102" s="238"/>
      <c r="BV102" s="238"/>
      <c r="BW102" s="238"/>
      <c r="BX102" s="238"/>
      <c r="BY102" s="238"/>
      <c r="BZ102" s="238"/>
      <c r="CA102" s="238"/>
      <c r="CB102" s="238"/>
      <c r="CC102" s="238"/>
      <c r="CD102" s="238"/>
      <c r="CE102" s="257"/>
      <c r="CF102" s="257"/>
      <c r="CG102" s="238"/>
      <c r="CH102" s="238"/>
      <c r="CI102" s="238"/>
      <c r="CJ102" s="238"/>
      <c r="CK102" s="238"/>
      <c r="CL102" s="238"/>
      <c r="CM102" s="238"/>
      <c r="CN102" s="238"/>
      <c r="CO102" s="238"/>
      <c r="CP102" s="238"/>
      <c r="CQ102" s="238"/>
      <c r="CR102" s="238"/>
      <c r="CS102" s="238"/>
      <c r="CT102" s="238"/>
      <c r="CU102" s="238"/>
      <c r="CV102" s="238"/>
      <c r="CW102" s="238"/>
      <c r="CX102" s="238"/>
      <c r="CY102" s="238"/>
      <c r="CZ102" s="238"/>
      <c r="DA102" s="238"/>
      <c r="DB102" s="238"/>
      <c r="DC102" s="238"/>
      <c r="DD102" s="238"/>
      <c r="DE102" s="238"/>
      <c r="DF102" s="238"/>
      <c r="DG102" s="257"/>
      <c r="DH102" s="238"/>
      <c r="DI102" s="238"/>
      <c r="DJ102" s="238"/>
      <c r="DK102" s="238"/>
      <c r="DL102" s="238"/>
      <c r="DM102" s="238"/>
      <c r="DN102" s="238"/>
      <c r="DO102" s="238"/>
      <c r="DP102" s="238"/>
      <c r="DQ102" s="238"/>
      <c r="DR102" s="238"/>
      <c r="DS102" s="238"/>
      <c r="DT102" s="238"/>
      <c r="DU102" s="238"/>
      <c r="DV102" s="238"/>
      <c r="DW102" s="238"/>
      <c r="DX102" s="238"/>
      <c r="DY102" s="238"/>
      <c r="DZ102" s="238"/>
      <c r="EA102" s="238"/>
      <c r="EB102" s="238"/>
      <c r="EC102" s="238"/>
      <c r="ED102" s="238"/>
      <c r="EE102" s="238"/>
      <c r="EF102" s="238"/>
      <c r="EG102" s="238"/>
      <c r="EH102" s="238"/>
      <c r="EI102" s="238"/>
      <c r="EJ102" s="238"/>
      <c r="EK102" s="238"/>
      <c r="EL102" s="238"/>
      <c r="EM102" s="238"/>
      <c r="EN102" s="238"/>
      <c r="EO102" s="238"/>
      <c r="EP102" s="238"/>
      <c r="EQ102" s="238"/>
      <c r="ER102" s="238"/>
      <c r="ES102" s="238"/>
      <c r="ET102" s="238"/>
      <c r="EU102" s="238"/>
      <c r="EV102" s="238"/>
      <c r="EW102" s="238"/>
      <c r="EX102" s="238"/>
      <c r="EY102" s="238"/>
      <c r="EZ102" s="238"/>
      <c r="FA102" s="238"/>
      <c r="FB102" s="238"/>
      <c r="FC102" s="238"/>
      <c r="FD102" s="238"/>
      <c r="FE102" s="238"/>
      <c r="FF102" s="238"/>
      <c r="FG102" s="238"/>
      <c r="FH102" s="257"/>
      <c r="FI102" s="257"/>
      <c r="FJ102" s="257"/>
      <c r="FK102" s="257"/>
      <c r="FL102" s="257"/>
      <c r="FM102" s="257"/>
      <c r="FN102" s="257"/>
      <c r="FO102" s="257"/>
      <c r="FP102" s="257"/>
      <c r="FQ102" s="257"/>
      <c r="FR102" s="257"/>
      <c r="FS102" s="257"/>
      <c r="FT102" s="257"/>
      <c r="FU102" s="257"/>
      <c r="FV102" s="257"/>
      <c r="FW102" s="257"/>
      <c r="FX102" s="257"/>
      <c r="FY102" s="238"/>
      <c r="FZ102" s="238"/>
      <c r="GA102" s="238"/>
      <c r="GB102" s="238"/>
      <c r="GC102" s="238"/>
      <c r="GD102" s="238"/>
      <c r="GE102" s="238"/>
      <c r="GF102" s="238"/>
      <c r="GG102" s="238"/>
      <c r="GH102" s="238"/>
      <c r="GI102" s="238"/>
      <c r="GJ102" s="238"/>
      <c r="GK102" s="238"/>
      <c r="GL102" s="238"/>
      <c r="GM102" s="238"/>
      <c r="GN102" s="238"/>
      <c r="GO102" s="238"/>
      <c r="GP102" s="238"/>
      <c r="GQ102" s="238"/>
      <c r="GR102" s="238"/>
      <c r="GS102" s="238"/>
      <c r="GT102" s="238"/>
      <c r="GU102" s="238"/>
      <c r="GV102" s="238"/>
      <c r="GW102" s="238"/>
      <c r="GX102" s="238"/>
      <c r="GY102" s="238"/>
      <c r="GZ102" s="238"/>
      <c r="HA102" s="238"/>
      <c r="HB102" s="238"/>
      <c r="HC102" s="238"/>
      <c r="HD102" s="238"/>
      <c r="HE102" s="238"/>
      <c r="HF102" s="238"/>
      <c r="HG102" s="238"/>
      <c r="HH102" s="238"/>
      <c r="HI102" s="238"/>
      <c r="HJ102" s="238"/>
      <c r="HK102" s="238"/>
      <c r="HL102" s="238"/>
      <c r="HM102" s="238"/>
      <c r="HN102" s="238"/>
      <c r="HO102" s="238"/>
      <c r="HP102" s="238"/>
      <c r="HQ102" s="238"/>
      <c r="HR102" s="238"/>
      <c r="HS102" s="238"/>
      <c r="HT102" s="238"/>
      <c r="HU102" s="238"/>
      <c r="HV102" s="238"/>
      <c r="HW102" s="238"/>
      <c r="HX102" s="257"/>
      <c r="HY102" s="257"/>
      <c r="HZ102" s="257"/>
      <c r="IA102" s="257"/>
      <c r="IB102" s="257"/>
      <c r="IC102" s="257"/>
      <c r="ID102" s="257"/>
      <c r="IE102" s="257"/>
      <c r="IF102" s="257"/>
      <c r="IG102" s="257"/>
      <c r="IH102" s="257"/>
      <c r="II102" s="257"/>
      <c r="IJ102" s="257"/>
      <c r="IK102" s="257"/>
      <c r="IL102" s="257"/>
      <c r="IM102" s="257"/>
      <c r="IN102" s="257"/>
      <c r="IO102" s="257"/>
      <c r="IP102" s="257"/>
      <c r="IQ102" s="257"/>
      <c r="IR102" s="257"/>
      <c r="IS102" s="257"/>
      <c r="IT102" s="257"/>
      <c r="IU102" s="257"/>
      <c r="IV102" s="257"/>
      <c r="IW102" s="257"/>
      <c r="IX102" s="257"/>
      <c r="IY102" s="257"/>
      <c r="IZ102" s="257"/>
      <c r="JA102" s="257"/>
      <c r="JB102" s="257"/>
      <c r="JC102" s="257"/>
      <c r="JD102" s="257"/>
      <c r="JE102" s="257"/>
      <c r="JF102" s="238"/>
      <c r="JG102" s="238"/>
      <c r="JH102" s="238"/>
      <c r="JI102" s="238"/>
      <c r="JJ102" s="238"/>
      <c r="JK102" s="238"/>
      <c r="JL102" s="238"/>
      <c r="JM102" s="238"/>
      <c r="JN102" s="238"/>
      <c r="JO102" s="238"/>
      <c r="JP102" s="238"/>
      <c r="JQ102" s="238"/>
      <c r="JR102" s="238"/>
      <c r="JS102" s="238"/>
      <c r="JT102" s="238"/>
      <c r="JU102" s="238"/>
      <c r="JV102" s="238"/>
      <c r="JW102" s="238"/>
      <c r="JX102" s="238"/>
      <c r="JY102" s="238"/>
      <c r="JZ102" s="238"/>
      <c r="KA102" s="238"/>
      <c r="KB102" s="238"/>
      <c r="KC102" s="238"/>
      <c r="KD102" s="238"/>
      <c r="KE102" s="238"/>
      <c r="KF102" s="238"/>
      <c r="KG102" s="238"/>
      <c r="KH102" s="238"/>
      <c r="KI102" s="238"/>
      <c r="KJ102" s="238"/>
      <c r="KK102" s="238"/>
      <c r="KL102" s="238"/>
      <c r="KM102" s="238"/>
      <c r="KN102" s="238"/>
      <c r="KO102" s="238"/>
      <c r="KP102" s="238"/>
      <c r="KQ102" s="238"/>
      <c r="KR102" s="238"/>
      <c r="KS102" s="238"/>
      <c r="KT102" s="238"/>
      <c r="KU102" s="238"/>
      <c r="KV102" s="238"/>
      <c r="KW102" s="238"/>
      <c r="KX102" s="238"/>
      <c r="KY102" s="238"/>
      <c r="KZ102" s="238"/>
      <c r="LA102" s="238"/>
      <c r="LB102" s="238"/>
      <c r="LC102" s="238"/>
      <c r="LD102" s="238"/>
      <c r="LE102" s="238"/>
      <c r="LF102" s="238"/>
      <c r="LG102" s="238"/>
      <c r="LH102" s="238"/>
      <c r="LI102" s="238"/>
      <c r="LJ102" s="238"/>
      <c r="LK102" s="238"/>
      <c r="LL102" s="238"/>
      <c r="LM102" s="238"/>
      <c r="LN102" s="238"/>
      <c r="LO102" s="238"/>
      <c r="LP102" s="238"/>
      <c r="LQ102" s="238"/>
      <c r="LR102" s="238"/>
      <c r="LS102" s="238"/>
      <c r="LT102" s="238"/>
      <c r="LU102" s="238"/>
      <c r="LV102" s="238"/>
      <c r="LW102" s="238"/>
      <c r="LX102" s="238"/>
      <c r="LY102" s="238"/>
      <c r="LZ102" s="238"/>
      <c r="MA102" s="238"/>
      <c r="MB102" s="238"/>
      <c r="MC102" s="238"/>
      <c r="MD102" s="238"/>
      <c r="ME102" s="238"/>
      <c r="MF102" s="238"/>
      <c r="MG102" s="238"/>
      <c r="MH102" s="238"/>
      <c r="MI102" s="238"/>
      <c r="MJ102" s="238"/>
      <c r="MK102" s="238"/>
      <c r="ML102" s="238"/>
    </row>
    <row r="103" ht="18.75" customHeight="1">
      <c r="A103" s="283"/>
      <c r="B103" s="234" t="str">
        <f>'Building Bill of Materials_SLIM'!P103</f>
        <v/>
      </c>
      <c r="C103" s="234" t="str">
        <f>'Building Bill of Materials_SLIM'!Q103</f>
        <v/>
      </c>
      <c r="D103" s="234" t="str">
        <f>'Building Bill of Materials_SLIM'!R103</f>
        <v/>
      </c>
      <c r="E103" s="234" t="str">
        <f>'Building Bill of Materials_SLIM'!S103</f>
        <v/>
      </c>
      <c r="F103" s="234" t="str">
        <f>'Building Bill of Materials_SLIM'!U103</f>
        <v/>
      </c>
      <c r="G103" s="234"/>
      <c r="H103" s="234"/>
      <c r="I103" s="234"/>
      <c r="J103" s="234" t="str">
        <f>'Building Bill of Materials_SLIM'!V103</f>
        <v/>
      </c>
      <c r="K103" s="238"/>
      <c r="L103" s="238"/>
      <c r="M103" s="238"/>
      <c r="N103" s="238"/>
      <c r="O103" s="238"/>
      <c r="P103" s="238"/>
      <c r="Q103" s="238"/>
      <c r="R103" s="238"/>
      <c r="S103" s="238"/>
      <c r="T103" s="238"/>
      <c r="U103" s="238"/>
      <c r="V103" s="238"/>
      <c r="W103" s="238"/>
      <c r="X103" s="238"/>
      <c r="Y103" s="238"/>
      <c r="Z103" s="238"/>
      <c r="AA103" s="192"/>
      <c r="AB103" s="257"/>
      <c r="AC103" s="257"/>
      <c r="AD103" s="257"/>
      <c r="AE103" s="257"/>
      <c r="AF103" s="257"/>
      <c r="AG103" s="257"/>
      <c r="AH103" s="257"/>
      <c r="AI103" s="257"/>
      <c r="AJ103" s="257"/>
      <c r="AK103" s="257"/>
      <c r="AL103" s="257"/>
      <c r="AM103" s="257"/>
      <c r="AN103" s="257"/>
      <c r="AO103" s="257"/>
      <c r="AP103" s="257"/>
      <c r="AQ103" s="257"/>
      <c r="AR103" s="257"/>
      <c r="AS103" s="257"/>
      <c r="AT103" s="257"/>
      <c r="AU103" s="257"/>
      <c r="AV103" s="257"/>
      <c r="AW103" s="257"/>
      <c r="AX103" s="257"/>
      <c r="AY103" s="257"/>
      <c r="AZ103" s="257"/>
      <c r="BA103" s="257"/>
      <c r="BB103" s="257"/>
      <c r="BC103" s="257"/>
      <c r="BD103" s="257"/>
      <c r="BE103" s="257"/>
      <c r="BF103" s="257"/>
      <c r="BG103" s="257"/>
      <c r="BH103" s="257"/>
      <c r="BI103" s="257"/>
      <c r="BJ103" s="238"/>
      <c r="BK103" s="238"/>
      <c r="BL103" s="238"/>
      <c r="BM103" s="238"/>
      <c r="BN103" s="238"/>
      <c r="BO103" s="238"/>
      <c r="BP103" s="238"/>
      <c r="BQ103" s="238"/>
      <c r="BR103" s="238"/>
      <c r="BS103" s="238"/>
      <c r="BT103" s="238"/>
      <c r="BU103" s="238"/>
      <c r="BV103" s="238"/>
      <c r="BW103" s="238"/>
      <c r="BX103" s="238"/>
      <c r="BY103" s="238"/>
      <c r="BZ103" s="238"/>
      <c r="CA103" s="238"/>
      <c r="CB103" s="238"/>
      <c r="CC103" s="238"/>
      <c r="CD103" s="238"/>
      <c r="CE103" s="257"/>
      <c r="CF103" s="257"/>
      <c r="CG103" s="238"/>
      <c r="CH103" s="238"/>
      <c r="CI103" s="238"/>
      <c r="CJ103" s="238"/>
      <c r="CK103" s="238"/>
      <c r="CL103" s="238"/>
      <c r="CM103" s="238"/>
      <c r="CN103" s="238"/>
      <c r="CO103" s="238"/>
      <c r="CP103" s="238"/>
      <c r="CQ103" s="238"/>
      <c r="CR103" s="238"/>
      <c r="CS103" s="238"/>
      <c r="CT103" s="238"/>
      <c r="CU103" s="238"/>
      <c r="CV103" s="238"/>
      <c r="CW103" s="238"/>
      <c r="CX103" s="238"/>
      <c r="CY103" s="238"/>
      <c r="CZ103" s="238"/>
      <c r="DA103" s="238"/>
      <c r="DB103" s="238"/>
      <c r="DC103" s="238"/>
      <c r="DD103" s="238"/>
      <c r="DE103" s="238"/>
      <c r="DF103" s="238"/>
      <c r="DG103" s="257"/>
      <c r="DH103" s="238"/>
      <c r="DI103" s="238"/>
      <c r="DJ103" s="238"/>
      <c r="DK103" s="238"/>
      <c r="DL103" s="238"/>
      <c r="DM103" s="238"/>
      <c r="DN103" s="238"/>
      <c r="DO103" s="238"/>
      <c r="DP103" s="238"/>
      <c r="DQ103" s="238"/>
      <c r="DR103" s="238"/>
      <c r="DS103" s="238"/>
      <c r="DT103" s="238"/>
      <c r="DU103" s="238"/>
      <c r="DV103" s="238"/>
      <c r="DW103" s="238"/>
      <c r="DX103" s="238"/>
      <c r="DY103" s="238"/>
      <c r="DZ103" s="238"/>
      <c r="EA103" s="238"/>
      <c r="EB103" s="238"/>
      <c r="EC103" s="238"/>
      <c r="ED103" s="238"/>
      <c r="EE103" s="238"/>
      <c r="EF103" s="238"/>
      <c r="EG103" s="238"/>
      <c r="EH103" s="238"/>
      <c r="EI103" s="238"/>
      <c r="EJ103" s="238"/>
      <c r="EK103" s="238"/>
      <c r="EL103" s="238"/>
      <c r="EM103" s="238"/>
      <c r="EN103" s="238"/>
      <c r="EO103" s="238"/>
      <c r="EP103" s="238"/>
      <c r="EQ103" s="238"/>
      <c r="ER103" s="238"/>
      <c r="ES103" s="238"/>
      <c r="ET103" s="238"/>
      <c r="EU103" s="238"/>
      <c r="EV103" s="238"/>
      <c r="EW103" s="238"/>
      <c r="EX103" s="238"/>
      <c r="EY103" s="238"/>
      <c r="EZ103" s="238"/>
      <c r="FA103" s="238"/>
      <c r="FB103" s="238"/>
      <c r="FC103" s="238"/>
      <c r="FD103" s="238"/>
      <c r="FE103" s="238"/>
      <c r="FF103" s="238"/>
      <c r="FG103" s="238"/>
      <c r="FH103" s="257"/>
      <c r="FI103" s="257"/>
      <c r="FJ103" s="257"/>
      <c r="FK103" s="257"/>
      <c r="FL103" s="257"/>
      <c r="FM103" s="257"/>
      <c r="FN103" s="257"/>
      <c r="FO103" s="257"/>
      <c r="FP103" s="257"/>
      <c r="FQ103" s="257"/>
      <c r="FR103" s="257"/>
      <c r="FS103" s="257"/>
      <c r="FT103" s="257"/>
      <c r="FU103" s="257"/>
      <c r="FV103" s="257"/>
      <c r="FW103" s="257"/>
      <c r="FX103" s="257"/>
      <c r="FY103" s="238"/>
      <c r="FZ103" s="238"/>
      <c r="GA103" s="238"/>
      <c r="GB103" s="238"/>
      <c r="GC103" s="238"/>
      <c r="GD103" s="238"/>
      <c r="GE103" s="238"/>
      <c r="GF103" s="238"/>
      <c r="GG103" s="238"/>
      <c r="GH103" s="238"/>
      <c r="GI103" s="238"/>
      <c r="GJ103" s="238"/>
      <c r="GK103" s="238"/>
      <c r="GL103" s="238"/>
      <c r="GM103" s="238"/>
      <c r="GN103" s="238"/>
      <c r="GO103" s="238"/>
      <c r="GP103" s="238"/>
      <c r="GQ103" s="238"/>
      <c r="GR103" s="238"/>
      <c r="GS103" s="238"/>
      <c r="GT103" s="238"/>
      <c r="GU103" s="238"/>
      <c r="GV103" s="238"/>
      <c r="GW103" s="238"/>
      <c r="GX103" s="238"/>
      <c r="GY103" s="238"/>
      <c r="GZ103" s="238"/>
      <c r="HA103" s="238"/>
      <c r="HB103" s="238"/>
      <c r="HC103" s="238"/>
      <c r="HD103" s="238"/>
      <c r="HE103" s="238"/>
      <c r="HF103" s="238"/>
      <c r="HG103" s="238"/>
      <c r="HH103" s="238"/>
      <c r="HI103" s="238"/>
      <c r="HJ103" s="238"/>
      <c r="HK103" s="238"/>
      <c r="HL103" s="238"/>
      <c r="HM103" s="238"/>
      <c r="HN103" s="238"/>
      <c r="HO103" s="238"/>
      <c r="HP103" s="238"/>
      <c r="HQ103" s="238"/>
      <c r="HR103" s="238"/>
      <c r="HS103" s="238"/>
      <c r="HT103" s="238"/>
      <c r="HU103" s="238"/>
      <c r="HV103" s="238"/>
      <c r="HW103" s="238"/>
      <c r="HX103" s="257"/>
      <c r="HY103" s="257"/>
      <c r="HZ103" s="257"/>
      <c r="IA103" s="257"/>
      <c r="IB103" s="257"/>
      <c r="IC103" s="257"/>
      <c r="ID103" s="257"/>
      <c r="IE103" s="257"/>
      <c r="IF103" s="257"/>
      <c r="IG103" s="257"/>
      <c r="IH103" s="257"/>
      <c r="II103" s="257"/>
      <c r="IJ103" s="257"/>
      <c r="IK103" s="257"/>
      <c r="IL103" s="257"/>
      <c r="IM103" s="257"/>
      <c r="IN103" s="257"/>
      <c r="IO103" s="257"/>
      <c r="IP103" s="257"/>
      <c r="IQ103" s="257"/>
      <c r="IR103" s="257"/>
      <c r="IS103" s="257"/>
      <c r="IT103" s="257"/>
      <c r="IU103" s="257"/>
      <c r="IV103" s="257"/>
      <c r="IW103" s="257"/>
      <c r="IX103" s="257"/>
      <c r="IY103" s="257"/>
      <c r="IZ103" s="257"/>
      <c r="JA103" s="257"/>
      <c r="JB103" s="257"/>
      <c r="JC103" s="257"/>
      <c r="JD103" s="257"/>
      <c r="JE103" s="257"/>
      <c r="JF103" s="238"/>
      <c r="JG103" s="238"/>
      <c r="JH103" s="238"/>
      <c r="JI103" s="238"/>
      <c r="JJ103" s="238"/>
      <c r="JK103" s="238"/>
      <c r="JL103" s="238"/>
      <c r="JM103" s="238"/>
      <c r="JN103" s="238"/>
      <c r="JO103" s="238"/>
      <c r="JP103" s="238"/>
      <c r="JQ103" s="238"/>
      <c r="JR103" s="238"/>
      <c r="JS103" s="238"/>
      <c r="JT103" s="238"/>
      <c r="JU103" s="238"/>
      <c r="JV103" s="238"/>
      <c r="JW103" s="238"/>
      <c r="JX103" s="238"/>
      <c r="JY103" s="238"/>
      <c r="JZ103" s="238"/>
      <c r="KA103" s="238"/>
      <c r="KB103" s="238"/>
      <c r="KC103" s="238"/>
      <c r="KD103" s="238"/>
      <c r="KE103" s="238"/>
      <c r="KF103" s="238"/>
      <c r="KG103" s="238"/>
      <c r="KH103" s="238"/>
      <c r="KI103" s="238"/>
      <c r="KJ103" s="238"/>
      <c r="KK103" s="238"/>
      <c r="KL103" s="238"/>
      <c r="KM103" s="238"/>
      <c r="KN103" s="238"/>
      <c r="KO103" s="238"/>
      <c r="KP103" s="238"/>
      <c r="KQ103" s="238"/>
      <c r="KR103" s="238"/>
      <c r="KS103" s="238"/>
      <c r="KT103" s="238"/>
      <c r="KU103" s="238"/>
      <c r="KV103" s="238"/>
      <c r="KW103" s="238"/>
      <c r="KX103" s="238"/>
      <c r="KY103" s="238"/>
      <c r="KZ103" s="238"/>
      <c r="LA103" s="238"/>
      <c r="LB103" s="238"/>
      <c r="LC103" s="238"/>
      <c r="LD103" s="238"/>
      <c r="LE103" s="238"/>
      <c r="LF103" s="238"/>
      <c r="LG103" s="238"/>
      <c r="LH103" s="238"/>
      <c r="LI103" s="238"/>
      <c r="LJ103" s="238"/>
      <c r="LK103" s="238"/>
      <c r="LL103" s="238"/>
      <c r="LM103" s="238"/>
      <c r="LN103" s="238"/>
      <c r="LO103" s="238"/>
      <c r="LP103" s="238"/>
      <c r="LQ103" s="238"/>
      <c r="LR103" s="238"/>
      <c r="LS103" s="238"/>
      <c r="LT103" s="238"/>
      <c r="LU103" s="238"/>
      <c r="LV103" s="238"/>
      <c r="LW103" s="238"/>
      <c r="LX103" s="238"/>
      <c r="LY103" s="238"/>
      <c r="LZ103" s="238"/>
      <c r="MA103" s="238"/>
      <c r="MB103" s="238"/>
      <c r="MC103" s="238"/>
      <c r="MD103" s="238"/>
      <c r="ME103" s="238"/>
      <c r="MF103" s="238"/>
      <c r="MG103" s="238"/>
      <c r="MH103" s="238"/>
      <c r="MI103" s="238"/>
      <c r="MJ103" s="238"/>
      <c r="MK103" s="238"/>
      <c r="ML103" s="238"/>
    </row>
    <row r="104" ht="18.75" customHeight="1">
      <c r="A104" s="283"/>
      <c r="B104" s="234" t="str">
        <f>'Building Bill of Materials_SLIM'!P104</f>
        <v/>
      </c>
      <c r="C104" s="234" t="str">
        <f>'Building Bill of Materials_SLIM'!Q104</f>
        <v/>
      </c>
      <c r="D104" s="234" t="str">
        <f>'Building Bill of Materials_SLIM'!R104</f>
        <v/>
      </c>
      <c r="E104" s="234" t="str">
        <f>'Building Bill of Materials_SLIM'!S104</f>
        <v/>
      </c>
      <c r="F104" s="234" t="str">
        <f>'Building Bill of Materials_SLIM'!U104</f>
        <v/>
      </c>
      <c r="G104" s="234"/>
      <c r="H104" s="234"/>
      <c r="I104" s="234"/>
      <c r="J104" s="234" t="str">
        <f>'Building Bill of Materials_SLIM'!V104</f>
        <v/>
      </c>
      <c r="K104" s="238"/>
      <c r="L104" s="238"/>
      <c r="M104" s="238"/>
      <c r="N104" s="238"/>
      <c r="O104" s="238"/>
      <c r="P104" s="238"/>
      <c r="Q104" s="238"/>
      <c r="R104" s="238"/>
      <c r="S104" s="238"/>
      <c r="T104" s="238"/>
      <c r="U104" s="238"/>
      <c r="V104" s="238"/>
      <c r="W104" s="238"/>
      <c r="X104" s="238"/>
      <c r="Y104" s="238"/>
      <c r="Z104" s="238"/>
      <c r="AA104" s="192"/>
      <c r="AB104" s="257"/>
      <c r="AC104" s="257"/>
      <c r="AD104" s="257"/>
      <c r="AE104" s="257"/>
      <c r="AF104" s="257"/>
      <c r="AG104" s="257"/>
      <c r="AH104" s="257"/>
      <c r="AI104" s="257"/>
      <c r="AJ104" s="257"/>
      <c r="AK104" s="257"/>
      <c r="AL104" s="257"/>
      <c r="AM104" s="257"/>
      <c r="AN104" s="257"/>
      <c r="AO104" s="257"/>
      <c r="AP104" s="257"/>
      <c r="AQ104" s="257"/>
      <c r="AR104" s="257"/>
      <c r="AS104" s="257"/>
      <c r="AT104" s="257"/>
      <c r="AU104" s="257"/>
      <c r="AV104" s="257"/>
      <c r="AW104" s="257"/>
      <c r="AX104" s="257"/>
      <c r="AY104" s="257"/>
      <c r="AZ104" s="257"/>
      <c r="BA104" s="257"/>
      <c r="BB104" s="257"/>
      <c r="BC104" s="257"/>
      <c r="BD104" s="257"/>
      <c r="BE104" s="257"/>
      <c r="BF104" s="257"/>
      <c r="BG104" s="257"/>
      <c r="BH104" s="257"/>
      <c r="BI104" s="257"/>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57"/>
      <c r="CF104" s="257"/>
      <c r="CG104" s="238"/>
      <c r="CH104" s="238"/>
      <c r="CI104" s="238"/>
      <c r="CJ104" s="238"/>
      <c r="CK104" s="238"/>
      <c r="CL104" s="238"/>
      <c r="CM104" s="238"/>
      <c r="CN104" s="238"/>
      <c r="CO104" s="238"/>
      <c r="CP104" s="238"/>
      <c r="CQ104" s="238"/>
      <c r="CR104" s="238"/>
      <c r="CS104" s="238"/>
      <c r="CT104" s="238"/>
      <c r="CU104" s="238"/>
      <c r="CV104" s="238"/>
      <c r="CW104" s="238"/>
      <c r="CX104" s="238"/>
      <c r="CY104" s="238"/>
      <c r="CZ104" s="238"/>
      <c r="DA104" s="238"/>
      <c r="DB104" s="238"/>
      <c r="DC104" s="238"/>
      <c r="DD104" s="238"/>
      <c r="DE104" s="238"/>
      <c r="DF104" s="238"/>
      <c r="DG104" s="257"/>
      <c r="DH104" s="238"/>
      <c r="DI104" s="238"/>
      <c r="DJ104" s="238"/>
      <c r="DK104" s="238"/>
      <c r="DL104" s="238"/>
      <c r="DM104" s="238"/>
      <c r="DN104" s="238"/>
      <c r="DO104" s="238"/>
      <c r="DP104" s="238"/>
      <c r="DQ104" s="238"/>
      <c r="DR104" s="238"/>
      <c r="DS104" s="238"/>
      <c r="DT104" s="238"/>
      <c r="DU104" s="238"/>
      <c r="DV104" s="238"/>
      <c r="DW104" s="238"/>
      <c r="DX104" s="238"/>
      <c r="DY104" s="238"/>
      <c r="DZ104" s="238"/>
      <c r="EA104" s="238"/>
      <c r="EB104" s="238"/>
      <c r="EC104" s="238"/>
      <c r="ED104" s="238"/>
      <c r="EE104" s="238"/>
      <c r="EF104" s="238"/>
      <c r="EG104" s="238"/>
      <c r="EH104" s="238"/>
      <c r="EI104" s="238"/>
      <c r="EJ104" s="238"/>
      <c r="EK104" s="238"/>
      <c r="EL104" s="238"/>
      <c r="EM104" s="238"/>
      <c r="EN104" s="238"/>
      <c r="EO104" s="238"/>
      <c r="EP104" s="238"/>
      <c r="EQ104" s="238"/>
      <c r="ER104" s="238"/>
      <c r="ES104" s="238"/>
      <c r="ET104" s="238"/>
      <c r="EU104" s="238"/>
      <c r="EV104" s="238"/>
      <c r="EW104" s="238"/>
      <c r="EX104" s="238"/>
      <c r="EY104" s="238"/>
      <c r="EZ104" s="238"/>
      <c r="FA104" s="238"/>
      <c r="FB104" s="238"/>
      <c r="FC104" s="238"/>
      <c r="FD104" s="238"/>
      <c r="FE104" s="238"/>
      <c r="FF104" s="238"/>
      <c r="FG104" s="238"/>
      <c r="FH104" s="257"/>
      <c r="FI104" s="257"/>
      <c r="FJ104" s="257"/>
      <c r="FK104" s="257"/>
      <c r="FL104" s="257"/>
      <c r="FM104" s="257"/>
      <c r="FN104" s="257"/>
      <c r="FO104" s="257"/>
      <c r="FP104" s="257"/>
      <c r="FQ104" s="257"/>
      <c r="FR104" s="257"/>
      <c r="FS104" s="257"/>
      <c r="FT104" s="257"/>
      <c r="FU104" s="257"/>
      <c r="FV104" s="257"/>
      <c r="FW104" s="257"/>
      <c r="FX104" s="257"/>
      <c r="FY104" s="238"/>
      <c r="FZ104" s="238"/>
      <c r="GA104" s="238"/>
      <c r="GB104" s="238"/>
      <c r="GC104" s="238"/>
      <c r="GD104" s="238"/>
      <c r="GE104" s="238"/>
      <c r="GF104" s="238"/>
      <c r="GG104" s="238"/>
      <c r="GH104" s="238"/>
      <c r="GI104" s="238"/>
      <c r="GJ104" s="238"/>
      <c r="GK104" s="238"/>
      <c r="GL104" s="238"/>
      <c r="GM104" s="238"/>
      <c r="GN104" s="238"/>
      <c r="GO104" s="238"/>
      <c r="GP104" s="238"/>
      <c r="GQ104" s="238"/>
      <c r="GR104" s="238"/>
      <c r="GS104" s="238"/>
      <c r="GT104" s="238"/>
      <c r="GU104" s="238"/>
      <c r="GV104" s="238"/>
      <c r="GW104" s="238"/>
      <c r="GX104" s="238"/>
      <c r="GY104" s="238"/>
      <c r="GZ104" s="238"/>
      <c r="HA104" s="238"/>
      <c r="HB104" s="238"/>
      <c r="HC104" s="238"/>
      <c r="HD104" s="238"/>
      <c r="HE104" s="238"/>
      <c r="HF104" s="238"/>
      <c r="HG104" s="238"/>
      <c r="HH104" s="238"/>
      <c r="HI104" s="238"/>
      <c r="HJ104" s="238"/>
      <c r="HK104" s="238"/>
      <c r="HL104" s="238"/>
      <c r="HM104" s="238"/>
      <c r="HN104" s="238"/>
      <c r="HO104" s="238"/>
      <c r="HP104" s="238"/>
      <c r="HQ104" s="238"/>
      <c r="HR104" s="238"/>
      <c r="HS104" s="238"/>
      <c r="HT104" s="238"/>
      <c r="HU104" s="238"/>
      <c r="HV104" s="238"/>
      <c r="HW104" s="238"/>
      <c r="HX104" s="257"/>
      <c r="HY104" s="257"/>
      <c r="HZ104" s="257"/>
      <c r="IA104" s="257"/>
      <c r="IB104" s="257"/>
      <c r="IC104" s="257"/>
      <c r="ID104" s="257"/>
      <c r="IE104" s="257"/>
      <c r="IF104" s="257"/>
      <c r="IG104" s="257"/>
      <c r="IH104" s="257"/>
      <c r="II104" s="257"/>
      <c r="IJ104" s="257"/>
      <c r="IK104" s="257"/>
      <c r="IL104" s="257"/>
      <c r="IM104" s="257"/>
      <c r="IN104" s="257"/>
      <c r="IO104" s="257"/>
      <c r="IP104" s="257"/>
      <c r="IQ104" s="257"/>
      <c r="IR104" s="257"/>
      <c r="IS104" s="257"/>
      <c r="IT104" s="257"/>
      <c r="IU104" s="257"/>
      <c r="IV104" s="257"/>
      <c r="IW104" s="257"/>
      <c r="IX104" s="257"/>
      <c r="IY104" s="257"/>
      <c r="IZ104" s="257"/>
      <c r="JA104" s="257"/>
      <c r="JB104" s="257"/>
      <c r="JC104" s="257"/>
      <c r="JD104" s="257"/>
      <c r="JE104" s="257"/>
      <c r="JF104" s="238"/>
      <c r="JG104" s="238"/>
      <c r="JH104" s="238"/>
      <c r="JI104" s="238"/>
      <c r="JJ104" s="238"/>
      <c r="JK104" s="238"/>
      <c r="JL104" s="238"/>
      <c r="JM104" s="238"/>
      <c r="JN104" s="238"/>
      <c r="JO104" s="238"/>
      <c r="JP104" s="238"/>
      <c r="JQ104" s="238"/>
      <c r="JR104" s="238"/>
      <c r="JS104" s="238"/>
      <c r="JT104" s="238"/>
      <c r="JU104" s="238"/>
      <c r="JV104" s="238"/>
      <c r="JW104" s="238"/>
      <c r="JX104" s="238"/>
      <c r="JY104" s="238"/>
      <c r="JZ104" s="238"/>
      <c r="KA104" s="238"/>
      <c r="KB104" s="238"/>
      <c r="KC104" s="238"/>
      <c r="KD104" s="238"/>
      <c r="KE104" s="238"/>
      <c r="KF104" s="238"/>
      <c r="KG104" s="238"/>
      <c r="KH104" s="238"/>
      <c r="KI104" s="238"/>
      <c r="KJ104" s="238"/>
      <c r="KK104" s="238"/>
      <c r="KL104" s="238"/>
      <c r="KM104" s="238"/>
      <c r="KN104" s="238"/>
      <c r="KO104" s="238"/>
      <c r="KP104" s="238"/>
      <c r="KQ104" s="238"/>
      <c r="KR104" s="238"/>
      <c r="KS104" s="238"/>
      <c r="KT104" s="238"/>
      <c r="KU104" s="238"/>
      <c r="KV104" s="238"/>
      <c r="KW104" s="238"/>
      <c r="KX104" s="238"/>
      <c r="KY104" s="238"/>
      <c r="KZ104" s="238"/>
      <c r="LA104" s="238"/>
      <c r="LB104" s="238"/>
      <c r="LC104" s="238"/>
      <c r="LD104" s="238"/>
      <c r="LE104" s="238"/>
      <c r="LF104" s="238"/>
      <c r="LG104" s="238"/>
      <c r="LH104" s="238"/>
      <c r="LI104" s="238"/>
      <c r="LJ104" s="238"/>
      <c r="LK104" s="238"/>
      <c r="LL104" s="238"/>
      <c r="LM104" s="238"/>
      <c r="LN104" s="238"/>
      <c r="LO104" s="238"/>
      <c r="LP104" s="238"/>
      <c r="LQ104" s="238"/>
      <c r="LR104" s="238"/>
      <c r="LS104" s="238"/>
      <c r="LT104" s="238"/>
      <c r="LU104" s="238"/>
      <c r="LV104" s="238"/>
      <c r="LW104" s="238"/>
      <c r="LX104" s="238"/>
      <c r="LY104" s="238"/>
      <c r="LZ104" s="238"/>
      <c r="MA104" s="238"/>
      <c r="MB104" s="238"/>
      <c r="MC104" s="238"/>
      <c r="MD104" s="238"/>
      <c r="ME104" s="238"/>
      <c r="MF104" s="238"/>
      <c r="MG104" s="238"/>
      <c r="MH104" s="238"/>
      <c r="MI104" s="238"/>
      <c r="MJ104" s="238"/>
      <c r="MK104" s="238"/>
      <c r="ML104" s="238"/>
    </row>
    <row r="105" ht="18.75" customHeight="1">
      <c r="A105" s="283"/>
      <c r="B105" s="234" t="str">
        <f>'Building Bill of Materials_SLIM'!P105</f>
        <v/>
      </c>
      <c r="C105" s="234" t="str">
        <f>'Building Bill of Materials_SLIM'!Q105</f>
        <v/>
      </c>
      <c r="D105" s="234" t="str">
        <f>'Building Bill of Materials_SLIM'!R105</f>
        <v/>
      </c>
      <c r="E105" s="234" t="str">
        <f>'Building Bill of Materials_SLIM'!S105</f>
        <v/>
      </c>
      <c r="F105" s="234" t="str">
        <f>'Building Bill of Materials_SLIM'!U105</f>
        <v/>
      </c>
      <c r="G105" s="234"/>
      <c r="H105" s="234"/>
      <c r="I105" s="234"/>
      <c r="J105" s="234" t="str">
        <f>'Building Bill of Materials_SLIM'!V105</f>
        <v/>
      </c>
      <c r="K105" s="238"/>
      <c r="L105" s="238"/>
      <c r="M105" s="238"/>
      <c r="N105" s="238"/>
      <c r="O105" s="238"/>
      <c r="P105" s="238"/>
      <c r="Q105" s="238"/>
      <c r="R105" s="238"/>
      <c r="S105" s="238"/>
      <c r="T105" s="238"/>
      <c r="U105" s="238"/>
      <c r="V105" s="238"/>
      <c r="W105" s="238"/>
      <c r="X105" s="238"/>
      <c r="Y105" s="238"/>
      <c r="Z105" s="238"/>
      <c r="AA105" s="192"/>
      <c r="AB105" s="257"/>
      <c r="AC105" s="257"/>
      <c r="AD105" s="257"/>
      <c r="AE105" s="257"/>
      <c r="AF105" s="257"/>
      <c r="AG105" s="257"/>
      <c r="AH105" s="257"/>
      <c r="AI105" s="257"/>
      <c r="AJ105" s="257"/>
      <c r="AK105" s="257"/>
      <c r="AL105" s="257"/>
      <c r="AM105" s="257"/>
      <c r="AN105" s="257"/>
      <c r="AO105" s="257"/>
      <c r="AP105" s="257"/>
      <c r="AQ105" s="257"/>
      <c r="AR105" s="257"/>
      <c r="AS105" s="257"/>
      <c r="AT105" s="257"/>
      <c r="AU105" s="257"/>
      <c r="AV105" s="257"/>
      <c r="AW105" s="257"/>
      <c r="AX105" s="257"/>
      <c r="AY105" s="257"/>
      <c r="AZ105" s="257"/>
      <c r="BA105" s="257"/>
      <c r="BB105" s="257"/>
      <c r="BC105" s="257"/>
      <c r="BD105" s="257"/>
      <c r="BE105" s="257"/>
      <c r="BF105" s="257"/>
      <c r="BG105" s="257"/>
      <c r="BH105" s="257"/>
      <c r="BI105" s="257"/>
      <c r="BJ105" s="238"/>
      <c r="BK105" s="238"/>
      <c r="BL105" s="238"/>
      <c r="BM105" s="238"/>
      <c r="BN105" s="238"/>
      <c r="BO105" s="238"/>
      <c r="BP105" s="238"/>
      <c r="BQ105" s="238"/>
      <c r="BR105" s="238"/>
      <c r="BS105" s="238"/>
      <c r="BT105" s="238"/>
      <c r="BU105" s="238"/>
      <c r="BV105" s="238"/>
      <c r="BW105" s="238"/>
      <c r="BX105" s="238"/>
      <c r="BY105" s="238"/>
      <c r="BZ105" s="238"/>
      <c r="CA105" s="238"/>
      <c r="CB105" s="238"/>
      <c r="CC105" s="238"/>
      <c r="CD105" s="238"/>
      <c r="CE105" s="257"/>
      <c r="CF105" s="257"/>
      <c r="CG105" s="238"/>
      <c r="CH105" s="238"/>
      <c r="CI105" s="238"/>
      <c r="CJ105" s="238"/>
      <c r="CK105" s="238"/>
      <c r="CL105" s="238"/>
      <c r="CM105" s="238"/>
      <c r="CN105" s="238"/>
      <c r="CO105" s="238"/>
      <c r="CP105" s="238"/>
      <c r="CQ105" s="238"/>
      <c r="CR105" s="238"/>
      <c r="CS105" s="238"/>
      <c r="CT105" s="238"/>
      <c r="CU105" s="238"/>
      <c r="CV105" s="238"/>
      <c r="CW105" s="238"/>
      <c r="CX105" s="238"/>
      <c r="CY105" s="238"/>
      <c r="CZ105" s="238"/>
      <c r="DA105" s="238"/>
      <c r="DB105" s="238"/>
      <c r="DC105" s="238"/>
      <c r="DD105" s="238"/>
      <c r="DE105" s="238"/>
      <c r="DF105" s="238"/>
      <c r="DG105" s="257"/>
      <c r="DH105" s="238"/>
      <c r="DI105" s="238"/>
      <c r="DJ105" s="238"/>
      <c r="DK105" s="238"/>
      <c r="DL105" s="238"/>
      <c r="DM105" s="238"/>
      <c r="DN105" s="238"/>
      <c r="DO105" s="238"/>
      <c r="DP105" s="238"/>
      <c r="DQ105" s="238"/>
      <c r="DR105" s="238"/>
      <c r="DS105" s="238"/>
      <c r="DT105" s="238"/>
      <c r="DU105" s="238"/>
      <c r="DV105" s="238"/>
      <c r="DW105" s="238"/>
      <c r="DX105" s="238"/>
      <c r="DY105" s="238"/>
      <c r="DZ105" s="238"/>
      <c r="EA105" s="238"/>
      <c r="EB105" s="238"/>
      <c r="EC105" s="238"/>
      <c r="ED105" s="238"/>
      <c r="EE105" s="238"/>
      <c r="EF105" s="238"/>
      <c r="EG105" s="238"/>
      <c r="EH105" s="238"/>
      <c r="EI105" s="238"/>
      <c r="EJ105" s="238"/>
      <c r="EK105" s="238"/>
      <c r="EL105" s="238"/>
      <c r="EM105" s="238"/>
      <c r="EN105" s="238"/>
      <c r="EO105" s="238"/>
      <c r="EP105" s="238"/>
      <c r="EQ105" s="238"/>
      <c r="ER105" s="238"/>
      <c r="ES105" s="238"/>
      <c r="ET105" s="238"/>
      <c r="EU105" s="238"/>
      <c r="EV105" s="238"/>
      <c r="EW105" s="238"/>
      <c r="EX105" s="238"/>
      <c r="EY105" s="238"/>
      <c r="EZ105" s="238"/>
      <c r="FA105" s="238"/>
      <c r="FB105" s="238"/>
      <c r="FC105" s="238"/>
      <c r="FD105" s="238"/>
      <c r="FE105" s="238"/>
      <c r="FF105" s="238"/>
      <c r="FG105" s="238"/>
      <c r="FH105" s="257"/>
      <c r="FI105" s="257"/>
      <c r="FJ105" s="257"/>
      <c r="FK105" s="257"/>
      <c r="FL105" s="257"/>
      <c r="FM105" s="257"/>
      <c r="FN105" s="257"/>
      <c r="FO105" s="257"/>
      <c r="FP105" s="257"/>
      <c r="FQ105" s="257"/>
      <c r="FR105" s="257"/>
      <c r="FS105" s="257"/>
      <c r="FT105" s="257"/>
      <c r="FU105" s="257"/>
      <c r="FV105" s="257"/>
      <c r="FW105" s="257"/>
      <c r="FX105" s="257"/>
      <c r="FY105" s="238"/>
      <c r="FZ105" s="238"/>
      <c r="GA105" s="238"/>
      <c r="GB105" s="238"/>
      <c r="GC105" s="238"/>
      <c r="GD105" s="238"/>
      <c r="GE105" s="238"/>
      <c r="GF105" s="238"/>
      <c r="GG105" s="238"/>
      <c r="GH105" s="238"/>
      <c r="GI105" s="238"/>
      <c r="GJ105" s="238"/>
      <c r="GK105" s="238"/>
      <c r="GL105" s="238"/>
      <c r="GM105" s="238"/>
      <c r="GN105" s="238"/>
      <c r="GO105" s="238"/>
      <c r="GP105" s="238"/>
      <c r="GQ105" s="238"/>
      <c r="GR105" s="238"/>
      <c r="GS105" s="238"/>
      <c r="GT105" s="238"/>
      <c r="GU105" s="238"/>
      <c r="GV105" s="238"/>
      <c r="GW105" s="238"/>
      <c r="GX105" s="238"/>
      <c r="GY105" s="238"/>
      <c r="GZ105" s="238"/>
      <c r="HA105" s="238"/>
      <c r="HB105" s="238"/>
      <c r="HC105" s="238"/>
      <c r="HD105" s="238"/>
      <c r="HE105" s="238"/>
      <c r="HF105" s="238"/>
      <c r="HG105" s="238"/>
      <c r="HH105" s="238"/>
      <c r="HI105" s="238"/>
      <c r="HJ105" s="238"/>
      <c r="HK105" s="238"/>
      <c r="HL105" s="238"/>
      <c r="HM105" s="238"/>
      <c r="HN105" s="238"/>
      <c r="HO105" s="238"/>
      <c r="HP105" s="238"/>
      <c r="HQ105" s="238"/>
      <c r="HR105" s="238"/>
      <c r="HS105" s="238"/>
      <c r="HT105" s="238"/>
      <c r="HU105" s="238"/>
      <c r="HV105" s="238"/>
      <c r="HW105" s="238"/>
      <c r="HX105" s="257"/>
      <c r="HY105" s="257"/>
      <c r="HZ105" s="257"/>
      <c r="IA105" s="257"/>
      <c r="IB105" s="257"/>
      <c r="IC105" s="257"/>
      <c r="ID105" s="257"/>
      <c r="IE105" s="257"/>
      <c r="IF105" s="257"/>
      <c r="IG105" s="257"/>
      <c r="IH105" s="257"/>
      <c r="II105" s="257"/>
      <c r="IJ105" s="257"/>
      <c r="IK105" s="257"/>
      <c r="IL105" s="257"/>
      <c r="IM105" s="257"/>
      <c r="IN105" s="257"/>
      <c r="IO105" s="257"/>
      <c r="IP105" s="257"/>
      <c r="IQ105" s="257"/>
      <c r="IR105" s="257"/>
      <c r="IS105" s="257"/>
      <c r="IT105" s="257"/>
      <c r="IU105" s="257"/>
      <c r="IV105" s="257"/>
      <c r="IW105" s="257"/>
      <c r="IX105" s="257"/>
      <c r="IY105" s="257"/>
      <c r="IZ105" s="257"/>
      <c r="JA105" s="257"/>
      <c r="JB105" s="257"/>
      <c r="JC105" s="257"/>
      <c r="JD105" s="257"/>
      <c r="JE105" s="257"/>
      <c r="JF105" s="238"/>
      <c r="JG105" s="238"/>
      <c r="JH105" s="238"/>
      <c r="JI105" s="238"/>
      <c r="JJ105" s="238"/>
      <c r="JK105" s="238"/>
      <c r="JL105" s="238"/>
      <c r="JM105" s="238"/>
      <c r="JN105" s="238"/>
      <c r="JO105" s="238"/>
      <c r="JP105" s="238"/>
      <c r="JQ105" s="238"/>
      <c r="JR105" s="238"/>
      <c r="JS105" s="238"/>
      <c r="JT105" s="238"/>
      <c r="JU105" s="238"/>
      <c r="JV105" s="238"/>
      <c r="JW105" s="238"/>
      <c r="JX105" s="238"/>
      <c r="JY105" s="238"/>
      <c r="JZ105" s="238"/>
      <c r="KA105" s="238"/>
      <c r="KB105" s="238"/>
      <c r="KC105" s="238"/>
      <c r="KD105" s="238"/>
      <c r="KE105" s="238"/>
      <c r="KF105" s="238"/>
      <c r="KG105" s="238"/>
      <c r="KH105" s="238"/>
      <c r="KI105" s="238"/>
      <c r="KJ105" s="238"/>
      <c r="KK105" s="238"/>
      <c r="KL105" s="238"/>
      <c r="KM105" s="238"/>
      <c r="KN105" s="238"/>
      <c r="KO105" s="238"/>
      <c r="KP105" s="238"/>
      <c r="KQ105" s="238"/>
      <c r="KR105" s="238"/>
      <c r="KS105" s="238"/>
      <c r="KT105" s="238"/>
      <c r="KU105" s="238"/>
      <c r="KV105" s="238"/>
      <c r="KW105" s="238"/>
      <c r="KX105" s="238"/>
      <c r="KY105" s="238"/>
      <c r="KZ105" s="238"/>
      <c r="LA105" s="238"/>
      <c r="LB105" s="238"/>
      <c r="LC105" s="238"/>
      <c r="LD105" s="238"/>
      <c r="LE105" s="238"/>
      <c r="LF105" s="238"/>
      <c r="LG105" s="238"/>
      <c r="LH105" s="238"/>
      <c r="LI105" s="238"/>
      <c r="LJ105" s="238"/>
      <c r="LK105" s="238"/>
      <c r="LL105" s="238"/>
      <c r="LM105" s="238"/>
      <c r="LN105" s="238"/>
      <c r="LO105" s="238"/>
      <c r="LP105" s="238"/>
      <c r="LQ105" s="238"/>
      <c r="LR105" s="238"/>
      <c r="LS105" s="238"/>
      <c r="LT105" s="238"/>
      <c r="LU105" s="238"/>
      <c r="LV105" s="238"/>
      <c r="LW105" s="238"/>
      <c r="LX105" s="238"/>
      <c r="LY105" s="238"/>
      <c r="LZ105" s="238"/>
      <c r="MA105" s="238"/>
      <c r="MB105" s="238"/>
      <c r="MC105" s="238"/>
      <c r="MD105" s="238"/>
      <c r="ME105" s="238"/>
      <c r="MF105" s="238"/>
      <c r="MG105" s="238"/>
      <c r="MH105" s="238"/>
      <c r="MI105" s="238"/>
      <c r="MJ105" s="238"/>
      <c r="MK105" s="238"/>
      <c r="ML105" s="238"/>
    </row>
    <row r="106" ht="18.75" customHeight="1">
      <c r="A106" s="283"/>
      <c r="B106" s="234" t="str">
        <f>'Building Bill of Materials_SLIM'!P106</f>
        <v/>
      </c>
      <c r="C106" s="234" t="str">
        <f>'Building Bill of Materials_SLIM'!Q106</f>
        <v/>
      </c>
      <c r="D106" s="234" t="str">
        <f>'Building Bill of Materials_SLIM'!R106</f>
        <v/>
      </c>
      <c r="E106" s="234" t="str">
        <f>'Building Bill of Materials_SLIM'!S106</f>
        <v/>
      </c>
      <c r="F106" s="234" t="str">
        <f>'Building Bill of Materials_SLIM'!U106</f>
        <v/>
      </c>
      <c r="G106" s="234"/>
      <c r="H106" s="234"/>
      <c r="I106" s="234"/>
      <c r="J106" s="234" t="str">
        <f>'Building Bill of Materials_SLIM'!V106</f>
        <v/>
      </c>
      <c r="K106" s="238"/>
      <c r="L106" s="238"/>
      <c r="M106" s="238"/>
      <c r="N106" s="238"/>
      <c r="O106" s="238"/>
      <c r="P106" s="238"/>
      <c r="Q106" s="238"/>
      <c r="R106" s="238"/>
      <c r="S106" s="238"/>
      <c r="T106" s="238"/>
      <c r="U106" s="238"/>
      <c r="V106" s="238"/>
      <c r="W106" s="238"/>
      <c r="X106" s="238"/>
      <c r="Y106" s="238"/>
      <c r="Z106" s="238"/>
      <c r="AA106" s="192"/>
      <c r="AB106" s="257"/>
      <c r="AC106" s="257"/>
      <c r="AD106" s="257"/>
      <c r="AE106" s="257"/>
      <c r="AF106" s="257"/>
      <c r="AG106" s="257"/>
      <c r="AH106" s="257"/>
      <c r="AI106" s="257"/>
      <c r="AJ106" s="257"/>
      <c r="AK106" s="257"/>
      <c r="AL106" s="257"/>
      <c r="AM106" s="257"/>
      <c r="AN106" s="257"/>
      <c r="AO106" s="257"/>
      <c r="AP106" s="257"/>
      <c r="AQ106" s="257"/>
      <c r="AR106" s="257"/>
      <c r="AS106" s="257"/>
      <c r="AT106" s="257"/>
      <c r="AU106" s="257"/>
      <c r="AV106" s="257"/>
      <c r="AW106" s="257"/>
      <c r="AX106" s="257"/>
      <c r="AY106" s="257"/>
      <c r="AZ106" s="257"/>
      <c r="BA106" s="257"/>
      <c r="BB106" s="257"/>
      <c r="BC106" s="257"/>
      <c r="BD106" s="257"/>
      <c r="BE106" s="257"/>
      <c r="BF106" s="257"/>
      <c r="BG106" s="257"/>
      <c r="BH106" s="257"/>
      <c r="BI106" s="257"/>
      <c r="BJ106" s="238"/>
      <c r="BK106" s="238"/>
      <c r="BL106" s="238"/>
      <c r="BM106" s="238"/>
      <c r="BN106" s="238"/>
      <c r="BO106" s="238"/>
      <c r="BP106" s="238"/>
      <c r="BQ106" s="238"/>
      <c r="BR106" s="238"/>
      <c r="BS106" s="238"/>
      <c r="BT106" s="238"/>
      <c r="BU106" s="238"/>
      <c r="BV106" s="238"/>
      <c r="BW106" s="238"/>
      <c r="BX106" s="238"/>
      <c r="BY106" s="238"/>
      <c r="BZ106" s="238"/>
      <c r="CA106" s="238"/>
      <c r="CB106" s="238"/>
      <c r="CC106" s="238"/>
      <c r="CD106" s="238"/>
      <c r="CE106" s="257"/>
      <c r="CF106" s="257"/>
      <c r="CG106" s="238"/>
      <c r="CH106" s="238"/>
      <c r="CI106" s="238"/>
      <c r="CJ106" s="238"/>
      <c r="CK106" s="238"/>
      <c r="CL106" s="238"/>
      <c r="CM106" s="238"/>
      <c r="CN106" s="238"/>
      <c r="CO106" s="238"/>
      <c r="CP106" s="238"/>
      <c r="CQ106" s="238"/>
      <c r="CR106" s="238"/>
      <c r="CS106" s="238"/>
      <c r="CT106" s="238"/>
      <c r="CU106" s="238"/>
      <c r="CV106" s="238"/>
      <c r="CW106" s="238"/>
      <c r="CX106" s="238"/>
      <c r="CY106" s="238"/>
      <c r="CZ106" s="238"/>
      <c r="DA106" s="238"/>
      <c r="DB106" s="238"/>
      <c r="DC106" s="238"/>
      <c r="DD106" s="238"/>
      <c r="DE106" s="238"/>
      <c r="DF106" s="238"/>
      <c r="DG106" s="257"/>
      <c r="DH106" s="238"/>
      <c r="DI106" s="238"/>
      <c r="DJ106" s="238"/>
      <c r="DK106" s="238"/>
      <c r="DL106" s="238"/>
      <c r="DM106" s="238"/>
      <c r="DN106" s="238"/>
      <c r="DO106" s="238"/>
      <c r="DP106" s="238"/>
      <c r="DQ106" s="238"/>
      <c r="DR106" s="238"/>
      <c r="DS106" s="238"/>
      <c r="DT106" s="238"/>
      <c r="DU106" s="238"/>
      <c r="DV106" s="238"/>
      <c r="DW106" s="238"/>
      <c r="DX106" s="238"/>
      <c r="DY106" s="238"/>
      <c r="DZ106" s="238"/>
      <c r="EA106" s="238"/>
      <c r="EB106" s="238"/>
      <c r="EC106" s="238"/>
      <c r="ED106" s="238"/>
      <c r="EE106" s="238"/>
      <c r="EF106" s="238"/>
      <c r="EG106" s="238"/>
      <c r="EH106" s="238"/>
      <c r="EI106" s="238"/>
      <c r="EJ106" s="238"/>
      <c r="EK106" s="238"/>
      <c r="EL106" s="238"/>
      <c r="EM106" s="238"/>
      <c r="EN106" s="238"/>
      <c r="EO106" s="238"/>
      <c r="EP106" s="238"/>
      <c r="EQ106" s="238"/>
      <c r="ER106" s="238"/>
      <c r="ES106" s="238"/>
      <c r="ET106" s="238"/>
      <c r="EU106" s="238"/>
      <c r="EV106" s="238"/>
      <c r="EW106" s="238"/>
      <c r="EX106" s="238"/>
      <c r="EY106" s="238"/>
      <c r="EZ106" s="238"/>
      <c r="FA106" s="238"/>
      <c r="FB106" s="238"/>
      <c r="FC106" s="238"/>
      <c r="FD106" s="238"/>
      <c r="FE106" s="238"/>
      <c r="FF106" s="238"/>
      <c r="FG106" s="238"/>
      <c r="FH106" s="257"/>
      <c r="FI106" s="257"/>
      <c r="FJ106" s="257"/>
      <c r="FK106" s="257"/>
      <c r="FL106" s="257"/>
      <c r="FM106" s="257"/>
      <c r="FN106" s="257"/>
      <c r="FO106" s="257"/>
      <c r="FP106" s="257"/>
      <c r="FQ106" s="257"/>
      <c r="FR106" s="257"/>
      <c r="FS106" s="257"/>
      <c r="FT106" s="257"/>
      <c r="FU106" s="257"/>
      <c r="FV106" s="257"/>
      <c r="FW106" s="257"/>
      <c r="FX106" s="257"/>
      <c r="FY106" s="238"/>
      <c r="FZ106" s="238"/>
      <c r="GA106" s="238"/>
      <c r="GB106" s="238"/>
      <c r="GC106" s="238"/>
      <c r="GD106" s="238"/>
      <c r="GE106" s="238"/>
      <c r="GF106" s="238"/>
      <c r="GG106" s="238"/>
      <c r="GH106" s="238"/>
      <c r="GI106" s="238"/>
      <c r="GJ106" s="238"/>
      <c r="GK106" s="238"/>
      <c r="GL106" s="238"/>
      <c r="GM106" s="238"/>
      <c r="GN106" s="238"/>
      <c r="GO106" s="238"/>
      <c r="GP106" s="238"/>
      <c r="GQ106" s="238"/>
      <c r="GR106" s="238"/>
      <c r="GS106" s="238"/>
      <c r="GT106" s="238"/>
      <c r="GU106" s="238"/>
      <c r="GV106" s="238"/>
      <c r="GW106" s="238"/>
      <c r="GX106" s="238"/>
      <c r="GY106" s="238"/>
      <c r="GZ106" s="238"/>
      <c r="HA106" s="238"/>
      <c r="HB106" s="238"/>
      <c r="HC106" s="238"/>
      <c r="HD106" s="238"/>
      <c r="HE106" s="238"/>
      <c r="HF106" s="238"/>
      <c r="HG106" s="238"/>
      <c r="HH106" s="238"/>
      <c r="HI106" s="238"/>
      <c r="HJ106" s="238"/>
      <c r="HK106" s="238"/>
      <c r="HL106" s="238"/>
      <c r="HM106" s="238"/>
      <c r="HN106" s="238"/>
      <c r="HO106" s="238"/>
      <c r="HP106" s="238"/>
      <c r="HQ106" s="238"/>
      <c r="HR106" s="238"/>
      <c r="HS106" s="238"/>
      <c r="HT106" s="238"/>
      <c r="HU106" s="238"/>
      <c r="HV106" s="238"/>
      <c r="HW106" s="238"/>
      <c r="HX106" s="257"/>
      <c r="HY106" s="257"/>
      <c r="HZ106" s="257"/>
      <c r="IA106" s="257"/>
      <c r="IB106" s="257"/>
      <c r="IC106" s="257"/>
      <c r="ID106" s="257"/>
      <c r="IE106" s="257"/>
      <c r="IF106" s="257"/>
      <c r="IG106" s="257"/>
      <c r="IH106" s="257"/>
      <c r="II106" s="257"/>
      <c r="IJ106" s="257"/>
      <c r="IK106" s="257"/>
      <c r="IL106" s="257"/>
      <c r="IM106" s="257"/>
      <c r="IN106" s="257"/>
      <c r="IO106" s="257"/>
      <c r="IP106" s="257"/>
      <c r="IQ106" s="257"/>
      <c r="IR106" s="257"/>
      <c r="IS106" s="257"/>
      <c r="IT106" s="257"/>
      <c r="IU106" s="257"/>
      <c r="IV106" s="257"/>
      <c r="IW106" s="257"/>
      <c r="IX106" s="257"/>
      <c r="IY106" s="257"/>
      <c r="IZ106" s="257"/>
      <c r="JA106" s="257"/>
      <c r="JB106" s="257"/>
      <c r="JC106" s="257"/>
      <c r="JD106" s="257"/>
      <c r="JE106" s="257"/>
      <c r="JF106" s="238"/>
      <c r="JG106" s="238"/>
      <c r="JH106" s="238"/>
      <c r="JI106" s="238"/>
      <c r="JJ106" s="238"/>
      <c r="JK106" s="238"/>
      <c r="JL106" s="238"/>
      <c r="JM106" s="238"/>
      <c r="JN106" s="238"/>
      <c r="JO106" s="238"/>
      <c r="JP106" s="238"/>
      <c r="JQ106" s="238"/>
      <c r="JR106" s="238"/>
      <c r="JS106" s="238"/>
      <c r="JT106" s="238"/>
      <c r="JU106" s="238"/>
      <c r="JV106" s="238"/>
      <c r="JW106" s="238"/>
      <c r="JX106" s="238"/>
      <c r="JY106" s="238"/>
      <c r="JZ106" s="238"/>
      <c r="KA106" s="238"/>
      <c r="KB106" s="238"/>
      <c r="KC106" s="238"/>
      <c r="KD106" s="238"/>
      <c r="KE106" s="238"/>
      <c r="KF106" s="238"/>
      <c r="KG106" s="238"/>
      <c r="KH106" s="238"/>
      <c r="KI106" s="238"/>
      <c r="KJ106" s="238"/>
      <c r="KK106" s="238"/>
      <c r="KL106" s="238"/>
      <c r="KM106" s="238"/>
      <c r="KN106" s="238"/>
      <c r="KO106" s="238"/>
      <c r="KP106" s="238"/>
      <c r="KQ106" s="238"/>
      <c r="KR106" s="238"/>
      <c r="KS106" s="238"/>
      <c r="KT106" s="238"/>
      <c r="KU106" s="238"/>
      <c r="KV106" s="238"/>
      <c r="KW106" s="238"/>
      <c r="KX106" s="238"/>
      <c r="KY106" s="238"/>
      <c r="KZ106" s="238"/>
      <c r="LA106" s="238"/>
      <c r="LB106" s="238"/>
      <c r="LC106" s="238"/>
      <c r="LD106" s="238"/>
      <c r="LE106" s="238"/>
      <c r="LF106" s="238"/>
      <c r="LG106" s="238"/>
      <c r="LH106" s="238"/>
      <c r="LI106" s="238"/>
      <c r="LJ106" s="238"/>
      <c r="LK106" s="238"/>
      <c r="LL106" s="238"/>
      <c r="LM106" s="238"/>
      <c r="LN106" s="238"/>
      <c r="LO106" s="238"/>
      <c r="LP106" s="238"/>
      <c r="LQ106" s="238"/>
      <c r="LR106" s="238"/>
      <c r="LS106" s="238"/>
      <c r="LT106" s="238"/>
      <c r="LU106" s="238"/>
      <c r="LV106" s="238"/>
      <c r="LW106" s="238"/>
      <c r="LX106" s="238"/>
      <c r="LY106" s="238"/>
      <c r="LZ106" s="238"/>
      <c r="MA106" s="238"/>
      <c r="MB106" s="238"/>
      <c r="MC106" s="238"/>
      <c r="MD106" s="238"/>
      <c r="ME106" s="238"/>
      <c r="MF106" s="238"/>
      <c r="MG106" s="238"/>
      <c r="MH106" s="238"/>
      <c r="MI106" s="238"/>
      <c r="MJ106" s="238"/>
      <c r="MK106" s="238"/>
      <c r="ML106" s="238"/>
    </row>
    <row r="107" ht="18.75" customHeight="1">
      <c r="A107" s="283"/>
      <c r="B107" s="234" t="str">
        <f>'Building Bill of Materials_SLIM'!P107</f>
        <v/>
      </c>
      <c r="C107" s="234" t="str">
        <f>'Building Bill of Materials_SLIM'!Q107</f>
        <v/>
      </c>
      <c r="D107" s="234" t="str">
        <f>'Building Bill of Materials_SLIM'!R107</f>
        <v/>
      </c>
      <c r="E107" s="234" t="str">
        <f>'Building Bill of Materials_SLIM'!S107</f>
        <v/>
      </c>
      <c r="F107" s="234" t="str">
        <f>'Building Bill of Materials_SLIM'!U107</f>
        <v/>
      </c>
      <c r="G107" s="234"/>
      <c r="H107" s="234"/>
      <c r="I107" s="234"/>
      <c r="J107" s="234" t="str">
        <f>'Building Bill of Materials_SLIM'!V107</f>
        <v/>
      </c>
      <c r="K107" s="238"/>
      <c r="L107" s="238"/>
      <c r="M107" s="238"/>
      <c r="N107" s="238"/>
      <c r="O107" s="238"/>
      <c r="P107" s="238"/>
      <c r="Q107" s="238"/>
      <c r="R107" s="238"/>
      <c r="S107" s="238"/>
      <c r="T107" s="238"/>
      <c r="U107" s="238"/>
      <c r="V107" s="238"/>
      <c r="W107" s="238"/>
      <c r="X107" s="238"/>
      <c r="Y107" s="238"/>
      <c r="Z107" s="238"/>
      <c r="AA107" s="192"/>
      <c r="AB107" s="257"/>
      <c r="AC107" s="257"/>
      <c r="AD107" s="257"/>
      <c r="AE107" s="257"/>
      <c r="AF107" s="257"/>
      <c r="AG107" s="257"/>
      <c r="AH107" s="257"/>
      <c r="AI107" s="257"/>
      <c r="AJ107" s="257"/>
      <c r="AK107" s="257"/>
      <c r="AL107" s="257"/>
      <c r="AM107" s="257"/>
      <c r="AN107" s="257"/>
      <c r="AO107" s="257"/>
      <c r="AP107" s="257"/>
      <c r="AQ107" s="257"/>
      <c r="AR107" s="257"/>
      <c r="AS107" s="257"/>
      <c r="AT107" s="257"/>
      <c r="AU107" s="257"/>
      <c r="AV107" s="257"/>
      <c r="AW107" s="257"/>
      <c r="AX107" s="257"/>
      <c r="AY107" s="257"/>
      <c r="AZ107" s="257"/>
      <c r="BA107" s="257"/>
      <c r="BB107" s="257"/>
      <c r="BC107" s="257"/>
      <c r="BD107" s="257"/>
      <c r="BE107" s="257"/>
      <c r="BF107" s="257"/>
      <c r="BG107" s="257"/>
      <c r="BH107" s="257"/>
      <c r="BI107" s="257"/>
      <c r="BJ107" s="238"/>
      <c r="BK107" s="238"/>
      <c r="BL107" s="238"/>
      <c r="BM107" s="238"/>
      <c r="BN107" s="238"/>
      <c r="BO107" s="238"/>
      <c r="BP107" s="238"/>
      <c r="BQ107" s="238"/>
      <c r="BR107" s="238"/>
      <c r="BS107" s="238"/>
      <c r="BT107" s="238"/>
      <c r="BU107" s="238"/>
      <c r="BV107" s="238"/>
      <c r="BW107" s="238"/>
      <c r="BX107" s="238"/>
      <c r="BY107" s="238"/>
      <c r="BZ107" s="238"/>
      <c r="CA107" s="238"/>
      <c r="CB107" s="238"/>
      <c r="CC107" s="238"/>
      <c r="CD107" s="238"/>
      <c r="CE107" s="257"/>
      <c r="CF107" s="257"/>
      <c r="CG107" s="238"/>
      <c r="CH107" s="238"/>
      <c r="CI107" s="238"/>
      <c r="CJ107" s="238"/>
      <c r="CK107" s="238"/>
      <c r="CL107" s="238"/>
      <c r="CM107" s="238"/>
      <c r="CN107" s="238"/>
      <c r="CO107" s="238"/>
      <c r="CP107" s="238"/>
      <c r="CQ107" s="238"/>
      <c r="CR107" s="238"/>
      <c r="CS107" s="238"/>
      <c r="CT107" s="238"/>
      <c r="CU107" s="238"/>
      <c r="CV107" s="238"/>
      <c r="CW107" s="238"/>
      <c r="CX107" s="238"/>
      <c r="CY107" s="238"/>
      <c r="CZ107" s="238"/>
      <c r="DA107" s="238"/>
      <c r="DB107" s="238"/>
      <c r="DC107" s="238"/>
      <c r="DD107" s="238"/>
      <c r="DE107" s="238"/>
      <c r="DF107" s="238"/>
      <c r="DG107" s="257"/>
      <c r="DH107" s="238"/>
      <c r="DI107" s="238"/>
      <c r="DJ107" s="238"/>
      <c r="DK107" s="238"/>
      <c r="DL107" s="238"/>
      <c r="DM107" s="238"/>
      <c r="DN107" s="238"/>
      <c r="DO107" s="238"/>
      <c r="DP107" s="238"/>
      <c r="DQ107" s="238"/>
      <c r="DR107" s="238"/>
      <c r="DS107" s="238"/>
      <c r="DT107" s="238"/>
      <c r="DU107" s="238"/>
      <c r="DV107" s="238"/>
      <c r="DW107" s="238"/>
      <c r="DX107" s="238"/>
      <c r="DY107" s="238"/>
      <c r="DZ107" s="238"/>
      <c r="EA107" s="238"/>
      <c r="EB107" s="238"/>
      <c r="EC107" s="238"/>
      <c r="ED107" s="238"/>
      <c r="EE107" s="238"/>
      <c r="EF107" s="238"/>
      <c r="EG107" s="238"/>
      <c r="EH107" s="238"/>
      <c r="EI107" s="238"/>
      <c r="EJ107" s="238"/>
      <c r="EK107" s="238"/>
      <c r="EL107" s="238"/>
      <c r="EM107" s="238"/>
      <c r="EN107" s="238"/>
      <c r="EO107" s="238"/>
      <c r="EP107" s="238"/>
      <c r="EQ107" s="238"/>
      <c r="ER107" s="238"/>
      <c r="ES107" s="238"/>
      <c r="ET107" s="238"/>
      <c r="EU107" s="238"/>
      <c r="EV107" s="238"/>
      <c r="EW107" s="238"/>
      <c r="EX107" s="238"/>
      <c r="EY107" s="238"/>
      <c r="EZ107" s="238"/>
      <c r="FA107" s="238"/>
      <c r="FB107" s="238"/>
      <c r="FC107" s="238"/>
      <c r="FD107" s="238"/>
      <c r="FE107" s="238"/>
      <c r="FF107" s="238"/>
      <c r="FG107" s="238"/>
      <c r="FH107" s="257"/>
      <c r="FI107" s="257"/>
      <c r="FJ107" s="257"/>
      <c r="FK107" s="257"/>
      <c r="FL107" s="257"/>
      <c r="FM107" s="257"/>
      <c r="FN107" s="257"/>
      <c r="FO107" s="257"/>
      <c r="FP107" s="257"/>
      <c r="FQ107" s="257"/>
      <c r="FR107" s="257"/>
      <c r="FS107" s="257"/>
      <c r="FT107" s="257"/>
      <c r="FU107" s="257"/>
      <c r="FV107" s="257"/>
      <c r="FW107" s="257"/>
      <c r="FX107" s="257"/>
      <c r="FY107" s="238"/>
      <c r="FZ107" s="238"/>
      <c r="GA107" s="238"/>
      <c r="GB107" s="238"/>
      <c r="GC107" s="238"/>
      <c r="GD107" s="238"/>
      <c r="GE107" s="238"/>
      <c r="GF107" s="238"/>
      <c r="GG107" s="238"/>
      <c r="GH107" s="238"/>
      <c r="GI107" s="238"/>
      <c r="GJ107" s="238"/>
      <c r="GK107" s="238"/>
      <c r="GL107" s="238"/>
      <c r="GM107" s="238"/>
      <c r="GN107" s="238"/>
      <c r="GO107" s="238"/>
      <c r="GP107" s="238"/>
      <c r="GQ107" s="238"/>
      <c r="GR107" s="238"/>
      <c r="GS107" s="238"/>
      <c r="GT107" s="238"/>
      <c r="GU107" s="238"/>
      <c r="GV107" s="238"/>
      <c r="GW107" s="238"/>
      <c r="GX107" s="238"/>
      <c r="GY107" s="238"/>
      <c r="GZ107" s="238"/>
      <c r="HA107" s="238"/>
      <c r="HB107" s="238"/>
      <c r="HC107" s="238"/>
      <c r="HD107" s="238"/>
      <c r="HE107" s="238"/>
      <c r="HF107" s="238"/>
      <c r="HG107" s="238"/>
      <c r="HH107" s="238"/>
      <c r="HI107" s="238"/>
      <c r="HJ107" s="238"/>
      <c r="HK107" s="238"/>
      <c r="HL107" s="238"/>
      <c r="HM107" s="238"/>
      <c r="HN107" s="238"/>
      <c r="HO107" s="238"/>
      <c r="HP107" s="238"/>
      <c r="HQ107" s="238"/>
      <c r="HR107" s="238"/>
      <c r="HS107" s="238"/>
      <c r="HT107" s="238"/>
      <c r="HU107" s="238"/>
      <c r="HV107" s="238"/>
      <c r="HW107" s="238"/>
      <c r="HX107" s="257"/>
      <c r="HY107" s="257"/>
      <c r="HZ107" s="257"/>
      <c r="IA107" s="257"/>
      <c r="IB107" s="257"/>
      <c r="IC107" s="257"/>
      <c r="ID107" s="257"/>
      <c r="IE107" s="257"/>
      <c r="IF107" s="257"/>
      <c r="IG107" s="257"/>
      <c r="IH107" s="257"/>
      <c r="II107" s="257"/>
      <c r="IJ107" s="257"/>
      <c r="IK107" s="257"/>
      <c r="IL107" s="257"/>
      <c r="IM107" s="257"/>
      <c r="IN107" s="257"/>
      <c r="IO107" s="257"/>
      <c r="IP107" s="257"/>
      <c r="IQ107" s="257"/>
      <c r="IR107" s="257"/>
      <c r="IS107" s="257"/>
      <c r="IT107" s="257"/>
      <c r="IU107" s="257"/>
      <c r="IV107" s="257"/>
      <c r="IW107" s="257"/>
      <c r="IX107" s="257"/>
      <c r="IY107" s="257"/>
      <c r="IZ107" s="257"/>
      <c r="JA107" s="257"/>
      <c r="JB107" s="257"/>
      <c r="JC107" s="257"/>
      <c r="JD107" s="257"/>
      <c r="JE107" s="257"/>
      <c r="JF107" s="238"/>
      <c r="JG107" s="238"/>
      <c r="JH107" s="238"/>
      <c r="JI107" s="238"/>
      <c r="JJ107" s="238"/>
      <c r="JK107" s="238"/>
      <c r="JL107" s="238"/>
      <c r="JM107" s="238"/>
      <c r="JN107" s="238"/>
      <c r="JO107" s="238"/>
      <c r="JP107" s="238"/>
      <c r="JQ107" s="238"/>
      <c r="JR107" s="238"/>
      <c r="JS107" s="238"/>
      <c r="JT107" s="238"/>
      <c r="JU107" s="238"/>
      <c r="JV107" s="238"/>
      <c r="JW107" s="238"/>
      <c r="JX107" s="238"/>
      <c r="JY107" s="238"/>
      <c r="JZ107" s="238"/>
      <c r="KA107" s="238"/>
      <c r="KB107" s="238"/>
      <c r="KC107" s="238"/>
      <c r="KD107" s="238"/>
      <c r="KE107" s="238"/>
      <c r="KF107" s="238"/>
      <c r="KG107" s="238"/>
      <c r="KH107" s="238"/>
      <c r="KI107" s="238"/>
      <c r="KJ107" s="238"/>
      <c r="KK107" s="238"/>
      <c r="KL107" s="238"/>
      <c r="KM107" s="238"/>
      <c r="KN107" s="238"/>
      <c r="KO107" s="238"/>
      <c r="KP107" s="238"/>
      <c r="KQ107" s="238"/>
      <c r="KR107" s="238"/>
      <c r="KS107" s="238"/>
      <c r="KT107" s="238"/>
      <c r="KU107" s="238"/>
      <c r="KV107" s="238"/>
      <c r="KW107" s="238"/>
      <c r="KX107" s="238"/>
      <c r="KY107" s="238"/>
      <c r="KZ107" s="238"/>
      <c r="LA107" s="238"/>
      <c r="LB107" s="238"/>
      <c r="LC107" s="238"/>
      <c r="LD107" s="238"/>
      <c r="LE107" s="238"/>
      <c r="LF107" s="238"/>
      <c r="LG107" s="238"/>
      <c r="LH107" s="238"/>
      <c r="LI107" s="238"/>
      <c r="LJ107" s="238"/>
      <c r="LK107" s="238"/>
      <c r="LL107" s="238"/>
      <c r="LM107" s="238"/>
      <c r="LN107" s="238"/>
      <c r="LO107" s="238"/>
      <c r="LP107" s="238"/>
      <c r="LQ107" s="238"/>
      <c r="LR107" s="238"/>
      <c r="LS107" s="238"/>
      <c r="LT107" s="238"/>
      <c r="LU107" s="238"/>
      <c r="LV107" s="238"/>
      <c r="LW107" s="238"/>
      <c r="LX107" s="238"/>
      <c r="LY107" s="238"/>
      <c r="LZ107" s="238"/>
      <c r="MA107" s="238"/>
      <c r="MB107" s="238"/>
      <c r="MC107" s="238"/>
      <c r="MD107" s="238"/>
      <c r="ME107" s="238"/>
      <c r="MF107" s="238"/>
      <c r="MG107" s="238"/>
      <c r="MH107" s="238"/>
      <c r="MI107" s="238"/>
      <c r="MJ107" s="238"/>
      <c r="MK107" s="238"/>
      <c r="ML107" s="238"/>
    </row>
    <row r="108" ht="18.75" customHeight="1">
      <c r="A108" s="283"/>
      <c r="B108" s="234" t="str">
        <f>'Building Bill of Materials_SLIM'!P108</f>
        <v/>
      </c>
      <c r="C108" s="234" t="str">
        <f>'Building Bill of Materials_SLIM'!Q108</f>
        <v/>
      </c>
      <c r="D108" s="234" t="str">
        <f>'Building Bill of Materials_SLIM'!R108</f>
        <v/>
      </c>
      <c r="E108" s="234" t="str">
        <f>'Building Bill of Materials_SLIM'!S108</f>
        <v/>
      </c>
      <c r="F108" s="234" t="str">
        <f>'Building Bill of Materials_SLIM'!U108</f>
        <v/>
      </c>
      <c r="G108" s="234"/>
      <c r="H108" s="234"/>
      <c r="I108" s="234"/>
      <c r="J108" s="234" t="str">
        <f>'Building Bill of Materials_SLIM'!V108</f>
        <v/>
      </c>
      <c r="K108" s="238"/>
      <c r="L108" s="238"/>
      <c r="M108" s="238"/>
      <c r="N108" s="238"/>
      <c r="O108" s="238"/>
      <c r="P108" s="238"/>
      <c r="Q108" s="238"/>
      <c r="R108" s="238"/>
      <c r="S108" s="238"/>
      <c r="T108" s="238"/>
      <c r="U108" s="238"/>
      <c r="V108" s="238"/>
      <c r="W108" s="238"/>
      <c r="X108" s="238"/>
      <c r="Y108" s="238"/>
      <c r="Z108" s="238"/>
      <c r="AA108" s="192"/>
      <c r="AB108" s="257"/>
      <c r="AC108" s="257"/>
      <c r="AD108" s="257"/>
      <c r="AE108" s="257"/>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38"/>
      <c r="BK108" s="238"/>
      <c r="BL108" s="238"/>
      <c r="BM108" s="238"/>
      <c r="BN108" s="238"/>
      <c r="BO108" s="238"/>
      <c r="BP108" s="238"/>
      <c r="BQ108" s="238"/>
      <c r="BR108" s="238"/>
      <c r="BS108" s="238"/>
      <c r="BT108" s="238"/>
      <c r="BU108" s="238"/>
      <c r="BV108" s="238"/>
      <c r="BW108" s="238"/>
      <c r="BX108" s="238"/>
      <c r="BY108" s="238"/>
      <c r="BZ108" s="238"/>
      <c r="CA108" s="238"/>
      <c r="CB108" s="238"/>
      <c r="CC108" s="238"/>
      <c r="CD108" s="238"/>
      <c r="CE108" s="257"/>
      <c r="CF108" s="257"/>
      <c r="CG108" s="238"/>
      <c r="CH108" s="238"/>
      <c r="CI108" s="238"/>
      <c r="CJ108" s="238"/>
      <c r="CK108" s="238"/>
      <c r="CL108" s="238"/>
      <c r="CM108" s="238"/>
      <c r="CN108" s="238"/>
      <c r="CO108" s="238"/>
      <c r="CP108" s="238"/>
      <c r="CQ108" s="238"/>
      <c r="CR108" s="238"/>
      <c r="CS108" s="238"/>
      <c r="CT108" s="238"/>
      <c r="CU108" s="238"/>
      <c r="CV108" s="238"/>
      <c r="CW108" s="238"/>
      <c r="CX108" s="238"/>
      <c r="CY108" s="238"/>
      <c r="CZ108" s="238"/>
      <c r="DA108" s="238"/>
      <c r="DB108" s="238"/>
      <c r="DC108" s="238"/>
      <c r="DD108" s="238"/>
      <c r="DE108" s="238"/>
      <c r="DF108" s="238"/>
      <c r="DG108" s="257"/>
      <c r="DH108" s="238"/>
      <c r="DI108" s="238"/>
      <c r="DJ108" s="238"/>
      <c r="DK108" s="238"/>
      <c r="DL108" s="238"/>
      <c r="DM108" s="238"/>
      <c r="DN108" s="238"/>
      <c r="DO108" s="238"/>
      <c r="DP108" s="238"/>
      <c r="DQ108" s="238"/>
      <c r="DR108" s="238"/>
      <c r="DS108" s="238"/>
      <c r="DT108" s="238"/>
      <c r="DU108" s="238"/>
      <c r="DV108" s="238"/>
      <c r="DW108" s="238"/>
      <c r="DX108" s="238"/>
      <c r="DY108" s="238"/>
      <c r="DZ108" s="238"/>
      <c r="EA108" s="238"/>
      <c r="EB108" s="238"/>
      <c r="EC108" s="238"/>
      <c r="ED108" s="238"/>
      <c r="EE108" s="238"/>
      <c r="EF108" s="238"/>
      <c r="EG108" s="238"/>
      <c r="EH108" s="238"/>
      <c r="EI108" s="238"/>
      <c r="EJ108" s="238"/>
      <c r="EK108" s="238"/>
      <c r="EL108" s="238"/>
      <c r="EM108" s="238"/>
      <c r="EN108" s="238"/>
      <c r="EO108" s="238"/>
      <c r="EP108" s="238"/>
      <c r="EQ108" s="238"/>
      <c r="ER108" s="238"/>
      <c r="ES108" s="238"/>
      <c r="ET108" s="238"/>
      <c r="EU108" s="238"/>
      <c r="EV108" s="238"/>
      <c r="EW108" s="238"/>
      <c r="EX108" s="238"/>
      <c r="EY108" s="238"/>
      <c r="EZ108" s="238"/>
      <c r="FA108" s="238"/>
      <c r="FB108" s="238"/>
      <c r="FC108" s="238"/>
      <c r="FD108" s="238"/>
      <c r="FE108" s="238"/>
      <c r="FF108" s="238"/>
      <c r="FG108" s="238"/>
      <c r="FH108" s="257"/>
      <c r="FI108" s="257"/>
      <c r="FJ108" s="257"/>
      <c r="FK108" s="257"/>
      <c r="FL108" s="257"/>
      <c r="FM108" s="257"/>
      <c r="FN108" s="257"/>
      <c r="FO108" s="257"/>
      <c r="FP108" s="257"/>
      <c r="FQ108" s="257"/>
      <c r="FR108" s="257"/>
      <c r="FS108" s="257"/>
      <c r="FT108" s="257"/>
      <c r="FU108" s="257"/>
      <c r="FV108" s="257"/>
      <c r="FW108" s="257"/>
      <c r="FX108" s="257"/>
      <c r="FY108" s="238"/>
      <c r="FZ108" s="238"/>
      <c r="GA108" s="238"/>
      <c r="GB108" s="238"/>
      <c r="GC108" s="238"/>
      <c r="GD108" s="238"/>
      <c r="GE108" s="238"/>
      <c r="GF108" s="238"/>
      <c r="GG108" s="238"/>
      <c r="GH108" s="238"/>
      <c r="GI108" s="238"/>
      <c r="GJ108" s="238"/>
      <c r="GK108" s="238"/>
      <c r="GL108" s="238"/>
      <c r="GM108" s="238"/>
      <c r="GN108" s="238"/>
      <c r="GO108" s="238"/>
      <c r="GP108" s="238"/>
      <c r="GQ108" s="238"/>
      <c r="GR108" s="238"/>
      <c r="GS108" s="238"/>
      <c r="GT108" s="238"/>
      <c r="GU108" s="238"/>
      <c r="GV108" s="238"/>
      <c r="GW108" s="238"/>
      <c r="GX108" s="238"/>
      <c r="GY108" s="238"/>
      <c r="GZ108" s="238"/>
      <c r="HA108" s="238"/>
      <c r="HB108" s="238"/>
      <c r="HC108" s="238"/>
      <c r="HD108" s="238"/>
      <c r="HE108" s="238"/>
      <c r="HF108" s="238"/>
      <c r="HG108" s="238"/>
      <c r="HH108" s="238"/>
      <c r="HI108" s="238"/>
      <c r="HJ108" s="238"/>
      <c r="HK108" s="238"/>
      <c r="HL108" s="238"/>
      <c r="HM108" s="238"/>
      <c r="HN108" s="238"/>
      <c r="HO108" s="238"/>
      <c r="HP108" s="238"/>
      <c r="HQ108" s="238"/>
      <c r="HR108" s="238"/>
      <c r="HS108" s="238"/>
      <c r="HT108" s="238"/>
      <c r="HU108" s="238"/>
      <c r="HV108" s="238"/>
      <c r="HW108" s="238"/>
      <c r="HX108" s="257"/>
      <c r="HY108" s="257"/>
      <c r="HZ108" s="257"/>
      <c r="IA108" s="257"/>
      <c r="IB108" s="257"/>
      <c r="IC108" s="257"/>
      <c r="ID108" s="257"/>
      <c r="IE108" s="257"/>
      <c r="IF108" s="257"/>
      <c r="IG108" s="257"/>
      <c r="IH108" s="257"/>
      <c r="II108" s="257"/>
      <c r="IJ108" s="257"/>
      <c r="IK108" s="257"/>
      <c r="IL108" s="257"/>
      <c r="IM108" s="257"/>
      <c r="IN108" s="257"/>
      <c r="IO108" s="257"/>
      <c r="IP108" s="257"/>
      <c r="IQ108" s="257"/>
      <c r="IR108" s="257"/>
      <c r="IS108" s="257"/>
      <c r="IT108" s="257"/>
      <c r="IU108" s="257"/>
      <c r="IV108" s="257"/>
      <c r="IW108" s="257"/>
      <c r="IX108" s="257"/>
      <c r="IY108" s="257"/>
      <c r="IZ108" s="257"/>
      <c r="JA108" s="257"/>
      <c r="JB108" s="257"/>
      <c r="JC108" s="257"/>
      <c r="JD108" s="257"/>
      <c r="JE108" s="257"/>
      <c r="JF108" s="238"/>
      <c r="JG108" s="238"/>
      <c r="JH108" s="238"/>
      <c r="JI108" s="238"/>
      <c r="JJ108" s="238"/>
      <c r="JK108" s="238"/>
      <c r="JL108" s="238"/>
      <c r="JM108" s="238"/>
      <c r="JN108" s="238"/>
      <c r="JO108" s="238"/>
      <c r="JP108" s="238"/>
      <c r="JQ108" s="238"/>
      <c r="JR108" s="238"/>
      <c r="JS108" s="238"/>
      <c r="JT108" s="238"/>
      <c r="JU108" s="238"/>
      <c r="JV108" s="238"/>
      <c r="JW108" s="238"/>
      <c r="JX108" s="238"/>
      <c r="JY108" s="238"/>
      <c r="JZ108" s="238"/>
      <c r="KA108" s="238"/>
      <c r="KB108" s="238"/>
      <c r="KC108" s="238"/>
      <c r="KD108" s="238"/>
      <c r="KE108" s="238"/>
      <c r="KF108" s="238"/>
      <c r="KG108" s="238"/>
      <c r="KH108" s="238"/>
      <c r="KI108" s="238"/>
      <c r="KJ108" s="238"/>
      <c r="KK108" s="238"/>
      <c r="KL108" s="238"/>
      <c r="KM108" s="238"/>
      <c r="KN108" s="238"/>
      <c r="KO108" s="238"/>
      <c r="KP108" s="238"/>
      <c r="KQ108" s="238"/>
      <c r="KR108" s="238"/>
      <c r="KS108" s="238"/>
      <c r="KT108" s="238"/>
      <c r="KU108" s="238"/>
      <c r="KV108" s="238"/>
      <c r="KW108" s="238"/>
      <c r="KX108" s="238"/>
      <c r="KY108" s="238"/>
      <c r="KZ108" s="238"/>
      <c r="LA108" s="238"/>
      <c r="LB108" s="238"/>
      <c r="LC108" s="238"/>
      <c r="LD108" s="238"/>
      <c r="LE108" s="238"/>
      <c r="LF108" s="238"/>
      <c r="LG108" s="238"/>
      <c r="LH108" s="238"/>
      <c r="LI108" s="238"/>
      <c r="LJ108" s="238"/>
      <c r="LK108" s="238"/>
      <c r="LL108" s="238"/>
      <c r="LM108" s="238"/>
      <c r="LN108" s="238"/>
      <c r="LO108" s="238"/>
      <c r="LP108" s="238"/>
      <c r="LQ108" s="238"/>
      <c r="LR108" s="238"/>
      <c r="LS108" s="238"/>
      <c r="LT108" s="238"/>
      <c r="LU108" s="238"/>
      <c r="LV108" s="238"/>
      <c r="LW108" s="238"/>
      <c r="LX108" s="238"/>
      <c r="LY108" s="238"/>
      <c r="LZ108" s="238"/>
      <c r="MA108" s="238"/>
      <c r="MB108" s="238"/>
      <c r="MC108" s="238"/>
      <c r="MD108" s="238"/>
      <c r="ME108" s="238"/>
      <c r="MF108" s="238"/>
      <c r="MG108" s="238"/>
      <c r="MH108" s="238"/>
      <c r="MI108" s="238"/>
      <c r="MJ108" s="238"/>
      <c r="MK108" s="238"/>
      <c r="ML108" s="238"/>
    </row>
    <row r="109" ht="18.75" customHeight="1">
      <c r="A109" s="283"/>
      <c r="B109" s="234" t="str">
        <f>'Building Bill of Materials_SLIM'!P109</f>
        <v/>
      </c>
      <c r="C109" s="234" t="str">
        <f>'Building Bill of Materials_SLIM'!Q109</f>
        <v/>
      </c>
      <c r="D109" s="234" t="str">
        <f>'Building Bill of Materials_SLIM'!R109</f>
        <v/>
      </c>
      <c r="E109" s="234" t="str">
        <f>'Building Bill of Materials_SLIM'!S109</f>
        <v/>
      </c>
      <c r="F109" s="234" t="str">
        <f>'Building Bill of Materials_SLIM'!U109</f>
        <v/>
      </c>
      <c r="G109" s="234"/>
      <c r="H109" s="234"/>
      <c r="I109" s="234"/>
      <c r="J109" s="234" t="str">
        <f>'Building Bill of Materials_SLIM'!V109</f>
        <v/>
      </c>
      <c r="K109" s="238"/>
      <c r="L109" s="238"/>
      <c r="M109" s="238"/>
      <c r="N109" s="238"/>
      <c r="O109" s="238"/>
      <c r="P109" s="238"/>
      <c r="Q109" s="238"/>
      <c r="R109" s="238"/>
      <c r="S109" s="238"/>
      <c r="T109" s="238"/>
      <c r="U109" s="238"/>
      <c r="V109" s="238"/>
      <c r="W109" s="238"/>
      <c r="X109" s="238"/>
      <c r="Y109" s="238"/>
      <c r="Z109" s="238"/>
      <c r="AA109" s="192"/>
      <c r="AB109" s="257"/>
      <c r="AC109" s="257"/>
      <c r="AD109" s="257"/>
      <c r="AE109" s="257"/>
      <c r="AF109" s="257"/>
      <c r="AG109" s="257"/>
      <c r="AH109" s="257"/>
      <c r="AI109" s="257"/>
      <c r="AJ109" s="257"/>
      <c r="AK109" s="257"/>
      <c r="AL109" s="257"/>
      <c r="AM109" s="257"/>
      <c r="AN109" s="257"/>
      <c r="AO109" s="257"/>
      <c r="AP109" s="257"/>
      <c r="AQ109" s="257"/>
      <c r="AR109" s="257"/>
      <c r="AS109" s="257"/>
      <c r="AT109" s="257"/>
      <c r="AU109" s="257"/>
      <c r="AV109" s="257"/>
      <c r="AW109" s="257"/>
      <c r="AX109" s="257"/>
      <c r="AY109" s="257"/>
      <c r="AZ109" s="257"/>
      <c r="BA109" s="257"/>
      <c r="BB109" s="257"/>
      <c r="BC109" s="257"/>
      <c r="BD109" s="257"/>
      <c r="BE109" s="257"/>
      <c r="BF109" s="257"/>
      <c r="BG109" s="257"/>
      <c r="BH109" s="257"/>
      <c r="BI109" s="257"/>
      <c r="BJ109" s="238"/>
      <c r="BK109" s="238"/>
      <c r="BL109" s="238"/>
      <c r="BM109" s="238"/>
      <c r="BN109" s="238"/>
      <c r="BO109" s="238"/>
      <c r="BP109" s="238"/>
      <c r="BQ109" s="238"/>
      <c r="BR109" s="238"/>
      <c r="BS109" s="238"/>
      <c r="BT109" s="238"/>
      <c r="BU109" s="238"/>
      <c r="BV109" s="238"/>
      <c r="BW109" s="238"/>
      <c r="BX109" s="238"/>
      <c r="BY109" s="238"/>
      <c r="BZ109" s="238"/>
      <c r="CA109" s="238"/>
      <c r="CB109" s="238"/>
      <c r="CC109" s="238"/>
      <c r="CD109" s="238"/>
      <c r="CE109" s="257"/>
      <c r="CF109" s="257"/>
      <c r="CG109" s="238"/>
      <c r="CH109" s="238"/>
      <c r="CI109" s="238"/>
      <c r="CJ109" s="238"/>
      <c r="CK109" s="238"/>
      <c r="CL109" s="238"/>
      <c r="CM109" s="238"/>
      <c r="CN109" s="238"/>
      <c r="CO109" s="238"/>
      <c r="CP109" s="238"/>
      <c r="CQ109" s="238"/>
      <c r="CR109" s="238"/>
      <c r="CS109" s="238"/>
      <c r="CT109" s="238"/>
      <c r="CU109" s="238"/>
      <c r="CV109" s="238"/>
      <c r="CW109" s="238"/>
      <c r="CX109" s="238"/>
      <c r="CY109" s="238"/>
      <c r="CZ109" s="238"/>
      <c r="DA109" s="238"/>
      <c r="DB109" s="238"/>
      <c r="DC109" s="238"/>
      <c r="DD109" s="238"/>
      <c r="DE109" s="238"/>
      <c r="DF109" s="238"/>
      <c r="DG109" s="257"/>
      <c r="DH109" s="238"/>
      <c r="DI109" s="238"/>
      <c r="DJ109" s="238"/>
      <c r="DK109" s="238"/>
      <c r="DL109" s="238"/>
      <c r="DM109" s="238"/>
      <c r="DN109" s="238"/>
      <c r="DO109" s="238"/>
      <c r="DP109" s="238"/>
      <c r="DQ109" s="238"/>
      <c r="DR109" s="238"/>
      <c r="DS109" s="238"/>
      <c r="DT109" s="238"/>
      <c r="DU109" s="238"/>
      <c r="DV109" s="238"/>
      <c r="DW109" s="238"/>
      <c r="DX109" s="238"/>
      <c r="DY109" s="238"/>
      <c r="DZ109" s="238"/>
      <c r="EA109" s="238"/>
      <c r="EB109" s="238"/>
      <c r="EC109" s="238"/>
      <c r="ED109" s="238"/>
      <c r="EE109" s="238"/>
      <c r="EF109" s="238"/>
      <c r="EG109" s="238"/>
      <c r="EH109" s="238"/>
      <c r="EI109" s="238"/>
      <c r="EJ109" s="238"/>
      <c r="EK109" s="238"/>
      <c r="EL109" s="238"/>
      <c r="EM109" s="238"/>
      <c r="EN109" s="238"/>
      <c r="EO109" s="238"/>
      <c r="EP109" s="238"/>
      <c r="EQ109" s="238"/>
      <c r="ER109" s="238"/>
      <c r="ES109" s="238"/>
      <c r="ET109" s="238"/>
      <c r="EU109" s="238"/>
      <c r="EV109" s="238"/>
      <c r="EW109" s="238"/>
      <c r="EX109" s="238"/>
      <c r="EY109" s="238"/>
      <c r="EZ109" s="238"/>
      <c r="FA109" s="238"/>
      <c r="FB109" s="238"/>
      <c r="FC109" s="238"/>
      <c r="FD109" s="238"/>
      <c r="FE109" s="238"/>
      <c r="FF109" s="238"/>
      <c r="FG109" s="238"/>
      <c r="FH109" s="257"/>
      <c r="FI109" s="257"/>
      <c r="FJ109" s="257"/>
      <c r="FK109" s="257"/>
      <c r="FL109" s="257"/>
      <c r="FM109" s="257"/>
      <c r="FN109" s="257"/>
      <c r="FO109" s="257"/>
      <c r="FP109" s="257"/>
      <c r="FQ109" s="257"/>
      <c r="FR109" s="257"/>
      <c r="FS109" s="257"/>
      <c r="FT109" s="257"/>
      <c r="FU109" s="257"/>
      <c r="FV109" s="257"/>
      <c r="FW109" s="257"/>
      <c r="FX109" s="257"/>
      <c r="FY109" s="238"/>
      <c r="FZ109" s="238"/>
      <c r="GA109" s="238"/>
      <c r="GB109" s="238"/>
      <c r="GC109" s="238"/>
      <c r="GD109" s="238"/>
      <c r="GE109" s="238"/>
      <c r="GF109" s="238"/>
      <c r="GG109" s="238"/>
      <c r="GH109" s="238"/>
      <c r="GI109" s="238"/>
      <c r="GJ109" s="238"/>
      <c r="GK109" s="238"/>
      <c r="GL109" s="238"/>
      <c r="GM109" s="238"/>
      <c r="GN109" s="238"/>
      <c r="GO109" s="238"/>
      <c r="GP109" s="238"/>
      <c r="GQ109" s="238"/>
      <c r="GR109" s="238"/>
      <c r="GS109" s="238"/>
      <c r="GT109" s="238"/>
      <c r="GU109" s="238"/>
      <c r="GV109" s="238"/>
      <c r="GW109" s="238"/>
      <c r="GX109" s="238"/>
      <c r="GY109" s="238"/>
      <c r="GZ109" s="238"/>
      <c r="HA109" s="238"/>
      <c r="HB109" s="238"/>
      <c r="HC109" s="238"/>
      <c r="HD109" s="238"/>
      <c r="HE109" s="238"/>
      <c r="HF109" s="238"/>
      <c r="HG109" s="238"/>
      <c r="HH109" s="238"/>
      <c r="HI109" s="238"/>
      <c r="HJ109" s="238"/>
      <c r="HK109" s="238"/>
      <c r="HL109" s="238"/>
      <c r="HM109" s="238"/>
      <c r="HN109" s="238"/>
      <c r="HO109" s="238"/>
      <c r="HP109" s="238"/>
      <c r="HQ109" s="238"/>
      <c r="HR109" s="238"/>
      <c r="HS109" s="238"/>
      <c r="HT109" s="238"/>
      <c r="HU109" s="238"/>
      <c r="HV109" s="238"/>
      <c r="HW109" s="238"/>
      <c r="HX109" s="257"/>
      <c r="HY109" s="257"/>
      <c r="HZ109" s="257"/>
      <c r="IA109" s="257"/>
      <c r="IB109" s="257"/>
      <c r="IC109" s="257"/>
      <c r="ID109" s="257"/>
      <c r="IE109" s="257"/>
      <c r="IF109" s="257"/>
      <c r="IG109" s="257"/>
      <c r="IH109" s="257"/>
      <c r="II109" s="257"/>
      <c r="IJ109" s="257"/>
      <c r="IK109" s="257"/>
      <c r="IL109" s="257"/>
      <c r="IM109" s="257"/>
      <c r="IN109" s="257"/>
      <c r="IO109" s="257"/>
      <c r="IP109" s="257"/>
      <c r="IQ109" s="257"/>
      <c r="IR109" s="257"/>
      <c r="IS109" s="257"/>
      <c r="IT109" s="257"/>
      <c r="IU109" s="257"/>
      <c r="IV109" s="257"/>
      <c r="IW109" s="257"/>
      <c r="IX109" s="257"/>
      <c r="IY109" s="257"/>
      <c r="IZ109" s="257"/>
      <c r="JA109" s="257"/>
      <c r="JB109" s="257"/>
      <c r="JC109" s="257"/>
      <c r="JD109" s="257"/>
      <c r="JE109" s="257"/>
      <c r="JF109" s="238"/>
      <c r="JG109" s="238"/>
      <c r="JH109" s="238"/>
      <c r="JI109" s="238"/>
      <c r="JJ109" s="238"/>
      <c r="JK109" s="238"/>
      <c r="JL109" s="238"/>
      <c r="JM109" s="238"/>
      <c r="JN109" s="238"/>
      <c r="JO109" s="238"/>
      <c r="JP109" s="238"/>
      <c r="JQ109" s="238"/>
      <c r="JR109" s="238"/>
      <c r="JS109" s="238"/>
      <c r="JT109" s="238"/>
      <c r="JU109" s="238"/>
      <c r="JV109" s="238"/>
      <c r="JW109" s="238"/>
      <c r="JX109" s="238"/>
      <c r="JY109" s="238"/>
      <c r="JZ109" s="238"/>
      <c r="KA109" s="238"/>
      <c r="KB109" s="238"/>
      <c r="KC109" s="238"/>
      <c r="KD109" s="238"/>
      <c r="KE109" s="238"/>
      <c r="KF109" s="238"/>
      <c r="KG109" s="238"/>
      <c r="KH109" s="238"/>
      <c r="KI109" s="238"/>
      <c r="KJ109" s="238"/>
      <c r="KK109" s="238"/>
      <c r="KL109" s="238"/>
      <c r="KM109" s="238"/>
      <c r="KN109" s="238"/>
      <c r="KO109" s="238"/>
      <c r="KP109" s="238"/>
      <c r="KQ109" s="238"/>
      <c r="KR109" s="238"/>
      <c r="KS109" s="238"/>
      <c r="KT109" s="238"/>
      <c r="KU109" s="238"/>
      <c r="KV109" s="238"/>
      <c r="KW109" s="238"/>
      <c r="KX109" s="238"/>
      <c r="KY109" s="238"/>
      <c r="KZ109" s="238"/>
      <c r="LA109" s="238"/>
      <c r="LB109" s="238"/>
      <c r="LC109" s="238"/>
      <c r="LD109" s="238"/>
      <c r="LE109" s="238"/>
      <c r="LF109" s="238"/>
      <c r="LG109" s="238"/>
      <c r="LH109" s="238"/>
      <c r="LI109" s="238"/>
      <c r="LJ109" s="238"/>
      <c r="LK109" s="238"/>
      <c r="LL109" s="238"/>
      <c r="LM109" s="238"/>
      <c r="LN109" s="238"/>
      <c r="LO109" s="238"/>
      <c r="LP109" s="238"/>
      <c r="LQ109" s="238"/>
      <c r="LR109" s="238"/>
      <c r="LS109" s="238"/>
      <c r="LT109" s="238"/>
      <c r="LU109" s="238"/>
      <c r="LV109" s="238"/>
      <c r="LW109" s="238"/>
      <c r="LX109" s="238"/>
      <c r="LY109" s="238"/>
      <c r="LZ109" s="238"/>
      <c r="MA109" s="238"/>
      <c r="MB109" s="238"/>
      <c r="MC109" s="238"/>
      <c r="MD109" s="238"/>
      <c r="ME109" s="238"/>
      <c r="MF109" s="238"/>
      <c r="MG109" s="238"/>
      <c r="MH109" s="238"/>
      <c r="MI109" s="238"/>
      <c r="MJ109" s="238"/>
      <c r="MK109" s="238"/>
      <c r="ML109" s="238"/>
    </row>
    <row r="110" ht="18.75" customHeight="1">
      <c r="A110" s="283"/>
      <c r="B110" s="234" t="str">
        <f>'Building Bill of Materials_SLIM'!P110</f>
        <v/>
      </c>
      <c r="C110" s="234" t="str">
        <f>'Building Bill of Materials_SLIM'!Q110</f>
        <v/>
      </c>
      <c r="D110" s="234" t="str">
        <f>'Building Bill of Materials_SLIM'!R110</f>
        <v/>
      </c>
      <c r="E110" s="234" t="str">
        <f>'Building Bill of Materials_SLIM'!S110</f>
        <v/>
      </c>
      <c r="F110" s="234" t="str">
        <f>'Building Bill of Materials_SLIM'!U110</f>
        <v/>
      </c>
      <c r="G110" s="234"/>
      <c r="H110" s="234"/>
      <c r="I110" s="234"/>
      <c r="J110" s="234" t="str">
        <f>'Building Bill of Materials_SLIM'!V110</f>
        <v/>
      </c>
      <c r="K110" s="238"/>
      <c r="L110" s="238"/>
      <c r="M110" s="238"/>
      <c r="N110" s="238"/>
      <c r="O110" s="238"/>
      <c r="P110" s="238"/>
      <c r="Q110" s="238"/>
      <c r="R110" s="238"/>
      <c r="S110" s="238"/>
      <c r="T110" s="238"/>
      <c r="U110" s="238"/>
      <c r="V110" s="238"/>
      <c r="W110" s="238"/>
      <c r="X110" s="238"/>
      <c r="Y110" s="238"/>
      <c r="Z110" s="238"/>
      <c r="AA110" s="192"/>
      <c r="AB110" s="257"/>
      <c r="AC110" s="257"/>
      <c r="AD110" s="257"/>
      <c r="AE110" s="257"/>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38"/>
      <c r="BK110" s="238"/>
      <c r="BL110" s="238"/>
      <c r="BM110" s="238"/>
      <c r="BN110" s="238"/>
      <c r="BO110" s="238"/>
      <c r="BP110" s="238"/>
      <c r="BQ110" s="238"/>
      <c r="BR110" s="238"/>
      <c r="BS110" s="238"/>
      <c r="BT110" s="238"/>
      <c r="BU110" s="238"/>
      <c r="BV110" s="238"/>
      <c r="BW110" s="238"/>
      <c r="BX110" s="238"/>
      <c r="BY110" s="238"/>
      <c r="BZ110" s="238"/>
      <c r="CA110" s="238"/>
      <c r="CB110" s="238"/>
      <c r="CC110" s="238"/>
      <c r="CD110" s="238"/>
      <c r="CE110" s="257"/>
      <c r="CF110" s="257"/>
      <c r="CG110" s="238"/>
      <c r="CH110" s="238"/>
      <c r="CI110" s="238"/>
      <c r="CJ110" s="238"/>
      <c r="CK110" s="238"/>
      <c r="CL110" s="238"/>
      <c r="CM110" s="238"/>
      <c r="CN110" s="238"/>
      <c r="CO110" s="238"/>
      <c r="CP110" s="238"/>
      <c r="CQ110" s="238"/>
      <c r="CR110" s="238"/>
      <c r="CS110" s="238"/>
      <c r="CT110" s="238"/>
      <c r="CU110" s="238"/>
      <c r="CV110" s="238"/>
      <c r="CW110" s="238"/>
      <c r="CX110" s="238"/>
      <c r="CY110" s="238"/>
      <c r="CZ110" s="238"/>
      <c r="DA110" s="238"/>
      <c r="DB110" s="238"/>
      <c r="DC110" s="238"/>
      <c r="DD110" s="238"/>
      <c r="DE110" s="238"/>
      <c r="DF110" s="238"/>
      <c r="DG110" s="257"/>
      <c r="DH110" s="238"/>
      <c r="DI110" s="238"/>
      <c r="DJ110" s="238"/>
      <c r="DK110" s="238"/>
      <c r="DL110" s="238"/>
      <c r="DM110" s="238"/>
      <c r="DN110" s="238"/>
      <c r="DO110" s="238"/>
      <c r="DP110" s="238"/>
      <c r="DQ110" s="238"/>
      <c r="DR110" s="238"/>
      <c r="DS110" s="238"/>
      <c r="DT110" s="238"/>
      <c r="DU110" s="238"/>
      <c r="DV110" s="238"/>
      <c r="DW110" s="238"/>
      <c r="DX110" s="238"/>
      <c r="DY110" s="238"/>
      <c r="DZ110" s="238"/>
      <c r="EA110" s="238"/>
      <c r="EB110" s="238"/>
      <c r="EC110" s="238"/>
      <c r="ED110" s="238"/>
      <c r="EE110" s="238"/>
      <c r="EF110" s="238"/>
      <c r="EG110" s="238"/>
      <c r="EH110" s="238"/>
      <c r="EI110" s="238"/>
      <c r="EJ110" s="238"/>
      <c r="EK110" s="238"/>
      <c r="EL110" s="238"/>
      <c r="EM110" s="238"/>
      <c r="EN110" s="238"/>
      <c r="EO110" s="238"/>
      <c r="EP110" s="238"/>
      <c r="EQ110" s="238"/>
      <c r="ER110" s="238"/>
      <c r="ES110" s="238"/>
      <c r="ET110" s="238"/>
      <c r="EU110" s="238"/>
      <c r="EV110" s="238"/>
      <c r="EW110" s="238"/>
      <c r="EX110" s="238"/>
      <c r="EY110" s="238"/>
      <c r="EZ110" s="238"/>
      <c r="FA110" s="238"/>
      <c r="FB110" s="238"/>
      <c r="FC110" s="238"/>
      <c r="FD110" s="238"/>
      <c r="FE110" s="238"/>
      <c r="FF110" s="238"/>
      <c r="FG110" s="238"/>
      <c r="FH110" s="257"/>
      <c r="FI110" s="257"/>
      <c r="FJ110" s="257"/>
      <c r="FK110" s="257"/>
      <c r="FL110" s="257"/>
      <c r="FM110" s="257"/>
      <c r="FN110" s="257"/>
      <c r="FO110" s="257"/>
      <c r="FP110" s="257"/>
      <c r="FQ110" s="257"/>
      <c r="FR110" s="257"/>
      <c r="FS110" s="257"/>
      <c r="FT110" s="257"/>
      <c r="FU110" s="257"/>
      <c r="FV110" s="257"/>
      <c r="FW110" s="257"/>
      <c r="FX110" s="257"/>
      <c r="FY110" s="238"/>
      <c r="FZ110" s="238"/>
      <c r="GA110" s="238"/>
      <c r="GB110" s="238"/>
      <c r="GC110" s="238"/>
      <c r="GD110" s="238"/>
      <c r="GE110" s="238"/>
      <c r="GF110" s="238"/>
      <c r="GG110" s="238"/>
      <c r="GH110" s="238"/>
      <c r="GI110" s="238"/>
      <c r="GJ110" s="238"/>
      <c r="GK110" s="238"/>
      <c r="GL110" s="238"/>
      <c r="GM110" s="238"/>
      <c r="GN110" s="238"/>
      <c r="GO110" s="238"/>
      <c r="GP110" s="238"/>
      <c r="GQ110" s="238"/>
      <c r="GR110" s="238"/>
      <c r="GS110" s="238"/>
      <c r="GT110" s="238"/>
      <c r="GU110" s="238"/>
      <c r="GV110" s="238"/>
      <c r="GW110" s="238"/>
      <c r="GX110" s="238"/>
      <c r="GY110" s="238"/>
      <c r="GZ110" s="238"/>
      <c r="HA110" s="238"/>
      <c r="HB110" s="238"/>
      <c r="HC110" s="238"/>
      <c r="HD110" s="238"/>
      <c r="HE110" s="238"/>
      <c r="HF110" s="238"/>
      <c r="HG110" s="238"/>
      <c r="HH110" s="238"/>
      <c r="HI110" s="238"/>
      <c r="HJ110" s="238"/>
      <c r="HK110" s="238"/>
      <c r="HL110" s="238"/>
      <c r="HM110" s="238"/>
      <c r="HN110" s="238"/>
      <c r="HO110" s="238"/>
      <c r="HP110" s="238"/>
      <c r="HQ110" s="238"/>
      <c r="HR110" s="238"/>
      <c r="HS110" s="238"/>
      <c r="HT110" s="238"/>
      <c r="HU110" s="238"/>
      <c r="HV110" s="238"/>
      <c r="HW110" s="238"/>
      <c r="HX110" s="257"/>
      <c r="HY110" s="257"/>
      <c r="HZ110" s="257"/>
      <c r="IA110" s="257"/>
      <c r="IB110" s="257"/>
      <c r="IC110" s="257"/>
      <c r="ID110" s="257"/>
      <c r="IE110" s="257"/>
      <c r="IF110" s="257"/>
      <c r="IG110" s="257"/>
      <c r="IH110" s="257"/>
      <c r="II110" s="257"/>
      <c r="IJ110" s="257"/>
      <c r="IK110" s="257"/>
      <c r="IL110" s="257"/>
      <c r="IM110" s="257"/>
      <c r="IN110" s="257"/>
      <c r="IO110" s="257"/>
      <c r="IP110" s="257"/>
      <c r="IQ110" s="257"/>
      <c r="IR110" s="257"/>
      <c r="IS110" s="257"/>
      <c r="IT110" s="257"/>
      <c r="IU110" s="257"/>
      <c r="IV110" s="257"/>
      <c r="IW110" s="257"/>
      <c r="IX110" s="257"/>
      <c r="IY110" s="257"/>
      <c r="IZ110" s="257"/>
      <c r="JA110" s="257"/>
      <c r="JB110" s="257"/>
      <c r="JC110" s="257"/>
      <c r="JD110" s="257"/>
      <c r="JE110" s="257"/>
      <c r="JF110" s="238"/>
      <c r="JG110" s="238"/>
      <c r="JH110" s="238"/>
      <c r="JI110" s="238"/>
      <c r="JJ110" s="238"/>
      <c r="JK110" s="238"/>
      <c r="JL110" s="238"/>
      <c r="JM110" s="238"/>
      <c r="JN110" s="238"/>
      <c r="JO110" s="238"/>
      <c r="JP110" s="238"/>
      <c r="JQ110" s="238"/>
      <c r="JR110" s="238"/>
      <c r="JS110" s="238"/>
      <c r="JT110" s="238"/>
      <c r="JU110" s="238"/>
      <c r="JV110" s="238"/>
      <c r="JW110" s="238"/>
      <c r="JX110" s="238"/>
      <c r="JY110" s="238"/>
      <c r="JZ110" s="238"/>
      <c r="KA110" s="238"/>
      <c r="KB110" s="238"/>
      <c r="KC110" s="238"/>
      <c r="KD110" s="238"/>
      <c r="KE110" s="238"/>
      <c r="KF110" s="238"/>
      <c r="KG110" s="238"/>
      <c r="KH110" s="238"/>
      <c r="KI110" s="238"/>
      <c r="KJ110" s="238"/>
      <c r="KK110" s="238"/>
      <c r="KL110" s="238"/>
      <c r="KM110" s="238"/>
      <c r="KN110" s="238"/>
      <c r="KO110" s="238"/>
      <c r="KP110" s="238"/>
      <c r="KQ110" s="238"/>
      <c r="KR110" s="238"/>
      <c r="KS110" s="238"/>
      <c r="KT110" s="238"/>
      <c r="KU110" s="238"/>
      <c r="KV110" s="238"/>
      <c r="KW110" s="238"/>
      <c r="KX110" s="238"/>
      <c r="KY110" s="238"/>
      <c r="KZ110" s="238"/>
      <c r="LA110" s="238"/>
      <c r="LB110" s="238"/>
      <c r="LC110" s="238"/>
      <c r="LD110" s="238"/>
      <c r="LE110" s="238"/>
      <c r="LF110" s="238"/>
      <c r="LG110" s="238"/>
      <c r="LH110" s="238"/>
      <c r="LI110" s="238"/>
      <c r="LJ110" s="238"/>
      <c r="LK110" s="238"/>
      <c r="LL110" s="238"/>
      <c r="LM110" s="238"/>
      <c r="LN110" s="238"/>
      <c r="LO110" s="238"/>
      <c r="LP110" s="238"/>
      <c r="LQ110" s="238"/>
      <c r="LR110" s="238"/>
      <c r="LS110" s="238"/>
      <c r="LT110" s="238"/>
      <c r="LU110" s="238"/>
      <c r="LV110" s="238"/>
      <c r="LW110" s="238"/>
      <c r="LX110" s="238"/>
      <c r="LY110" s="238"/>
      <c r="LZ110" s="238"/>
      <c r="MA110" s="238"/>
      <c r="MB110" s="238"/>
      <c r="MC110" s="238"/>
      <c r="MD110" s="238"/>
      <c r="ME110" s="238"/>
      <c r="MF110" s="238"/>
      <c r="MG110" s="238"/>
      <c r="MH110" s="238"/>
      <c r="MI110" s="238"/>
      <c r="MJ110" s="238"/>
      <c r="MK110" s="238"/>
      <c r="ML110" s="238"/>
    </row>
    <row r="111" ht="18.75" customHeight="1">
      <c r="A111" s="283"/>
      <c r="B111" s="234" t="str">
        <f>'Building Bill of Materials_SLIM'!P111</f>
        <v/>
      </c>
      <c r="C111" s="234" t="str">
        <f>'Building Bill of Materials_SLIM'!Q111</f>
        <v/>
      </c>
      <c r="D111" s="234" t="str">
        <f>'Building Bill of Materials_SLIM'!R111</f>
        <v/>
      </c>
      <c r="E111" s="234" t="str">
        <f>'Building Bill of Materials_SLIM'!S111</f>
        <v/>
      </c>
      <c r="F111" s="234" t="str">
        <f>'Building Bill of Materials_SLIM'!U111</f>
        <v/>
      </c>
      <c r="G111" s="234"/>
      <c r="H111" s="234"/>
      <c r="I111" s="234"/>
      <c r="J111" s="234" t="str">
        <f>'Building Bill of Materials_SLIM'!V111</f>
        <v/>
      </c>
      <c r="K111" s="238"/>
      <c r="L111" s="238"/>
      <c r="M111" s="238"/>
      <c r="N111" s="238"/>
      <c r="O111" s="238"/>
      <c r="P111" s="238"/>
      <c r="Q111" s="238"/>
      <c r="R111" s="238"/>
      <c r="S111" s="238"/>
      <c r="T111" s="238"/>
      <c r="U111" s="238"/>
      <c r="V111" s="238"/>
      <c r="W111" s="238"/>
      <c r="X111" s="238"/>
      <c r="Y111" s="238"/>
      <c r="Z111" s="238"/>
      <c r="AA111" s="192"/>
      <c r="AB111" s="257"/>
      <c r="AC111" s="257"/>
      <c r="AD111" s="257"/>
      <c r="AE111" s="257"/>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38"/>
      <c r="BK111" s="238"/>
      <c r="BL111" s="238"/>
      <c r="BM111" s="238"/>
      <c r="BN111" s="238"/>
      <c r="BO111" s="238"/>
      <c r="BP111" s="238"/>
      <c r="BQ111" s="238"/>
      <c r="BR111" s="238"/>
      <c r="BS111" s="238"/>
      <c r="BT111" s="238"/>
      <c r="BU111" s="238"/>
      <c r="BV111" s="238"/>
      <c r="BW111" s="238"/>
      <c r="BX111" s="238"/>
      <c r="BY111" s="238"/>
      <c r="BZ111" s="238"/>
      <c r="CA111" s="238"/>
      <c r="CB111" s="238"/>
      <c r="CC111" s="238"/>
      <c r="CD111" s="238"/>
      <c r="CE111" s="257"/>
      <c r="CF111" s="257"/>
      <c r="CG111" s="238"/>
      <c r="CH111" s="238"/>
      <c r="CI111" s="238"/>
      <c r="CJ111" s="238"/>
      <c r="CK111" s="238"/>
      <c r="CL111" s="238"/>
      <c r="CM111" s="238"/>
      <c r="CN111" s="238"/>
      <c r="CO111" s="238"/>
      <c r="CP111" s="238"/>
      <c r="CQ111" s="238"/>
      <c r="CR111" s="238"/>
      <c r="CS111" s="238"/>
      <c r="CT111" s="238"/>
      <c r="CU111" s="238"/>
      <c r="CV111" s="238"/>
      <c r="CW111" s="238"/>
      <c r="CX111" s="238"/>
      <c r="CY111" s="238"/>
      <c r="CZ111" s="238"/>
      <c r="DA111" s="238"/>
      <c r="DB111" s="238"/>
      <c r="DC111" s="238"/>
      <c r="DD111" s="238"/>
      <c r="DE111" s="238"/>
      <c r="DF111" s="238"/>
      <c r="DG111" s="257"/>
      <c r="DH111" s="238"/>
      <c r="DI111" s="238"/>
      <c r="DJ111" s="238"/>
      <c r="DK111" s="238"/>
      <c r="DL111" s="238"/>
      <c r="DM111" s="238"/>
      <c r="DN111" s="238"/>
      <c r="DO111" s="238"/>
      <c r="DP111" s="238"/>
      <c r="DQ111" s="238"/>
      <c r="DR111" s="238"/>
      <c r="DS111" s="238"/>
      <c r="DT111" s="238"/>
      <c r="DU111" s="238"/>
      <c r="DV111" s="238"/>
      <c r="DW111" s="238"/>
      <c r="DX111" s="238"/>
      <c r="DY111" s="238"/>
      <c r="DZ111" s="238"/>
      <c r="EA111" s="238"/>
      <c r="EB111" s="238"/>
      <c r="EC111" s="238"/>
      <c r="ED111" s="238"/>
      <c r="EE111" s="238"/>
      <c r="EF111" s="238"/>
      <c r="EG111" s="238"/>
      <c r="EH111" s="238"/>
      <c r="EI111" s="238"/>
      <c r="EJ111" s="238"/>
      <c r="EK111" s="238"/>
      <c r="EL111" s="238"/>
      <c r="EM111" s="238"/>
      <c r="EN111" s="238"/>
      <c r="EO111" s="238"/>
      <c r="EP111" s="238"/>
      <c r="EQ111" s="238"/>
      <c r="ER111" s="238"/>
      <c r="ES111" s="238"/>
      <c r="ET111" s="238"/>
      <c r="EU111" s="238"/>
      <c r="EV111" s="238"/>
      <c r="EW111" s="238"/>
      <c r="EX111" s="238"/>
      <c r="EY111" s="238"/>
      <c r="EZ111" s="238"/>
      <c r="FA111" s="238"/>
      <c r="FB111" s="238"/>
      <c r="FC111" s="238"/>
      <c r="FD111" s="238"/>
      <c r="FE111" s="238"/>
      <c r="FF111" s="238"/>
      <c r="FG111" s="238"/>
      <c r="FH111" s="257"/>
      <c r="FI111" s="257"/>
      <c r="FJ111" s="257"/>
      <c r="FK111" s="257"/>
      <c r="FL111" s="257"/>
      <c r="FM111" s="257"/>
      <c r="FN111" s="257"/>
      <c r="FO111" s="257"/>
      <c r="FP111" s="257"/>
      <c r="FQ111" s="257"/>
      <c r="FR111" s="257"/>
      <c r="FS111" s="257"/>
      <c r="FT111" s="257"/>
      <c r="FU111" s="257"/>
      <c r="FV111" s="257"/>
      <c r="FW111" s="257"/>
      <c r="FX111" s="257"/>
      <c r="FY111" s="238"/>
      <c r="FZ111" s="238"/>
      <c r="GA111" s="238"/>
      <c r="GB111" s="238"/>
      <c r="GC111" s="238"/>
      <c r="GD111" s="238"/>
      <c r="GE111" s="238"/>
      <c r="GF111" s="238"/>
      <c r="GG111" s="238"/>
      <c r="GH111" s="238"/>
      <c r="GI111" s="238"/>
      <c r="GJ111" s="238"/>
      <c r="GK111" s="238"/>
      <c r="GL111" s="238"/>
      <c r="GM111" s="238"/>
      <c r="GN111" s="238"/>
      <c r="GO111" s="238"/>
      <c r="GP111" s="238"/>
      <c r="GQ111" s="238"/>
      <c r="GR111" s="238"/>
      <c r="GS111" s="238"/>
      <c r="GT111" s="238"/>
      <c r="GU111" s="238"/>
      <c r="GV111" s="238"/>
      <c r="GW111" s="238"/>
      <c r="GX111" s="238"/>
      <c r="GY111" s="238"/>
      <c r="GZ111" s="238"/>
      <c r="HA111" s="238"/>
      <c r="HB111" s="238"/>
      <c r="HC111" s="238"/>
      <c r="HD111" s="238"/>
      <c r="HE111" s="238"/>
      <c r="HF111" s="238"/>
      <c r="HG111" s="238"/>
      <c r="HH111" s="238"/>
      <c r="HI111" s="238"/>
      <c r="HJ111" s="238"/>
      <c r="HK111" s="238"/>
      <c r="HL111" s="238"/>
      <c r="HM111" s="238"/>
      <c r="HN111" s="238"/>
      <c r="HO111" s="238"/>
      <c r="HP111" s="238"/>
      <c r="HQ111" s="238"/>
      <c r="HR111" s="238"/>
      <c r="HS111" s="238"/>
      <c r="HT111" s="238"/>
      <c r="HU111" s="238"/>
      <c r="HV111" s="238"/>
      <c r="HW111" s="238"/>
      <c r="HX111" s="257"/>
      <c r="HY111" s="257"/>
      <c r="HZ111" s="257"/>
      <c r="IA111" s="257"/>
      <c r="IB111" s="257"/>
      <c r="IC111" s="257"/>
      <c r="ID111" s="257"/>
      <c r="IE111" s="257"/>
      <c r="IF111" s="257"/>
      <c r="IG111" s="257"/>
      <c r="IH111" s="257"/>
      <c r="II111" s="257"/>
      <c r="IJ111" s="257"/>
      <c r="IK111" s="257"/>
      <c r="IL111" s="257"/>
      <c r="IM111" s="257"/>
      <c r="IN111" s="257"/>
      <c r="IO111" s="257"/>
      <c r="IP111" s="257"/>
      <c r="IQ111" s="257"/>
      <c r="IR111" s="257"/>
      <c r="IS111" s="257"/>
      <c r="IT111" s="257"/>
      <c r="IU111" s="257"/>
      <c r="IV111" s="257"/>
      <c r="IW111" s="257"/>
      <c r="IX111" s="257"/>
      <c r="IY111" s="257"/>
      <c r="IZ111" s="257"/>
      <c r="JA111" s="257"/>
      <c r="JB111" s="257"/>
      <c r="JC111" s="257"/>
      <c r="JD111" s="257"/>
      <c r="JE111" s="257"/>
      <c r="JF111" s="238"/>
      <c r="JG111" s="238"/>
      <c r="JH111" s="238"/>
      <c r="JI111" s="238"/>
      <c r="JJ111" s="238"/>
      <c r="JK111" s="238"/>
      <c r="JL111" s="238"/>
      <c r="JM111" s="238"/>
      <c r="JN111" s="238"/>
      <c r="JO111" s="238"/>
      <c r="JP111" s="238"/>
      <c r="JQ111" s="238"/>
      <c r="JR111" s="238"/>
      <c r="JS111" s="238"/>
      <c r="JT111" s="238"/>
      <c r="JU111" s="238"/>
      <c r="JV111" s="238"/>
      <c r="JW111" s="238"/>
      <c r="JX111" s="238"/>
      <c r="JY111" s="238"/>
      <c r="JZ111" s="238"/>
      <c r="KA111" s="238"/>
      <c r="KB111" s="238"/>
      <c r="KC111" s="238"/>
      <c r="KD111" s="238"/>
      <c r="KE111" s="238"/>
      <c r="KF111" s="238"/>
      <c r="KG111" s="238"/>
      <c r="KH111" s="238"/>
      <c r="KI111" s="238"/>
      <c r="KJ111" s="238"/>
      <c r="KK111" s="238"/>
      <c r="KL111" s="238"/>
      <c r="KM111" s="238"/>
      <c r="KN111" s="238"/>
      <c r="KO111" s="238"/>
      <c r="KP111" s="238"/>
      <c r="KQ111" s="238"/>
      <c r="KR111" s="238"/>
      <c r="KS111" s="238"/>
      <c r="KT111" s="238"/>
      <c r="KU111" s="238"/>
      <c r="KV111" s="238"/>
      <c r="KW111" s="238"/>
      <c r="KX111" s="238"/>
      <c r="KY111" s="238"/>
      <c r="KZ111" s="238"/>
      <c r="LA111" s="238"/>
      <c r="LB111" s="238"/>
      <c r="LC111" s="238"/>
      <c r="LD111" s="238"/>
      <c r="LE111" s="238"/>
      <c r="LF111" s="238"/>
      <c r="LG111" s="238"/>
      <c r="LH111" s="238"/>
      <c r="LI111" s="238"/>
      <c r="LJ111" s="238"/>
      <c r="LK111" s="238"/>
      <c r="LL111" s="238"/>
      <c r="LM111" s="238"/>
      <c r="LN111" s="238"/>
      <c r="LO111" s="238"/>
      <c r="LP111" s="238"/>
      <c r="LQ111" s="238"/>
      <c r="LR111" s="238"/>
      <c r="LS111" s="238"/>
      <c r="LT111" s="238"/>
      <c r="LU111" s="238"/>
      <c r="LV111" s="238"/>
      <c r="LW111" s="238"/>
      <c r="LX111" s="238"/>
      <c r="LY111" s="238"/>
      <c r="LZ111" s="238"/>
      <c r="MA111" s="238"/>
      <c r="MB111" s="238"/>
      <c r="MC111" s="238"/>
      <c r="MD111" s="238"/>
      <c r="ME111" s="238"/>
      <c r="MF111" s="238"/>
      <c r="MG111" s="238"/>
      <c r="MH111" s="238"/>
      <c r="MI111" s="238"/>
      <c r="MJ111" s="238"/>
      <c r="MK111" s="238"/>
      <c r="ML111" s="238"/>
    </row>
    <row r="112" ht="18.75" customHeight="1">
      <c r="A112" s="283"/>
      <c r="B112" s="234" t="str">
        <f>'Building Bill of Materials_SLIM'!P112</f>
        <v/>
      </c>
      <c r="C112" s="234" t="str">
        <f>'Building Bill of Materials_SLIM'!Q112</f>
        <v/>
      </c>
      <c r="D112" s="234" t="str">
        <f>'Building Bill of Materials_SLIM'!R112</f>
        <v/>
      </c>
      <c r="E112" s="234" t="str">
        <f>'Building Bill of Materials_SLIM'!S112</f>
        <v/>
      </c>
      <c r="F112" s="234" t="str">
        <f>'Building Bill of Materials_SLIM'!U112</f>
        <v/>
      </c>
      <c r="G112" s="234"/>
      <c r="H112" s="234"/>
      <c r="I112" s="234"/>
      <c r="J112" s="234" t="str">
        <f>'Building Bill of Materials_SLIM'!V112</f>
        <v/>
      </c>
      <c r="K112" s="238"/>
      <c r="L112" s="238"/>
      <c r="M112" s="238"/>
      <c r="N112" s="238"/>
      <c r="O112" s="238"/>
      <c r="P112" s="238"/>
      <c r="Q112" s="238"/>
      <c r="R112" s="238"/>
      <c r="S112" s="238"/>
      <c r="T112" s="238"/>
      <c r="U112" s="238"/>
      <c r="V112" s="238"/>
      <c r="W112" s="238"/>
      <c r="X112" s="238"/>
      <c r="Y112" s="238"/>
      <c r="Z112" s="238"/>
      <c r="AA112" s="192"/>
      <c r="AB112" s="257"/>
      <c r="AC112" s="257"/>
      <c r="AD112" s="257"/>
      <c r="AE112" s="257"/>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38"/>
      <c r="BK112" s="238"/>
      <c r="BL112" s="238"/>
      <c r="BM112" s="238"/>
      <c r="BN112" s="238"/>
      <c r="BO112" s="238"/>
      <c r="BP112" s="238"/>
      <c r="BQ112" s="238"/>
      <c r="BR112" s="238"/>
      <c r="BS112" s="238"/>
      <c r="BT112" s="238"/>
      <c r="BU112" s="238"/>
      <c r="BV112" s="238"/>
      <c r="BW112" s="238"/>
      <c r="BX112" s="238"/>
      <c r="BY112" s="238"/>
      <c r="BZ112" s="238"/>
      <c r="CA112" s="238"/>
      <c r="CB112" s="238"/>
      <c r="CC112" s="238"/>
      <c r="CD112" s="238"/>
      <c r="CE112" s="257"/>
      <c r="CF112" s="257"/>
      <c r="CG112" s="238"/>
      <c r="CH112" s="238"/>
      <c r="CI112" s="238"/>
      <c r="CJ112" s="238"/>
      <c r="CK112" s="238"/>
      <c r="CL112" s="238"/>
      <c r="CM112" s="238"/>
      <c r="CN112" s="238"/>
      <c r="CO112" s="238"/>
      <c r="CP112" s="238"/>
      <c r="CQ112" s="238"/>
      <c r="CR112" s="238"/>
      <c r="CS112" s="238"/>
      <c r="CT112" s="238"/>
      <c r="CU112" s="238"/>
      <c r="CV112" s="238"/>
      <c r="CW112" s="238"/>
      <c r="CX112" s="238"/>
      <c r="CY112" s="238"/>
      <c r="CZ112" s="238"/>
      <c r="DA112" s="238"/>
      <c r="DB112" s="238"/>
      <c r="DC112" s="238"/>
      <c r="DD112" s="238"/>
      <c r="DE112" s="238"/>
      <c r="DF112" s="238"/>
      <c r="DG112" s="257"/>
      <c r="DH112" s="238"/>
      <c r="DI112" s="238"/>
      <c r="DJ112" s="238"/>
      <c r="DK112" s="238"/>
      <c r="DL112" s="238"/>
      <c r="DM112" s="238"/>
      <c r="DN112" s="238"/>
      <c r="DO112" s="238"/>
      <c r="DP112" s="238"/>
      <c r="DQ112" s="238"/>
      <c r="DR112" s="238"/>
      <c r="DS112" s="238"/>
      <c r="DT112" s="238"/>
      <c r="DU112" s="238"/>
      <c r="DV112" s="238"/>
      <c r="DW112" s="238"/>
      <c r="DX112" s="238"/>
      <c r="DY112" s="238"/>
      <c r="DZ112" s="238"/>
      <c r="EA112" s="238"/>
      <c r="EB112" s="238"/>
      <c r="EC112" s="238"/>
      <c r="ED112" s="238"/>
      <c r="EE112" s="238"/>
      <c r="EF112" s="238"/>
      <c r="EG112" s="238"/>
      <c r="EH112" s="238"/>
      <c r="EI112" s="238"/>
      <c r="EJ112" s="238"/>
      <c r="EK112" s="238"/>
      <c r="EL112" s="238"/>
      <c r="EM112" s="238"/>
      <c r="EN112" s="238"/>
      <c r="EO112" s="238"/>
      <c r="EP112" s="238"/>
      <c r="EQ112" s="238"/>
      <c r="ER112" s="238"/>
      <c r="ES112" s="238"/>
      <c r="ET112" s="238"/>
      <c r="EU112" s="238"/>
      <c r="EV112" s="238"/>
      <c r="EW112" s="238"/>
      <c r="EX112" s="238"/>
      <c r="EY112" s="238"/>
      <c r="EZ112" s="238"/>
      <c r="FA112" s="238"/>
      <c r="FB112" s="238"/>
      <c r="FC112" s="238"/>
      <c r="FD112" s="238"/>
      <c r="FE112" s="238"/>
      <c r="FF112" s="238"/>
      <c r="FG112" s="238"/>
      <c r="FH112" s="257"/>
      <c r="FI112" s="257"/>
      <c r="FJ112" s="257"/>
      <c r="FK112" s="257"/>
      <c r="FL112" s="257"/>
      <c r="FM112" s="257"/>
      <c r="FN112" s="257"/>
      <c r="FO112" s="257"/>
      <c r="FP112" s="257"/>
      <c r="FQ112" s="257"/>
      <c r="FR112" s="257"/>
      <c r="FS112" s="257"/>
      <c r="FT112" s="257"/>
      <c r="FU112" s="257"/>
      <c r="FV112" s="257"/>
      <c r="FW112" s="257"/>
      <c r="FX112" s="257"/>
      <c r="FY112" s="238"/>
      <c r="FZ112" s="238"/>
      <c r="GA112" s="238"/>
      <c r="GB112" s="238"/>
      <c r="GC112" s="238"/>
      <c r="GD112" s="238"/>
      <c r="GE112" s="238"/>
      <c r="GF112" s="238"/>
      <c r="GG112" s="238"/>
      <c r="GH112" s="238"/>
      <c r="GI112" s="238"/>
      <c r="GJ112" s="238"/>
      <c r="GK112" s="238"/>
      <c r="GL112" s="238"/>
      <c r="GM112" s="238"/>
      <c r="GN112" s="238"/>
      <c r="GO112" s="238"/>
      <c r="GP112" s="238"/>
      <c r="GQ112" s="238"/>
      <c r="GR112" s="238"/>
      <c r="GS112" s="238"/>
      <c r="GT112" s="238"/>
      <c r="GU112" s="238"/>
      <c r="GV112" s="238"/>
      <c r="GW112" s="238"/>
      <c r="GX112" s="238"/>
      <c r="GY112" s="238"/>
      <c r="GZ112" s="238"/>
      <c r="HA112" s="238"/>
      <c r="HB112" s="238"/>
      <c r="HC112" s="238"/>
      <c r="HD112" s="238"/>
      <c r="HE112" s="238"/>
      <c r="HF112" s="238"/>
      <c r="HG112" s="238"/>
      <c r="HH112" s="238"/>
      <c r="HI112" s="238"/>
      <c r="HJ112" s="238"/>
      <c r="HK112" s="238"/>
      <c r="HL112" s="238"/>
      <c r="HM112" s="238"/>
      <c r="HN112" s="238"/>
      <c r="HO112" s="238"/>
      <c r="HP112" s="238"/>
      <c r="HQ112" s="238"/>
      <c r="HR112" s="238"/>
      <c r="HS112" s="238"/>
      <c r="HT112" s="238"/>
      <c r="HU112" s="238"/>
      <c r="HV112" s="238"/>
      <c r="HW112" s="238"/>
      <c r="HX112" s="257"/>
      <c r="HY112" s="257"/>
      <c r="HZ112" s="257"/>
      <c r="IA112" s="257"/>
      <c r="IB112" s="257"/>
      <c r="IC112" s="257"/>
      <c r="ID112" s="257"/>
      <c r="IE112" s="257"/>
      <c r="IF112" s="257"/>
      <c r="IG112" s="257"/>
      <c r="IH112" s="257"/>
      <c r="II112" s="257"/>
      <c r="IJ112" s="257"/>
      <c r="IK112" s="257"/>
      <c r="IL112" s="257"/>
      <c r="IM112" s="257"/>
      <c r="IN112" s="257"/>
      <c r="IO112" s="257"/>
      <c r="IP112" s="257"/>
      <c r="IQ112" s="257"/>
      <c r="IR112" s="257"/>
      <c r="IS112" s="257"/>
      <c r="IT112" s="257"/>
      <c r="IU112" s="257"/>
      <c r="IV112" s="257"/>
      <c r="IW112" s="257"/>
      <c r="IX112" s="257"/>
      <c r="IY112" s="257"/>
      <c r="IZ112" s="257"/>
      <c r="JA112" s="257"/>
      <c r="JB112" s="257"/>
      <c r="JC112" s="257"/>
      <c r="JD112" s="257"/>
      <c r="JE112" s="257"/>
      <c r="JF112" s="238"/>
      <c r="JG112" s="238"/>
      <c r="JH112" s="238"/>
      <c r="JI112" s="238"/>
      <c r="JJ112" s="238"/>
      <c r="JK112" s="238"/>
      <c r="JL112" s="238"/>
      <c r="JM112" s="238"/>
      <c r="JN112" s="238"/>
      <c r="JO112" s="238"/>
      <c r="JP112" s="238"/>
      <c r="JQ112" s="238"/>
      <c r="JR112" s="238"/>
      <c r="JS112" s="238"/>
      <c r="JT112" s="238"/>
      <c r="JU112" s="238"/>
      <c r="JV112" s="238"/>
      <c r="JW112" s="238"/>
      <c r="JX112" s="238"/>
      <c r="JY112" s="238"/>
      <c r="JZ112" s="238"/>
      <c r="KA112" s="238"/>
      <c r="KB112" s="238"/>
      <c r="KC112" s="238"/>
      <c r="KD112" s="238"/>
      <c r="KE112" s="238"/>
      <c r="KF112" s="238"/>
      <c r="KG112" s="238"/>
      <c r="KH112" s="238"/>
      <c r="KI112" s="238"/>
      <c r="KJ112" s="238"/>
      <c r="KK112" s="238"/>
      <c r="KL112" s="238"/>
      <c r="KM112" s="238"/>
      <c r="KN112" s="238"/>
      <c r="KO112" s="238"/>
      <c r="KP112" s="238"/>
      <c r="KQ112" s="238"/>
      <c r="KR112" s="238"/>
      <c r="KS112" s="238"/>
      <c r="KT112" s="238"/>
      <c r="KU112" s="238"/>
      <c r="KV112" s="238"/>
      <c r="KW112" s="238"/>
      <c r="KX112" s="238"/>
      <c r="KY112" s="238"/>
      <c r="KZ112" s="238"/>
      <c r="LA112" s="238"/>
      <c r="LB112" s="238"/>
      <c r="LC112" s="238"/>
      <c r="LD112" s="238"/>
      <c r="LE112" s="238"/>
      <c r="LF112" s="238"/>
      <c r="LG112" s="238"/>
      <c r="LH112" s="238"/>
      <c r="LI112" s="238"/>
      <c r="LJ112" s="238"/>
      <c r="LK112" s="238"/>
      <c r="LL112" s="238"/>
      <c r="LM112" s="238"/>
      <c r="LN112" s="238"/>
      <c r="LO112" s="238"/>
      <c r="LP112" s="238"/>
      <c r="LQ112" s="238"/>
      <c r="LR112" s="238"/>
      <c r="LS112" s="238"/>
      <c r="LT112" s="238"/>
      <c r="LU112" s="238"/>
      <c r="LV112" s="238"/>
      <c r="LW112" s="238"/>
      <c r="LX112" s="238"/>
      <c r="LY112" s="238"/>
      <c r="LZ112" s="238"/>
      <c r="MA112" s="238"/>
      <c r="MB112" s="238"/>
      <c r="MC112" s="238"/>
      <c r="MD112" s="238"/>
      <c r="ME112" s="238"/>
      <c r="MF112" s="238"/>
      <c r="MG112" s="238"/>
      <c r="MH112" s="238"/>
      <c r="MI112" s="238"/>
      <c r="MJ112" s="238"/>
      <c r="MK112" s="238"/>
      <c r="ML112" s="238"/>
    </row>
    <row r="113" ht="18.75" customHeight="1">
      <c r="A113" s="283"/>
      <c r="B113" s="234" t="str">
        <f>'Building Bill of Materials_SLIM'!P113</f>
        <v/>
      </c>
      <c r="C113" s="234" t="str">
        <f>'Building Bill of Materials_SLIM'!Q113</f>
        <v/>
      </c>
      <c r="D113" s="234" t="str">
        <f>'Building Bill of Materials_SLIM'!R113</f>
        <v/>
      </c>
      <c r="E113" s="234" t="str">
        <f>'Building Bill of Materials_SLIM'!S113</f>
        <v/>
      </c>
      <c r="F113" s="234" t="str">
        <f>'Building Bill of Materials_SLIM'!U113</f>
        <v/>
      </c>
      <c r="G113" s="234"/>
      <c r="H113" s="234"/>
      <c r="I113" s="234"/>
      <c r="J113" s="234" t="str">
        <f>'Building Bill of Materials_SLIM'!V113</f>
        <v/>
      </c>
      <c r="K113" s="238"/>
      <c r="L113" s="238"/>
      <c r="M113" s="238"/>
      <c r="N113" s="238"/>
      <c r="O113" s="238"/>
      <c r="P113" s="238"/>
      <c r="Q113" s="238"/>
      <c r="R113" s="238"/>
      <c r="S113" s="238"/>
      <c r="T113" s="238"/>
      <c r="U113" s="238"/>
      <c r="V113" s="238"/>
      <c r="W113" s="238"/>
      <c r="X113" s="238"/>
      <c r="Y113" s="238"/>
      <c r="Z113" s="238"/>
      <c r="AA113" s="192"/>
      <c r="AB113" s="257"/>
      <c r="AC113" s="257"/>
      <c r="AD113" s="257"/>
      <c r="AE113" s="257"/>
      <c r="AF113" s="257"/>
      <c r="AG113" s="257"/>
      <c r="AH113" s="257"/>
      <c r="AI113" s="257"/>
      <c r="AJ113" s="257"/>
      <c r="AK113" s="257"/>
      <c r="AL113" s="257"/>
      <c r="AM113" s="257"/>
      <c r="AN113" s="257"/>
      <c r="AO113" s="257"/>
      <c r="AP113" s="257"/>
      <c r="AQ113" s="257"/>
      <c r="AR113" s="257"/>
      <c r="AS113" s="257"/>
      <c r="AT113" s="257"/>
      <c r="AU113" s="257"/>
      <c r="AV113" s="257"/>
      <c r="AW113" s="257"/>
      <c r="AX113" s="257"/>
      <c r="AY113" s="257"/>
      <c r="AZ113" s="257"/>
      <c r="BA113" s="257"/>
      <c r="BB113" s="257"/>
      <c r="BC113" s="257"/>
      <c r="BD113" s="257"/>
      <c r="BE113" s="257"/>
      <c r="BF113" s="257"/>
      <c r="BG113" s="257"/>
      <c r="BH113" s="257"/>
      <c r="BI113" s="257"/>
      <c r="BJ113" s="238"/>
      <c r="BK113" s="238"/>
      <c r="BL113" s="238"/>
      <c r="BM113" s="238"/>
      <c r="BN113" s="238"/>
      <c r="BO113" s="238"/>
      <c r="BP113" s="238"/>
      <c r="BQ113" s="238"/>
      <c r="BR113" s="238"/>
      <c r="BS113" s="238"/>
      <c r="BT113" s="238"/>
      <c r="BU113" s="238"/>
      <c r="BV113" s="238"/>
      <c r="BW113" s="238"/>
      <c r="BX113" s="238"/>
      <c r="BY113" s="238"/>
      <c r="BZ113" s="238"/>
      <c r="CA113" s="238"/>
      <c r="CB113" s="238"/>
      <c r="CC113" s="238"/>
      <c r="CD113" s="238"/>
      <c r="CE113" s="257"/>
      <c r="CF113" s="257"/>
      <c r="CG113" s="238"/>
      <c r="CH113" s="238"/>
      <c r="CI113" s="238"/>
      <c r="CJ113" s="238"/>
      <c r="CK113" s="238"/>
      <c r="CL113" s="238"/>
      <c r="CM113" s="238"/>
      <c r="CN113" s="238"/>
      <c r="CO113" s="238"/>
      <c r="CP113" s="238"/>
      <c r="CQ113" s="238"/>
      <c r="CR113" s="238"/>
      <c r="CS113" s="238"/>
      <c r="CT113" s="238"/>
      <c r="CU113" s="238"/>
      <c r="CV113" s="238"/>
      <c r="CW113" s="238"/>
      <c r="CX113" s="238"/>
      <c r="CY113" s="238"/>
      <c r="CZ113" s="238"/>
      <c r="DA113" s="238"/>
      <c r="DB113" s="238"/>
      <c r="DC113" s="238"/>
      <c r="DD113" s="238"/>
      <c r="DE113" s="238"/>
      <c r="DF113" s="238"/>
      <c r="DG113" s="257"/>
      <c r="DH113" s="238"/>
      <c r="DI113" s="238"/>
      <c r="DJ113" s="238"/>
      <c r="DK113" s="238"/>
      <c r="DL113" s="238"/>
      <c r="DM113" s="238"/>
      <c r="DN113" s="238"/>
      <c r="DO113" s="238"/>
      <c r="DP113" s="238"/>
      <c r="DQ113" s="238"/>
      <c r="DR113" s="238"/>
      <c r="DS113" s="238"/>
      <c r="DT113" s="238"/>
      <c r="DU113" s="238"/>
      <c r="DV113" s="238"/>
      <c r="DW113" s="238"/>
      <c r="DX113" s="238"/>
      <c r="DY113" s="238"/>
      <c r="DZ113" s="238"/>
      <c r="EA113" s="238"/>
      <c r="EB113" s="238"/>
      <c r="EC113" s="238"/>
      <c r="ED113" s="238"/>
      <c r="EE113" s="238"/>
      <c r="EF113" s="238"/>
      <c r="EG113" s="238"/>
      <c r="EH113" s="238"/>
      <c r="EI113" s="238"/>
      <c r="EJ113" s="238"/>
      <c r="EK113" s="238"/>
      <c r="EL113" s="238"/>
      <c r="EM113" s="238"/>
      <c r="EN113" s="238"/>
      <c r="EO113" s="238"/>
      <c r="EP113" s="238"/>
      <c r="EQ113" s="238"/>
      <c r="ER113" s="238"/>
      <c r="ES113" s="238"/>
      <c r="ET113" s="238"/>
      <c r="EU113" s="238"/>
      <c r="EV113" s="238"/>
      <c r="EW113" s="238"/>
      <c r="EX113" s="238"/>
      <c r="EY113" s="238"/>
      <c r="EZ113" s="238"/>
      <c r="FA113" s="238"/>
      <c r="FB113" s="238"/>
      <c r="FC113" s="238"/>
      <c r="FD113" s="238"/>
      <c r="FE113" s="238"/>
      <c r="FF113" s="238"/>
      <c r="FG113" s="238"/>
      <c r="FH113" s="257"/>
      <c r="FI113" s="257"/>
      <c r="FJ113" s="257"/>
      <c r="FK113" s="257"/>
      <c r="FL113" s="257"/>
      <c r="FM113" s="257"/>
      <c r="FN113" s="257"/>
      <c r="FO113" s="257"/>
      <c r="FP113" s="257"/>
      <c r="FQ113" s="257"/>
      <c r="FR113" s="257"/>
      <c r="FS113" s="257"/>
      <c r="FT113" s="257"/>
      <c r="FU113" s="257"/>
      <c r="FV113" s="257"/>
      <c r="FW113" s="257"/>
      <c r="FX113" s="257"/>
      <c r="FY113" s="238"/>
      <c r="FZ113" s="238"/>
      <c r="GA113" s="238"/>
      <c r="GB113" s="238"/>
      <c r="GC113" s="238"/>
      <c r="GD113" s="238"/>
      <c r="GE113" s="238"/>
      <c r="GF113" s="238"/>
      <c r="GG113" s="238"/>
      <c r="GH113" s="238"/>
      <c r="GI113" s="238"/>
      <c r="GJ113" s="238"/>
      <c r="GK113" s="238"/>
      <c r="GL113" s="238"/>
      <c r="GM113" s="238"/>
      <c r="GN113" s="238"/>
      <c r="GO113" s="238"/>
      <c r="GP113" s="238"/>
      <c r="GQ113" s="238"/>
      <c r="GR113" s="238"/>
      <c r="GS113" s="238"/>
      <c r="GT113" s="238"/>
      <c r="GU113" s="238"/>
      <c r="GV113" s="238"/>
      <c r="GW113" s="238"/>
      <c r="GX113" s="238"/>
      <c r="GY113" s="238"/>
      <c r="GZ113" s="238"/>
      <c r="HA113" s="238"/>
      <c r="HB113" s="238"/>
      <c r="HC113" s="238"/>
      <c r="HD113" s="238"/>
      <c r="HE113" s="238"/>
      <c r="HF113" s="238"/>
      <c r="HG113" s="238"/>
      <c r="HH113" s="238"/>
      <c r="HI113" s="238"/>
      <c r="HJ113" s="238"/>
      <c r="HK113" s="238"/>
      <c r="HL113" s="238"/>
      <c r="HM113" s="238"/>
      <c r="HN113" s="238"/>
      <c r="HO113" s="238"/>
      <c r="HP113" s="238"/>
      <c r="HQ113" s="238"/>
      <c r="HR113" s="238"/>
      <c r="HS113" s="238"/>
      <c r="HT113" s="238"/>
      <c r="HU113" s="238"/>
      <c r="HV113" s="238"/>
      <c r="HW113" s="238"/>
      <c r="HX113" s="257"/>
      <c r="HY113" s="257"/>
      <c r="HZ113" s="257"/>
      <c r="IA113" s="257"/>
      <c r="IB113" s="257"/>
      <c r="IC113" s="257"/>
      <c r="ID113" s="257"/>
      <c r="IE113" s="257"/>
      <c r="IF113" s="257"/>
      <c r="IG113" s="257"/>
      <c r="IH113" s="257"/>
      <c r="II113" s="257"/>
      <c r="IJ113" s="257"/>
      <c r="IK113" s="257"/>
      <c r="IL113" s="257"/>
      <c r="IM113" s="257"/>
      <c r="IN113" s="257"/>
      <c r="IO113" s="257"/>
      <c r="IP113" s="257"/>
      <c r="IQ113" s="257"/>
      <c r="IR113" s="257"/>
      <c r="IS113" s="257"/>
      <c r="IT113" s="257"/>
      <c r="IU113" s="257"/>
      <c r="IV113" s="257"/>
      <c r="IW113" s="257"/>
      <c r="IX113" s="257"/>
      <c r="IY113" s="257"/>
      <c r="IZ113" s="257"/>
      <c r="JA113" s="257"/>
      <c r="JB113" s="257"/>
      <c r="JC113" s="257"/>
      <c r="JD113" s="257"/>
      <c r="JE113" s="257"/>
      <c r="JF113" s="238"/>
      <c r="JG113" s="238"/>
      <c r="JH113" s="238"/>
      <c r="JI113" s="238"/>
      <c r="JJ113" s="238"/>
      <c r="JK113" s="238"/>
      <c r="JL113" s="238"/>
      <c r="JM113" s="238"/>
      <c r="JN113" s="238"/>
      <c r="JO113" s="238"/>
      <c r="JP113" s="238"/>
      <c r="JQ113" s="238"/>
      <c r="JR113" s="238"/>
      <c r="JS113" s="238"/>
      <c r="JT113" s="238"/>
      <c r="JU113" s="238"/>
      <c r="JV113" s="238"/>
      <c r="JW113" s="238"/>
      <c r="JX113" s="238"/>
      <c r="JY113" s="238"/>
      <c r="JZ113" s="238"/>
      <c r="KA113" s="238"/>
      <c r="KB113" s="238"/>
      <c r="KC113" s="238"/>
      <c r="KD113" s="238"/>
      <c r="KE113" s="238"/>
      <c r="KF113" s="238"/>
      <c r="KG113" s="238"/>
      <c r="KH113" s="238"/>
      <c r="KI113" s="238"/>
      <c r="KJ113" s="238"/>
      <c r="KK113" s="238"/>
      <c r="KL113" s="238"/>
      <c r="KM113" s="238"/>
      <c r="KN113" s="238"/>
      <c r="KO113" s="238"/>
      <c r="KP113" s="238"/>
      <c r="KQ113" s="238"/>
      <c r="KR113" s="238"/>
      <c r="KS113" s="238"/>
      <c r="KT113" s="238"/>
      <c r="KU113" s="238"/>
      <c r="KV113" s="238"/>
      <c r="KW113" s="238"/>
      <c r="KX113" s="238"/>
      <c r="KY113" s="238"/>
      <c r="KZ113" s="238"/>
      <c r="LA113" s="238"/>
      <c r="LB113" s="238"/>
      <c r="LC113" s="238"/>
      <c r="LD113" s="238"/>
      <c r="LE113" s="238"/>
      <c r="LF113" s="238"/>
      <c r="LG113" s="238"/>
      <c r="LH113" s="238"/>
      <c r="LI113" s="238"/>
      <c r="LJ113" s="238"/>
      <c r="LK113" s="238"/>
      <c r="LL113" s="238"/>
      <c r="LM113" s="238"/>
      <c r="LN113" s="238"/>
      <c r="LO113" s="238"/>
      <c r="LP113" s="238"/>
      <c r="LQ113" s="238"/>
      <c r="LR113" s="238"/>
      <c r="LS113" s="238"/>
      <c r="LT113" s="238"/>
      <c r="LU113" s="238"/>
      <c r="LV113" s="238"/>
      <c r="LW113" s="238"/>
      <c r="LX113" s="238"/>
      <c r="LY113" s="238"/>
      <c r="LZ113" s="238"/>
      <c r="MA113" s="238"/>
      <c r="MB113" s="238"/>
      <c r="MC113" s="238"/>
      <c r="MD113" s="238"/>
      <c r="ME113" s="238"/>
      <c r="MF113" s="238"/>
      <c r="MG113" s="238"/>
      <c r="MH113" s="238"/>
      <c r="MI113" s="238"/>
      <c r="MJ113" s="238"/>
      <c r="MK113" s="238"/>
      <c r="ML113" s="238"/>
    </row>
    <row r="114" ht="18.75" customHeight="1">
      <c r="A114" s="283"/>
      <c r="B114" s="234" t="str">
        <f>'Building Bill of Materials_SLIM'!P114</f>
        <v/>
      </c>
      <c r="C114" s="234" t="str">
        <f>'Building Bill of Materials_SLIM'!Q114</f>
        <v/>
      </c>
      <c r="D114" s="234" t="str">
        <f>'Building Bill of Materials_SLIM'!R114</f>
        <v/>
      </c>
      <c r="E114" s="234" t="str">
        <f>'Building Bill of Materials_SLIM'!S114</f>
        <v/>
      </c>
      <c r="F114" s="234" t="str">
        <f>'Building Bill of Materials_SLIM'!U114</f>
        <v/>
      </c>
      <c r="G114" s="234"/>
      <c r="H114" s="234"/>
      <c r="I114" s="234"/>
      <c r="J114" s="234" t="str">
        <f>'Building Bill of Materials_SLIM'!V114</f>
        <v/>
      </c>
      <c r="K114" s="238"/>
      <c r="L114" s="238"/>
      <c r="M114" s="238"/>
      <c r="N114" s="238"/>
      <c r="O114" s="238"/>
      <c r="P114" s="238"/>
      <c r="Q114" s="238"/>
      <c r="R114" s="238"/>
      <c r="S114" s="238"/>
      <c r="T114" s="238"/>
      <c r="U114" s="238"/>
      <c r="V114" s="238"/>
      <c r="W114" s="238"/>
      <c r="X114" s="238"/>
      <c r="Y114" s="238"/>
      <c r="Z114" s="238"/>
      <c r="AA114" s="192"/>
      <c r="AB114" s="257"/>
      <c r="AC114" s="257"/>
      <c r="AD114" s="257"/>
      <c r="AE114" s="257"/>
      <c r="AF114" s="257"/>
      <c r="AG114" s="257"/>
      <c r="AH114" s="257"/>
      <c r="AI114" s="257"/>
      <c r="AJ114" s="257"/>
      <c r="AK114" s="257"/>
      <c r="AL114" s="257"/>
      <c r="AM114" s="257"/>
      <c r="AN114" s="257"/>
      <c r="AO114" s="257"/>
      <c r="AP114" s="257"/>
      <c r="AQ114" s="257"/>
      <c r="AR114" s="257"/>
      <c r="AS114" s="257"/>
      <c r="AT114" s="257"/>
      <c r="AU114" s="257"/>
      <c r="AV114" s="257"/>
      <c r="AW114" s="257"/>
      <c r="AX114" s="257"/>
      <c r="AY114" s="257"/>
      <c r="AZ114" s="257"/>
      <c r="BA114" s="257"/>
      <c r="BB114" s="257"/>
      <c r="BC114" s="257"/>
      <c r="BD114" s="257"/>
      <c r="BE114" s="257"/>
      <c r="BF114" s="257"/>
      <c r="BG114" s="257"/>
      <c r="BH114" s="257"/>
      <c r="BI114" s="257"/>
      <c r="BJ114" s="238"/>
      <c r="BK114" s="238"/>
      <c r="BL114" s="238"/>
      <c r="BM114" s="238"/>
      <c r="BN114" s="238"/>
      <c r="BO114" s="238"/>
      <c r="BP114" s="238"/>
      <c r="BQ114" s="238"/>
      <c r="BR114" s="238"/>
      <c r="BS114" s="238"/>
      <c r="BT114" s="238"/>
      <c r="BU114" s="238"/>
      <c r="BV114" s="238"/>
      <c r="BW114" s="238"/>
      <c r="BX114" s="238"/>
      <c r="BY114" s="238"/>
      <c r="BZ114" s="238"/>
      <c r="CA114" s="238"/>
      <c r="CB114" s="238"/>
      <c r="CC114" s="238"/>
      <c r="CD114" s="238"/>
      <c r="CE114" s="257"/>
      <c r="CF114" s="257"/>
      <c r="CG114" s="238"/>
      <c r="CH114" s="238"/>
      <c r="CI114" s="238"/>
      <c r="CJ114" s="238"/>
      <c r="CK114" s="238"/>
      <c r="CL114" s="238"/>
      <c r="CM114" s="238"/>
      <c r="CN114" s="238"/>
      <c r="CO114" s="238"/>
      <c r="CP114" s="238"/>
      <c r="CQ114" s="238"/>
      <c r="CR114" s="238"/>
      <c r="CS114" s="238"/>
      <c r="CT114" s="238"/>
      <c r="CU114" s="238"/>
      <c r="CV114" s="238"/>
      <c r="CW114" s="238"/>
      <c r="CX114" s="238"/>
      <c r="CY114" s="238"/>
      <c r="CZ114" s="238"/>
      <c r="DA114" s="238"/>
      <c r="DB114" s="238"/>
      <c r="DC114" s="238"/>
      <c r="DD114" s="238"/>
      <c r="DE114" s="238"/>
      <c r="DF114" s="238"/>
      <c r="DG114" s="257"/>
      <c r="DH114" s="238"/>
      <c r="DI114" s="238"/>
      <c r="DJ114" s="238"/>
      <c r="DK114" s="238"/>
      <c r="DL114" s="238"/>
      <c r="DM114" s="238"/>
      <c r="DN114" s="238"/>
      <c r="DO114" s="238"/>
      <c r="DP114" s="238"/>
      <c r="DQ114" s="238"/>
      <c r="DR114" s="238"/>
      <c r="DS114" s="238"/>
      <c r="DT114" s="238"/>
      <c r="DU114" s="238"/>
      <c r="DV114" s="238"/>
      <c r="DW114" s="238"/>
      <c r="DX114" s="238"/>
      <c r="DY114" s="238"/>
      <c r="DZ114" s="238"/>
      <c r="EA114" s="238"/>
      <c r="EB114" s="238"/>
      <c r="EC114" s="238"/>
      <c r="ED114" s="238"/>
      <c r="EE114" s="238"/>
      <c r="EF114" s="238"/>
      <c r="EG114" s="238"/>
      <c r="EH114" s="238"/>
      <c r="EI114" s="238"/>
      <c r="EJ114" s="238"/>
      <c r="EK114" s="238"/>
      <c r="EL114" s="238"/>
      <c r="EM114" s="238"/>
      <c r="EN114" s="238"/>
      <c r="EO114" s="238"/>
      <c r="EP114" s="238"/>
      <c r="EQ114" s="238"/>
      <c r="ER114" s="238"/>
      <c r="ES114" s="238"/>
      <c r="ET114" s="238"/>
      <c r="EU114" s="238"/>
      <c r="EV114" s="238"/>
      <c r="EW114" s="238"/>
      <c r="EX114" s="238"/>
      <c r="EY114" s="238"/>
      <c r="EZ114" s="238"/>
      <c r="FA114" s="238"/>
      <c r="FB114" s="238"/>
      <c r="FC114" s="238"/>
      <c r="FD114" s="238"/>
      <c r="FE114" s="238"/>
      <c r="FF114" s="238"/>
      <c r="FG114" s="238"/>
      <c r="FH114" s="257"/>
      <c r="FI114" s="257"/>
      <c r="FJ114" s="257"/>
      <c r="FK114" s="257"/>
      <c r="FL114" s="257"/>
      <c r="FM114" s="257"/>
      <c r="FN114" s="257"/>
      <c r="FO114" s="257"/>
      <c r="FP114" s="257"/>
      <c r="FQ114" s="257"/>
      <c r="FR114" s="257"/>
      <c r="FS114" s="257"/>
      <c r="FT114" s="257"/>
      <c r="FU114" s="257"/>
      <c r="FV114" s="257"/>
      <c r="FW114" s="257"/>
      <c r="FX114" s="257"/>
      <c r="FY114" s="238"/>
      <c r="FZ114" s="238"/>
      <c r="GA114" s="238"/>
      <c r="GB114" s="238"/>
      <c r="GC114" s="238"/>
      <c r="GD114" s="238"/>
      <c r="GE114" s="238"/>
      <c r="GF114" s="238"/>
      <c r="GG114" s="238"/>
      <c r="GH114" s="238"/>
      <c r="GI114" s="238"/>
      <c r="GJ114" s="238"/>
      <c r="GK114" s="238"/>
      <c r="GL114" s="238"/>
      <c r="GM114" s="238"/>
      <c r="GN114" s="238"/>
      <c r="GO114" s="238"/>
      <c r="GP114" s="238"/>
      <c r="GQ114" s="238"/>
      <c r="GR114" s="238"/>
      <c r="GS114" s="238"/>
      <c r="GT114" s="238"/>
      <c r="GU114" s="238"/>
      <c r="GV114" s="238"/>
      <c r="GW114" s="238"/>
      <c r="GX114" s="238"/>
      <c r="GY114" s="238"/>
      <c r="GZ114" s="238"/>
      <c r="HA114" s="238"/>
      <c r="HB114" s="238"/>
      <c r="HC114" s="238"/>
      <c r="HD114" s="238"/>
      <c r="HE114" s="238"/>
      <c r="HF114" s="238"/>
      <c r="HG114" s="238"/>
      <c r="HH114" s="238"/>
      <c r="HI114" s="238"/>
      <c r="HJ114" s="238"/>
      <c r="HK114" s="238"/>
      <c r="HL114" s="238"/>
      <c r="HM114" s="238"/>
      <c r="HN114" s="238"/>
      <c r="HO114" s="238"/>
      <c r="HP114" s="238"/>
      <c r="HQ114" s="238"/>
      <c r="HR114" s="238"/>
      <c r="HS114" s="238"/>
      <c r="HT114" s="238"/>
      <c r="HU114" s="238"/>
      <c r="HV114" s="238"/>
      <c r="HW114" s="238"/>
      <c r="HX114" s="257"/>
      <c r="HY114" s="257"/>
      <c r="HZ114" s="257"/>
      <c r="IA114" s="257"/>
      <c r="IB114" s="257"/>
      <c r="IC114" s="257"/>
      <c r="ID114" s="257"/>
      <c r="IE114" s="257"/>
      <c r="IF114" s="257"/>
      <c r="IG114" s="257"/>
      <c r="IH114" s="257"/>
      <c r="II114" s="257"/>
      <c r="IJ114" s="257"/>
      <c r="IK114" s="257"/>
      <c r="IL114" s="257"/>
      <c r="IM114" s="257"/>
      <c r="IN114" s="257"/>
      <c r="IO114" s="257"/>
      <c r="IP114" s="257"/>
      <c r="IQ114" s="257"/>
      <c r="IR114" s="257"/>
      <c r="IS114" s="257"/>
      <c r="IT114" s="257"/>
      <c r="IU114" s="257"/>
      <c r="IV114" s="257"/>
      <c r="IW114" s="257"/>
      <c r="IX114" s="257"/>
      <c r="IY114" s="257"/>
      <c r="IZ114" s="257"/>
      <c r="JA114" s="257"/>
      <c r="JB114" s="257"/>
      <c r="JC114" s="257"/>
      <c r="JD114" s="257"/>
      <c r="JE114" s="257"/>
      <c r="JF114" s="238"/>
      <c r="JG114" s="238"/>
      <c r="JH114" s="238"/>
      <c r="JI114" s="238"/>
      <c r="JJ114" s="238"/>
      <c r="JK114" s="238"/>
      <c r="JL114" s="238"/>
      <c r="JM114" s="238"/>
      <c r="JN114" s="238"/>
      <c r="JO114" s="238"/>
      <c r="JP114" s="238"/>
      <c r="JQ114" s="238"/>
      <c r="JR114" s="238"/>
      <c r="JS114" s="238"/>
      <c r="JT114" s="238"/>
      <c r="JU114" s="238"/>
      <c r="JV114" s="238"/>
      <c r="JW114" s="238"/>
      <c r="JX114" s="238"/>
      <c r="JY114" s="238"/>
      <c r="JZ114" s="238"/>
      <c r="KA114" s="238"/>
      <c r="KB114" s="238"/>
      <c r="KC114" s="238"/>
      <c r="KD114" s="238"/>
      <c r="KE114" s="238"/>
      <c r="KF114" s="238"/>
      <c r="KG114" s="238"/>
      <c r="KH114" s="238"/>
      <c r="KI114" s="238"/>
      <c r="KJ114" s="238"/>
      <c r="KK114" s="238"/>
      <c r="KL114" s="238"/>
      <c r="KM114" s="238"/>
      <c r="KN114" s="238"/>
      <c r="KO114" s="238"/>
      <c r="KP114" s="238"/>
      <c r="KQ114" s="238"/>
      <c r="KR114" s="238"/>
      <c r="KS114" s="238"/>
      <c r="KT114" s="238"/>
      <c r="KU114" s="238"/>
      <c r="KV114" s="238"/>
      <c r="KW114" s="238"/>
      <c r="KX114" s="238"/>
      <c r="KY114" s="238"/>
      <c r="KZ114" s="238"/>
      <c r="LA114" s="238"/>
      <c r="LB114" s="238"/>
      <c r="LC114" s="238"/>
      <c r="LD114" s="238"/>
      <c r="LE114" s="238"/>
      <c r="LF114" s="238"/>
      <c r="LG114" s="238"/>
      <c r="LH114" s="238"/>
      <c r="LI114" s="238"/>
      <c r="LJ114" s="238"/>
      <c r="LK114" s="238"/>
      <c r="LL114" s="238"/>
      <c r="LM114" s="238"/>
      <c r="LN114" s="238"/>
      <c r="LO114" s="238"/>
      <c r="LP114" s="238"/>
      <c r="LQ114" s="238"/>
      <c r="LR114" s="238"/>
      <c r="LS114" s="238"/>
      <c r="LT114" s="238"/>
      <c r="LU114" s="238"/>
      <c r="LV114" s="238"/>
      <c r="LW114" s="238"/>
      <c r="LX114" s="238"/>
      <c r="LY114" s="238"/>
      <c r="LZ114" s="238"/>
      <c r="MA114" s="238"/>
      <c r="MB114" s="238"/>
      <c r="MC114" s="238"/>
      <c r="MD114" s="238"/>
      <c r="ME114" s="238"/>
      <c r="MF114" s="238"/>
      <c r="MG114" s="238"/>
      <c r="MH114" s="238"/>
      <c r="MI114" s="238"/>
      <c r="MJ114" s="238"/>
      <c r="MK114" s="238"/>
      <c r="ML114" s="238"/>
    </row>
    <row r="115" ht="18.75" customHeight="1">
      <c r="A115" s="283"/>
      <c r="B115" s="234" t="str">
        <f>'Building Bill of Materials_SLIM'!P115</f>
        <v/>
      </c>
      <c r="C115" s="234" t="str">
        <f>'Building Bill of Materials_SLIM'!Q115</f>
        <v/>
      </c>
      <c r="D115" s="234" t="str">
        <f>'Building Bill of Materials_SLIM'!R115</f>
        <v/>
      </c>
      <c r="E115" s="234" t="str">
        <f>'Building Bill of Materials_SLIM'!S115</f>
        <v/>
      </c>
      <c r="F115" s="234" t="str">
        <f>'Building Bill of Materials_SLIM'!U115</f>
        <v/>
      </c>
      <c r="G115" s="234"/>
      <c r="H115" s="234"/>
      <c r="I115" s="234"/>
      <c r="J115" s="234" t="str">
        <f>'Building Bill of Materials_SLIM'!V115</f>
        <v/>
      </c>
      <c r="K115" s="238"/>
      <c r="L115" s="238"/>
      <c r="M115" s="238"/>
      <c r="N115" s="238"/>
      <c r="O115" s="238"/>
      <c r="P115" s="238"/>
      <c r="Q115" s="238"/>
      <c r="R115" s="238"/>
      <c r="S115" s="238"/>
      <c r="T115" s="238"/>
      <c r="U115" s="238"/>
      <c r="V115" s="238"/>
      <c r="W115" s="238"/>
      <c r="X115" s="238"/>
      <c r="Y115" s="238"/>
      <c r="Z115" s="238"/>
      <c r="AA115" s="192"/>
      <c r="AB115" s="257"/>
      <c r="AC115" s="257"/>
      <c r="AD115" s="257"/>
      <c r="AE115" s="257"/>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c r="BH115" s="257"/>
      <c r="BI115" s="257"/>
      <c r="BJ115" s="238"/>
      <c r="BK115" s="238"/>
      <c r="BL115" s="238"/>
      <c r="BM115" s="238"/>
      <c r="BN115" s="238"/>
      <c r="BO115" s="238"/>
      <c r="BP115" s="238"/>
      <c r="BQ115" s="238"/>
      <c r="BR115" s="238"/>
      <c r="BS115" s="238"/>
      <c r="BT115" s="238"/>
      <c r="BU115" s="238"/>
      <c r="BV115" s="238"/>
      <c r="BW115" s="238"/>
      <c r="BX115" s="238"/>
      <c r="BY115" s="238"/>
      <c r="BZ115" s="238"/>
      <c r="CA115" s="238"/>
      <c r="CB115" s="238"/>
      <c r="CC115" s="238"/>
      <c r="CD115" s="238"/>
      <c r="CE115" s="257"/>
      <c r="CF115" s="257"/>
      <c r="CG115" s="238"/>
      <c r="CH115" s="238"/>
      <c r="CI115" s="238"/>
      <c r="CJ115" s="238"/>
      <c r="CK115" s="238"/>
      <c r="CL115" s="238"/>
      <c r="CM115" s="238"/>
      <c r="CN115" s="238"/>
      <c r="CO115" s="238"/>
      <c r="CP115" s="238"/>
      <c r="CQ115" s="238"/>
      <c r="CR115" s="238"/>
      <c r="CS115" s="238"/>
      <c r="CT115" s="238"/>
      <c r="CU115" s="238"/>
      <c r="CV115" s="238"/>
      <c r="CW115" s="238"/>
      <c r="CX115" s="238"/>
      <c r="CY115" s="238"/>
      <c r="CZ115" s="238"/>
      <c r="DA115" s="238"/>
      <c r="DB115" s="238"/>
      <c r="DC115" s="238"/>
      <c r="DD115" s="238"/>
      <c r="DE115" s="238"/>
      <c r="DF115" s="238"/>
      <c r="DG115" s="257"/>
      <c r="DH115" s="238"/>
      <c r="DI115" s="238"/>
      <c r="DJ115" s="238"/>
      <c r="DK115" s="238"/>
      <c r="DL115" s="238"/>
      <c r="DM115" s="238"/>
      <c r="DN115" s="238"/>
      <c r="DO115" s="238"/>
      <c r="DP115" s="238"/>
      <c r="DQ115" s="238"/>
      <c r="DR115" s="238"/>
      <c r="DS115" s="238"/>
      <c r="DT115" s="238"/>
      <c r="DU115" s="238"/>
      <c r="DV115" s="238"/>
      <c r="DW115" s="238"/>
      <c r="DX115" s="238"/>
      <c r="DY115" s="238"/>
      <c r="DZ115" s="238"/>
      <c r="EA115" s="238"/>
      <c r="EB115" s="238"/>
      <c r="EC115" s="238"/>
      <c r="ED115" s="238"/>
      <c r="EE115" s="238"/>
      <c r="EF115" s="238"/>
      <c r="EG115" s="238"/>
      <c r="EH115" s="238"/>
      <c r="EI115" s="238"/>
      <c r="EJ115" s="238"/>
      <c r="EK115" s="238"/>
      <c r="EL115" s="238"/>
      <c r="EM115" s="238"/>
      <c r="EN115" s="238"/>
      <c r="EO115" s="238"/>
      <c r="EP115" s="238"/>
      <c r="EQ115" s="238"/>
      <c r="ER115" s="238"/>
      <c r="ES115" s="238"/>
      <c r="ET115" s="238"/>
      <c r="EU115" s="238"/>
      <c r="EV115" s="238"/>
      <c r="EW115" s="238"/>
      <c r="EX115" s="238"/>
      <c r="EY115" s="238"/>
      <c r="EZ115" s="238"/>
      <c r="FA115" s="238"/>
      <c r="FB115" s="238"/>
      <c r="FC115" s="238"/>
      <c r="FD115" s="238"/>
      <c r="FE115" s="238"/>
      <c r="FF115" s="238"/>
      <c r="FG115" s="238"/>
      <c r="FH115" s="257"/>
      <c r="FI115" s="257"/>
      <c r="FJ115" s="257"/>
      <c r="FK115" s="257"/>
      <c r="FL115" s="257"/>
      <c r="FM115" s="257"/>
      <c r="FN115" s="257"/>
      <c r="FO115" s="257"/>
      <c r="FP115" s="257"/>
      <c r="FQ115" s="257"/>
      <c r="FR115" s="257"/>
      <c r="FS115" s="257"/>
      <c r="FT115" s="257"/>
      <c r="FU115" s="257"/>
      <c r="FV115" s="257"/>
      <c r="FW115" s="257"/>
      <c r="FX115" s="257"/>
      <c r="FY115" s="238"/>
      <c r="FZ115" s="238"/>
      <c r="GA115" s="238"/>
      <c r="GB115" s="238"/>
      <c r="GC115" s="238"/>
      <c r="GD115" s="238"/>
      <c r="GE115" s="238"/>
      <c r="GF115" s="238"/>
      <c r="GG115" s="238"/>
      <c r="GH115" s="238"/>
      <c r="GI115" s="238"/>
      <c r="GJ115" s="238"/>
      <c r="GK115" s="238"/>
      <c r="GL115" s="238"/>
      <c r="GM115" s="238"/>
      <c r="GN115" s="238"/>
      <c r="GO115" s="238"/>
      <c r="GP115" s="238"/>
      <c r="GQ115" s="238"/>
      <c r="GR115" s="238"/>
      <c r="GS115" s="238"/>
      <c r="GT115" s="238"/>
      <c r="GU115" s="238"/>
      <c r="GV115" s="238"/>
      <c r="GW115" s="238"/>
      <c r="GX115" s="238"/>
      <c r="GY115" s="238"/>
      <c r="GZ115" s="238"/>
      <c r="HA115" s="238"/>
      <c r="HB115" s="238"/>
      <c r="HC115" s="238"/>
      <c r="HD115" s="238"/>
      <c r="HE115" s="238"/>
      <c r="HF115" s="238"/>
      <c r="HG115" s="238"/>
      <c r="HH115" s="238"/>
      <c r="HI115" s="238"/>
      <c r="HJ115" s="238"/>
      <c r="HK115" s="238"/>
      <c r="HL115" s="238"/>
      <c r="HM115" s="238"/>
      <c r="HN115" s="238"/>
      <c r="HO115" s="238"/>
      <c r="HP115" s="238"/>
      <c r="HQ115" s="238"/>
      <c r="HR115" s="238"/>
      <c r="HS115" s="238"/>
      <c r="HT115" s="238"/>
      <c r="HU115" s="238"/>
      <c r="HV115" s="238"/>
      <c r="HW115" s="238"/>
      <c r="HX115" s="257"/>
      <c r="HY115" s="257"/>
      <c r="HZ115" s="257"/>
      <c r="IA115" s="257"/>
      <c r="IB115" s="257"/>
      <c r="IC115" s="257"/>
      <c r="ID115" s="257"/>
      <c r="IE115" s="257"/>
      <c r="IF115" s="257"/>
      <c r="IG115" s="257"/>
      <c r="IH115" s="257"/>
      <c r="II115" s="257"/>
      <c r="IJ115" s="257"/>
      <c r="IK115" s="257"/>
      <c r="IL115" s="257"/>
      <c r="IM115" s="257"/>
      <c r="IN115" s="257"/>
      <c r="IO115" s="257"/>
      <c r="IP115" s="257"/>
      <c r="IQ115" s="257"/>
      <c r="IR115" s="257"/>
      <c r="IS115" s="257"/>
      <c r="IT115" s="257"/>
      <c r="IU115" s="257"/>
      <c r="IV115" s="257"/>
      <c r="IW115" s="257"/>
      <c r="IX115" s="257"/>
      <c r="IY115" s="257"/>
      <c r="IZ115" s="257"/>
      <c r="JA115" s="257"/>
      <c r="JB115" s="257"/>
      <c r="JC115" s="257"/>
      <c r="JD115" s="257"/>
      <c r="JE115" s="257"/>
      <c r="JF115" s="238"/>
      <c r="JG115" s="238"/>
      <c r="JH115" s="238"/>
      <c r="JI115" s="238"/>
      <c r="JJ115" s="238"/>
      <c r="JK115" s="238"/>
      <c r="JL115" s="238"/>
      <c r="JM115" s="238"/>
      <c r="JN115" s="238"/>
      <c r="JO115" s="238"/>
      <c r="JP115" s="238"/>
      <c r="JQ115" s="238"/>
      <c r="JR115" s="238"/>
      <c r="JS115" s="238"/>
      <c r="JT115" s="238"/>
      <c r="JU115" s="238"/>
      <c r="JV115" s="238"/>
      <c r="JW115" s="238"/>
      <c r="JX115" s="238"/>
      <c r="JY115" s="238"/>
      <c r="JZ115" s="238"/>
      <c r="KA115" s="238"/>
      <c r="KB115" s="238"/>
      <c r="KC115" s="238"/>
      <c r="KD115" s="238"/>
      <c r="KE115" s="238"/>
      <c r="KF115" s="238"/>
      <c r="KG115" s="238"/>
      <c r="KH115" s="238"/>
      <c r="KI115" s="238"/>
      <c r="KJ115" s="238"/>
      <c r="KK115" s="238"/>
      <c r="KL115" s="238"/>
      <c r="KM115" s="238"/>
      <c r="KN115" s="238"/>
      <c r="KO115" s="238"/>
      <c r="KP115" s="238"/>
      <c r="KQ115" s="238"/>
      <c r="KR115" s="238"/>
      <c r="KS115" s="238"/>
      <c r="KT115" s="238"/>
      <c r="KU115" s="238"/>
      <c r="KV115" s="238"/>
      <c r="KW115" s="238"/>
      <c r="KX115" s="238"/>
      <c r="KY115" s="238"/>
      <c r="KZ115" s="238"/>
      <c r="LA115" s="238"/>
      <c r="LB115" s="238"/>
      <c r="LC115" s="238"/>
      <c r="LD115" s="238"/>
      <c r="LE115" s="238"/>
      <c r="LF115" s="238"/>
      <c r="LG115" s="238"/>
      <c r="LH115" s="238"/>
      <c r="LI115" s="238"/>
      <c r="LJ115" s="238"/>
      <c r="LK115" s="238"/>
      <c r="LL115" s="238"/>
      <c r="LM115" s="238"/>
      <c r="LN115" s="238"/>
      <c r="LO115" s="238"/>
      <c r="LP115" s="238"/>
      <c r="LQ115" s="238"/>
      <c r="LR115" s="238"/>
      <c r="LS115" s="238"/>
      <c r="LT115" s="238"/>
      <c r="LU115" s="238"/>
      <c r="LV115" s="238"/>
      <c r="LW115" s="238"/>
      <c r="LX115" s="238"/>
      <c r="LY115" s="238"/>
      <c r="LZ115" s="238"/>
      <c r="MA115" s="238"/>
      <c r="MB115" s="238"/>
      <c r="MC115" s="238"/>
      <c r="MD115" s="238"/>
      <c r="ME115" s="238"/>
      <c r="MF115" s="238"/>
      <c r="MG115" s="238"/>
      <c r="MH115" s="238"/>
      <c r="MI115" s="238"/>
      <c r="MJ115" s="238"/>
      <c r="MK115" s="238"/>
      <c r="ML115" s="238"/>
    </row>
    <row r="116" ht="18.75" customHeight="1">
      <c r="A116" s="283"/>
      <c r="B116" s="234" t="str">
        <f>'Building Bill of Materials_SLIM'!P116</f>
        <v/>
      </c>
      <c r="C116" s="234" t="str">
        <f>'Building Bill of Materials_SLIM'!Q116</f>
        <v/>
      </c>
      <c r="D116" s="234" t="str">
        <f>'Building Bill of Materials_SLIM'!R116</f>
        <v/>
      </c>
      <c r="E116" s="234" t="str">
        <f>'Building Bill of Materials_SLIM'!S116</f>
        <v/>
      </c>
      <c r="F116" s="234" t="str">
        <f>'Building Bill of Materials_SLIM'!U116</f>
        <v/>
      </c>
      <c r="G116" s="234"/>
      <c r="H116" s="234"/>
      <c r="I116" s="234"/>
      <c r="J116" s="234" t="str">
        <f>'Building Bill of Materials_SLIM'!V116</f>
        <v/>
      </c>
      <c r="K116" s="238"/>
      <c r="L116" s="238"/>
      <c r="M116" s="238"/>
      <c r="N116" s="238"/>
      <c r="O116" s="238"/>
      <c r="P116" s="238"/>
      <c r="Q116" s="238"/>
      <c r="R116" s="238"/>
      <c r="S116" s="238"/>
      <c r="T116" s="238"/>
      <c r="U116" s="238"/>
      <c r="V116" s="238"/>
      <c r="W116" s="238"/>
      <c r="X116" s="238"/>
      <c r="Y116" s="238"/>
      <c r="Z116" s="238"/>
      <c r="AA116" s="192"/>
      <c r="AB116" s="257"/>
      <c r="AC116" s="257"/>
      <c r="AD116" s="257"/>
      <c r="AE116" s="257"/>
      <c r="AF116" s="257"/>
      <c r="AG116" s="257"/>
      <c r="AH116" s="257"/>
      <c r="AI116" s="257"/>
      <c r="AJ116" s="257"/>
      <c r="AK116" s="257"/>
      <c r="AL116" s="257"/>
      <c r="AM116" s="257"/>
      <c r="AN116" s="257"/>
      <c r="AO116" s="257"/>
      <c r="AP116" s="257"/>
      <c r="AQ116" s="257"/>
      <c r="AR116" s="257"/>
      <c r="AS116" s="257"/>
      <c r="AT116" s="257"/>
      <c r="AU116" s="257"/>
      <c r="AV116" s="257"/>
      <c r="AW116" s="257"/>
      <c r="AX116" s="257"/>
      <c r="AY116" s="257"/>
      <c r="AZ116" s="257"/>
      <c r="BA116" s="257"/>
      <c r="BB116" s="257"/>
      <c r="BC116" s="257"/>
      <c r="BD116" s="257"/>
      <c r="BE116" s="257"/>
      <c r="BF116" s="257"/>
      <c r="BG116" s="257"/>
      <c r="BH116" s="257"/>
      <c r="BI116" s="257"/>
      <c r="BJ116" s="238"/>
      <c r="BK116" s="238"/>
      <c r="BL116" s="238"/>
      <c r="BM116" s="238"/>
      <c r="BN116" s="238"/>
      <c r="BO116" s="238"/>
      <c r="BP116" s="238"/>
      <c r="BQ116" s="238"/>
      <c r="BR116" s="238"/>
      <c r="BS116" s="238"/>
      <c r="BT116" s="238"/>
      <c r="BU116" s="238"/>
      <c r="BV116" s="238"/>
      <c r="BW116" s="238"/>
      <c r="BX116" s="238"/>
      <c r="BY116" s="238"/>
      <c r="BZ116" s="238"/>
      <c r="CA116" s="238"/>
      <c r="CB116" s="238"/>
      <c r="CC116" s="238"/>
      <c r="CD116" s="238"/>
      <c r="CE116" s="257"/>
      <c r="CF116" s="257"/>
      <c r="CG116" s="238"/>
      <c r="CH116" s="238"/>
      <c r="CI116" s="238"/>
      <c r="CJ116" s="238"/>
      <c r="CK116" s="238"/>
      <c r="CL116" s="238"/>
      <c r="CM116" s="238"/>
      <c r="CN116" s="238"/>
      <c r="CO116" s="238"/>
      <c r="CP116" s="238"/>
      <c r="CQ116" s="238"/>
      <c r="CR116" s="238"/>
      <c r="CS116" s="238"/>
      <c r="CT116" s="238"/>
      <c r="CU116" s="238"/>
      <c r="CV116" s="238"/>
      <c r="CW116" s="238"/>
      <c r="CX116" s="238"/>
      <c r="CY116" s="238"/>
      <c r="CZ116" s="238"/>
      <c r="DA116" s="238"/>
      <c r="DB116" s="238"/>
      <c r="DC116" s="238"/>
      <c r="DD116" s="238"/>
      <c r="DE116" s="238"/>
      <c r="DF116" s="238"/>
      <c r="DG116" s="257"/>
      <c r="DH116" s="238"/>
      <c r="DI116" s="238"/>
      <c r="DJ116" s="238"/>
      <c r="DK116" s="238"/>
      <c r="DL116" s="238"/>
      <c r="DM116" s="238"/>
      <c r="DN116" s="238"/>
      <c r="DO116" s="238"/>
      <c r="DP116" s="238"/>
      <c r="DQ116" s="238"/>
      <c r="DR116" s="238"/>
      <c r="DS116" s="238"/>
      <c r="DT116" s="238"/>
      <c r="DU116" s="238"/>
      <c r="DV116" s="238"/>
      <c r="DW116" s="238"/>
      <c r="DX116" s="238"/>
      <c r="DY116" s="238"/>
      <c r="DZ116" s="238"/>
      <c r="EA116" s="238"/>
      <c r="EB116" s="238"/>
      <c r="EC116" s="238"/>
      <c r="ED116" s="238"/>
      <c r="EE116" s="238"/>
      <c r="EF116" s="238"/>
      <c r="EG116" s="238"/>
      <c r="EH116" s="238"/>
      <c r="EI116" s="238"/>
      <c r="EJ116" s="238"/>
      <c r="EK116" s="238"/>
      <c r="EL116" s="238"/>
      <c r="EM116" s="238"/>
      <c r="EN116" s="238"/>
      <c r="EO116" s="238"/>
      <c r="EP116" s="238"/>
      <c r="EQ116" s="238"/>
      <c r="ER116" s="238"/>
      <c r="ES116" s="238"/>
      <c r="ET116" s="238"/>
      <c r="EU116" s="238"/>
      <c r="EV116" s="238"/>
      <c r="EW116" s="238"/>
      <c r="EX116" s="238"/>
      <c r="EY116" s="238"/>
      <c r="EZ116" s="238"/>
      <c r="FA116" s="238"/>
      <c r="FB116" s="238"/>
      <c r="FC116" s="238"/>
      <c r="FD116" s="238"/>
      <c r="FE116" s="238"/>
      <c r="FF116" s="238"/>
      <c r="FG116" s="238"/>
      <c r="FH116" s="257"/>
      <c r="FI116" s="257"/>
      <c r="FJ116" s="257"/>
      <c r="FK116" s="257"/>
      <c r="FL116" s="257"/>
      <c r="FM116" s="257"/>
      <c r="FN116" s="257"/>
      <c r="FO116" s="257"/>
      <c r="FP116" s="257"/>
      <c r="FQ116" s="257"/>
      <c r="FR116" s="257"/>
      <c r="FS116" s="257"/>
      <c r="FT116" s="257"/>
      <c r="FU116" s="257"/>
      <c r="FV116" s="257"/>
      <c r="FW116" s="257"/>
      <c r="FX116" s="257"/>
      <c r="FY116" s="238"/>
      <c r="FZ116" s="238"/>
      <c r="GA116" s="238"/>
      <c r="GB116" s="238"/>
      <c r="GC116" s="238"/>
      <c r="GD116" s="238"/>
      <c r="GE116" s="238"/>
      <c r="GF116" s="238"/>
      <c r="GG116" s="238"/>
      <c r="GH116" s="238"/>
      <c r="GI116" s="238"/>
      <c r="GJ116" s="238"/>
      <c r="GK116" s="238"/>
      <c r="GL116" s="238"/>
      <c r="GM116" s="238"/>
      <c r="GN116" s="238"/>
      <c r="GO116" s="238"/>
      <c r="GP116" s="238"/>
      <c r="GQ116" s="238"/>
      <c r="GR116" s="238"/>
      <c r="GS116" s="238"/>
      <c r="GT116" s="238"/>
      <c r="GU116" s="238"/>
      <c r="GV116" s="238"/>
      <c r="GW116" s="238"/>
      <c r="GX116" s="238"/>
      <c r="GY116" s="238"/>
      <c r="GZ116" s="238"/>
      <c r="HA116" s="238"/>
      <c r="HB116" s="238"/>
      <c r="HC116" s="238"/>
      <c r="HD116" s="238"/>
      <c r="HE116" s="238"/>
      <c r="HF116" s="238"/>
      <c r="HG116" s="238"/>
      <c r="HH116" s="238"/>
      <c r="HI116" s="238"/>
      <c r="HJ116" s="238"/>
      <c r="HK116" s="238"/>
      <c r="HL116" s="238"/>
      <c r="HM116" s="238"/>
      <c r="HN116" s="238"/>
      <c r="HO116" s="238"/>
      <c r="HP116" s="238"/>
      <c r="HQ116" s="238"/>
      <c r="HR116" s="238"/>
      <c r="HS116" s="238"/>
      <c r="HT116" s="238"/>
      <c r="HU116" s="238"/>
      <c r="HV116" s="238"/>
      <c r="HW116" s="238"/>
      <c r="HX116" s="257"/>
      <c r="HY116" s="257"/>
      <c r="HZ116" s="257"/>
      <c r="IA116" s="257"/>
      <c r="IB116" s="257"/>
      <c r="IC116" s="257"/>
      <c r="ID116" s="257"/>
      <c r="IE116" s="257"/>
      <c r="IF116" s="257"/>
      <c r="IG116" s="257"/>
      <c r="IH116" s="257"/>
      <c r="II116" s="257"/>
      <c r="IJ116" s="257"/>
      <c r="IK116" s="257"/>
      <c r="IL116" s="257"/>
      <c r="IM116" s="257"/>
      <c r="IN116" s="257"/>
      <c r="IO116" s="257"/>
      <c r="IP116" s="257"/>
      <c r="IQ116" s="257"/>
      <c r="IR116" s="257"/>
      <c r="IS116" s="257"/>
      <c r="IT116" s="257"/>
      <c r="IU116" s="257"/>
      <c r="IV116" s="257"/>
      <c r="IW116" s="257"/>
      <c r="IX116" s="257"/>
      <c r="IY116" s="257"/>
      <c r="IZ116" s="257"/>
      <c r="JA116" s="257"/>
      <c r="JB116" s="257"/>
      <c r="JC116" s="257"/>
      <c r="JD116" s="257"/>
      <c r="JE116" s="257"/>
      <c r="JF116" s="238"/>
      <c r="JG116" s="238"/>
      <c r="JH116" s="238"/>
      <c r="JI116" s="238"/>
      <c r="JJ116" s="238"/>
      <c r="JK116" s="238"/>
      <c r="JL116" s="238"/>
      <c r="JM116" s="238"/>
      <c r="JN116" s="238"/>
      <c r="JO116" s="238"/>
      <c r="JP116" s="238"/>
      <c r="JQ116" s="238"/>
      <c r="JR116" s="238"/>
      <c r="JS116" s="238"/>
      <c r="JT116" s="238"/>
      <c r="JU116" s="238"/>
      <c r="JV116" s="238"/>
      <c r="JW116" s="238"/>
      <c r="JX116" s="238"/>
      <c r="JY116" s="238"/>
      <c r="JZ116" s="238"/>
      <c r="KA116" s="238"/>
      <c r="KB116" s="238"/>
      <c r="KC116" s="238"/>
      <c r="KD116" s="238"/>
      <c r="KE116" s="238"/>
      <c r="KF116" s="238"/>
      <c r="KG116" s="238"/>
      <c r="KH116" s="238"/>
      <c r="KI116" s="238"/>
      <c r="KJ116" s="238"/>
      <c r="KK116" s="238"/>
      <c r="KL116" s="238"/>
      <c r="KM116" s="238"/>
      <c r="KN116" s="238"/>
      <c r="KO116" s="238"/>
      <c r="KP116" s="238"/>
      <c r="KQ116" s="238"/>
      <c r="KR116" s="238"/>
      <c r="KS116" s="238"/>
      <c r="KT116" s="238"/>
      <c r="KU116" s="238"/>
      <c r="KV116" s="238"/>
      <c r="KW116" s="238"/>
      <c r="KX116" s="238"/>
      <c r="KY116" s="238"/>
      <c r="KZ116" s="238"/>
      <c r="LA116" s="238"/>
      <c r="LB116" s="238"/>
      <c r="LC116" s="238"/>
      <c r="LD116" s="238"/>
      <c r="LE116" s="238"/>
      <c r="LF116" s="238"/>
      <c r="LG116" s="238"/>
      <c r="LH116" s="238"/>
      <c r="LI116" s="238"/>
      <c r="LJ116" s="238"/>
      <c r="LK116" s="238"/>
      <c r="LL116" s="238"/>
      <c r="LM116" s="238"/>
      <c r="LN116" s="238"/>
      <c r="LO116" s="238"/>
      <c r="LP116" s="238"/>
      <c r="LQ116" s="238"/>
      <c r="LR116" s="238"/>
      <c r="LS116" s="238"/>
      <c r="LT116" s="238"/>
      <c r="LU116" s="238"/>
      <c r="LV116" s="238"/>
      <c r="LW116" s="238"/>
      <c r="LX116" s="238"/>
      <c r="LY116" s="238"/>
      <c r="LZ116" s="238"/>
      <c r="MA116" s="238"/>
      <c r="MB116" s="238"/>
      <c r="MC116" s="238"/>
      <c r="MD116" s="238"/>
      <c r="ME116" s="238"/>
      <c r="MF116" s="238"/>
      <c r="MG116" s="238"/>
      <c r="MH116" s="238"/>
      <c r="MI116" s="238"/>
      <c r="MJ116" s="238"/>
      <c r="MK116" s="238"/>
      <c r="ML116" s="238"/>
    </row>
    <row r="117" ht="18.75" customHeight="1">
      <c r="A117" s="283"/>
      <c r="B117" s="234" t="str">
        <f>'Building Bill of Materials_SLIM'!P117</f>
        <v/>
      </c>
      <c r="C117" s="234" t="str">
        <f>'Building Bill of Materials_SLIM'!Q117</f>
        <v/>
      </c>
      <c r="D117" s="234" t="str">
        <f>'Building Bill of Materials_SLIM'!R117</f>
        <v/>
      </c>
      <c r="E117" s="234" t="str">
        <f>'Building Bill of Materials_SLIM'!S117</f>
        <v/>
      </c>
      <c r="F117" s="234" t="str">
        <f>'Building Bill of Materials_SLIM'!U117</f>
        <v/>
      </c>
      <c r="G117" s="234"/>
      <c r="H117" s="234"/>
      <c r="I117" s="234"/>
      <c r="J117" s="234" t="str">
        <f>'Building Bill of Materials_SLIM'!V117</f>
        <v/>
      </c>
      <c r="K117" s="238"/>
      <c r="L117" s="238"/>
      <c r="M117" s="238"/>
      <c r="N117" s="238"/>
      <c r="O117" s="238"/>
      <c r="P117" s="238"/>
      <c r="Q117" s="238"/>
      <c r="R117" s="238"/>
      <c r="S117" s="238"/>
      <c r="T117" s="238"/>
      <c r="U117" s="238"/>
      <c r="V117" s="238"/>
      <c r="W117" s="238"/>
      <c r="X117" s="238"/>
      <c r="Y117" s="238"/>
      <c r="Z117" s="238"/>
      <c r="AA117" s="192"/>
      <c r="AB117" s="257"/>
      <c r="AC117" s="257"/>
      <c r="AD117" s="257"/>
      <c r="AE117" s="257"/>
      <c r="AF117" s="257"/>
      <c r="AG117" s="257"/>
      <c r="AH117" s="257"/>
      <c r="AI117" s="257"/>
      <c r="AJ117" s="257"/>
      <c r="AK117" s="257"/>
      <c r="AL117" s="257"/>
      <c r="AM117" s="257"/>
      <c r="AN117" s="257"/>
      <c r="AO117" s="257"/>
      <c r="AP117" s="257"/>
      <c r="AQ117" s="257"/>
      <c r="AR117" s="257"/>
      <c r="AS117" s="257"/>
      <c r="AT117" s="257"/>
      <c r="AU117" s="257"/>
      <c r="AV117" s="257"/>
      <c r="AW117" s="257"/>
      <c r="AX117" s="257"/>
      <c r="AY117" s="257"/>
      <c r="AZ117" s="257"/>
      <c r="BA117" s="257"/>
      <c r="BB117" s="257"/>
      <c r="BC117" s="257"/>
      <c r="BD117" s="257"/>
      <c r="BE117" s="257"/>
      <c r="BF117" s="257"/>
      <c r="BG117" s="257"/>
      <c r="BH117" s="257"/>
      <c r="BI117" s="257"/>
      <c r="BJ117" s="238"/>
      <c r="BK117" s="238"/>
      <c r="BL117" s="238"/>
      <c r="BM117" s="238"/>
      <c r="BN117" s="238"/>
      <c r="BO117" s="238"/>
      <c r="BP117" s="238"/>
      <c r="BQ117" s="238"/>
      <c r="BR117" s="238"/>
      <c r="BS117" s="238"/>
      <c r="BT117" s="238"/>
      <c r="BU117" s="238"/>
      <c r="BV117" s="238"/>
      <c r="BW117" s="238"/>
      <c r="BX117" s="238"/>
      <c r="BY117" s="238"/>
      <c r="BZ117" s="238"/>
      <c r="CA117" s="238"/>
      <c r="CB117" s="238"/>
      <c r="CC117" s="238"/>
      <c r="CD117" s="238"/>
      <c r="CE117" s="257"/>
      <c r="CF117" s="257"/>
      <c r="CG117" s="238"/>
      <c r="CH117" s="238"/>
      <c r="CI117" s="238"/>
      <c r="CJ117" s="238"/>
      <c r="CK117" s="238"/>
      <c r="CL117" s="238"/>
      <c r="CM117" s="238"/>
      <c r="CN117" s="238"/>
      <c r="CO117" s="238"/>
      <c r="CP117" s="238"/>
      <c r="CQ117" s="238"/>
      <c r="CR117" s="238"/>
      <c r="CS117" s="238"/>
      <c r="CT117" s="238"/>
      <c r="CU117" s="238"/>
      <c r="CV117" s="238"/>
      <c r="CW117" s="238"/>
      <c r="CX117" s="238"/>
      <c r="CY117" s="238"/>
      <c r="CZ117" s="238"/>
      <c r="DA117" s="238"/>
      <c r="DB117" s="238"/>
      <c r="DC117" s="238"/>
      <c r="DD117" s="238"/>
      <c r="DE117" s="238"/>
      <c r="DF117" s="238"/>
      <c r="DG117" s="257"/>
      <c r="DH117" s="238"/>
      <c r="DI117" s="238"/>
      <c r="DJ117" s="238"/>
      <c r="DK117" s="238"/>
      <c r="DL117" s="238"/>
      <c r="DM117" s="238"/>
      <c r="DN117" s="238"/>
      <c r="DO117" s="238"/>
      <c r="DP117" s="238"/>
      <c r="DQ117" s="238"/>
      <c r="DR117" s="238"/>
      <c r="DS117" s="238"/>
      <c r="DT117" s="238"/>
      <c r="DU117" s="238"/>
      <c r="DV117" s="238"/>
      <c r="DW117" s="238"/>
      <c r="DX117" s="238"/>
      <c r="DY117" s="238"/>
      <c r="DZ117" s="238"/>
      <c r="EA117" s="238"/>
      <c r="EB117" s="238"/>
      <c r="EC117" s="238"/>
      <c r="ED117" s="238"/>
      <c r="EE117" s="238"/>
      <c r="EF117" s="238"/>
      <c r="EG117" s="238"/>
      <c r="EH117" s="238"/>
      <c r="EI117" s="238"/>
      <c r="EJ117" s="238"/>
      <c r="EK117" s="238"/>
      <c r="EL117" s="238"/>
      <c r="EM117" s="238"/>
      <c r="EN117" s="238"/>
      <c r="EO117" s="238"/>
      <c r="EP117" s="238"/>
      <c r="EQ117" s="238"/>
      <c r="ER117" s="238"/>
      <c r="ES117" s="238"/>
      <c r="ET117" s="238"/>
      <c r="EU117" s="238"/>
      <c r="EV117" s="238"/>
      <c r="EW117" s="238"/>
      <c r="EX117" s="238"/>
      <c r="EY117" s="238"/>
      <c r="EZ117" s="238"/>
      <c r="FA117" s="238"/>
      <c r="FB117" s="238"/>
      <c r="FC117" s="238"/>
      <c r="FD117" s="238"/>
      <c r="FE117" s="238"/>
      <c r="FF117" s="238"/>
      <c r="FG117" s="238"/>
      <c r="FH117" s="257"/>
      <c r="FI117" s="257"/>
      <c r="FJ117" s="257"/>
      <c r="FK117" s="257"/>
      <c r="FL117" s="257"/>
      <c r="FM117" s="257"/>
      <c r="FN117" s="257"/>
      <c r="FO117" s="257"/>
      <c r="FP117" s="257"/>
      <c r="FQ117" s="257"/>
      <c r="FR117" s="257"/>
      <c r="FS117" s="257"/>
      <c r="FT117" s="257"/>
      <c r="FU117" s="257"/>
      <c r="FV117" s="257"/>
      <c r="FW117" s="257"/>
      <c r="FX117" s="257"/>
      <c r="FY117" s="238"/>
      <c r="FZ117" s="238"/>
      <c r="GA117" s="238"/>
      <c r="GB117" s="238"/>
      <c r="GC117" s="238"/>
      <c r="GD117" s="238"/>
      <c r="GE117" s="238"/>
      <c r="GF117" s="238"/>
      <c r="GG117" s="238"/>
      <c r="GH117" s="238"/>
      <c r="GI117" s="238"/>
      <c r="GJ117" s="238"/>
      <c r="GK117" s="238"/>
      <c r="GL117" s="238"/>
      <c r="GM117" s="238"/>
      <c r="GN117" s="238"/>
      <c r="GO117" s="238"/>
      <c r="GP117" s="238"/>
      <c r="GQ117" s="238"/>
      <c r="GR117" s="238"/>
      <c r="GS117" s="238"/>
      <c r="GT117" s="238"/>
      <c r="GU117" s="238"/>
      <c r="GV117" s="238"/>
      <c r="GW117" s="238"/>
      <c r="GX117" s="238"/>
      <c r="GY117" s="238"/>
      <c r="GZ117" s="238"/>
      <c r="HA117" s="238"/>
      <c r="HB117" s="238"/>
      <c r="HC117" s="238"/>
      <c r="HD117" s="238"/>
      <c r="HE117" s="238"/>
      <c r="HF117" s="238"/>
      <c r="HG117" s="238"/>
      <c r="HH117" s="238"/>
      <c r="HI117" s="238"/>
      <c r="HJ117" s="238"/>
      <c r="HK117" s="238"/>
      <c r="HL117" s="238"/>
      <c r="HM117" s="238"/>
      <c r="HN117" s="238"/>
      <c r="HO117" s="238"/>
      <c r="HP117" s="238"/>
      <c r="HQ117" s="238"/>
      <c r="HR117" s="238"/>
      <c r="HS117" s="238"/>
      <c r="HT117" s="238"/>
      <c r="HU117" s="238"/>
      <c r="HV117" s="238"/>
      <c r="HW117" s="238"/>
      <c r="HX117" s="257"/>
      <c r="HY117" s="257"/>
      <c r="HZ117" s="257"/>
      <c r="IA117" s="257"/>
      <c r="IB117" s="257"/>
      <c r="IC117" s="257"/>
      <c r="ID117" s="257"/>
      <c r="IE117" s="257"/>
      <c r="IF117" s="257"/>
      <c r="IG117" s="257"/>
      <c r="IH117" s="257"/>
      <c r="II117" s="257"/>
      <c r="IJ117" s="257"/>
      <c r="IK117" s="257"/>
      <c r="IL117" s="257"/>
      <c r="IM117" s="257"/>
      <c r="IN117" s="257"/>
      <c r="IO117" s="257"/>
      <c r="IP117" s="257"/>
      <c r="IQ117" s="257"/>
      <c r="IR117" s="257"/>
      <c r="IS117" s="257"/>
      <c r="IT117" s="257"/>
      <c r="IU117" s="257"/>
      <c r="IV117" s="257"/>
      <c r="IW117" s="257"/>
      <c r="IX117" s="257"/>
      <c r="IY117" s="257"/>
      <c r="IZ117" s="257"/>
      <c r="JA117" s="257"/>
      <c r="JB117" s="257"/>
      <c r="JC117" s="257"/>
      <c r="JD117" s="257"/>
      <c r="JE117" s="257"/>
      <c r="JF117" s="238"/>
      <c r="JG117" s="238"/>
      <c r="JH117" s="238"/>
      <c r="JI117" s="238"/>
      <c r="JJ117" s="238"/>
      <c r="JK117" s="238"/>
      <c r="JL117" s="238"/>
      <c r="JM117" s="238"/>
      <c r="JN117" s="238"/>
      <c r="JO117" s="238"/>
      <c r="JP117" s="238"/>
      <c r="JQ117" s="238"/>
      <c r="JR117" s="238"/>
      <c r="JS117" s="238"/>
      <c r="JT117" s="238"/>
      <c r="JU117" s="238"/>
      <c r="JV117" s="238"/>
      <c r="JW117" s="238"/>
      <c r="JX117" s="238"/>
      <c r="JY117" s="238"/>
      <c r="JZ117" s="238"/>
      <c r="KA117" s="238"/>
      <c r="KB117" s="238"/>
      <c r="KC117" s="238"/>
      <c r="KD117" s="238"/>
      <c r="KE117" s="238"/>
      <c r="KF117" s="238"/>
      <c r="KG117" s="238"/>
      <c r="KH117" s="238"/>
      <c r="KI117" s="238"/>
      <c r="KJ117" s="238"/>
      <c r="KK117" s="238"/>
      <c r="KL117" s="238"/>
      <c r="KM117" s="238"/>
      <c r="KN117" s="238"/>
      <c r="KO117" s="238"/>
      <c r="KP117" s="238"/>
      <c r="KQ117" s="238"/>
      <c r="KR117" s="238"/>
      <c r="KS117" s="238"/>
      <c r="KT117" s="238"/>
      <c r="KU117" s="238"/>
      <c r="KV117" s="238"/>
      <c r="KW117" s="238"/>
      <c r="KX117" s="238"/>
      <c r="KY117" s="238"/>
      <c r="KZ117" s="238"/>
      <c r="LA117" s="238"/>
      <c r="LB117" s="238"/>
      <c r="LC117" s="238"/>
      <c r="LD117" s="238"/>
      <c r="LE117" s="238"/>
      <c r="LF117" s="238"/>
      <c r="LG117" s="238"/>
      <c r="LH117" s="238"/>
      <c r="LI117" s="238"/>
      <c r="LJ117" s="238"/>
      <c r="LK117" s="238"/>
      <c r="LL117" s="238"/>
      <c r="LM117" s="238"/>
      <c r="LN117" s="238"/>
      <c r="LO117" s="238"/>
      <c r="LP117" s="238"/>
      <c r="LQ117" s="238"/>
      <c r="LR117" s="238"/>
      <c r="LS117" s="238"/>
      <c r="LT117" s="238"/>
      <c r="LU117" s="238"/>
      <c r="LV117" s="238"/>
      <c r="LW117" s="238"/>
      <c r="LX117" s="238"/>
      <c r="LY117" s="238"/>
      <c r="LZ117" s="238"/>
      <c r="MA117" s="238"/>
      <c r="MB117" s="238"/>
      <c r="MC117" s="238"/>
      <c r="MD117" s="238"/>
      <c r="ME117" s="238"/>
      <c r="MF117" s="238"/>
      <c r="MG117" s="238"/>
      <c r="MH117" s="238"/>
      <c r="MI117" s="238"/>
      <c r="MJ117" s="238"/>
      <c r="MK117" s="238"/>
      <c r="ML117" s="238"/>
    </row>
    <row r="118" ht="18.75" customHeight="1">
      <c r="A118" s="283"/>
      <c r="B118" s="234" t="str">
        <f>'Building Bill of Materials_SLIM'!P118</f>
        <v/>
      </c>
      <c r="C118" s="234" t="str">
        <f>'Building Bill of Materials_SLIM'!Q118</f>
        <v/>
      </c>
      <c r="D118" s="234" t="str">
        <f>'Building Bill of Materials_SLIM'!R118</f>
        <v/>
      </c>
      <c r="E118" s="234" t="str">
        <f>'Building Bill of Materials_SLIM'!S118</f>
        <v/>
      </c>
      <c r="F118" s="234" t="str">
        <f>'Building Bill of Materials_SLIM'!U118</f>
        <v/>
      </c>
      <c r="G118" s="234"/>
      <c r="H118" s="234"/>
      <c r="I118" s="234"/>
      <c r="J118" s="234" t="str">
        <f>'Building Bill of Materials_SLIM'!V118</f>
        <v/>
      </c>
      <c r="K118" s="238"/>
      <c r="L118" s="238"/>
      <c r="M118" s="238"/>
      <c r="N118" s="238"/>
      <c r="O118" s="238"/>
      <c r="P118" s="238"/>
      <c r="Q118" s="238"/>
      <c r="R118" s="238"/>
      <c r="S118" s="238"/>
      <c r="T118" s="238"/>
      <c r="U118" s="238"/>
      <c r="V118" s="238"/>
      <c r="W118" s="238"/>
      <c r="X118" s="238"/>
      <c r="Y118" s="238"/>
      <c r="Z118" s="238"/>
      <c r="AA118" s="192"/>
      <c r="AB118" s="257"/>
      <c r="AC118" s="257"/>
      <c r="AD118" s="257"/>
      <c r="AE118" s="257"/>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38"/>
      <c r="BK118" s="238"/>
      <c r="BL118" s="238"/>
      <c r="BM118" s="238"/>
      <c r="BN118" s="238"/>
      <c r="BO118" s="238"/>
      <c r="BP118" s="238"/>
      <c r="BQ118" s="238"/>
      <c r="BR118" s="238"/>
      <c r="BS118" s="238"/>
      <c r="BT118" s="238"/>
      <c r="BU118" s="238"/>
      <c r="BV118" s="238"/>
      <c r="BW118" s="238"/>
      <c r="BX118" s="238"/>
      <c r="BY118" s="238"/>
      <c r="BZ118" s="238"/>
      <c r="CA118" s="238"/>
      <c r="CB118" s="238"/>
      <c r="CC118" s="238"/>
      <c r="CD118" s="238"/>
      <c r="CE118" s="257"/>
      <c r="CF118" s="257"/>
      <c r="CG118" s="238"/>
      <c r="CH118" s="238"/>
      <c r="CI118" s="238"/>
      <c r="CJ118" s="238"/>
      <c r="CK118" s="238"/>
      <c r="CL118" s="238"/>
      <c r="CM118" s="238"/>
      <c r="CN118" s="238"/>
      <c r="CO118" s="238"/>
      <c r="CP118" s="238"/>
      <c r="CQ118" s="238"/>
      <c r="CR118" s="238"/>
      <c r="CS118" s="238"/>
      <c r="CT118" s="238"/>
      <c r="CU118" s="238"/>
      <c r="CV118" s="238"/>
      <c r="CW118" s="238"/>
      <c r="CX118" s="238"/>
      <c r="CY118" s="238"/>
      <c r="CZ118" s="238"/>
      <c r="DA118" s="238"/>
      <c r="DB118" s="238"/>
      <c r="DC118" s="238"/>
      <c r="DD118" s="238"/>
      <c r="DE118" s="238"/>
      <c r="DF118" s="238"/>
      <c r="DG118" s="257"/>
      <c r="DH118" s="238"/>
      <c r="DI118" s="238"/>
      <c r="DJ118" s="238"/>
      <c r="DK118" s="238"/>
      <c r="DL118" s="238"/>
      <c r="DM118" s="238"/>
      <c r="DN118" s="238"/>
      <c r="DO118" s="238"/>
      <c r="DP118" s="238"/>
      <c r="DQ118" s="238"/>
      <c r="DR118" s="238"/>
      <c r="DS118" s="238"/>
      <c r="DT118" s="238"/>
      <c r="DU118" s="238"/>
      <c r="DV118" s="238"/>
      <c r="DW118" s="238"/>
      <c r="DX118" s="238"/>
      <c r="DY118" s="238"/>
      <c r="DZ118" s="238"/>
      <c r="EA118" s="238"/>
      <c r="EB118" s="238"/>
      <c r="EC118" s="238"/>
      <c r="ED118" s="238"/>
      <c r="EE118" s="238"/>
      <c r="EF118" s="238"/>
      <c r="EG118" s="238"/>
      <c r="EH118" s="238"/>
      <c r="EI118" s="238"/>
      <c r="EJ118" s="238"/>
      <c r="EK118" s="238"/>
      <c r="EL118" s="238"/>
      <c r="EM118" s="238"/>
      <c r="EN118" s="238"/>
      <c r="EO118" s="238"/>
      <c r="EP118" s="238"/>
      <c r="EQ118" s="238"/>
      <c r="ER118" s="238"/>
      <c r="ES118" s="238"/>
      <c r="ET118" s="238"/>
      <c r="EU118" s="238"/>
      <c r="EV118" s="238"/>
      <c r="EW118" s="238"/>
      <c r="EX118" s="238"/>
      <c r="EY118" s="238"/>
      <c r="EZ118" s="238"/>
      <c r="FA118" s="238"/>
      <c r="FB118" s="238"/>
      <c r="FC118" s="238"/>
      <c r="FD118" s="238"/>
      <c r="FE118" s="238"/>
      <c r="FF118" s="238"/>
      <c r="FG118" s="238"/>
      <c r="FH118" s="257"/>
      <c r="FI118" s="257"/>
      <c r="FJ118" s="257"/>
      <c r="FK118" s="257"/>
      <c r="FL118" s="257"/>
      <c r="FM118" s="257"/>
      <c r="FN118" s="257"/>
      <c r="FO118" s="257"/>
      <c r="FP118" s="257"/>
      <c r="FQ118" s="257"/>
      <c r="FR118" s="257"/>
      <c r="FS118" s="257"/>
      <c r="FT118" s="257"/>
      <c r="FU118" s="257"/>
      <c r="FV118" s="257"/>
      <c r="FW118" s="257"/>
      <c r="FX118" s="257"/>
      <c r="FY118" s="238"/>
      <c r="FZ118" s="238"/>
      <c r="GA118" s="238"/>
      <c r="GB118" s="238"/>
      <c r="GC118" s="238"/>
      <c r="GD118" s="238"/>
      <c r="GE118" s="238"/>
      <c r="GF118" s="238"/>
      <c r="GG118" s="238"/>
      <c r="GH118" s="238"/>
      <c r="GI118" s="238"/>
      <c r="GJ118" s="238"/>
      <c r="GK118" s="238"/>
      <c r="GL118" s="238"/>
      <c r="GM118" s="238"/>
      <c r="GN118" s="238"/>
      <c r="GO118" s="238"/>
      <c r="GP118" s="238"/>
      <c r="GQ118" s="238"/>
      <c r="GR118" s="238"/>
      <c r="GS118" s="238"/>
      <c r="GT118" s="238"/>
      <c r="GU118" s="238"/>
      <c r="GV118" s="238"/>
      <c r="GW118" s="238"/>
      <c r="GX118" s="238"/>
      <c r="GY118" s="238"/>
      <c r="GZ118" s="238"/>
      <c r="HA118" s="238"/>
      <c r="HB118" s="238"/>
      <c r="HC118" s="238"/>
      <c r="HD118" s="238"/>
      <c r="HE118" s="238"/>
      <c r="HF118" s="238"/>
      <c r="HG118" s="238"/>
      <c r="HH118" s="238"/>
      <c r="HI118" s="238"/>
      <c r="HJ118" s="238"/>
      <c r="HK118" s="238"/>
      <c r="HL118" s="238"/>
      <c r="HM118" s="238"/>
      <c r="HN118" s="238"/>
      <c r="HO118" s="238"/>
      <c r="HP118" s="238"/>
      <c r="HQ118" s="238"/>
      <c r="HR118" s="238"/>
      <c r="HS118" s="238"/>
      <c r="HT118" s="238"/>
      <c r="HU118" s="238"/>
      <c r="HV118" s="238"/>
      <c r="HW118" s="238"/>
      <c r="HX118" s="257"/>
      <c r="HY118" s="257"/>
      <c r="HZ118" s="257"/>
      <c r="IA118" s="257"/>
      <c r="IB118" s="257"/>
      <c r="IC118" s="257"/>
      <c r="ID118" s="257"/>
      <c r="IE118" s="257"/>
      <c r="IF118" s="257"/>
      <c r="IG118" s="257"/>
      <c r="IH118" s="257"/>
      <c r="II118" s="257"/>
      <c r="IJ118" s="257"/>
      <c r="IK118" s="257"/>
      <c r="IL118" s="257"/>
      <c r="IM118" s="257"/>
      <c r="IN118" s="257"/>
      <c r="IO118" s="257"/>
      <c r="IP118" s="257"/>
      <c r="IQ118" s="257"/>
      <c r="IR118" s="257"/>
      <c r="IS118" s="257"/>
      <c r="IT118" s="257"/>
      <c r="IU118" s="257"/>
      <c r="IV118" s="257"/>
      <c r="IW118" s="257"/>
      <c r="IX118" s="257"/>
      <c r="IY118" s="257"/>
      <c r="IZ118" s="257"/>
      <c r="JA118" s="257"/>
      <c r="JB118" s="257"/>
      <c r="JC118" s="257"/>
      <c r="JD118" s="257"/>
      <c r="JE118" s="257"/>
      <c r="JF118" s="238"/>
      <c r="JG118" s="238"/>
      <c r="JH118" s="238"/>
      <c r="JI118" s="238"/>
      <c r="JJ118" s="238"/>
      <c r="JK118" s="238"/>
      <c r="JL118" s="238"/>
      <c r="JM118" s="238"/>
      <c r="JN118" s="238"/>
      <c r="JO118" s="238"/>
      <c r="JP118" s="238"/>
      <c r="JQ118" s="238"/>
      <c r="JR118" s="238"/>
      <c r="JS118" s="238"/>
      <c r="JT118" s="238"/>
      <c r="JU118" s="238"/>
      <c r="JV118" s="238"/>
      <c r="JW118" s="238"/>
      <c r="JX118" s="238"/>
      <c r="JY118" s="238"/>
      <c r="JZ118" s="238"/>
      <c r="KA118" s="238"/>
      <c r="KB118" s="238"/>
      <c r="KC118" s="238"/>
      <c r="KD118" s="238"/>
      <c r="KE118" s="238"/>
      <c r="KF118" s="238"/>
      <c r="KG118" s="238"/>
      <c r="KH118" s="238"/>
      <c r="KI118" s="238"/>
      <c r="KJ118" s="238"/>
      <c r="KK118" s="238"/>
      <c r="KL118" s="238"/>
      <c r="KM118" s="238"/>
      <c r="KN118" s="238"/>
      <c r="KO118" s="238"/>
      <c r="KP118" s="238"/>
      <c r="KQ118" s="238"/>
      <c r="KR118" s="238"/>
      <c r="KS118" s="238"/>
      <c r="KT118" s="238"/>
      <c r="KU118" s="238"/>
      <c r="KV118" s="238"/>
      <c r="KW118" s="238"/>
      <c r="KX118" s="238"/>
      <c r="KY118" s="238"/>
      <c r="KZ118" s="238"/>
      <c r="LA118" s="238"/>
      <c r="LB118" s="238"/>
      <c r="LC118" s="238"/>
      <c r="LD118" s="238"/>
      <c r="LE118" s="238"/>
      <c r="LF118" s="238"/>
      <c r="LG118" s="238"/>
      <c r="LH118" s="238"/>
      <c r="LI118" s="238"/>
      <c r="LJ118" s="238"/>
      <c r="LK118" s="238"/>
      <c r="LL118" s="238"/>
      <c r="LM118" s="238"/>
      <c r="LN118" s="238"/>
      <c r="LO118" s="238"/>
      <c r="LP118" s="238"/>
      <c r="LQ118" s="238"/>
      <c r="LR118" s="238"/>
      <c r="LS118" s="238"/>
      <c r="LT118" s="238"/>
      <c r="LU118" s="238"/>
      <c r="LV118" s="238"/>
      <c r="LW118" s="238"/>
      <c r="LX118" s="238"/>
      <c r="LY118" s="238"/>
      <c r="LZ118" s="238"/>
      <c r="MA118" s="238"/>
      <c r="MB118" s="238"/>
      <c r="MC118" s="238"/>
      <c r="MD118" s="238"/>
      <c r="ME118" s="238"/>
      <c r="MF118" s="238"/>
      <c r="MG118" s="238"/>
      <c r="MH118" s="238"/>
      <c r="MI118" s="238"/>
      <c r="MJ118" s="238"/>
      <c r="MK118" s="238"/>
      <c r="ML118" s="238"/>
    </row>
    <row r="119" ht="18.75" customHeight="1">
      <c r="A119" s="283"/>
      <c r="B119" s="234" t="str">
        <f>'Building Bill of Materials_SLIM'!P119</f>
        <v/>
      </c>
      <c r="C119" s="234" t="str">
        <f>'Building Bill of Materials_SLIM'!Q119</f>
        <v/>
      </c>
      <c r="D119" s="234" t="str">
        <f>'Building Bill of Materials_SLIM'!R119</f>
        <v/>
      </c>
      <c r="E119" s="234" t="str">
        <f>'Building Bill of Materials_SLIM'!S119</f>
        <v/>
      </c>
      <c r="F119" s="234" t="str">
        <f>'Building Bill of Materials_SLIM'!U119</f>
        <v/>
      </c>
      <c r="G119" s="234"/>
      <c r="H119" s="234"/>
      <c r="I119" s="234"/>
      <c r="J119" s="234" t="str">
        <f>'Building Bill of Materials_SLIM'!V119</f>
        <v/>
      </c>
      <c r="K119" s="238"/>
      <c r="L119" s="238"/>
      <c r="M119" s="238"/>
      <c r="N119" s="238"/>
      <c r="O119" s="238"/>
      <c r="P119" s="238"/>
      <c r="Q119" s="238"/>
      <c r="R119" s="238"/>
      <c r="S119" s="238"/>
      <c r="T119" s="238"/>
      <c r="U119" s="238"/>
      <c r="V119" s="238"/>
      <c r="W119" s="238"/>
      <c r="X119" s="238"/>
      <c r="Y119" s="238"/>
      <c r="Z119" s="238"/>
      <c r="AA119" s="192"/>
      <c r="AB119" s="257"/>
      <c r="AC119" s="257"/>
      <c r="AD119" s="257"/>
      <c r="AE119" s="257"/>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38"/>
      <c r="BK119" s="238"/>
      <c r="BL119" s="238"/>
      <c r="BM119" s="238"/>
      <c r="BN119" s="238"/>
      <c r="BO119" s="238"/>
      <c r="BP119" s="238"/>
      <c r="BQ119" s="238"/>
      <c r="BR119" s="238"/>
      <c r="BS119" s="238"/>
      <c r="BT119" s="238"/>
      <c r="BU119" s="238"/>
      <c r="BV119" s="238"/>
      <c r="BW119" s="238"/>
      <c r="BX119" s="238"/>
      <c r="BY119" s="238"/>
      <c r="BZ119" s="238"/>
      <c r="CA119" s="238"/>
      <c r="CB119" s="238"/>
      <c r="CC119" s="238"/>
      <c r="CD119" s="238"/>
      <c r="CE119" s="257"/>
      <c r="CF119" s="257"/>
      <c r="CG119" s="238"/>
      <c r="CH119" s="238"/>
      <c r="CI119" s="238"/>
      <c r="CJ119" s="238"/>
      <c r="CK119" s="238"/>
      <c r="CL119" s="238"/>
      <c r="CM119" s="238"/>
      <c r="CN119" s="238"/>
      <c r="CO119" s="238"/>
      <c r="CP119" s="238"/>
      <c r="CQ119" s="238"/>
      <c r="CR119" s="238"/>
      <c r="CS119" s="238"/>
      <c r="CT119" s="238"/>
      <c r="CU119" s="238"/>
      <c r="CV119" s="238"/>
      <c r="CW119" s="238"/>
      <c r="CX119" s="238"/>
      <c r="CY119" s="238"/>
      <c r="CZ119" s="238"/>
      <c r="DA119" s="238"/>
      <c r="DB119" s="238"/>
      <c r="DC119" s="238"/>
      <c r="DD119" s="238"/>
      <c r="DE119" s="238"/>
      <c r="DF119" s="238"/>
      <c r="DG119" s="257"/>
      <c r="DH119" s="238"/>
      <c r="DI119" s="238"/>
      <c r="DJ119" s="238"/>
      <c r="DK119" s="238"/>
      <c r="DL119" s="238"/>
      <c r="DM119" s="238"/>
      <c r="DN119" s="238"/>
      <c r="DO119" s="238"/>
      <c r="DP119" s="238"/>
      <c r="DQ119" s="238"/>
      <c r="DR119" s="238"/>
      <c r="DS119" s="238"/>
      <c r="DT119" s="238"/>
      <c r="DU119" s="238"/>
      <c r="DV119" s="238"/>
      <c r="DW119" s="238"/>
      <c r="DX119" s="238"/>
      <c r="DY119" s="238"/>
      <c r="DZ119" s="238"/>
      <c r="EA119" s="238"/>
      <c r="EB119" s="238"/>
      <c r="EC119" s="238"/>
      <c r="ED119" s="238"/>
      <c r="EE119" s="238"/>
      <c r="EF119" s="238"/>
      <c r="EG119" s="238"/>
      <c r="EH119" s="238"/>
      <c r="EI119" s="238"/>
      <c r="EJ119" s="238"/>
      <c r="EK119" s="238"/>
      <c r="EL119" s="238"/>
      <c r="EM119" s="238"/>
      <c r="EN119" s="238"/>
      <c r="EO119" s="238"/>
      <c r="EP119" s="238"/>
      <c r="EQ119" s="238"/>
      <c r="ER119" s="238"/>
      <c r="ES119" s="238"/>
      <c r="ET119" s="238"/>
      <c r="EU119" s="238"/>
      <c r="EV119" s="238"/>
      <c r="EW119" s="238"/>
      <c r="EX119" s="238"/>
      <c r="EY119" s="238"/>
      <c r="EZ119" s="238"/>
      <c r="FA119" s="238"/>
      <c r="FB119" s="238"/>
      <c r="FC119" s="238"/>
      <c r="FD119" s="238"/>
      <c r="FE119" s="238"/>
      <c r="FF119" s="238"/>
      <c r="FG119" s="238"/>
      <c r="FH119" s="257"/>
      <c r="FI119" s="257"/>
      <c r="FJ119" s="257"/>
      <c r="FK119" s="257"/>
      <c r="FL119" s="257"/>
      <c r="FM119" s="257"/>
      <c r="FN119" s="257"/>
      <c r="FO119" s="257"/>
      <c r="FP119" s="257"/>
      <c r="FQ119" s="257"/>
      <c r="FR119" s="257"/>
      <c r="FS119" s="257"/>
      <c r="FT119" s="257"/>
      <c r="FU119" s="257"/>
      <c r="FV119" s="257"/>
      <c r="FW119" s="257"/>
      <c r="FX119" s="257"/>
      <c r="FY119" s="238"/>
      <c r="FZ119" s="238"/>
      <c r="GA119" s="238"/>
      <c r="GB119" s="238"/>
      <c r="GC119" s="238"/>
      <c r="GD119" s="238"/>
      <c r="GE119" s="238"/>
      <c r="GF119" s="238"/>
      <c r="GG119" s="238"/>
      <c r="GH119" s="238"/>
      <c r="GI119" s="238"/>
      <c r="GJ119" s="238"/>
      <c r="GK119" s="238"/>
      <c r="GL119" s="238"/>
      <c r="GM119" s="238"/>
      <c r="GN119" s="238"/>
      <c r="GO119" s="238"/>
      <c r="GP119" s="238"/>
      <c r="GQ119" s="238"/>
      <c r="GR119" s="238"/>
      <c r="GS119" s="238"/>
      <c r="GT119" s="238"/>
      <c r="GU119" s="238"/>
      <c r="GV119" s="238"/>
      <c r="GW119" s="238"/>
      <c r="GX119" s="238"/>
      <c r="GY119" s="238"/>
      <c r="GZ119" s="238"/>
      <c r="HA119" s="238"/>
      <c r="HB119" s="238"/>
      <c r="HC119" s="238"/>
      <c r="HD119" s="238"/>
      <c r="HE119" s="238"/>
      <c r="HF119" s="238"/>
      <c r="HG119" s="238"/>
      <c r="HH119" s="238"/>
      <c r="HI119" s="238"/>
      <c r="HJ119" s="238"/>
      <c r="HK119" s="238"/>
      <c r="HL119" s="238"/>
      <c r="HM119" s="238"/>
      <c r="HN119" s="238"/>
      <c r="HO119" s="238"/>
      <c r="HP119" s="238"/>
      <c r="HQ119" s="238"/>
      <c r="HR119" s="238"/>
      <c r="HS119" s="238"/>
      <c r="HT119" s="238"/>
      <c r="HU119" s="238"/>
      <c r="HV119" s="238"/>
      <c r="HW119" s="238"/>
      <c r="HX119" s="257"/>
      <c r="HY119" s="257"/>
      <c r="HZ119" s="257"/>
      <c r="IA119" s="257"/>
      <c r="IB119" s="257"/>
      <c r="IC119" s="257"/>
      <c r="ID119" s="257"/>
      <c r="IE119" s="257"/>
      <c r="IF119" s="257"/>
      <c r="IG119" s="257"/>
      <c r="IH119" s="257"/>
      <c r="II119" s="257"/>
      <c r="IJ119" s="257"/>
      <c r="IK119" s="257"/>
      <c r="IL119" s="257"/>
      <c r="IM119" s="257"/>
      <c r="IN119" s="257"/>
      <c r="IO119" s="257"/>
      <c r="IP119" s="257"/>
      <c r="IQ119" s="257"/>
      <c r="IR119" s="257"/>
      <c r="IS119" s="257"/>
      <c r="IT119" s="257"/>
      <c r="IU119" s="257"/>
      <c r="IV119" s="257"/>
      <c r="IW119" s="257"/>
      <c r="IX119" s="257"/>
      <c r="IY119" s="257"/>
      <c r="IZ119" s="257"/>
      <c r="JA119" s="257"/>
      <c r="JB119" s="257"/>
      <c r="JC119" s="257"/>
      <c r="JD119" s="257"/>
      <c r="JE119" s="257"/>
      <c r="JF119" s="238"/>
      <c r="JG119" s="238"/>
      <c r="JH119" s="238"/>
      <c r="JI119" s="238"/>
      <c r="JJ119" s="238"/>
      <c r="JK119" s="238"/>
      <c r="JL119" s="238"/>
      <c r="JM119" s="238"/>
      <c r="JN119" s="238"/>
      <c r="JO119" s="238"/>
      <c r="JP119" s="238"/>
      <c r="JQ119" s="238"/>
      <c r="JR119" s="238"/>
      <c r="JS119" s="238"/>
      <c r="JT119" s="238"/>
      <c r="JU119" s="238"/>
      <c r="JV119" s="238"/>
      <c r="JW119" s="238"/>
      <c r="JX119" s="238"/>
      <c r="JY119" s="238"/>
      <c r="JZ119" s="238"/>
      <c r="KA119" s="238"/>
      <c r="KB119" s="238"/>
      <c r="KC119" s="238"/>
      <c r="KD119" s="238"/>
      <c r="KE119" s="238"/>
      <c r="KF119" s="238"/>
      <c r="KG119" s="238"/>
      <c r="KH119" s="238"/>
      <c r="KI119" s="238"/>
      <c r="KJ119" s="238"/>
      <c r="KK119" s="238"/>
      <c r="KL119" s="238"/>
      <c r="KM119" s="238"/>
      <c r="KN119" s="238"/>
      <c r="KO119" s="238"/>
      <c r="KP119" s="238"/>
      <c r="KQ119" s="238"/>
      <c r="KR119" s="238"/>
      <c r="KS119" s="238"/>
      <c r="KT119" s="238"/>
      <c r="KU119" s="238"/>
      <c r="KV119" s="238"/>
      <c r="KW119" s="238"/>
      <c r="KX119" s="238"/>
      <c r="KY119" s="238"/>
      <c r="KZ119" s="238"/>
      <c r="LA119" s="238"/>
      <c r="LB119" s="238"/>
      <c r="LC119" s="238"/>
      <c r="LD119" s="238"/>
      <c r="LE119" s="238"/>
      <c r="LF119" s="238"/>
      <c r="LG119" s="238"/>
      <c r="LH119" s="238"/>
      <c r="LI119" s="238"/>
      <c r="LJ119" s="238"/>
      <c r="LK119" s="238"/>
      <c r="LL119" s="238"/>
      <c r="LM119" s="238"/>
      <c r="LN119" s="238"/>
      <c r="LO119" s="238"/>
      <c r="LP119" s="238"/>
      <c r="LQ119" s="238"/>
      <c r="LR119" s="238"/>
      <c r="LS119" s="238"/>
      <c r="LT119" s="238"/>
      <c r="LU119" s="238"/>
      <c r="LV119" s="238"/>
      <c r="LW119" s="238"/>
      <c r="LX119" s="238"/>
      <c r="LY119" s="238"/>
      <c r="LZ119" s="238"/>
      <c r="MA119" s="238"/>
      <c r="MB119" s="238"/>
      <c r="MC119" s="238"/>
      <c r="MD119" s="238"/>
      <c r="ME119" s="238"/>
      <c r="MF119" s="238"/>
      <c r="MG119" s="238"/>
      <c r="MH119" s="238"/>
      <c r="MI119" s="238"/>
      <c r="MJ119" s="238"/>
      <c r="MK119" s="238"/>
      <c r="ML119" s="238"/>
    </row>
    <row r="120" ht="18.75" customHeight="1">
      <c r="A120" s="283"/>
      <c r="B120" s="234" t="str">
        <f>'Building Bill of Materials_SLIM'!P120</f>
        <v/>
      </c>
      <c r="C120" s="234" t="str">
        <f>'Building Bill of Materials_SLIM'!Q120</f>
        <v/>
      </c>
      <c r="D120" s="234" t="str">
        <f>'Building Bill of Materials_SLIM'!R120</f>
        <v/>
      </c>
      <c r="E120" s="234" t="str">
        <f>'Building Bill of Materials_SLIM'!S120</f>
        <v/>
      </c>
      <c r="F120" s="234" t="str">
        <f>'Building Bill of Materials_SLIM'!U120</f>
        <v/>
      </c>
      <c r="G120" s="234"/>
      <c r="H120" s="234"/>
      <c r="I120" s="234"/>
      <c r="J120" s="234" t="str">
        <f>'Building Bill of Materials_SLIM'!V120</f>
        <v/>
      </c>
      <c r="K120" s="238"/>
      <c r="L120" s="238"/>
      <c r="M120" s="238"/>
      <c r="N120" s="238"/>
      <c r="O120" s="238"/>
      <c r="P120" s="238"/>
      <c r="Q120" s="238"/>
      <c r="R120" s="238"/>
      <c r="S120" s="238"/>
      <c r="T120" s="238"/>
      <c r="U120" s="238"/>
      <c r="V120" s="238"/>
      <c r="W120" s="238"/>
      <c r="X120" s="238"/>
      <c r="Y120" s="238"/>
      <c r="Z120" s="238"/>
      <c r="AA120" s="192"/>
      <c r="AB120" s="257"/>
      <c r="AC120" s="257"/>
      <c r="AD120" s="257"/>
      <c r="AE120" s="257"/>
      <c r="AF120" s="257"/>
      <c r="AG120" s="257"/>
      <c r="AH120" s="257"/>
      <c r="AI120" s="257"/>
      <c r="AJ120" s="257"/>
      <c r="AK120" s="257"/>
      <c r="AL120" s="257"/>
      <c r="AM120" s="257"/>
      <c r="AN120" s="257"/>
      <c r="AO120" s="257"/>
      <c r="AP120" s="257"/>
      <c r="AQ120" s="257"/>
      <c r="AR120" s="257"/>
      <c r="AS120" s="257"/>
      <c r="AT120" s="257"/>
      <c r="AU120" s="257"/>
      <c r="AV120" s="257"/>
      <c r="AW120" s="257"/>
      <c r="AX120" s="257"/>
      <c r="AY120" s="257"/>
      <c r="AZ120" s="257"/>
      <c r="BA120" s="257"/>
      <c r="BB120" s="257"/>
      <c r="BC120" s="257"/>
      <c r="BD120" s="257"/>
      <c r="BE120" s="257"/>
      <c r="BF120" s="257"/>
      <c r="BG120" s="257"/>
      <c r="BH120" s="257"/>
      <c r="BI120" s="257"/>
      <c r="BJ120" s="238"/>
      <c r="BK120" s="238"/>
      <c r="BL120" s="238"/>
      <c r="BM120" s="238"/>
      <c r="BN120" s="238"/>
      <c r="BO120" s="238"/>
      <c r="BP120" s="238"/>
      <c r="BQ120" s="238"/>
      <c r="BR120" s="238"/>
      <c r="BS120" s="238"/>
      <c r="BT120" s="238"/>
      <c r="BU120" s="238"/>
      <c r="BV120" s="238"/>
      <c r="BW120" s="238"/>
      <c r="BX120" s="238"/>
      <c r="BY120" s="238"/>
      <c r="BZ120" s="238"/>
      <c r="CA120" s="238"/>
      <c r="CB120" s="238"/>
      <c r="CC120" s="238"/>
      <c r="CD120" s="238"/>
      <c r="CE120" s="257"/>
      <c r="CF120" s="257"/>
      <c r="CG120" s="238"/>
      <c r="CH120" s="238"/>
      <c r="CI120" s="238"/>
      <c r="CJ120" s="238"/>
      <c r="CK120" s="238"/>
      <c r="CL120" s="238"/>
      <c r="CM120" s="238"/>
      <c r="CN120" s="238"/>
      <c r="CO120" s="238"/>
      <c r="CP120" s="238"/>
      <c r="CQ120" s="238"/>
      <c r="CR120" s="238"/>
      <c r="CS120" s="238"/>
      <c r="CT120" s="238"/>
      <c r="CU120" s="238"/>
      <c r="CV120" s="238"/>
      <c r="CW120" s="238"/>
      <c r="CX120" s="238"/>
      <c r="CY120" s="238"/>
      <c r="CZ120" s="238"/>
      <c r="DA120" s="238"/>
      <c r="DB120" s="238"/>
      <c r="DC120" s="238"/>
      <c r="DD120" s="238"/>
      <c r="DE120" s="238"/>
      <c r="DF120" s="238"/>
      <c r="DG120" s="257"/>
      <c r="DH120" s="238"/>
      <c r="DI120" s="238"/>
      <c r="DJ120" s="238"/>
      <c r="DK120" s="238"/>
      <c r="DL120" s="238"/>
      <c r="DM120" s="238"/>
      <c r="DN120" s="238"/>
      <c r="DO120" s="238"/>
      <c r="DP120" s="238"/>
      <c r="DQ120" s="238"/>
      <c r="DR120" s="238"/>
      <c r="DS120" s="238"/>
      <c r="DT120" s="238"/>
      <c r="DU120" s="238"/>
      <c r="DV120" s="238"/>
      <c r="DW120" s="238"/>
      <c r="DX120" s="238"/>
      <c r="DY120" s="238"/>
      <c r="DZ120" s="238"/>
      <c r="EA120" s="238"/>
      <c r="EB120" s="238"/>
      <c r="EC120" s="238"/>
      <c r="ED120" s="238"/>
      <c r="EE120" s="238"/>
      <c r="EF120" s="238"/>
      <c r="EG120" s="238"/>
      <c r="EH120" s="238"/>
      <c r="EI120" s="238"/>
      <c r="EJ120" s="238"/>
      <c r="EK120" s="238"/>
      <c r="EL120" s="238"/>
      <c r="EM120" s="238"/>
      <c r="EN120" s="238"/>
      <c r="EO120" s="238"/>
      <c r="EP120" s="238"/>
      <c r="EQ120" s="238"/>
      <c r="ER120" s="238"/>
      <c r="ES120" s="238"/>
      <c r="ET120" s="238"/>
      <c r="EU120" s="238"/>
      <c r="EV120" s="238"/>
      <c r="EW120" s="238"/>
      <c r="EX120" s="238"/>
      <c r="EY120" s="238"/>
      <c r="EZ120" s="238"/>
      <c r="FA120" s="238"/>
      <c r="FB120" s="238"/>
      <c r="FC120" s="238"/>
      <c r="FD120" s="238"/>
      <c r="FE120" s="238"/>
      <c r="FF120" s="238"/>
      <c r="FG120" s="238"/>
      <c r="FH120" s="257"/>
      <c r="FI120" s="257"/>
      <c r="FJ120" s="257"/>
      <c r="FK120" s="257"/>
      <c r="FL120" s="257"/>
      <c r="FM120" s="257"/>
      <c r="FN120" s="257"/>
      <c r="FO120" s="257"/>
      <c r="FP120" s="257"/>
      <c r="FQ120" s="257"/>
      <c r="FR120" s="257"/>
      <c r="FS120" s="257"/>
      <c r="FT120" s="257"/>
      <c r="FU120" s="257"/>
      <c r="FV120" s="257"/>
      <c r="FW120" s="257"/>
      <c r="FX120" s="257"/>
      <c r="FY120" s="238"/>
      <c r="FZ120" s="238"/>
      <c r="GA120" s="238"/>
      <c r="GB120" s="238"/>
      <c r="GC120" s="238"/>
      <c r="GD120" s="238"/>
      <c r="GE120" s="238"/>
      <c r="GF120" s="238"/>
      <c r="GG120" s="238"/>
      <c r="GH120" s="238"/>
      <c r="GI120" s="238"/>
      <c r="GJ120" s="238"/>
      <c r="GK120" s="238"/>
      <c r="GL120" s="238"/>
      <c r="GM120" s="238"/>
      <c r="GN120" s="238"/>
      <c r="GO120" s="238"/>
      <c r="GP120" s="238"/>
      <c r="GQ120" s="238"/>
      <c r="GR120" s="238"/>
      <c r="GS120" s="238"/>
      <c r="GT120" s="238"/>
      <c r="GU120" s="238"/>
      <c r="GV120" s="238"/>
      <c r="GW120" s="238"/>
      <c r="GX120" s="238"/>
      <c r="GY120" s="238"/>
      <c r="GZ120" s="238"/>
      <c r="HA120" s="238"/>
      <c r="HB120" s="238"/>
      <c r="HC120" s="238"/>
      <c r="HD120" s="238"/>
      <c r="HE120" s="238"/>
      <c r="HF120" s="238"/>
      <c r="HG120" s="238"/>
      <c r="HH120" s="238"/>
      <c r="HI120" s="238"/>
      <c r="HJ120" s="238"/>
      <c r="HK120" s="238"/>
      <c r="HL120" s="238"/>
      <c r="HM120" s="238"/>
      <c r="HN120" s="238"/>
      <c r="HO120" s="238"/>
      <c r="HP120" s="238"/>
      <c r="HQ120" s="238"/>
      <c r="HR120" s="238"/>
      <c r="HS120" s="238"/>
      <c r="HT120" s="238"/>
      <c r="HU120" s="238"/>
      <c r="HV120" s="238"/>
      <c r="HW120" s="238"/>
      <c r="HX120" s="257"/>
      <c r="HY120" s="257"/>
      <c r="HZ120" s="257"/>
      <c r="IA120" s="257"/>
      <c r="IB120" s="257"/>
      <c r="IC120" s="257"/>
      <c r="ID120" s="257"/>
      <c r="IE120" s="257"/>
      <c r="IF120" s="257"/>
      <c r="IG120" s="257"/>
      <c r="IH120" s="257"/>
      <c r="II120" s="257"/>
      <c r="IJ120" s="257"/>
      <c r="IK120" s="257"/>
      <c r="IL120" s="257"/>
      <c r="IM120" s="257"/>
      <c r="IN120" s="257"/>
      <c r="IO120" s="257"/>
      <c r="IP120" s="257"/>
      <c r="IQ120" s="257"/>
      <c r="IR120" s="257"/>
      <c r="IS120" s="257"/>
      <c r="IT120" s="257"/>
      <c r="IU120" s="257"/>
      <c r="IV120" s="257"/>
      <c r="IW120" s="257"/>
      <c r="IX120" s="257"/>
      <c r="IY120" s="257"/>
      <c r="IZ120" s="257"/>
      <c r="JA120" s="257"/>
      <c r="JB120" s="257"/>
      <c r="JC120" s="257"/>
      <c r="JD120" s="257"/>
      <c r="JE120" s="257"/>
      <c r="JF120" s="238"/>
      <c r="JG120" s="238"/>
      <c r="JH120" s="238"/>
      <c r="JI120" s="238"/>
      <c r="JJ120" s="238"/>
      <c r="JK120" s="238"/>
      <c r="JL120" s="238"/>
      <c r="JM120" s="238"/>
      <c r="JN120" s="238"/>
      <c r="JO120" s="238"/>
      <c r="JP120" s="238"/>
      <c r="JQ120" s="238"/>
      <c r="JR120" s="238"/>
      <c r="JS120" s="238"/>
      <c r="JT120" s="238"/>
      <c r="JU120" s="238"/>
      <c r="JV120" s="238"/>
      <c r="JW120" s="238"/>
      <c r="JX120" s="238"/>
      <c r="JY120" s="238"/>
      <c r="JZ120" s="238"/>
      <c r="KA120" s="238"/>
      <c r="KB120" s="238"/>
      <c r="KC120" s="238"/>
      <c r="KD120" s="238"/>
      <c r="KE120" s="238"/>
      <c r="KF120" s="238"/>
      <c r="KG120" s="238"/>
      <c r="KH120" s="238"/>
      <c r="KI120" s="238"/>
      <c r="KJ120" s="238"/>
      <c r="KK120" s="238"/>
      <c r="KL120" s="238"/>
      <c r="KM120" s="238"/>
      <c r="KN120" s="238"/>
      <c r="KO120" s="238"/>
      <c r="KP120" s="238"/>
      <c r="KQ120" s="238"/>
      <c r="KR120" s="238"/>
      <c r="KS120" s="238"/>
      <c r="KT120" s="238"/>
      <c r="KU120" s="238"/>
      <c r="KV120" s="238"/>
      <c r="KW120" s="238"/>
      <c r="KX120" s="238"/>
      <c r="KY120" s="238"/>
      <c r="KZ120" s="238"/>
      <c r="LA120" s="238"/>
      <c r="LB120" s="238"/>
      <c r="LC120" s="238"/>
      <c r="LD120" s="238"/>
      <c r="LE120" s="238"/>
      <c r="LF120" s="238"/>
      <c r="LG120" s="238"/>
      <c r="LH120" s="238"/>
      <c r="LI120" s="238"/>
      <c r="LJ120" s="238"/>
      <c r="LK120" s="238"/>
      <c r="LL120" s="238"/>
      <c r="LM120" s="238"/>
      <c r="LN120" s="238"/>
      <c r="LO120" s="238"/>
      <c r="LP120" s="238"/>
      <c r="LQ120" s="238"/>
      <c r="LR120" s="238"/>
      <c r="LS120" s="238"/>
      <c r="LT120" s="238"/>
      <c r="LU120" s="238"/>
      <c r="LV120" s="238"/>
      <c r="LW120" s="238"/>
      <c r="LX120" s="238"/>
      <c r="LY120" s="238"/>
      <c r="LZ120" s="238"/>
      <c r="MA120" s="238"/>
      <c r="MB120" s="238"/>
      <c r="MC120" s="238"/>
      <c r="MD120" s="238"/>
      <c r="ME120" s="238"/>
      <c r="MF120" s="238"/>
      <c r="MG120" s="238"/>
      <c r="MH120" s="238"/>
      <c r="MI120" s="238"/>
      <c r="MJ120" s="238"/>
      <c r="MK120" s="238"/>
      <c r="ML120" s="238"/>
    </row>
    <row r="121" ht="18.75" customHeight="1">
      <c r="A121" s="283"/>
      <c r="B121" s="234" t="str">
        <f>'Building Bill of Materials_SLIM'!P121</f>
        <v/>
      </c>
      <c r="C121" s="234" t="str">
        <f>'Building Bill of Materials_SLIM'!Q121</f>
        <v/>
      </c>
      <c r="D121" s="234" t="str">
        <f>'Building Bill of Materials_SLIM'!R121</f>
        <v/>
      </c>
      <c r="E121" s="234" t="str">
        <f>'Building Bill of Materials_SLIM'!S121</f>
        <v/>
      </c>
      <c r="F121" s="234" t="str">
        <f>'Building Bill of Materials_SLIM'!U121</f>
        <v/>
      </c>
      <c r="G121" s="234"/>
      <c r="H121" s="234"/>
      <c r="I121" s="234"/>
      <c r="J121" s="234" t="str">
        <f>'Building Bill of Materials_SLIM'!V121</f>
        <v/>
      </c>
      <c r="K121" s="238"/>
      <c r="L121" s="238"/>
      <c r="M121" s="238"/>
      <c r="N121" s="238"/>
      <c r="O121" s="238"/>
      <c r="P121" s="238"/>
      <c r="Q121" s="238"/>
      <c r="R121" s="238"/>
      <c r="S121" s="238"/>
      <c r="T121" s="238"/>
      <c r="U121" s="238"/>
      <c r="V121" s="238"/>
      <c r="W121" s="238"/>
      <c r="X121" s="238"/>
      <c r="Y121" s="238"/>
      <c r="Z121" s="238"/>
      <c r="AA121" s="192"/>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7"/>
      <c r="BI121" s="257"/>
      <c r="BJ121" s="238"/>
      <c r="BK121" s="238"/>
      <c r="BL121" s="238"/>
      <c r="BM121" s="238"/>
      <c r="BN121" s="238"/>
      <c r="BO121" s="238"/>
      <c r="BP121" s="238"/>
      <c r="BQ121" s="238"/>
      <c r="BR121" s="238"/>
      <c r="BS121" s="238"/>
      <c r="BT121" s="238"/>
      <c r="BU121" s="238"/>
      <c r="BV121" s="238"/>
      <c r="BW121" s="238"/>
      <c r="BX121" s="238"/>
      <c r="BY121" s="238"/>
      <c r="BZ121" s="238"/>
      <c r="CA121" s="238"/>
      <c r="CB121" s="238"/>
      <c r="CC121" s="238"/>
      <c r="CD121" s="238"/>
      <c r="CE121" s="257"/>
      <c r="CF121" s="257"/>
      <c r="CG121" s="238"/>
      <c r="CH121" s="238"/>
      <c r="CI121" s="238"/>
      <c r="CJ121" s="238"/>
      <c r="CK121" s="238"/>
      <c r="CL121" s="238"/>
      <c r="CM121" s="238"/>
      <c r="CN121" s="238"/>
      <c r="CO121" s="238"/>
      <c r="CP121" s="238"/>
      <c r="CQ121" s="238"/>
      <c r="CR121" s="238"/>
      <c r="CS121" s="238"/>
      <c r="CT121" s="238"/>
      <c r="CU121" s="238"/>
      <c r="CV121" s="238"/>
      <c r="CW121" s="238"/>
      <c r="CX121" s="238"/>
      <c r="CY121" s="238"/>
      <c r="CZ121" s="238"/>
      <c r="DA121" s="238"/>
      <c r="DB121" s="238"/>
      <c r="DC121" s="238"/>
      <c r="DD121" s="238"/>
      <c r="DE121" s="238"/>
      <c r="DF121" s="238"/>
      <c r="DG121" s="257"/>
      <c r="DH121" s="238"/>
      <c r="DI121" s="238"/>
      <c r="DJ121" s="238"/>
      <c r="DK121" s="238"/>
      <c r="DL121" s="238"/>
      <c r="DM121" s="238"/>
      <c r="DN121" s="238"/>
      <c r="DO121" s="238"/>
      <c r="DP121" s="238"/>
      <c r="DQ121" s="238"/>
      <c r="DR121" s="238"/>
      <c r="DS121" s="238"/>
      <c r="DT121" s="238"/>
      <c r="DU121" s="238"/>
      <c r="DV121" s="238"/>
      <c r="DW121" s="238"/>
      <c r="DX121" s="238"/>
      <c r="DY121" s="238"/>
      <c r="DZ121" s="238"/>
      <c r="EA121" s="238"/>
      <c r="EB121" s="238"/>
      <c r="EC121" s="238"/>
      <c r="ED121" s="238"/>
      <c r="EE121" s="238"/>
      <c r="EF121" s="238"/>
      <c r="EG121" s="238"/>
      <c r="EH121" s="238"/>
      <c r="EI121" s="238"/>
      <c r="EJ121" s="238"/>
      <c r="EK121" s="238"/>
      <c r="EL121" s="238"/>
      <c r="EM121" s="238"/>
      <c r="EN121" s="238"/>
      <c r="EO121" s="238"/>
      <c r="EP121" s="238"/>
      <c r="EQ121" s="238"/>
      <c r="ER121" s="238"/>
      <c r="ES121" s="238"/>
      <c r="ET121" s="238"/>
      <c r="EU121" s="238"/>
      <c r="EV121" s="238"/>
      <c r="EW121" s="238"/>
      <c r="EX121" s="238"/>
      <c r="EY121" s="238"/>
      <c r="EZ121" s="238"/>
      <c r="FA121" s="238"/>
      <c r="FB121" s="238"/>
      <c r="FC121" s="238"/>
      <c r="FD121" s="238"/>
      <c r="FE121" s="238"/>
      <c r="FF121" s="238"/>
      <c r="FG121" s="238"/>
      <c r="FH121" s="257"/>
      <c r="FI121" s="257"/>
      <c r="FJ121" s="257"/>
      <c r="FK121" s="257"/>
      <c r="FL121" s="257"/>
      <c r="FM121" s="257"/>
      <c r="FN121" s="257"/>
      <c r="FO121" s="257"/>
      <c r="FP121" s="257"/>
      <c r="FQ121" s="257"/>
      <c r="FR121" s="257"/>
      <c r="FS121" s="257"/>
      <c r="FT121" s="257"/>
      <c r="FU121" s="257"/>
      <c r="FV121" s="257"/>
      <c r="FW121" s="257"/>
      <c r="FX121" s="257"/>
      <c r="FY121" s="238"/>
      <c r="FZ121" s="238"/>
      <c r="GA121" s="238"/>
      <c r="GB121" s="238"/>
      <c r="GC121" s="238"/>
      <c r="GD121" s="238"/>
      <c r="GE121" s="238"/>
      <c r="GF121" s="238"/>
      <c r="GG121" s="238"/>
      <c r="GH121" s="238"/>
      <c r="GI121" s="238"/>
      <c r="GJ121" s="238"/>
      <c r="GK121" s="238"/>
      <c r="GL121" s="238"/>
      <c r="GM121" s="238"/>
      <c r="GN121" s="238"/>
      <c r="GO121" s="238"/>
      <c r="GP121" s="238"/>
      <c r="GQ121" s="238"/>
      <c r="GR121" s="238"/>
      <c r="GS121" s="238"/>
      <c r="GT121" s="238"/>
      <c r="GU121" s="238"/>
      <c r="GV121" s="238"/>
      <c r="GW121" s="238"/>
      <c r="GX121" s="238"/>
      <c r="GY121" s="238"/>
      <c r="GZ121" s="238"/>
      <c r="HA121" s="238"/>
      <c r="HB121" s="238"/>
      <c r="HC121" s="238"/>
      <c r="HD121" s="238"/>
      <c r="HE121" s="238"/>
      <c r="HF121" s="238"/>
      <c r="HG121" s="238"/>
      <c r="HH121" s="238"/>
      <c r="HI121" s="238"/>
      <c r="HJ121" s="238"/>
      <c r="HK121" s="238"/>
      <c r="HL121" s="238"/>
      <c r="HM121" s="238"/>
      <c r="HN121" s="238"/>
      <c r="HO121" s="238"/>
      <c r="HP121" s="238"/>
      <c r="HQ121" s="238"/>
      <c r="HR121" s="238"/>
      <c r="HS121" s="238"/>
      <c r="HT121" s="238"/>
      <c r="HU121" s="238"/>
      <c r="HV121" s="238"/>
      <c r="HW121" s="238"/>
      <c r="HX121" s="257"/>
      <c r="HY121" s="257"/>
      <c r="HZ121" s="257"/>
      <c r="IA121" s="257"/>
      <c r="IB121" s="257"/>
      <c r="IC121" s="257"/>
      <c r="ID121" s="257"/>
      <c r="IE121" s="257"/>
      <c r="IF121" s="257"/>
      <c r="IG121" s="257"/>
      <c r="IH121" s="257"/>
      <c r="II121" s="257"/>
      <c r="IJ121" s="257"/>
      <c r="IK121" s="257"/>
      <c r="IL121" s="257"/>
      <c r="IM121" s="257"/>
      <c r="IN121" s="257"/>
      <c r="IO121" s="257"/>
      <c r="IP121" s="257"/>
      <c r="IQ121" s="257"/>
      <c r="IR121" s="257"/>
      <c r="IS121" s="257"/>
      <c r="IT121" s="257"/>
      <c r="IU121" s="257"/>
      <c r="IV121" s="257"/>
      <c r="IW121" s="257"/>
      <c r="IX121" s="257"/>
      <c r="IY121" s="257"/>
      <c r="IZ121" s="257"/>
      <c r="JA121" s="257"/>
      <c r="JB121" s="257"/>
      <c r="JC121" s="257"/>
      <c r="JD121" s="257"/>
      <c r="JE121" s="257"/>
      <c r="JF121" s="238"/>
      <c r="JG121" s="238"/>
      <c r="JH121" s="238"/>
      <c r="JI121" s="238"/>
      <c r="JJ121" s="238"/>
      <c r="JK121" s="238"/>
      <c r="JL121" s="238"/>
      <c r="JM121" s="238"/>
      <c r="JN121" s="238"/>
      <c r="JO121" s="238"/>
      <c r="JP121" s="238"/>
      <c r="JQ121" s="238"/>
      <c r="JR121" s="238"/>
      <c r="JS121" s="238"/>
      <c r="JT121" s="238"/>
      <c r="JU121" s="238"/>
      <c r="JV121" s="238"/>
      <c r="JW121" s="238"/>
      <c r="JX121" s="238"/>
      <c r="JY121" s="238"/>
      <c r="JZ121" s="238"/>
      <c r="KA121" s="238"/>
      <c r="KB121" s="238"/>
      <c r="KC121" s="238"/>
      <c r="KD121" s="238"/>
      <c r="KE121" s="238"/>
      <c r="KF121" s="238"/>
      <c r="KG121" s="238"/>
      <c r="KH121" s="238"/>
      <c r="KI121" s="238"/>
      <c r="KJ121" s="238"/>
      <c r="KK121" s="238"/>
      <c r="KL121" s="238"/>
      <c r="KM121" s="238"/>
      <c r="KN121" s="238"/>
      <c r="KO121" s="238"/>
      <c r="KP121" s="238"/>
      <c r="KQ121" s="238"/>
      <c r="KR121" s="238"/>
      <c r="KS121" s="238"/>
      <c r="KT121" s="238"/>
      <c r="KU121" s="238"/>
      <c r="KV121" s="238"/>
      <c r="KW121" s="238"/>
      <c r="KX121" s="238"/>
      <c r="KY121" s="238"/>
      <c r="KZ121" s="238"/>
      <c r="LA121" s="238"/>
      <c r="LB121" s="238"/>
      <c r="LC121" s="238"/>
      <c r="LD121" s="238"/>
      <c r="LE121" s="238"/>
      <c r="LF121" s="238"/>
      <c r="LG121" s="238"/>
      <c r="LH121" s="238"/>
      <c r="LI121" s="238"/>
      <c r="LJ121" s="238"/>
      <c r="LK121" s="238"/>
      <c r="LL121" s="238"/>
      <c r="LM121" s="238"/>
      <c r="LN121" s="238"/>
      <c r="LO121" s="238"/>
      <c r="LP121" s="238"/>
      <c r="LQ121" s="238"/>
      <c r="LR121" s="238"/>
      <c r="LS121" s="238"/>
      <c r="LT121" s="238"/>
      <c r="LU121" s="238"/>
      <c r="LV121" s="238"/>
      <c r="LW121" s="238"/>
      <c r="LX121" s="238"/>
      <c r="LY121" s="238"/>
      <c r="LZ121" s="238"/>
      <c r="MA121" s="238"/>
      <c r="MB121" s="238"/>
      <c r="MC121" s="238"/>
      <c r="MD121" s="238"/>
      <c r="ME121" s="238"/>
      <c r="MF121" s="238"/>
      <c r="MG121" s="238"/>
      <c r="MH121" s="238"/>
      <c r="MI121" s="238"/>
      <c r="MJ121" s="238"/>
      <c r="MK121" s="238"/>
      <c r="ML121" s="238"/>
    </row>
    <row r="122" ht="18.75" customHeight="1">
      <c r="A122" s="283"/>
      <c r="B122" s="234" t="str">
        <f>'Building Bill of Materials_SLIM'!P122</f>
        <v/>
      </c>
      <c r="C122" s="234" t="str">
        <f>'Building Bill of Materials_SLIM'!Q122</f>
        <v/>
      </c>
      <c r="D122" s="234" t="str">
        <f>'Building Bill of Materials_SLIM'!R122</f>
        <v/>
      </c>
      <c r="E122" s="234" t="str">
        <f>'Building Bill of Materials_SLIM'!S122</f>
        <v/>
      </c>
      <c r="F122" s="234" t="str">
        <f>'Building Bill of Materials_SLIM'!U122</f>
        <v/>
      </c>
      <c r="G122" s="234"/>
      <c r="H122" s="234"/>
      <c r="I122" s="234"/>
      <c r="J122" s="234" t="str">
        <f>'Building Bill of Materials_SLIM'!V122</f>
        <v/>
      </c>
      <c r="K122" s="238"/>
      <c r="L122" s="238"/>
      <c r="M122" s="238"/>
      <c r="N122" s="238"/>
      <c r="O122" s="238"/>
      <c r="P122" s="238"/>
      <c r="Q122" s="238"/>
      <c r="R122" s="238"/>
      <c r="S122" s="238"/>
      <c r="T122" s="238"/>
      <c r="U122" s="238"/>
      <c r="V122" s="238"/>
      <c r="W122" s="238"/>
      <c r="X122" s="238"/>
      <c r="Y122" s="238"/>
      <c r="Z122" s="238"/>
      <c r="AA122" s="192"/>
      <c r="AB122" s="257"/>
      <c r="AC122" s="257"/>
      <c r="AD122" s="257"/>
      <c r="AE122" s="257"/>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7"/>
      <c r="BI122" s="257"/>
      <c r="BJ122" s="238"/>
      <c r="BK122" s="238"/>
      <c r="BL122" s="238"/>
      <c r="BM122" s="238"/>
      <c r="BN122" s="238"/>
      <c r="BO122" s="238"/>
      <c r="BP122" s="238"/>
      <c r="BQ122" s="238"/>
      <c r="BR122" s="238"/>
      <c r="BS122" s="238"/>
      <c r="BT122" s="238"/>
      <c r="BU122" s="238"/>
      <c r="BV122" s="238"/>
      <c r="BW122" s="238"/>
      <c r="BX122" s="238"/>
      <c r="BY122" s="238"/>
      <c r="BZ122" s="238"/>
      <c r="CA122" s="238"/>
      <c r="CB122" s="238"/>
      <c r="CC122" s="238"/>
      <c r="CD122" s="238"/>
      <c r="CE122" s="257"/>
      <c r="CF122" s="257"/>
      <c r="CG122" s="238"/>
      <c r="CH122" s="238"/>
      <c r="CI122" s="238"/>
      <c r="CJ122" s="238"/>
      <c r="CK122" s="238"/>
      <c r="CL122" s="238"/>
      <c r="CM122" s="238"/>
      <c r="CN122" s="238"/>
      <c r="CO122" s="238"/>
      <c r="CP122" s="238"/>
      <c r="CQ122" s="238"/>
      <c r="CR122" s="238"/>
      <c r="CS122" s="238"/>
      <c r="CT122" s="238"/>
      <c r="CU122" s="238"/>
      <c r="CV122" s="238"/>
      <c r="CW122" s="238"/>
      <c r="CX122" s="238"/>
      <c r="CY122" s="238"/>
      <c r="CZ122" s="238"/>
      <c r="DA122" s="238"/>
      <c r="DB122" s="238"/>
      <c r="DC122" s="238"/>
      <c r="DD122" s="238"/>
      <c r="DE122" s="238"/>
      <c r="DF122" s="238"/>
      <c r="DG122" s="257"/>
      <c r="DH122" s="238"/>
      <c r="DI122" s="238"/>
      <c r="DJ122" s="238"/>
      <c r="DK122" s="238"/>
      <c r="DL122" s="238"/>
      <c r="DM122" s="238"/>
      <c r="DN122" s="238"/>
      <c r="DO122" s="238"/>
      <c r="DP122" s="238"/>
      <c r="DQ122" s="238"/>
      <c r="DR122" s="238"/>
      <c r="DS122" s="238"/>
      <c r="DT122" s="238"/>
      <c r="DU122" s="238"/>
      <c r="DV122" s="238"/>
      <c r="DW122" s="238"/>
      <c r="DX122" s="238"/>
      <c r="DY122" s="238"/>
      <c r="DZ122" s="238"/>
      <c r="EA122" s="238"/>
      <c r="EB122" s="238"/>
      <c r="EC122" s="238"/>
      <c r="ED122" s="238"/>
      <c r="EE122" s="238"/>
      <c r="EF122" s="238"/>
      <c r="EG122" s="238"/>
      <c r="EH122" s="238"/>
      <c r="EI122" s="238"/>
      <c r="EJ122" s="238"/>
      <c r="EK122" s="238"/>
      <c r="EL122" s="238"/>
      <c r="EM122" s="238"/>
      <c r="EN122" s="238"/>
      <c r="EO122" s="238"/>
      <c r="EP122" s="238"/>
      <c r="EQ122" s="238"/>
      <c r="ER122" s="238"/>
      <c r="ES122" s="238"/>
      <c r="ET122" s="238"/>
      <c r="EU122" s="238"/>
      <c r="EV122" s="238"/>
      <c r="EW122" s="238"/>
      <c r="EX122" s="238"/>
      <c r="EY122" s="238"/>
      <c r="EZ122" s="238"/>
      <c r="FA122" s="238"/>
      <c r="FB122" s="238"/>
      <c r="FC122" s="238"/>
      <c r="FD122" s="238"/>
      <c r="FE122" s="238"/>
      <c r="FF122" s="238"/>
      <c r="FG122" s="238"/>
      <c r="FH122" s="257"/>
      <c r="FI122" s="257"/>
      <c r="FJ122" s="257"/>
      <c r="FK122" s="257"/>
      <c r="FL122" s="257"/>
      <c r="FM122" s="257"/>
      <c r="FN122" s="257"/>
      <c r="FO122" s="257"/>
      <c r="FP122" s="257"/>
      <c r="FQ122" s="257"/>
      <c r="FR122" s="257"/>
      <c r="FS122" s="257"/>
      <c r="FT122" s="257"/>
      <c r="FU122" s="257"/>
      <c r="FV122" s="257"/>
      <c r="FW122" s="257"/>
      <c r="FX122" s="257"/>
      <c r="FY122" s="238"/>
      <c r="FZ122" s="238"/>
      <c r="GA122" s="238"/>
      <c r="GB122" s="238"/>
      <c r="GC122" s="238"/>
      <c r="GD122" s="238"/>
      <c r="GE122" s="238"/>
      <c r="GF122" s="238"/>
      <c r="GG122" s="238"/>
      <c r="GH122" s="238"/>
      <c r="GI122" s="238"/>
      <c r="GJ122" s="238"/>
      <c r="GK122" s="238"/>
      <c r="GL122" s="238"/>
      <c r="GM122" s="238"/>
      <c r="GN122" s="238"/>
      <c r="GO122" s="238"/>
      <c r="GP122" s="238"/>
      <c r="GQ122" s="238"/>
      <c r="GR122" s="238"/>
      <c r="GS122" s="238"/>
      <c r="GT122" s="238"/>
      <c r="GU122" s="238"/>
      <c r="GV122" s="238"/>
      <c r="GW122" s="238"/>
      <c r="GX122" s="238"/>
      <c r="GY122" s="238"/>
      <c r="GZ122" s="238"/>
      <c r="HA122" s="238"/>
      <c r="HB122" s="238"/>
      <c r="HC122" s="238"/>
      <c r="HD122" s="238"/>
      <c r="HE122" s="238"/>
      <c r="HF122" s="238"/>
      <c r="HG122" s="238"/>
      <c r="HH122" s="238"/>
      <c r="HI122" s="238"/>
      <c r="HJ122" s="238"/>
      <c r="HK122" s="238"/>
      <c r="HL122" s="238"/>
      <c r="HM122" s="238"/>
      <c r="HN122" s="238"/>
      <c r="HO122" s="238"/>
      <c r="HP122" s="238"/>
      <c r="HQ122" s="238"/>
      <c r="HR122" s="238"/>
      <c r="HS122" s="238"/>
      <c r="HT122" s="238"/>
      <c r="HU122" s="238"/>
      <c r="HV122" s="238"/>
      <c r="HW122" s="238"/>
      <c r="HX122" s="257"/>
      <c r="HY122" s="257"/>
      <c r="HZ122" s="257"/>
      <c r="IA122" s="257"/>
      <c r="IB122" s="257"/>
      <c r="IC122" s="257"/>
      <c r="ID122" s="257"/>
      <c r="IE122" s="257"/>
      <c r="IF122" s="257"/>
      <c r="IG122" s="257"/>
      <c r="IH122" s="257"/>
      <c r="II122" s="257"/>
      <c r="IJ122" s="257"/>
      <c r="IK122" s="257"/>
      <c r="IL122" s="257"/>
      <c r="IM122" s="257"/>
      <c r="IN122" s="257"/>
      <c r="IO122" s="257"/>
      <c r="IP122" s="257"/>
      <c r="IQ122" s="257"/>
      <c r="IR122" s="257"/>
      <c r="IS122" s="257"/>
      <c r="IT122" s="257"/>
      <c r="IU122" s="257"/>
      <c r="IV122" s="257"/>
      <c r="IW122" s="257"/>
      <c r="IX122" s="257"/>
      <c r="IY122" s="257"/>
      <c r="IZ122" s="257"/>
      <c r="JA122" s="257"/>
      <c r="JB122" s="257"/>
      <c r="JC122" s="257"/>
      <c r="JD122" s="257"/>
      <c r="JE122" s="257"/>
      <c r="JF122" s="238"/>
      <c r="JG122" s="238"/>
      <c r="JH122" s="238"/>
      <c r="JI122" s="238"/>
      <c r="JJ122" s="238"/>
      <c r="JK122" s="238"/>
      <c r="JL122" s="238"/>
      <c r="JM122" s="238"/>
      <c r="JN122" s="238"/>
      <c r="JO122" s="238"/>
      <c r="JP122" s="238"/>
      <c r="JQ122" s="238"/>
      <c r="JR122" s="238"/>
      <c r="JS122" s="238"/>
      <c r="JT122" s="238"/>
      <c r="JU122" s="238"/>
      <c r="JV122" s="238"/>
      <c r="JW122" s="238"/>
      <c r="JX122" s="238"/>
      <c r="JY122" s="238"/>
      <c r="JZ122" s="238"/>
      <c r="KA122" s="238"/>
      <c r="KB122" s="238"/>
      <c r="KC122" s="238"/>
      <c r="KD122" s="238"/>
      <c r="KE122" s="238"/>
      <c r="KF122" s="238"/>
      <c r="KG122" s="238"/>
      <c r="KH122" s="238"/>
      <c r="KI122" s="238"/>
      <c r="KJ122" s="238"/>
      <c r="KK122" s="238"/>
      <c r="KL122" s="238"/>
      <c r="KM122" s="238"/>
      <c r="KN122" s="238"/>
      <c r="KO122" s="238"/>
      <c r="KP122" s="238"/>
      <c r="KQ122" s="238"/>
      <c r="KR122" s="238"/>
      <c r="KS122" s="238"/>
      <c r="KT122" s="238"/>
      <c r="KU122" s="238"/>
      <c r="KV122" s="238"/>
      <c r="KW122" s="238"/>
      <c r="KX122" s="238"/>
      <c r="KY122" s="238"/>
      <c r="KZ122" s="238"/>
      <c r="LA122" s="238"/>
      <c r="LB122" s="238"/>
      <c r="LC122" s="238"/>
      <c r="LD122" s="238"/>
      <c r="LE122" s="238"/>
      <c r="LF122" s="238"/>
      <c r="LG122" s="238"/>
      <c r="LH122" s="238"/>
      <c r="LI122" s="238"/>
      <c r="LJ122" s="238"/>
      <c r="LK122" s="238"/>
      <c r="LL122" s="238"/>
      <c r="LM122" s="238"/>
      <c r="LN122" s="238"/>
      <c r="LO122" s="238"/>
      <c r="LP122" s="238"/>
      <c r="LQ122" s="238"/>
      <c r="LR122" s="238"/>
      <c r="LS122" s="238"/>
      <c r="LT122" s="238"/>
      <c r="LU122" s="238"/>
      <c r="LV122" s="238"/>
      <c r="LW122" s="238"/>
      <c r="LX122" s="238"/>
      <c r="LY122" s="238"/>
      <c r="LZ122" s="238"/>
      <c r="MA122" s="238"/>
      <c r="MB122" s="238"/>
      <c r="MC122" s="238"/>
      <c r="MD122" s="238"/>
      <c r="ME122" s="238"/>
      <c r="MF122" s="238"/>
      <c r="MG122" s="238"/>
      <c r="MH122" s="238"/>
      <c r="MI122" s="238"/>
      <c r="MJ122" s="238"/>
      <c r="MK122" s="238"/>
      <c r="ML122" s="238"/>
    </row>
    <row r="123" ht="18.75" customHeight="1">
      <c r="A123" s="283"/>
      <c r="B123" s="234" t="str">
        <f>'Building Bill of Materials_SLIM'!P123</f>
        <v/>
      </c>
      <c r="C123" s="234" t="str">
        <f>'Building Bill of Materials_SLIM'!Q123</f>
        <v/>
      </c>
      <c r="D123" s="234" t="str">
        <f>'Building Bill of Materials_SLIM'!R123</f>
        <v/>
      </c>
      <c r="E123" s="234" t="str">
        <f>'Building Bill of Materials_SLIM'!S123</f>
        <v/>
      </c>
      <c r="F123" s="234" t="str">
        <f>'Building Bill of Materials_SLIM'!U123</f>
        <v/>
      </c>
      <c r="G123" s="234"/>
      <c r="H123" s="234"/>
      <c r="I123" s="234"/>
      <c r="J123" s="234" t="str">
        <f>'Building Bill of Materials_SLIM'!V123</f>
        <v/>
      </c>
      <c r="K123" s="238"/>
      <c r="L123" s="238"/>
      <c r="M123" s="238"/>
      <c r="N123" s="238"/>
      <c r="O123" s="238"/>
      <c r="P123" s="238"/>
      <c r="Q123" s="238"/>
      <c r="R123" s="238"/>
      <c r="S123" s="238"/>
      <c r="T123" s="238"/>
      <c r="U123" s="238"/>
      <c r="V123" s="238"/>
      <c r="W123" s="238"/>
      <c r="X123" s="238"/>
      <c r="Y123" s="238"/>
      <c r="Z123" s="238"/>
      <c r="AA123" s="192"/>
      <c r="AB123" s="257"/>
      <c r="AC123" s="257"/>
      <c r="AD123" s="257"/>
      <c r="AE123" s="257"/>
      <c r="AF123" s="257"/>
      <c r="AG123" s="257"/>
      <c r="AH123" s="257"/>
      <c r="AI123" s="257"/>
      <c r="AJ123" s="257"/>
      <c r="AK123" s="257"/>
      <c r="AL123" s="257"/>
      <c r="AM123" s="257"/>
      <c r="AN123" s="257"/>
      <c r="AO123" s="257"/>
      <c r="AP123" s="257"/>
      <c r="AQ123" s="257"/>
      <c r="AR123" s="257"/>
      <c r="AS123" s="257"/>
      <c r="AT123" s="257"/>
      <c r="AU123" s="257"/>
      <c r="AV123" s="257"/>
      <c r="AW123" s="257"/>
      <c r="AX123" s="257"/>
      <c r="AY123" s="257"/>
      <c r="AZ123" s="257"/>
      <c r="BA123" s="257"/>
      <c r="BB123" s="257"/>
      <c r="BC123" s="257"/>
      <c r="BD123" s="257"/>
      <c r="BE123" s="257"/>
      <c r="BF123" s="257"/>
      <c r="BG123" s="257"/>
      <c r="BH123" s="257"/>
      <c r="BI123" s="257"/>
      <c r="BJ123" s="238"/>
      <c r="BK123" s="238"/>
      <c r="BL123" s="238"/>
      <c r="BM123" s="238"/>
      <c r="BN123" s="238"/>
      <c r="BO123" s="238"/>
      <c r="BP123" s="238"/>
      <c r="BQ123" s="238"/>
      <c r="BR123" s="238"/>
      <c r="BS123" s="238"/>
      <c r="BT123" s="238"/>
      <c r="BU123" s="238"/>
      <c r="BV123" s="238"/>
      <c r="BW123" s="238"/>
      <c r="BX123" s="238"/>
      <c r="BY123" s="238"/>
      <c r="BZ123" s="238"/>
      <c r="CA123" s="238"/>
      <c r="CB123" s="238"/>
      <c r="CC123" s="238"/>
      <c r="CD123" s="238"/>
      <c r="CE123" s="257"/>
      <c r="CF123" s="257"/>
      <c r="CG123" s="238"/>
      <c r="CH123" s="238"/>
      <c r="CI123" s="238"/>
      <c r="CJ123" s="238"/>
      <c r="CK123" s="238"/>
      <c r="CL123" s="238"/>
      <c r="CM123" s="238"/>
      <c r="CN123" s="238"/>
      <c r="CO123" s="238"/>
      <c r="CP123" s="238"/>
      <c r="CQ123" s="238"/>
      <c r="CR123" s="238"/>
      <c r="CS123" s="238"/>
      <c r="CT123" s="238"/>
      <c r="CU123" s="238"/>
      <c r="CV123" s="238"/>
      <c r="CW123" s="238"/>
      <c r="CX123" s="238"/>
      <c r="CY123" s="238"/>
      <c r="CZ123" s="238"/>
      <c r="DA123" s="238"/>
      <c r="DB123" s="238"/>
      <c r="DC123" s="238"/>
      <c r="DD123" s="238"/>
      <c r="DE123" s="238"/>
      <c r="DF123" s="238"/>
      <c r="DG123" s="257"/>
      <c r="DH123" s="238"/>
      <c r="DI123" s="238"/>
      <c r="DJ123" s="238"/>
      <c r="DK123" s="238"/>
      <c r="DL123" s="238"/>
      <c r="DM123" s="238"/>
      <c r="DN123" s="238"/>
      <c r="DO123" s="238"/>
      <c r="DP123" s="238"/>
      <c r="DQ123" s="238"/>
      <c r="DR123" s="238"/>
      <c r="DS123" s="238"/>
      <c r="DT123" s="238"/>
      <c r="DU123" s="238"/>
      <c r="DV123" s="238"/>
      <c r="DW123" s="238"/>
      <c r="DX123" s="238"/>
      <c r="DY123" s="238"/>
      <c r="DZ123" s="238"/>
      <c r="EA123" s="238"/>
      <c r="EB123" s="238"/>
      <c r="EC123" s="238"/>
      <c r="ED123" s="238"/>
      <c r="EE123" s="238"/>
      <c r="EF123" s="238"/>
      <c r="EG123" s="238"/>
      <c r="EH123" s="238"/>
      <c r="EI123" s="238"/>
      <c r="EJ123" s="238"/>
      <c r="EK123" s="238"/>
      <c r="EL123" s="238"/>
      <c r="EM123" s="238"/>
      <c r="EN123" s="238"/>
      <c r="EO123" s="238"/>
      <c r="EP123" s="238"/>
      <c r="EQ123" s="238"/>
      <c r="ER123" s="238"/>
      <c r="ES123" s="238"/>
      <c r="ET123" s="238"/>
      <c r="EU123" s="238"/>
      <c r="EV123" s="238"/>
      <c r="EW123" s="238"/>
      <c r="EX123" s="238"/>
      <c r="EY123" s="238"/>
      <c r="EZ123" s="238"/>
      <c r="FA123" s="238"/>
      <c r="FB123" s="238"/>
      <c r="FC123" s="238"/>
      <c r="FD123" s="238"/>
      <c r="FE123" s="238"/>
      <c r="FF123" s="238"/>
      <c r="FG123" s="238"/>
      <c r="FH123" s="257"/>
      <c r="FI123" s="257"/>
      <c r="FJ123" s="257"/>
      <c r="FK123" s="257"/>
      <c r="FL123" s="257"/>
      <c r="FM123" s="257"/>
      <c r="FN123" s="257"/>
      <c r="FO123" s="257"/>
      <c r="FP123" s="257"/>
      <c r="FQ123" s="257"/>
      <c r="FR123" s="257"/>
      <c r="FS123" s="257"/>
      <c r="FT123" s="257"/>
      <c r="FU123" s="257"/>
      <c r="FV123" s="257"/>
      <c r="FW123" s="257"/>
      <c r="FX123" s="257"/>
      <c r="FY123" s="238"/>
      <c r="FZ123" s="238"/>
      <c r="GA123" s="238"/>
      <c r="GB123" s="238"/>
      <c r="GC123" s="238"/>
      <c r="GD123" s="238"/>
      <c r="GE123" s="238"/>
      <c r="GF123" s="238"/>
      <c r="GG123" s="238"/>
      <c r="GH123" s="238"/>
      <c r="GI123" s="238"/>
      <c r="GJ123" s="238"/>
      <c r="GK123" s="238"/>
      <c r="GL123" s="238"/>
      <c r="GM123" s="238"/>
      <c r="GN123" s="238"/>
      <c r="GO123" s="238"/>
      <c r="GP123" s="238"/>
      <c r="GQ123" s="238"/>
      <c r="GR123" s="238"/>
      <c r="GS123" s="238"/>
      <c r="GT123" s="238"/>
      <c r="GU123" s="238"/>
      <c r="GV123" s="238"/>
      <c r="GW123" s="238"/>
      <c r="GX123" s="238"/>
      <c r="GY123" s="238"/>
      <c r="GZ123" s="238"/>
      <c r="HA123" s="238"/>
      <c r="HB123" s="238"/>
      <c r="HC123" s="238"/>
      <c r="HD123" s="238"/>
      <c r="HE123" s="238"/>
      <c r="HF123" s="238"/>
      <c r="HG123" s="238"/>
      <c r="HH123" s="238"/>
      <c r="HI123" s="238"/>
      <c r="HJ123" s="238"/>
      <c r="HK123" s="238"/>
      <c r="HL123" s="238"/>
      <c r="HM123" s="238"/>
      <c r="HN123" s="238"/>
      <c r="HO123" s="238"/>
      <c r="HP123" s="238"/>
      <c r="HQ123" s="238"/>
      <c r="HR123" s="238"/>
      <c r="HS123" s="238"/>
      <c r="HT123" s="238"/>
      <c r="HU123" s="238"/>
      <c r="HV123" s="238"/>
      <c r="HW123" s="238"/>
      <c r="HX123" s="257"/>
      <c r="HY123" s="257"/>
      <c r="HZ123" s="257"/>
      <c r="IA123" s="257"/>
      <c r="IB123" s="257"/>
      <c r="IC123" s="257"/>
      <c r="ID123" s="257"/>
      <c r="IE123" s="257"/>
      <c r="IF123" s="257"/>
      <c r="IG123" s="257"/>
      <c r="IH123" s="257"/>
      <c r="II123" s="257"/>
      <c r="IJ123" s="257"/>
      <c r="IK123" s="257"/>
      <c r="IL123" s="257"/>
      <c r="IM123" s="257"/>
      <c r="IN123" s="257"/>
      <c r="IO123" s="257"/>
      <c r="IP123" s="257"/>
      <c r="IQ123" s="257"/>
      <c r="IR123" s="257"/>
      <c r="IS123" s="257"/>
      <c r="IT123" s="257"/>
      <c r="IU123" s="257"/>
      <c r="IV123" s="257"/>
      <c r="IW123" s="257"/>
      <c r="IX123" s="257"/>
      <c r="IY123" s="257"/>
      <c r="IZ123" s="257"/>
      <c r="JA123" s="257"/>
      <c r="JB123" s="257"/>
      <c r="JC123" s="257"/>
      <c r="JD123" s="257"/>
      <c r="JE123" s="257"/>
      <c r="JF123" s="238"/>
      <c r="JG123" s="238"/>
      <c r="JH123" s="238"/>
      <c r="JI123" s="238"/>
      <c r="JJ123" s="238"/>
      <c r="JK123" s="238"/>
      <c r="JL123" s="238"/>
      <c r="JM123" s="238"/>
      <c r="JN123" s="238"/>
      <c r="JO123" s="238"/>
      <c r="JP123" s="238"/>
      <c r="JQ123" s="238"/>
      <c r="JR123" s="238"/>
      <c r="JS123" s="238"/>
      <c r="JT123" s="238"/>
      <c r="JU123" s="238"/>
      <c r="JV123" s="238"/>
      <c r="JW123" s="238"/>
      <c r="JX123" s="238"/>
      <c r="JY123" s="238"/>
      <c r="JZ123" s="238"/>
      <c r="KA123" s="238"/>
      <c r="KB123" s="238"/>
      <c r="KC123" s="238"/>
      <c r="KD123" s="238"/>
      <c r="KE123" s="238"/>
      <c r="KF123" s="238"/>
      <c r="KG123" s="238"/>
      <c r="KH123" s="238"/>
      <c r="KI123" s="238"/>
      <c r="KJ123" s="238"/>
      <c r="KK123" s="238"/>
      <c r="KL123" s="238"/>
      <c r="KM123" s="238"/>
      <c r="KN123" s="238"/>
      <c r="KO123" s="238"/>
      <c r="KP123" s="238"/>
      <c r="KQ123" s="238"/>
      <c r="KR123" s="238"/>
      <c r="KS123" s="238"/>
      <c r="KT123" s="238"/>
      <c r="KU123" s="238"/>
      <c r="KV123" s="238"/>
      <c r="KW123" s="238"/>
      <c r="KX123" s="238"/>
      <c r="KY123" s="238"/>
      <c r="KZ123" s="238"/>
      <c r="LA123" s="238"/>
      <c r="LB123" s="238"/>
      <c r="LC123" s="238"/>
      <c r="LD123" s="238"/>
      <c r="LE123" s="238"/>
      <c r="LF123" s="238"/>
      <c r="LG123" s="238"/>
      <c r="LH123" s="238"/>
      <c r="LI123" s="238"/>
      <c r="LJ123" s="238"/>
      <c r="LK123" s="238"/>
      <c r="LL123" s="238"/>
      <c r="LM123" s="238"/>
      <c r="LN123" s="238"/>
      <c r="LO123" s="238"/>
      <c r="LP123" s="238"/>
      <c r="LQ123" s="238"/>
      <c r="LR123" s="238"/>
      <c r="LS123" s="238"/>
      <c r="LT123" s="238"/>
      <c r="LU123" s="238"/>
      <c r="LV123" s="238"/>
      <c r="LW123" s="238"/>
      <c r="LX123" s="238"/>
      <c r="LY123" s="238"/>
      <c r="LZ123" s="238"/>
      <c r="MA123" s="238"/>
      <c r="MB123" s="238"/>
      <c r="MC123" s="238"/>
      <c r="MD123" s="238"/>
      <c r="ME123" s="238"/>
      <c r="MF123" s="238"/>
      <c r="MG123" s="238"/>
      <c r="MH123" s="238"/>
      <c r="MI123" s="238"/>
      <c r="MJ123" s="238"/>
      <c r="MK123" s="238"/>
      <c r="ML123" s="238"/>
    </row>
    <row r="124" ht="18.75" customHeight="1">
      <c r="A124" s="283"/>
      <c r="B124" s="234" t="str">
        <f>'Building Bill of Materials_SLIM'!P124</f>
        <v/>
      </c>
      <c r="C124" s="234" t="str">
        <f>'Building Bill of Materials_SLIM'!Q124</f>
        <v/>
      </c>
      <c r="D124" s="234" t="str">
        <f>'Building Bill of Materials_SLIM'!R124</f>
        <v/>
      </c>
      <c r="E124" s="234" t="str">
        <f>'Building Bill of Materials_SLIM'!S124</f>
        <v/>
      </c>
      <c r="F124" s="234" t="str">
        <f>'Building Bill of Materials_SLIM'!U124</f>
        <v/>
      </c>
      <c r="G124" s="234"/>
      <c r="H124" s="234"/>
      <c r="I124" s="234"/>
      <c r="J124" s="234" t="str">
        <f>'Building Bill of Materials_SLIM'!V124</f>
        <v/>
      </c>
      <c r="K124" s="238"/>
      <c r="L124" s="238"/>
      <c r="M124" s="238"/>
      <c r="N124" s="238"/>
      <c r="O124" s="238"/>
      <c r="P124" s="238"/>
      <c r="Q124" s="238"/>
      <c r="R124" s="238"/>
      <c r="S124" s="238"/>
      <c r="T124" s="238"/>
      <c r="U124" s="238"/>
      <c r="V124" s="238"/>
      <c r="W124" s="238"/>
      <c r="X124" s="238"/>
      <c r="Y124" s="238"/>
      <c r="Z124" s="238"/>
      <c r="AA124" s="192"/>
      <c r="AB124" s="257"/>
      <c r="AC124" s="257"/>
      <c r="AD124" s="257"/>
      <c r="AE124" s="257"/>
      <c r="AF124" s="257"/>
      <c r="AG124" s="257"/>
      <c r="AH124" s="257"/>
      <c r="AI124" s="257"/>
      <c r="AJ124" s="257"/>
      <c r="AK124" s="257"/>
      <c r="AL124" s="257"/>
      <c r="AM124" s="257"/>
      <c r="AN124" s="257"/>
      <c r="AO124" s="257"/>
      <c r="AP124" s="257"/>
      <c r="AQ124" s="257"/>
      <c r="AR124" s="257"/>
      <c r="AS124" s="257"/>
      <c r="AT124" s="257"/>
      <c r="AU124" s="257"/>
      <c r="AV124" s="257"/>
      <c r="AW124" s="257"/>
      <c r="AX124" s="257"/>
      <c r="AY124" s="257"/>
      <c r="AZ124" s="257"/>
      <c r="BA124" s="257"/>
      <c r="BB124" s="257"/>
      <c r="BC124" s="257"/>
      <c r="BD124" s="257"/>
      <c r="BE124" s="257"/>
      <c r="BF124" s="257"/>
      <c r="BG124" s="257"/>
      <c r="BH124" s="257"/>
      <c r="BI124" s="257"/>
      <c r="BJ124" s="238"/>
      <c r="BK124" s="238"/>
      <c r="BL124" s="238"/>
      <c r="BM124" s="238"/>
      <c r="BN124" s="238"/>
      <c r="BO124" s="238"/>
      <c r="BP124" s="238"/>
      <c r="BQ124" s="238"/>
      <c r="BR124" s="238"/>
      <c r="BS124" s="238"/>
      <c r="BT124" s="238"/>
      <c r="BU124" s="238"/>
      <c r="BV124" s="238"/>
      <c r="BW124" s="238"/>
      <c r="BX124" s="238"/>
      <c r="BY124" s="238"/>
      <c r="BZ124" s="238"/>
      <c r="CA124" s="238"/>
      <c r="CB124" s="238"/>
      <c r="CC124" s="238"/>
      <c r="CD124" s="238"/>
      <c r="CE124" s="257"/>
      <c r="CF124" s="257"/>
      <c r="CG124" s="238"/>
      <c r="CH124" s="238"/>
      <c r="CI124" s="238"/>
      <c r="CJ124" s="238"/>
      <c r="CK124" s="238"/>
      <c r="CL124" s="238"/>
      <c r="CM124" s="238"/>
      <c r="CN124" s="238"/>
      <c r="CO124" s="238"/>
      <c r="CP124" s="238"/>
      <c r="CQ124" s="238"/>
      <c r="CR124" s="238"/>
      <c r="CS124" s="238"/>
      <c r="CT124" s="238"/>
      <c r="CU124" s="238"/>
      <c r="CV124" s="238"/>
      <c r="CW124" s="238"/>
      <c r="CX124" s="238"/>
      <c r="CY124" s="238"/>
      <c r="CZ124" s="238"/>
      <c r="DA124" s="238"/>
      <c r="DB124" s="238"/>
      <c r="DC124" s="238"/>
      <c r="DD124" s="238"/>
      <c r="DE124" s="238"/>
      <c r="DF124" s="238"/>
      <c r="DG124" s="257"/>
      <c r="DH124" s="238"/>
      <c r="DI124" s="238"/>
      <c r="DJ124" s="238"/>
      <c r="DK124" s="238"/>
      <c r="DL124" s="238"/>
      <c r="DM124" s="238"/>
      <c r="DN124" s="238"/>
      <c r="DO124" s="238"/>
      <c r="DP124" s="238"/>
      <c r="DQ124" s="238"/>
      <c r="DR124" s="238"/>
      <c r="DS124" s="238"/>
      <c r="DT124" s="238"/>
      <c r="DU124" s="238"/>
      <c r="DV124" s="238"/>
      <c r="DW124" s="238"/>
      <c r="DX124" s="238"/>
      <c r="DY124" s="238"/>
      <c r="DZ124" s="238"/>
      <c r="EA124" s="238"/>
      <c r="EB124" s="238"/>
      <c r="EC124" s="238"/>
      <c r="ED124" s="238"/>
      <c r="EE124" s="238"/>
      <c r="EF124" s="238"/>
      <c r="EG124" s="238"/>
      <c r="EH124" s="238"/>
      <c r="EI124" s="238"/>
      <c r="EJ124" s="238"/>
      <c r="EK124" s="238"/>
      <c r="EL124" s="238"/>
      <c r="EM124" s="238"/>
      <c r="EN124" s="238"/>
      <c r="EO124" s="238"/>
      <c r="EP124" s="238"/>
      <c r="EQ124" s="238"/>
      <c r="ER124" s="238"/>
      <c r="ES124" s="238"/>
      <c r="ET124" s="238"/>
      <c r="EU124" s="238"/>
      <c r="EV124" s="238"/>
      <c r="EW124" s="238"/>
      <c r="EX124" s="238"/>
      <c r="EY124" s="238"/>
      <c r="EZ124" s="238"/>
      <c r="FA124" s="238"/>
      <c r="FB124" s="238"/>
      <c r="FC124" s="238"/>
      <c r="FD124" s="238"/>
      <c r="FE124" s="238"/>
      <c r="FF124" s="238"/>
      <c r="FG124" s="238"/>
      <c r="FH124" s="257"/>
      <c r="FI124" s="257"/>
      <c r="FJ124" s="257"/>
      <c r="FK124" s="257"/>
      <c r="FL124" s="257"/>
      <c r="FM124" s="257"/>
      <c r="FN124" s="257"/>
      <c r="FO124" s="257"/>
      <c r="FP124" s="257"/>
      <c r="FQ124" s="257"/>
      <c r="FR124" s="257"/>
      <c r="FS124" s="257"/>
      <c r="FT124" s="257"/>
      <c r="FU124" s="257"/>
      <c r="FV124" s="257"/>
      <c r="FW124" s="257"/>
      <c r="FX124" s="257"/>
      <c r="FY124" s="238"/>
      <c r="FZ124" s="238"/>
      <c r="GA124" s="238"/>
      <c r="GB124" s="238"/>
      <c r="GC124" s="238"/>
      <c r="GD124" s="238"/>
      <c r="GE124" s="238"/>
      <c r="GF124" s="238"/>
      <c r="GG124" s="238"/>
      <c r="GH124" s="238"/>
      <c r="GI124" s="238"/>
      <c r="GJ124" s="238"/>
      <c r="GK124" s="238"/>
      <c r="GL124" s="238"/>
      <c r="GM124" s="238"/>
      <c r="GN124" s="238"/>
      <c r="GO124" s="238"/>
      <c r="GP124" s="238"/>
      <c r="GQ124" s="238"/>
      <c r="GR124" s="238"/>
      <c r="GS124" s="238"/>
      <c r="GT124" s="238"/>
      <c r="GU124" s="238"/>
      <c r="GV124" s="238"/>
      <c r="GW124" s="238"/>
      <c r="GX124" s="238"/>
      <c r="GY124" s="238"/>
      <c r="GZ124" s="238"/>
      <c r="HA124" s="238"/>
      <c r="HB124" s="238"/>
      <c r="HC124" s="238"/>
      <c r="HD124" s="238"/>
      <c r="HE124" s="238"/>
      <c r="HF124" s="238"/>
      <c r="HG124" s="238"/>
      <c r="HH124" s="238"/>
      <c r="HI124" s="238"/>
      <c r="HJ124" s="238"/>
      <c r="HK124" s="238"/>
      <c r="HL124" s="238"/>
      <c r="HM124" s="238"/>
      <c r="HN124" s="238"/>
      <c r="HO124" s="238"/>
      <c r="HP124" s="238"/>
      <c r="HQ124" s="238"/>
      <c r="HR124" s="238"/>
      <c r="HS124" s="238"/>
      <c r="HT124" s="238"/>
      <c r="HU124" s="238"/>
      <c r="HV124" s="238"/>
      <c r="HW124" s="238"/>
      <c r="HX124" s="257"/>
      <c r="HY124" s="257"/>
      <c r="HZ124" s="257"/>
      <c r="IA124" s="257"/>
      <c r="IB124" s="257"/>
      <c r="IC124" s="257"/>
      <c r="ID124" s="257"/>
      <c r="IE124" s="257"/>
      <c r="IF124" s="257"/>
      <c r="IG124" s="257"/>
      <c r="IH124" s="257"/>
      <c r="II124" s="257"/>
      <c r="IJ124" s="257"/>
      <c r="IK124" s="257"/>
      <c r="IL124" s="257"/>
      <c r="IM124" s="257"/>
      <c r="IN124" s="257"/>
      <c r="IO124" s="257"/>
      <c r="IP124" s="257"/>
      <c r="IQ124" s="257"/>
      <c r="IR124" s="257"/>
      <c r="IS124" s="257"/>
      <c r="IT124" s="257"/>
      <c r="IU124" s="257"/>
      <c r="IV124" s="257"/>
      <c r="IW124" s="257"/>
      <c r="IX124" s="257"/>
      <c r="IY124" s="257"/>
      <c r="IZ124" s="257"/>
      <c r="JA124" s="257"/>
      <c r="JB124" s="257"/>
      <c r="JC124" s="257"/>
      <c r="JD124" s="257"/>
      <c r="JE124" s="257"/>
      <c r="JF124" s="238"/>
      <c r="JG124" s="238"/>
      <c r="JH124" s="238"/>
      <c r="JI124" s="238"/>
      <c r="JJ124" s="238"/>
      <c r="JK124" s="238"/>
      <c r="JL124" s="238"/>
      <c r="JM124" s="238"/>
      <c r="JN124" s="238"/>
      <c r="JO124" s="238"/>
      <c r="JP124" s="238"/>
      <c r="JQ124" s="238"/>
      <c r="JR124" s="238"/>
      <c r="JS124" s="238"/>
      <c r="JT124" s="238"/>
      <c r="JU124" s="238"/>
      <c r="JV124" s="238"/>
      <c r="JW124" s="238"/>
      <c r="JX124" s="238"/>
      <c r="JY124" s="238"/>
      <c r="JZ124" s="238"/>
      <c r="KA124" s="238"/>
      <c r="KB124" s="238"/>
      <c r="KC124" s="238"/>
      <c r="KD124" s="238"/>
      <c r="KE124" s="238"/>
      <c r="KF124" s="238"/>
      <c r="KG124" s="238"/>
      <c r="KH124" s="238"/>
      <c r="KI124" s="238"/>
      <c r="KJ124" s="238"/>
      <c r="KK124" s="238"/>
      <c r="KL124" s="238"/>
      <c r="KM124" s="238"/>
      <c r="KN124" s="238"/>
      <c r="KO124" s="238"/>
      <c r="KP124" s="238"/>
      <c r="KQ124" s="238"/>
      <c r="KR124" s="238"/>
      <c r="KS124" s="238"/>
      <c r="KT124" s="238"/>
      <c r="KU124" s="238"/>
      <c r="KV124" s="238"/>
      <c r="KW124" s="238"/>
      <c r="KX124" s="238"/>
      <c r="KY124" s="238"/>
      <c r="KZ124" s="238"/>
      <c r="LA124" s="238"/>
      <c r="LB124" s="238"/>
      <c r="LC124" s="238"/>
      <c r="LD124" s="238"/>
      <c r="LE124" s="238"/>
      <c r="LF124" s="238"/>
      <c r="LG124" s="238"/>
      <c r="LH124" s="238"/>
      <c r="LI124" s="238"/>
      <c r="LJ124" s="238"/>
      <c r="LK124" s="238"/>
      <c r="LL124" s="238"/>
      <c r="LM124" s="238"/>
      <c r="LN124" s="238"/>
      <c r="LO124" s="238"/>
      <c r="LP124" s="238"/>
      <c r="LQ124" s="238"/>
      <c r="LR124" s="238"/>
      <c r="LS124" s="238"/>
      <c r="LT124" s="238"/>
      <c r="LU124" s="238"/>
      <c r="LV124" s="238"/>
      <c r="LW124" s="238"/>
      <c r="LX124" s="238"/>
      <c r="LY124" s="238"/>
      <c r="LZ124" s="238"/>
      <c r="MA124" s="238"/>
      <c r="MB124" s="238"/>
      <c r="MC124" s="238"/>
      <c r="MD124" s="238"/>
      <c r="ME124" s="238"/>
      <c r="MF124" s="238"/>
      <c r="MG124" s="238"/>
      <c r="MH124" s="238"/>
      <c r="MI124" s="238"/>
      <c r="MJ124" s="238"/>
      <c r="MK124" s="238"/>
      <c r="ML124" s="238"/>
    </row>
    <row r="125" ht="18.75" customHeight="1">
      <c r="A125" s="283"/>
      <c r="B125" s="234" t="str">
        <f>'Building Bill of Materials_SLIM'!P125</f>
        <v/>
      </c>
      <c r="C125" s="234" t="str">
        <f>'Building Bill of Materials_SLIM'!Q125</f>
        <v/>
      </c>
      <c r="D125" s="234" t="str">
        <f>'Building Bill of Materials_SLIM'!R125</f>
        <v/>
      </c>
      <c r="E125" s="234" t="str">
        <f>'Building Bill of Materials_SLIM'!S125</f>
        <v/>
      </c>
      <c r="F125" s="234" t="str">
        <f>'Building Bill of Materials_SLIM'!U125</f>
        <v/>
      </c>
      <c r="G125" s="234"/>
      <c r="H125" s="234"/>
      <c r="I125" s="234"/>
      <c r="J125" s="234" t="str">
        <f>'Building Bill of Materials_SLIM'!V125</f>
        <v/>
      </c>
      <c r="K125" s="238"/>
      <c r="L125" s="238"/>
      <c r="M125" s="238"/>
      <c r="N125" s="238"/>
      <c r="O125" s="238"/>
      <c r="P125" s="238"/>
      <c r="Q125" s="238"/>
      <c r="R125" s="238"/>
      <c r="S125" s="238"/>
      <c r="T125" s="238"/>
      <c r="U125" s="238"/>
      <c r="V125" s="238"/>
      <c r="W125" s="238"/>
      <c r="X125" s="238"/>
      <c r="Y125" s="238"/>
      <c r="Z125" s="238"/>
      <c r="AA125" s="192"/>
      <c r="AB125" s="257"/>
      <c r="AC125" s="257"/>
      <c r="AD125" s="257"/>
      <c r="AE125" s="257"/>
      <c r="AF125" s="257"/>
      <c r="AG125" s="257"/>
      <c r="AH125" s="257"/>
      <c r="AI125" s="257"/>
      <c r="AJ125" s="257"/>
      <c r="AK125" s="257"/>
      <c r="AL125" s="257"/>
      <c r="AM125" s="257"/>
      <c r="AN125" s="257"/>
      <c r="AO125" s="257"/>
      <c r="AP125" s="257"/>
      <c r="AQ125" s="257"/>
      <c r="AR125" s="257"/>
      <c r="AS125" s="257"/>
      <c r="AT125" s="257"/>
      <c r="AU125" s="257"/>
      <c r="AV125" s="257"/>
      <c r="AW125" s="257"/>
      <c r="AX125" s="257"/>
      <c r="AY125" s="257"/>
      <c r="AZ125" s="257"/>
      <c r="BA125" s="257"/>
      <c r="BB125" s="257"/>
      <c r="BC125" s="257"/>
      <c r="BD125" s="257"/>
      <c r="BE125" s="257"/>
      <c r="BF125" s="257"/>
      <c r="BG125" s="257"/>
      <c r="BH125" s="257"/>
      <c r="BI125" s="257"/>
      <c r="BJ125" s="238"/>
      <c r="BK125" s="238"/>
      <c r="BL125" s="238"/>
      <c r="BM125" s="238"/>
      <c r="BN125" s="238"/>
      <c r="BO125" s="238"/>
      <c r="BP125" s="238"/>
      <c r="BQ125" s="238"/>
      <c r="BR125" s="238"/>
      <c r="BS125" s="238"/>
      <c r="BT125" s="238"/>
      <c r="BU125" s="238"/>
      <c r="BV125" s="238"/>
      <c r="BW125" s="238"/>
      <c r="BX125" s="238"/>
      <c r="BY125" s="238"/>
      <c r="BZ125" s="238"/>
      <c r="CA125" s="238"/>
      <c r="CB125" s="238"/>
      <c r="CC125" s="238"/>
      <c r="CD125" s="238"/>
      <c r="CE125" s="257"/>
      <c r="CF125" s="257"/>
      <c r="CG125" s="238"/>
      <c r="CH125" s="238"/>
      <c r="CI125" s="238"/>
      <c r="CJ125" s="238"/>
      <c r="CK125" s="238"/>
      <c r="CL125" s="238"/>
      <c r="CM125" s="238"/>
      <c r="CN125" s="238"/>
      <c r="CO125" s="238"/>
      <c r="CP125" s="238"/>
      <c r="CQ125" s="238"/>
      <c r="CR125" s="238"/>
      <c r="CS125" s="238"/>
      <c r="CT125" s="238"/>
      <c r="CU125" s="238"/>
      <c r="CV125" s="238"/>
      <c r="CW125" s="238"/>
      <c r="CX125" s="238"/>
      <c r="CY125" s="238"/>
      <c r="CZ125" s="238"/>
      <c r="DA125" s="238"/>
      <c r="DB125" s="238"/>
      <c r="DC125" s="238"/>
      <c r="DD125" s="238"/>
      <c r="DE125" s="238"/>
      <c r="DF125" s="238"/>
      <c r="DG125" s="257"/>
      <c r="DH125" s="238"/>
      <c r="DI125" s="238"/>
      <c r="DJ125" s="238"/>
      <c r="DK125" s="238"/>
      <c r="DL125" s="238"/>
      <c r="DM125" s="238"/>
      <c r="DN125" s="238"/>
      <c r="DO125" s="238"/>
      <c r="DP125" s="238"/>
      <c r="DQ125" s="238"/>
      <c r="DR125" s="238"/>
      <c r="DS125" s="238"/>
      <c r="DT125" s="238"/>
      <c r="DU125" s="238"/>
      <c r="DV125" s="238"/>
      <c r="DW125" s="238"/>
      <c r="DX125" s="238"/>
      <c r="DY125" s="238"/>
      <c r="DZ125" s="238"/>
      <c r="EA125" s="238"/>
      <c r="EB125" s="238"/>
      <c r="EC125" s="238"/>
      <c r="ED125" s="238"/>
      <c r="EE125" s="238"/>
      <c r="EF125" s="238"/>
      <c r="EG125" s="238"/>
      <c r="EH125" s="238"/>
      <c r="EI125" s="238"/>
      <c r="EJ125" s="238"/>
      <c r="EK125" s="238"/>
      <c r="EL125" s="238"/>
      <c r="EM125" s="238"/>
      <c r="EN125" s="238"/>
      <c r="EO125" s="238"/>
      <c r="EP125" s="238"/>
      <c r="EQ125" s="238"/>
      <c r="ER125" s="238"/>
      <c r="ES125" s="238"/>
      <c r="ET125" s="238"/>
      <c r="EU125" s="238"/>
      <c r="EV125" s="238"/>
      <c r="EW125" s="238"/>
      <c r="EX125" s="238"/>
      <c r="EY125" s="238"/>
      <c r="EZ125" s="238"/>
      <c r="FA125" s="238"/>
      <c r="FB125" s="238"/>
      <c r="FC125" s="238"/>
      <c r="FD125" s="238"/>
      <c r="FE125" s="238"/>
      <c r="FF125" s="238"/>
      <c r="FG125" s="238"/>
      <c r="FH125" s="257"/>
      <c r="FI125" s="257"/>
      <c r="FJ125" s="257"/>
      <c r="FK125" s="257"/>
      <c r="FL125" s="257"/>
      <c r="FM125" s="257"/>
      <c r="FN125" s="257"/>
      <c r="FO125" s="257"/>
      <c r="FP125" s="257"/>
      <c r="FQ125" s="257"/>
      <c r="FR125" s="257"/>
      <c r="FS125" s="257"/>
      <c r="FT125" s="257"/>
      <c r="FU125" s="257"/>
      <c r="FV125" s="257"/>
      <c r="FW125" s="257"/>
      <c r="FX125" s="257"/>
      <c r="FY125" s="238"/>
      <c r="FZ125" s="238"/>
      <c r="GA125" s="238"/>
      <c r="GB125" s="238"/>
      <c r="GC125" s="238"/>
      <c r="GD125" s="238"/>
      <c r="GE125" s="238"/>
      <c r="GF125" s="238"/>
      <c r="GG125" s="238"/>
      <c r="GH125" s="238"/>
      <c r="GI125" s="238"/>
      <c r="GJ125" s="238"/>
      <c r="GK125" s="238"/>
      <c r="GL125" s="238"/>
      <c r="GM125" s="238"/>
      <c r="GN125" s="238"/>
      <c r="GO125" s="238"/>
      <c r="GP125" s="238"/>
      <c r="GQ125" s="238"/>
      <c r="GR125" s="238"/>
      <c r="GS125" s="238"/>
      <c r="GT125" s="238"/>
      <c r="GU125" s="238"/>
      <c r="GV125" s="238"/>
      <c r="GW125" s="238"/>
      <c r="GX125" s="238"/>
      <c r="GY125" s="238"/>
      <c r="GZ125" s="238"/>
      <c r="HA125" s="238"/>
      <c r="HB125" s="238"/>
      <c r="HC125" s="238"/>
      <c r="HD125" s="238"/>
      <c r="HE125" s="238"/>
      <c r="HF125" s="238"/>
      <c r="HG125" s="238"/>
      <c r="HH125" s="238"/>
      <c r="HI125" s="238"/>
      <c r="HJ125" s="238"/>
      <c r="HK125" s="238"/>
      <c r="HL125" s="238"/>
      <c r="HM125" s="238"/>
      <c r="HN125" s="238"/>
      <c r="HO125" s="238"/>
      <c r="HP125" s="238"/>
      <c r="HQ125" s="238"/>
      <c r="HR125" s="238"/>
      <c r="HS125" s="238"/>
      <c r="HT125" s="238"/>
      <c r="HU125" s="238"/>
      <c r="HV125" s="238"/>
      <c r="HW125" s="238"/>
      <c r="HX125" s="257"/>
      <c r="HY125" s="257"/>
      <c r="HZ125" s="257"/>
      <c r="IA125" s="257"/>
      <c r="IB125" s="257"/>
      <c r="IC125" s="257"/>
      <c r="ID125" s="257"/>
      <c r="IE125" s="257"/>
      <c r="IF125" s="257"/>
      <c r="IG125" s="257"/>
      <c r="IH125" s="257"/>
      <c r="II125" s="257"/>
      <c r="IJ125" s="257"/>
      <c r="IK125" s="257"/>
      <c r="IL125" s="257"/>
      <c r="IM125" s="257"/>
      <c r="IN125" s="257"/>
      <c r="IO125" s="257"/>
      <c r="IP125" s="257"/>
      <c r="IQ125" s="257"/>
      <c r="IR125" s="257"/>
      <c r="IS125" s="257"/>
      <c r="IT125" s="257"/>
      <c r="IU125" s="257"/>
      <c r="IV125" s="257"/>
      <c r="IW125" s="257"/>
      <c r="IX125" s="257"/>
      <c r="IY125" s="257"/>
      <c r="IZ125" s="257"/>
      <c r="JA125" s="257"/>
      <c r="JB125" s="257"/>
      <c r="JC125" s="257"/>
      <c r="JD125" s="257"/>
      <c r="JE125" s="257"/>
      <c r="JF125" s="238"/>
      <c r="JG125" s="238"/>
      <c r="JH125" s="238"/>
      <c r="JI125" s="238"/>
      <c r="JJ125" s="238"/>
      <c r="JK125" s="238"/>
      <c r="JL125" s="238"/>
      <c r="JM125" s="238"/>
      <c r="JN125" s="238"/>
      <c r="JO125" s="238"/>
      <c r="JP125" s="238"/>
      <c r="JQ125" s="238"/>
      <c r="JR125" s="238"/>
      <c r="JS125" s="238"/>
      <c r="JT125" s="238"/>
      <c r="JU125" s="238"/>
      <c r="JV125" s="238"/>
      <c r="JW125" s="238"/>
      <c r="JX125" s="238"/>
      <c r="JY125" s="238"/>
      <c r="JZ125" s="238"/>
      <c r="KA125" s="238"/>
      <c r="KB125" s="238"/>
      <c r="KC125" s="238"/>
      <c r="KD125" s="238"/>
      <c r="KE125" s="238"/>
      <c r="KF125" s="238"/>
      <c r="KG125" s="238"/>
      <c r="KH125" s="238"/>
      <c r="KI125" s="238"/>
      <c r="KJ125" s="238"/>
      <c r="KK125" s="238"/>
      <c r="KL125" s="238"/>
      <c r="KM125" s="238"/>
      <c r="KN125" s="238"/>
      <c r="KO125" s="238"/>
      <c r="KP125" s="238"/>
      <c r="KQ125" s="238"/>
      <c r="KR125" s="238"/>
      <c r="KS125" s="238"/>
      <c r="KT125" s="238"/>
      <c r="KU125" s="238"/>
      <c r="KV125" s="238"/>
      <c r="KW125" s="238"/>
      <c r="KX125" s="238"/>
      <c r="KY125" s="238"/>
      <c r="KZ125" s="238"/>
      <c r="LA125" s="238"/>
      <c r="LB125" s="238"/>
      <c r="LC125" s="238"/>
      <c r="LD125" s="238"/>
      <c r="LE125" s="238"/>
      <c r="LF125" s="238"/>
      <c r="LG125" s="238"/>
      <c r="LH125" s="238"/>
      <c r="LI125" s="238"/>
      <c r="LJ125" s="238"/>
      <c r="LK125" s="238"/>
      <c r="LL125" s="238"/>
      <c r="LM125" s="238"/>
      <c r="LN125" s="238"/>
      <c r="LO125" s="238"/>
      <c r="LP125" s="238"/>
      <c r="LQ125" s="238"/>
      <c r="LR125" s="238"/>
      <c r="LS125" s="238"/>
      <c r="LT125" s="238"/>
      <c r="LU125" s="238"/>
      <c r="LV125" s="238"/>
      <c r="LW125" s="238"/>
      <c r="LX125" s="238"/>
      <c r="LY125" s="238"/>
      <c r="LZ125" s="238"/>
      <c r="MA125" s="238"/>
      <c r="MB125" s="238"/>
      <c r="MC125" s="238"/>
      <c r="MD125" s="238"/>
      <c r="ME125" s="238"/>
      <c r="MF125" s="238"/>
      <c r="MG125" s="238"/>
      <c r="MH125" s="238"/>
      <c r="MI125" s="238"/>
      <c r="MJ125" s="238"/>
      <c r="MK125" s="238"/>
      <c r="ML125" s="238"/>
    </row>
    <row r="126" ht="18.75" customHeight="1">
      <c r="A126" s="283"/>
      <c r="B126" s="234" t="str">
        <f>'Building Bill of Materials_SLIM'!P126</f>
        <v/>
      </c>
      <c r="C126" s="234" t="str">
        <f>'Building Bill of Materials_SLIM'!Q126</f>
        <v/>
      </c>
      <c r="D126" s="234" t="str">
        <f>'Building Bill of Materials_SLIM'!R126</f>
        <v/>
      </c>
      <c r="E126" s="234" t="str">
        <f>'Building Bill of Materials_SLIM'!S126</f>
        <v/>
      </c>
      <c r="F126" s="234" t="str">
        <f>'Building Bill of Materials_SLIM'!U126</f>
        <v/>
      </c>
      <c r="G126" s="234"/>
      <c r="H126" s="234"/>
      <c r="I126" s="234"/>
      <c r="J126" s="234" t="str">
        <f>'Building Bill of Materials_SLIM'!V126</f>
        <v/>
      </c>
      <c r="K126" s="238"/>
      <c r="L126" s="238"/>
      <c r="M126" s="238"/>
      <c r="N126" s="238"/>
      <c r="O126" s="238"/>
      <c r="P126" s="238"/>
      <c r="Q126" s="238"/>
      <c r="R126" s="238"/>
      <c r="S126" s="238"/>
      <c r="T126" s="238"/>
      <c r="U126" s="238"/>
      <c r="V126" s="238"/>
      <c r="W126" s="238"/>
      <c r="X126" s="238"/>
      <c r="Y126" s="238"/>
      <c r="Z126" s="238"/>
      <c r="AA126" s="192"/>
      <c r="AB126" s="257"/>
      <c r="AC126" s="257"/>
      <c r="AD126" s="257"/>
      <c r="AE126" s="257"/>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257"/>
      <c r="BD126" s="257"/>
      <c r="BE126" s="257"/>
      <c r="BF126" s="257"/>
      <c r="BG126" s="257"/>
      <c r="BH126" s="257"/>
      <c r="BI126" s="257"/>
      <c r="BJ126" s="238"/>
      <c r="BK126" s="238"/>
      <c r="BL126" s="238"/>
      <c r="BM126" s="238"/>
      <c r="BN126" s="238"/>
      <c r="BO126" s="238"/>
      <c r="BP126" s="238"/>
      <c r="BQ126" s="238"/>
      <c r="BR126" s="238"/>
      <c r="BS126" s="238"/>
      <c r="BT126" s="238"/>
      <c r="BU126" s="238"/>
      <c r="BV126" s="238"/>
      <c r="BW126" s="238"/>
      <c r="BX126" s="238"/>
      <c r="BY126" s="238"/>
      <c r="BZ126" s="238"/>
      <c r="CA126" s="238"/>
      <c r="CB126" s="238"/>
      <c r="CC126" s="238"/>
      <c r="CD126" s="238"/>
      <c r="CE126" s="257"/>
      <c r="CF126" s="257"/>
      <c r="CG126" s="238"/>
      <c r="CH126" s="238"/>
      <c r="CI126" s="238"/>
      <c r="CJ126" s="238"/>
      <c r="CK126" s="238"/>
      <c r="CL126" s="238"/>
      <c r="CM126" s="238"/>
      <c r="CN126" s="238"/>
      <c r="CO126" s="238"/>
      <c r="CP126" s="238"/>
      <c r="CQ126" s="238"/>
      <c r="CR126" s="238"/>
      <c r="CS126" s="238"/>
      <c r="CT126" s="238"/>
      <c r="CU126" s="238"/>
      <c r="CV126" s="238"/>
      <c r="CW126" s="238"/>
      <c r="CX126" s="238"/>
      <c r="CY126" s="238"/>
      <c r="CZ126" s="238"/>
      <c r="DA126" s="238"/>
      <c r="DB126" s="238"/>
      <c r="DC126" s="238"/>
      <c r="DD126" s="238"/>
      <c r="DE126" s="238"/>
      <c r="DF126" s="238"/>
      <c r="DG126" s="257"/>
      <c r="DH126" s="238"/>
      <c r="DI126" s="238"/>
      <c r="DJ126" s="238"/>
      <c r="DK126" s="238"/>
      <c r="DL126" s="238"/>
      <c r="DM126" s="238"/>
      <c r="DN126" s="238"/>
      <c r="DO126" s="238"/>
      <c r="DP126" s="238"/>
      <c r="DQ126" s="238"/>
      <c r="DR126" s="238"/>
      <c r="DS126" s="238"/>
      <c r="DT126" s="238"/>
      <c r="DU126" s="238"/>
      <c r="DV126" s="238"/>
      <c r="DW126" s="238"/>
      <c r="DX126" s="238"/>
      <c r="DY126" s="238"/>
      <c r="DZ126" s="238"/>
      <c r="EA126" s="238"/>
      <c r="EB126" s="238"/>
      <c r="EC126" s="238"/>
      <c r="ED126" s="238"/>
      <c r="EE126" s="238"/>
      <c r="EF126" s="238"/>
      <c r="EG126" s="238"/>
      <c r="EH126" s="238"/>
      <c r="EI126" s="238"/>
      <c r="EJ126" s="238"/>
      <c r="EK126" s="238"/>
      <c r="EL126" s="238"/>
      <c r="EM126" s="238"/>
      <c r="EN126" s="238"/>
      <c r="EO126" s="238"/>
      <c r="EP126" s="238"/>
      <c r="EQ126" s="238"/>
      <c r="ER126" s="238"/>
      <c r="ES126" s="238"/>
      <c r="ET126" s="238"/>
      <c r="EU126" s="238"/>
      <c r="EV126" s="238"/>
      <c r="EW126" s="238"/>
      <c r="EX126" s="238"/>
      <c r="EY126" s="238"/>
      <c r="EZ126" s="238"/>
      <c r="FA126" s="238"/>
      <c r="FB126" s="238"/>
      <c r="FC126" s="238"/>
      <c r="FD126" s="238"/>
      <c r="FE126" s="238"/>
      <c r="FF126" s="238"/>
      <c r="FG126" s="238"/>
      <c r="FH126" s="257"/>
      <c r="FI126" s="257"/>
      <c r="FJ126" s="257"/>
      <c r="FK126" s="257"/>
      <c r="FL126" s="257"/>
      <c r="FM126" s="257"/>
      <c r="FN126" s="257"/>
      <c r="FO126" s="257"/>
      <c r="FP126" s="257"/>
      <c r="FQ126" s="257"/>
      <c r="FR126" s="257"/>
      <c r="FS126" s="257"/>
      <c r="FT126" s="257"/>
      <c r="FU126" s="257"/>
      <c r="FV126" s="257"/>
      <c r="FW126" s="257"/>
      <c r="FX126" s="257"/>
      <c r="FY126" s="238"/>
      <c r="FZ126" s="238"/>
      <c r="GA126" s="238"/>
      <c r="GB126" s="238"/>
      <c r="GC126" s="238"/>
      <c r="GD126" s="238"/>
      <c r="GE126" s="238"/>
      <c r="GF126" s="238"/>
      <c r="GG126" s="238"/>
      <c r="GH126" s="238"/>
      <c r="GI126" s="238"/>
      <c r="GJ126" s="238"/>
      <c r="GK126" s="238"/>
      <c r="GL126" s="238"/>
      <c r="GM126" s="238"/>
      <c r="GN126" s="238"/>
      <c r="GO126" s="238"/>
      <c r="GP126" s="238"/>
      <c r="GQ126" s="238"/>
      <c r="GR126" s="238"/>
      <c r="GS126" s="238"/>
      <c r="GT126" s="238"/>
      <c r="GU126" s="238"/>
      <c r="GV126" s="238"/>
      <c r="GW126" s="238"/>
      <c r="GX126" s="238"/>
      <c r="GY126" s="238"/>
      <c r="GZ126" s="238"/>
      <c r="HA126" s="238"/>
      <c r="HB126" s="238"/>
      <c r="HC126" s="238"/>
      <c r="HD126" s="238"/>
      <c r="HE126" s="238"/>
      <c r="HF126" s="238"/>
      <c r="HG126" s="238"/>
      <c r="HH126" s="238"/>
      <c r="HI126" s="238"/>
      <c r="HJ126" s="238"/>
      <c r="HK126" s="238"/>
      <c r="HL126" s="238"/>
      <c r="HM126" s="238"/>
      <c r="HN126" s="238"/>
      <c r="HO126" s="238"/>
      <c r="HP126" s="238"/>
      <c r="HQ126" s="238"/>
      <c r="HR126" s="238"/>
      <c r="HS126" s="238"/>
      <c r="HT126" s="238"/>
      <c r="HU126" s="238"/>
      <c r="HV126" s="238"/>
      <c r="HW126" s="238"/>
      <c r="HX126" s="257"/>
      <c r="HY126" s="257"/>
      <c r="HZ126" s="257"/>
      <c r="IA126" s="257"/>
      <c r="IB126" s="257"/>
      <c r="IC126" s="257"/>
      <c r="ID126" s="257"/>
      <c r="IE126" s="257"/>
      <c r="IF126" s="257"/>
      <c r="IG126" s="257"/>
      <c r="IH126" s="257"/>
      <c r="II126" s="257"/>
      <c r="IJ126" s="257"/>
      <c r="IK126" s="257"/>
      <c r="IL126" s="257"/>
      <c r="IM126" s="257"/>
      <c r="IN126" s="257"/>
      <c r="IO126" s="257"/>
      <c r="IP126" s="257"/>
      <c r="IQ126" s="257"/>
      <c r="IR126" s="257"/>
      <c r="IS126" s="257"/>
      <c r="IT126" s="257"/>
      <c r="IU126" s="257"/>
      <c r="IV126" s="257"/>
      <c r="IW126" s="257"/>
      <c r="IX126" s="257"/>
      <c r="IY126" s="257"/>
      <c r="IZ126" s="257"/>
      <c r="JA126" s="257"/>
      <c r="JB126" s="257"/>
      <c r="JC126" s="257"/>
      <c r="JD126" s="257"/>
      <c r="JE126" s="257"/>
      <c r="JF126" s="238"/>
      <c r="JG126" s="238"/>
      <c r="JH126" s="238"/>
      <c r="JI126" s="238"/>
      <c r="JJ126" s="238"/>
      <c r="JK126" s="238"/>
      <c r="JL126" s="238"/>
      <c r="JM126" s="238"/>
      <c r="JN126" s="238"/>
      <c r="JO126" s="238"/>
      <c r="JP126" s="238"/>
      <c r="JQ126" s="238"/>
      <c r="JR126" s="238"/>
      <c r="JS126" s="238"/>
      <c r="JT126" s="238"/>
      <c r="JU126" s="238"/>
      <c r="JV126" s="238"/>
      <c r="JW126" s="238"/>
      <c r="JX126" s="238"/>
      <c r="JY126" s="238"/>
      <c r="JZ126" s="238"/>
      <c r="KA126" s="238"/>
      <c r="KB126" s="238"/>
      <c r="KC126" s="238"/>
      <c r="KD126" s="238"/>
      <c r="KE126" s="238"/>
      <c r="KF126" s="238"/>
      <c r="KG126" s="238"/>
      <c r="KH126" s="238"/>
      <c r="KI126" s="238"/>
      <c r="KJ126" s="238"/>
      <c r="KK126" s="238"/>
      <c r="KL126" s="238"/>
      <c r="KM126" s="238"/>
      <c r="KN126" s="238"/>
      <c r="KO126" s="238"/>
      <c r="KP126" s="238"/>
      <c r="KQ126" s="238"/>
      <c r="KR126" s="238"/>
      <c r="KS126" s="238"/>
      <c r="KT126" s="238"/>
      <c r="KU126" s="238"/>
      <c r="KV126" s="238"/>
      <c r="KW126" s="238"/>
      <c r="KX126" s="238"/>
      <c r="KY126" s="238"/>
      <c r="KZ126" s="238"/>
      <c r="LA126" s="238"/>
      <c r="LB126" s="238"/>
      <c r="LC126" s="238"/>
      <c r="LD126" s="238"/>
      <c r="LE126" s="238"/>
      <c r="LF126" s="238"/>
      <c r="LG126" s="238"/>
      <c r="LH126" s="238"/>
      <c r="LI126" s="238"/>
      <c r="LJ126" s="238"/>
      <c r="LK126" s="238"/>
      <c r="LL126" s="238"/>
      <c r="LM126" s="238"/>
      <c r="LN126" s="238"/>
      <c r="LO126" s="238"/>
      <c r="LP126" s="238"/>
      <c r="LQ126" s="238"/>
      <c r="LR126" s="238"/>
      <c r="LS126" s="238"/>
      <c r="LT126" s="238"/>
      <c r="LU126" s="238"/>
      <c r="LV126" s="238"/>
      <c r="LW126" s="238"/>
      <c r="LX126" s="238"/>
      <c r="LY126" s="238"/>
      <c r="LZ126" s="238"/>
      <c r="MA126" s="238"/>
      <c r="MB126" s="238"/>
      <c r="MC126" s="238"/>
      <c r="MD126" s="238"/>
      <c r="ME126" s="238"/>
      <c r="MF126" s="238"/>
      <c r="MG126" s="238"/>
      <c r="MH126" s="238"/>
      <c r="MI126" s="238"/>
      <c r="MJ126" s="238"/>
      <c r="MK126" s="238"/>
      <c r="ML126" s="238"/>
    </row>
    <row r="127" ht="18.75" customHeight="1">
      <c r="A127" s="283"/>
      <c r="B127" s="234" t="str">
        <f>'Building Bill of Materials_SLIM'!P127</f>
        <v/>
      </c>
      <c r="C127" s="234" t="str">
        <f>'Building Bill of Materials_SLIM'!Q127</f>
        <v/>
      </c>
      <c r="D127" s="234" t="str">
        <f>'Building Bill of Materials_SLIM'!R127</f>
        <v/>
      </c>
      <c r="E127" s="234" t="str">
        <f>'Building Bill of Materials_SLIM'!S127</f>
        <v/>
      </c>
      <c r="F127" s="234" t="str">
        <f>'Building Bill of Materials_SLIM'!U127</f>
        <v/>
      </c>
      <c r="G127" s="234"/>
      <c r="H127" s="234"/>
      <c r="I127" s="234"/>
      <c r="J127" s="234" t="str">
        <f>'Building Bill of Materials_SLIM'!V127</f>
        <v/>
      </c>
      <c r="K127" s="238"/>
      <c r="L127" s="238"/>
      <c r="M127" s="238"/>
      <c r="N127" s="238"/>
      <c r="O127" s="238"/>
      <c r="P127" s="238"/>
      <c r="Q127" s="238"/>
      <c r="R127" s="238"/>
      <c r="S127" s="238"/>
      <c r="T127" s="238"/>
      <c r="U127" s="238"/>
      <c r="V127" s="238"/>
      <c r="W127" s="238"/>
      <c r="X127" s="238"/>
      <c r="Y127" s="238"/>
      <c r="Z127" s="238"/>
      <c r="AA127" s="192"/>
      <c r="AB127" s="257"/>
      <c r="AC127" s="257"/>
      <c r="AD127" s="257"/>
      <c r="AE127" s="257"/>
      <c r="AF127" s="257"/>
      <c r="AG127" s="257"/>
      <c r="AH127" s="257"/>
      <c r="AI127" s="257"/>
      <c r="AJ127" s="257"/>
      <c r="AK127" s="257"/>
      <c r="AL127" s="257"/>
      <c r="AM127" s="257"/>
      <c r="AN127" s="257"/>
      <c r="AO127" s="257"/>
      <c r="AP127" s="257"/>
      <c r="AQ127" s="257"/>
      <c r="AR127" s="257"/>
      <c r="AS127" s="257"/>
      <c r="AT127" s="257"/>
      <c r="AU127" s="257"/>
      <c r="AV127" s="257"/>
      <c r="AW127" s="257"/>
      <c r="AX127" s="257"/>
      <c r="AY127" s="257"/>
      <c r="AZ127" s="257"/>
      <c r="BA127" s="257"/>
      <c r="BB127" s="257"/>
      <c r="BC127" s="257"/>
      <c r="BD127" s="257"/>
      <c r="BE127" s="257"/>
      <c r="BF127" s="257"/>
      <c r="BG127" s="257"/>
      <c r="BH127" s="257"/>
      <c r="BI127" s="257"/>
      <c r="BJ127" s="238"/>
      <c r="BK127" s="238"/>
      <c r="BL127" s="238"/>
      <c r="BM127" s="238"/>
      <c r="BN127" s="238"/>
      <c r="BO127" s="238"/>
      <c r="BP127" s="238"/>
      <c r="BQ127" s="238"/>
      <c r="BR127" s="238"/>
      <c r="BS127" s="238"/>
      <c r="BT127" s="238"/>
      <c r="BU127" s="238"/>
      <c r="BV127" s="238"/>
      <c r="BW127" s="238"/>
      <c r="BX127" s="238"/>
      <c r="BY127" s="238"/>
      <c r="BZ127" s="238"/>
      <c r="CA127" s="238"/>
      <c r="CB127" s="238"/>
      <c r="CC127" s="238"/>
      <c r="CD127" s="238"/>
      <c r="CE127" s="257"/>
      <c r="CF127" s="257"/>
      <c r="CG127" s="238"/>
      <c r="CH127" s="238"/>
      <c r="CI127" s="238"/>
      <c r="CJ127" s="238"/>
      <c r="CK127" s="238"/>
      <c r="CL127" s="238"/>
      <c r="CM127" s="238"/>
      <c r="CN127" s="238"/>
      <c r="CO127" s="238"/>
      <c r="CP127" s="238"/>
      <c r="CQ127" s="238"/>
      <c r="CR127" s="238"/>
      <c r="CS127" s="238"/>
      <c r="CT127" s="238"/>
      <c r="CU127" s="238"/>
      <c r="CV127" s="238"/>
      <c r="CW127" s="238"/>
      <c r="CX127" s="238"/>
      <c r="CY127" s="238"/>
      <c r="CZ127" s="238"/>
      <c r="DA127" s="238"/>
      <c r="DB127" s="238"/>
      <c r="DC127" s="238"/>
      <c r="DD127" s="238"/>
      <c r="DE127" s="238"/>
      <c r="DF127" s="238"/>
      <c r="DG127" s="257"/>
      <c r="DH127" s="238"/>
      <c r="DI127" s="238"/>
      <c r="DJ127" s="238"/>
      <c r="DK127" s="238"/>
      <c r="DL127" s="238"/>
      <c r="DM127" s="238"/>
      <c r="DN127" s="238"/>
      <c r="DO127" s="238"/>
      <c r="DP127" s="238"/>
      <c r="DQ127" s="238"/>
      <c r="DR127" s="238"/>
      <c r="DS127" s="238"/>
      <c r="DT127" s="238"/>
      <c r="DU127" s="238"/>
      <c r="DV127" s="238"/>
      <c r="DW127" s="238"/>
      <c r="DX127" s="238"/>
      <c r="DY127" s="238"/>
      <c r="DZ127" s="238"/>
      <c r="EA127" s="238"/>
      <c r="EB127" s="238"/>
      <c r="EC127" s="238"/>
      <c r="ED127" s="238"/>
      <c r="EE127" s="238"/>
      <c r="EF127" s="238"/>
      <c r="EG127" s="238"/>
      <c r="EH127" s="238"/>
      <c r="EI127" s="238"/>
      <c r="EJ127" s="238"/>
      <c r="EK127" s="238"/>
      <c r="EL127" s="238"/>
      <c r="EM127" s="238"/>
      <c r="EN127" s="238"/>
      <c r="EO127" s="238"/>
      <c r="EP127" s="238"/>
      <c r="EQ127" s="238"/>
      <c r="ER127" s="238"/>
      <c r="ES127" s="238"/>
      <c r="ET127" s="238"/>
      <c r="EU127" s="238"/>
      <c r="EV127" s="238"/>
      <c r="EW127" s="238"/>
      <c r="EX127" s="238"/>
      <c r="EY127" s="238"/>
      <c r="EZ127" s="238"/>
      <c r="FA127" s="238"/>
      <c r="FB127" s="238"/>
      <c r="FC127" s="238"/>
      <c r="FD127" s="238"/>
      <c r="FE127" s="238"/>
      <c r="FF127" s="238"/>
      <c r="FG127" s="238"/>
      <c r="FH127" s="257"/>
      <c r="FI127" s="257"/>
      <c r="FJ127" s="257"/>
      <c r="FK127" s="257"/>
      <c r="FL127" s="257"/>
      <c r="FM127" s="257"/>
      <c r="FN127" s="257"/>
      <c r="FO127" s="257"/>
      <c r="FP127" s="257"/>
      <c r="FQ127" s="257"/>
      <c r="FR127" s="257"/>
      <c r="FS127" s="257"/>
      <c r="FT127" s="257"/>
      <c r="FU127" s="257"/>
      <c r="FV127" s="257"/>
      <c r="FW127" s="257"/>
      <c r="FX127" s="257"/>
      <c r="FY127" s="238"/>
      <c r="FZ127" s="238"/>
      <c r="GA127" s="238"/>
      <c r="GB127" s="238"/>
      <c r="GC127" s="238"/>
      <c r="GD127" s="238"/>
      <c r="GE127" s="238"/>
      <c r="GF127" s="238"/>
      <c r="GG127" s="238"/>
      <c r="GH127" s="238"/>
      <c r="GI127" s="238"/>
      <c r="GJ127" s="238"/>
      <c r="GK127" s="238"/>
      <c r="GL127" s="238"/>
      <c r="GM127" s="238"/>
      <c r="GN127" s="238"/>
      <c r="GO127" s="238"/>
      <c r="GP127" s="238"/>
      <c r="GQ127" s="238"/>
      <c r="GR127" s="238"/>
      <c r="GS127" s="238"/>
      <c r="GT127" s="238"/>
      <c r="GU127" s="238"/>
      <c r="GV127" s="238"/>
      <c r="GW127" s="238"/>
      <c r="GX127" s="238"/>
      <c r="GY127" s="238"/>
      <c r="GZ127" s="238"/>
      <c r="HA127" s="238"/>
      <c r="HB127" s="238"/>
      <c r="HC127" s="238"/>
      <c r="HD127" s="238"/>
      <c r="HE127" s="238"/>
      <c r="HF127" s="238"/>
      <c r="HG127" s="238"/>
      <c r="HH127" s="238"/>
      <c r="HI127" s="238"/>
      <c r="HJ127" s="238"/>
      <c r="HK127" s="238"/>
      <c r="HL127" s="238"/>
      <c r="HM127" s="238"/>
      <c r="HN127" s="238"/>
      <c r="HO127" s="238"/>
      <c r="HP127" s="238"/>
      <c r="HQ127" s="238"/>
      <c r="HR127" s="238"/>
      <c r="HS127" s="238"/>
      <c r="HT127" s="238"/>
      <c r="HU127" s="238"/>
      <c r="HV127" s="238"/>
      <c r="HW127" s="238"/>
      <c r="HX127" s="257"/>
      <c r="HY127" s="257"/>
      <c r="HZ127" s="257"/>
      <c r="IA127" s="257"/>
      <c r="IB127" s="257"/>
      <c r="IC127" s="257"/>
      <c r="ID127" s="257"/>
      <c r="IE127" s="257"/>
      <c r="IF127" s="257"/>
      <c r="IG127" s="257"/>
      <c r="IH127" s="257"/>
      <c r="II127" s="257"/>
      <c r="IJ127" s="257"/>
      <c r="IK127" s="257"/>
      <c r="IL127" s="257"/>
      <c r="IM127" s="257"/>
      <c r="IN127" s="257"/>
      <c r="IO127" s="257"/>
      <c r="IP127" s="257"/>
      <c r="IQ127" s="257"/>
      <c r="IR127" s="257"/>
      <c r="IS127" s="257"/>
      <c r="IT127" s="257"/>
      <c r="IU127" s="257"/>
      <c r="IV127" s="257"/>
      <c r="IW127" s="257"/>
      <c r="IX127" s="257"/>
      <c r="IY127" s="257"/>
      <c r="IZ127" s="257"/>
      <c r="JA127" s="257"/>
      <c r="JB127" s="257"/>
      <c r="JC127" s="257"/>
      <c r="JD127" s="257"/>
      <c r="JE127" s="257"/>
      <c r="JF127" s="238"/>
      <c r="JG127" s="238"/>
      <c r="JH127" s="238"/>
      <c r="JI127" s="238"/>
      <c r="JJ127" s="238"/>
      <c r="JK127" s="238"/>
      <c r="JL127" s="238"/>
      <c r="JM127" s="238"/>
      <c r="JN127" s="238"/>
      <c r="JO127" s="238"/>
      <c r="JP127" s="238"/>
      <c r="JQ127" s="238"/>
      <c r="JR127" s="238"/>
      <c r="JS127" s="238"/>
      <c r="JT127" s="238"/>
      <c r="JU127" s="238"/>
      <c r="JV127" s="238"/>
      <c r="JW127" s="238"/>
      <c r="JX127" s="238"/>
      <c r="JY127" s="238"/>
      <c r="JZ127" s="238"/>
      <c r="KA127" s="238"/>
      <c r="KB127" s="238"/>
      <c r="KC127" s="238"/>
      <c r="KD127" s="238"/>
      <c r="KE127" s="238"/>
      <c r="KF127" s="238"/>
      <c r="KG127" s="238"/>
      <c r="KH127" s="238"/>
      <c r="KI127" s="238"/>
      <c r="KJ127" s="238"/>
      <c r="KK127" s="238"/>
      <c r="KL127" s="238"/>
      <c r="KM127" s="238"/>
      <c r="KN127" s="238"/>
      <c r="KO127" s="238"/>
      <c r="KP127" s="238"/>
      <c r="KQ127" s="238"/>
      <c r="KR127" s="238"/>
      <c r="KS127" s="238"/>
      <c r="KT127" s="238"/>
      <c r="KU127" s="238"/>
      <c r="KV127" s="238"/>
      <c r="KW127" s="238"/>
      <c r="KX127" s="238"/>
      <c r="KY127" s="238"/>
      <c r="KZ127" s="238"/>
      <c r="LA127" s="238"/>
      <c r="LB127" s="238"/>
      <c r="LC127" s="238"/>
      <c r="LD127" s="238"/>
      <c r="LE127" s="238"/>
      <c r="LF127" s="238"/>
      <c r="LG127" s="238"/>
      <c r="LH127" s="238"/>
      <c r="LI127" s="238"/>
      <c r="LJ127" s="238"/>
      <c r="LK127" s="238"/>
      <c r="LL127" s="238"/>
      <c r="LM127" s="238"/>
      <c r="LN127" s="238"/>
      <c r="LO127" s="238"/>
      <c r="LP127" s="238"/>
      <c r="LQ127" s="238"/>
      <c r="LR127" s="238"/>
      <c r="LS127" s="238"/>
      <c r="LT127" s="238"/>
      <c r="LU127" s="238"/>
      <c r="LV127" s="238"/>
      <c r="LW127" s="238"/>
      <c r="LX127" s="238"/>
      <c r="LY127" s="238"/>
      <c r="LZ127" s="238"/>
      <c r="MA127" s="238"/>
      <c r="MB127" s="238"/>
      <c r="MC127" s="238"/>
      <c r="MD127" s="238"/>
      <c r="ME127" s="238"/>
      <c r="MF127" s="238"/>
      <c r="MG127" s="238"/>
      <c r="MH127" s="238"/>
      <c r="MI127" s="238"/>
      <c r="MJ127" s="238"/>
      <c r="MK127" s="238"/>
      <c r="ML127" s="238"/>
    </row>
    <row r="128" ht="18.75" customHeight="1">
      <c r="A128" s="283"/>
      <c r="B128" s="234" t="str">
        <f>'Building Bill of Materials_SLIM'!P128</f>
        <v/>
      </c>
      <c r="C128" s="234" t="str">
        <f>'Building Bill of Materials_SLIM'!Q128</f>
        <v/>
      </c>
      <c r="D128" s="234" t="str">
        <f>'Building Bill of Materials_SLIM'!R128</f>
        <v/>
      </c>
      <c r="E128" s="234" t="str">
        <f>'Building Bill of Materials_SLIM'!S128</f>
        <v/>
      </c>
      <c r="F128" s="234" t="str">
        <f>'Building Bill of Materials_SLIM'!U128</f>
        <v/>
      </c>
      <c r="G128" s="234"/>
      <c r="H128" s="234"/>
      <c r="I128" s="234"/>
      <c r="J128" s="234" t="str">
        <f>'Building Bill of Materials_SLIM'!V128</f>
        <v/>
      </c>
      <c r="K128" s="238"/>
      <c r="L128" s="238"/>
      <c r="M128" s="238"/>
      <c r="N128" s="238"/>
      <c r="O128" s="238"/>
      <c r="P128" s="238"/>
      <c r="Q128" s="238"/>
      <c r="R128" s="238"/>
      <c r="S128" s="238"/>
      <c r="T128" s="238"/>
      <c r="U128" s="238"/>
      <c r="V128" s="238"/>
      <c r="W128" s="238"/>
      <c r="X128" s="238"/>
      <c r="Y128" s="238"/>
      <c r="Z128" s="238"/>
      <c r="AA128" s="192"/>
      <c r="AB128" s="257"/>
      <c r="AC128" s="257"/>
      <c r="AD128" s="257"/>
      <c r="AE128" s="257"/>
      <c r="AF128" s="257"/>
      <c r="AG128" s="257"/>
      <c r="AH128" s="257"/>
      <c r="AI128" s="257"/>
      <c r="AJ128" s="257"/>
      <c r="AK128" s="257"/>
      <c r="AL128" s="257"/>
      <c r="AM128" s="257"/>
      <c r="AN128" s="257"/>
      <c r="AO128" s="257"/>
      <c r="AP128" s="257"/>
      <c r="AQ128" s="257"/>
      <c r="AR128" s="257"/>
      <c r="AS128" s="257"/>
      <c r="AT128" s="257"/>
      <c r="AU128" s="257"/>
      <c r="AV128" s="257"/>
      <c r="AW128" s="257"/>
      <c r="AX128" s="257"/>
      <c r="AY128" s="257"/>
      <c r="AZ128" s="257"/>
      <c r="BA128" s="257"/>
      <c r="BB128" s="257"/>
      <c r="BC128" s="257"/>
      <c r="BD128" s="257"/>
      <c r="BE128" s="257"/>
      <c r="BF128" s="257"/>
      <c r="BG128" s="257"/>
      <c r="BH128" s="257"/>
      <c r="BI128" s="257"/>
      <c r="BJ128" s="238"/>
      <c r="BK128" s="238"/>
      <c r="BL128" s="238"/>
      <c r="BM128" s="238"/>
      <c r="BN128" s="238"/>
      <c r="BO128" s="238"/>
      <c r="BP128" s="238"/>
      <c r="BQ128" s="238"/>
      <c r="BR128" s="238"/>
      <c r="BS128" s="238"/>
      <c r="BT128" s="238"/>
      <c r="BU128" s="238"/>
      <c r="BV128" s="238"/>
      <c r="BW128" s="238"/>
      <c r="BX128" s="238"/>
      <c r="BY128" s="238"/>
      <c r="BZ128" s="238"/>
      <c r="CA128" s="238"/>
      <c r="CB128" s="238"/>
      <c r="CC128" s="238"/>
      <c r="CD128" s="238"/>
      <c r="CE128" s="257"/>
      <c r="CF128" s="257"/>
      <c r="CG128" s="238"/>
      <c r="CH128" s="238"/>
      <c r="CI128" s="238"/>
      <c r="CJ128" s="238"/>
      <c r="CK128" s="238"/>
      <c r="CL128" s="238"/>
      <c r="CM128" s="238"/>
      <c r="CN128" s="238"/>
      <c r="CO128" s="238"/>
      <c r="CP128" s="238"/>
      <c r="CQ128" s="238"/>
      <c r="CR128" s="238"/>
      <c r="CS128" s="238"/>
      <c r="CT128" s="238"/>
      <c r="CU128" s="238"/>
      <c r="CV128" s="238"/>
      <c r="CW128" s="238"/>
      <c r="CX128" s="238"/>
      <c r="CY128" s="238"/>
      <c r="CZ128" s="238"/>
      <c r="DA128" s="238"/>
      <c r="DB128" s="238"/>
      <c r="DC128" s="238"/>
      <c r="DD128" s="238"/>
      <c r="DE128" s="238"/>
      <c r="DF128" s="238"/>
      <c r="DG128" s="257"/>
      <c r="DH128" s="238"/>
      <c r="DI128" s="238"/>
      <c r="DJ128" s="238"/>
      <c r="DK128" s="238"/>
      <c r="DL128" s="238"/>
      <c r="DM128" s="238"/>
      <c r="DN128" s="238"/>
      <c r="DO128" s="238"/>
      <c r="DP128" s="238"/>
      <c r="DQ128" s="238"/>
      <c r="DR128" s="238"/>
      <c r="DS128" s="238"/>
      <c r="DT128" s="238"/>
      <c r="DU128" s="238"/>
      <c r="DV128" s="238"/>
      <c r="DW128" s="238"/>
      <c r="DX128" s="238"/>
      <c r="DY128" s="238"/>
      <c r="DZ128" s="238"/>
      <c r="EA128" s="238"/>
      <c r="EB128" s="238"/>
      <c r="EC128" s="238"/>
      <c r="ED128" s="238"/>
      <c r="EE128" s="238"/>
      <c r="EF128" s="238"/>
      <c r="EG128" s="238"/>
      <c r="EH128" s="238"/>
      <c r="EI128" s="238"/>
      <c r="EJ128" s="238"/>
      <c r="EK128" s="238"/>
      <c r="EL128" s="238"/>
      <c r="EM128" s="238"/>
      <c r="EN128" s="238"/>
      <c r="EO128" s="238"/>
      <c r="EP128" s="238"/>
      <c r="EQ128" s="238"/>
      <c r="ER128" s="238"/>
      <c r="ES128" s="238"/>
      <c r="ET128" s="238"/>
      <c r="EU128" s="238"/>
      <c r="EV128" s="238"/>
      <c r="EW128" s="238"/>
      <c r="EX128" s="238"/>
      <c r="EY128" s="238"/>
      <c r="EZ128" s="238"/>
      <c r="FA128" s="238"/>
      <c r="FB128" s="238"/>
      <c r="FC128" s="238"/>
      <c r="FD128" s="238"/>
      <c r="FE128" s="238"/>
      <c r="FF128" s="238"/>
      <c r="FG128" s="238"/>
      <c r="FH128" s="257"/>
      <c r="FI128" s="257"/>
      <c r="FJ128" s="257"/>
      <c r="FK128" s="257"/>
      <c r="FL128" s="257"/>
      <c r="FM128" s="257"/>
      <c r="FN128" s="257"/>
      <c r="FO128" s="257"/>
      <c r="FP128" s="257"/>
      <c r="FQ128" s="257"/>
      <c r="FR128" s="257"/>
      <c r="FS128" s="257"/>
      <c r="FT128" s="257"/>
      <c r="FU128" s="257"/>
      <c r="FV128" s="257"/>
      <c r="FW128" s="257"/>
      <c r="FX128" s="257"/>
      <c r="FY128" s="238"/>
      <c r="FZ128" s="238"/>
      <c r="GA128" s="238"/>
      <c r="GB128" s="238"/>
      <c r="GC128" s="238"/>
      <c r="GD128" s="238"/>
      <c r="GE128" s="238"/>
      <c r="GF128" s="238"/>
      <c r="GG128" s="238"/>
      <c r="GH128" s="238"/>
      <c r="GI128" s="238"/>
      <c r="GJ128" s="238"/>
      <c r="GK128" s="238"/>
      <c r="GL128" s="238"/>
      <c r="GM128" s="238"/>
      <c r="GN128" s="238"/>
      <c r="GO128" s="238"/>
      <c r="GP128" s="238"/>
      <c r="GQ128" s="238"/>
      <c r="GR128" s="238"/>
      <c r="GS128" s="238"/>
      <c r="GT128" s="238"/>
      <c r="GU128" s="238"/>
      <c r="GV128" s="238"/>
      <c r="GW128" s="238"/>
      <c r="GX128" s="238"/>
      <c r="GY128" s="238"/>
      <c r="GZ128" s="238"/>
      <c r="HA128" s="238"/>
      <c r="HB128" s="238"/>
      <c r="HC128" s="238"/>
      <c r="HD128" s="238"/>
      <c r="HE128" s="238"/>
      <c r="HF128" s="238"/>
      <c r="HG128" s="238"/>
      <c r="HH128" s="238"/>
      <c r="HI128" s="238"/>
      <c r="HJ128" s="238"/>
      <c r="HK128" s="238"/>
      <c r="HL128" s="238"/>
      <c r="HM128" s="238"/>
      <c r="HN128" s="238"/>
      <c r="HO128" s="238"/>
      <c r="HP128" s="238"/>
      <c r="HQ128" s="238"/>
      <c r="HR128" s="238"/>
      <c r="HS128" s="238"/>
      <c r="HT128" s="238"/>
      <c r="HU128" s="238"/>
      <c r="HV128" s="238"/>
      <c r="HW128" s="238"/>
      <c r="HX128" s="257"/>
      <c r="HY128" s="257"/>
      <c r="HZ128" s="257"/>
      <c r="IA128" s="257"/>
      <c r="IB128" s="257"/>
      <c r="IC128" s="257"/>
      <c r="ID128" s="257"/>
      <c r="IE128" s="257"/>
      <c r="IF128" s="257"/>
      <c r="IG128" s="257"/>
      <c r="IH128" s="257"/>
      <c r="II128" s="257"/>
      <c r="IJ128" s="257"/>
      <c r="IK128" s="257"/>
      <c r="IL128" s="257"/>
      <c r="IM128" s="257"/>
      <c r="IN128" s="257"/>
      <c r="IO128" s="257"/>
      <c r="IP128" s="257"/>
      <c r="IQ128" s="257"/>
      <c r="IR128" s="257"/>
      <c r="IS128" s="257"/>
      <c r="IT128" s="257"/>
      <c r="IU128" s="257"/>
      <c r="IV128" s="257"/>
      <c r="IW128" s="257"/>
      <c r="IX128" s="257"/>
      <c r="IY128" s="257"/>
      <c r="IZ128" s="257"/>
      <c r="JA128" s="257"/>
      <c r="JB128" s="257"/>
      <c r="JC128" s="257"/>
      <c r="JD128" s="257"/>
      <c r="JE128" s="257"/>
      <c r="JF128" s="238"/>
      <c r="JG128" s="238"/>
      <c r="JH128" s="238"/>
      <c r="JI128" s="238"/>
      <c r="JJ128" s="238"/>
      <c r="JK128" s="238"/>
      <c r="JL128" s="238"/>
      <c r="JM128" s="238"/>
      <c r="JN128" s="238"/>
      <c r="JO128" s="238"/>
      <c r="JP128" s="238"/>
      <c r="JQ128" s="238"/>
      <c r="JR128" s="238"/>
      <c r="JS128" s="238"/>
      <c r="JT128" s="238"/>
      <c r="JU128" s="238"/>
      <c r="JV128" s="238"/>
      <c r="JW128" s="238"/>
      <c r="JX128" s="238"/>
      <c r="JY128" s="238"/>
      <c r="JZ128" s="238"/>
      <c r="KA128" s="238"/>
      <c r="KB128" s="238"/>
      <c r="KC128" s="238"/>
      <c r="KD128" s="238"/>
      <c r="KE128" s="238"/>
      <c r="KF128" s="238"/>
      <c r="KG128" s="238"/>
      <c r="KH128" s="238"/>
      <c r="KI128" s="238"/>
      <c r="KJ128" s="238"/>
      <c r="KK128" s="238"/>
      <c r="KL128" s="238"/>
      <c r="KM128" s="238"/>
      <c r="KN128" s="238"/>
      <c r="KO128" s="238"/>
      <c r="KP128" s="238"/>
      <c r="KQ128" s="238"/>
      <c r="KR128" s="238"/>
      <c r="KS128" s="238"/>
      <c r="KT128" s="238"/>
      <c r="KU128" s="238"/>
      <c r="KV128" s="238"/>
      <c r="KW128" s="238"/>
      <c r="KX128" s="238"/>
      <c r="KY128" s="238"/>
      <c r="KZ128" s="238"/>
      <c r="LA128" s="238"/>
      <c r="LB128" s="238"/>
      <c r="LC128" s="238"/>
      <c r="LD128" s="238"/>
      <c r="LE128" s="238"/>
      <c r="LF128" s="238"/>
      <c r="LG128" s="238"/>
      <c r="LH128" s="238"/>
      <c r="LI128" s="238"/>
      <c r="LJ128" s="238"/>
      <c r="LK128" s="238"/>
      <c r="LL128" s="238"/>
      <c r="LM128" s="238"/>
      <c r="LN128" s="238"/>
      <c r="LO128" s="238"/>
      <c r="LP128" s="238"/>
      <c r="LQ128" s="238"/>
      <c r="LR128" s="238"/>
      <c r="LS128" s="238"/>
      <c r="LT128" s="238"/>
      <c r="LU128" s="238"/>
      <c r="LV128" s="238"/>
      <c r="LW128" s="238"/>
      <c r="LX128" s="238"/>
      <c r="LY128" s="238"/>
      <c r="LZ128" s="238"/>
      <c r="MA128" s="238"/>
      <c r="MB128" s="238"/>
      <c r="MC128" s="238"/>
      <c r="MD128" s="238"/>
      <c r="ME128" s="238"/>
      <c r="MF128" s="238"/>
      <c r="MG128" s="238"/>
      <c r="MH128" s="238"/>
      <c r="MI128" s="238"/>
      <c r="MJ128" s="238"/>
      <c r="MK128" s="238"/>
      <c r="ML128" s="238"/>
    </row>
    <row r="129" ht="18.75" customHeight="1">
      <c r="A129" s="283"/>
      <c r="B129" s="234" t="str">
        <f>'Building Bill of Materials_SLIM'!P129</f>
        <v/>
      </c>
      <c r="C129" s="234" t="str">
        <f>'Building Bill of Materials_SLIM'!Q129</f>
        <v/>
      </c>
      <c r="D129" s="234" t="str">
        <f>'Building Bill of Materials_SLIM'!R129</f>
        <v/>
      </c>
      <c r="E129" s="234" t="str">
        <f>'Building Bill of Materials_SLIM'!S129</f>
        <v/>
      </c>
      <c r="F129" s="234" t="str">
        <f>'Building Bill of Materials_SLIM'!U129</f>
        <v/>
      </c>
      <c r="G129" s="234"/>
      <c r="H129" s="234"/>
      <c r="I129" s="234"/>
      <c r="J129" s="234" t="str">
        <f>'Building Bill of Materials_SLIM'!V129</f>
        <v/>
      </c>
      <c r="K129" s="238"/>
      <c r="L129" s="238"/>
      <c r="M129" s="238"/>
      <c r="N129" s="238"/>
      <c r="O129" s="238"/>
      <c r="P129" s="238"/>
      <c r="Q129" s="238"/>
      <c r="R129" s="238"/>
      <c r="S129" s="238"/>
      <c r="T129" s="238"/>
      <c r="U129" s="238"/>
      <c r="V129" s="238"/>
      <c r="W129" s="238"/>
      <c r="X129" s="238"/>
      <c r="Y129" s="238"/>
      <c r="Z129" s="238"/>
      <c r="AA129" s="192"/>
      <c r="AB129" s="257"/>
      <c r="AC129" s="257"/>
      <c r="AD129" s="257"/>
      <c r="AE129" s="257"/>
      <c r="AF129" s="257"/>
      <c r="AG129" s="257"/>
      <c r="AH129" s="257"/>
      <c r="AI129" s="257"/>
      <c r="AJ129" s="257"/>
      <c r="AK129" s="257"/>
      <c r="AL129" s="257"/>
      <c r="AM129" s="257"/>
      <c r="AN129" s="257"/>
      <c r="AO129" s="257"/>
      <c r="AP129" s="257"/>
      <c r="AQ129" s="257"/>
      <c r="AR129" s="257"/>
      <c r="AS129" s="257"/>
      <c r="AT129" s="257"/>
      <c r="AU129" s="257"/>
      <c r="AV129" s="257"/>
      <c r="AW129" s="257"/>
      <c r="AX129" s="257"/>
      <c r="AY129" s="257"/>
      <c r="AZ129" s="257"/>
      <c r="BA129" s="257"/>
      <c r="BB129" s="257"/>
      <c r="BC129" s="257"/>
      <c r="BD129" s="257"/>
      <c r="BE129" s="257"/>
      <c r="BF129" s="257"/>
      <c r="BG129" s="257"/>
      <c r="BH129" s="257"/>
      <c r="BI129" s="257"/>
      <c r="BJ129" s="238"/>
      <c r="BK129" s="238"/>
      <c r="BL129" s="238"/>
      <c r="BM129" s="238"/>
      <c r="BN129" s="238"/>
      <c r="BO129" s="238"/>
      <c r="BP129" s="238"/>
      <c r="BQ129" s="238"/>
      <c r="BR129" s="238"/>
      <c r="BS129" s="238"/>
      <c r="BT129" s="238"/>
      <c r="BU129" s="238"/>
      <c r="BV129" s="238"/>
      <c r="BW129" s="238"/>
      <c r="BX129" s="238"/>
      <c r="BY129" s="238"/>
      <c r="BZ129" s="238"/>
      <c r="CA129" s="238"/>
      <c r="CB129" s="238"/>
      <c r="CC129" s="238"/>
      <c r="CD129" s="238"/>
      <c r="CE129" s="257"/>
      <c r="CF129" s="257"/>
      <c r="CG129" s="238"/>
      <c r="CH129" s="238"/>
      <c r="CI129" s="238"/>
      <c r="CJ129" s="238"/>
      <c r="CK129" s="238"/>
      <c r="CL129" s="238"/>
      <c r="CM129" s="238"/>
      <c r="CN129" s="238"/>
      <c r="CO129" s="238"/>
      <c r="CP129" s="238"/>
      <c r="CQ129" s="238"/>
      <c r="CR129" s="238"/>
      <c r="CS129" s="238"/>
      <c r="CT129" s="238"/>
      <c r="CU129" s="238"/>
      <c r="CV129" s="238"/>
      <c r="CW129" s="238"/>
      <c r="CX129" s="238"/>
      <c r="CY129" s="238"/>
      <c r="CZ129" s="238"/>
      <c r="DA129" s="238"/>
      <c r="DB129" s="238"/>
      <c r="DC129" s="238"/>
      <c r="DD129" s="238"/>
      <c r="DE129" s="238"/>
      <c r="DF129" s="238"/>
      <c r="DG129" s="257"/>
      <c r="DH129" s="238"/>
      <c r="DI129" s="238"/>
      <c r="DJ129" s="238"/>
      <c r="DK129" s="238"/>
      <c r="DL129" s="238"/>
      <c r="DM129" s="238"/>
      <c r="DN129" s="238"/>
      <c r="DO129" s="238"/>
      <c r="DP129" s="238"/>
      <c r="DQ129" s="238"/>
      <c r="DR129" s="238"/>
      <c r="DS129" s="238"/>
      <c r="DT129" s="238"/>
      <c r="DU129" s="238"/>
      <c r="DV129" s="238"/>
      <c r="DW129" s="238"/>
      <c r="DX129" s="238"/>
      <c r="DY129" s="238"/>
      <c r="DZ129" s="238"/>
      <c r="EA129" s="238"/>
      <c r="EB129" s="238"/>
      <c r="EC129" s="238"/>
      <c r="ED129" s="238"/>
      <c r="EE129" s="238"/>
      <c r="EF129" s="238"/>
      <c r="EG129" s="238"/>
      <c r="EH129" s="238"/>
      <c r="EI129" s="238"/>
      <c r="EJ129" s="238"/>
      <c r="EK129" s="238"/>
      <c r="EL129" s="238"/>
      <c r="EM129" s="238"/>
      <c r="EN129" s="238"/>
      <c r="EO129" s="238"/>
      <c r="EP129" s="238"/>
      <c r="EQ129" s="238"/>
      <c r="ER129" s="238"/>
      <c r="ES129" s="238"/>
      <c r="ET129" s="238"/>
      <c r="EU129" s="238"/>
      <c r="EV129" s="238"/>
      <c r="EW129" s="238"/>
      <c r="EX129" s="238"/>
      <c r="EY129" s="238"/>
      <c r="EZ129" s="238"/>
      <c r="FA129" s="238"/>
      <c r="FB129" s="238"/>
      <c r="FC129" s="238"/>
      <c r="FD129" s="238"/>
      <c r="FE129" s="238"/>
      <c r="FF129" s="238"/>
      <c r="FG129" s="238"/>
      <c r="FH129" s="257"/>
      <c r="FI129" s="257"/>
      <c r="FJ129" s="257"/>
      <c r="FK129" s="257"/>
      <c r="FL129" s="257"/>
      <c r="FM129" s="257"/>
      <c r="FN129" s="257"/>
      <c r="FO129" s="257"/>
      <c r="FP129" s="257"/>
      <c r="FQ129" s="257"/>
      <c r="FR129" s="257"/>
      <c r="FS129" s="257"/>
      <c r="FT129" s="257"/>
      <c r="FU129" s="257"/>
      <c r="FV129" s="257"/>
      <c r="FW129" s="257"/>
      <c r="FX129" s="257"/>
      <c r="FY129" s="238"/>
      <c r="FZ129" s="238"/>
      <c r="GA129" s="238"/>
      <c r="GB129" s="238"/>
      <c r="GC129" s="238"/>
      <c r="GD129" s="238"/>
      <c r="GE129" s="238"/>
      <c r="GF129" s="238"/>
      <c r="GG129" s="238"/>
      <c r="GH129" s="238"/>
      <c r="GI129" s="238"/>
      <c r="GJ129" s="238"/>
      <c r="GK129" s="238"/>
      <c r="GL129" s="238"/>
      <c r="GM129" s="238"/>
      <c r="GN129" s="238"/>
      <c r="GO129" s="238"/>
      <c r="GP129" s="238"/>
      <c r="GQ129" s="238"/>
      <c r="GR129" s="238"/>
      <c r="GS129" s="238"/>
      <c r="GT129" s="238"/>
      <c r="GU129" s="238"/>
      <c r="GV129" s="238"/>
      <c r="GW129" s="238"/>
      <c r="GX129" s="238"/>
      <c r="GY129" s="238"/>
      <c r="GZ129" s="238"/>
      <c r="HA129" s="238"/>
      <c r="HB129" s="238"/>
      <c r="HC129" s="238"/>
      <c r="HD129" s="238"/>
      <c r="HE129" s="238"/>
      <c r="HF129" s="238"/>
      <c r="HG129" s="238"/>
      <c r="HH129" s="238"/>
      <c r="HI129" s="238"/>
      <c r="HJ129" s="238"/>
      <c r="HK129" s="238"/>
      <c r="HL129" s="238"/>
      <c r="HM129" s="238"/>
      <c r="HN129" s="238"/>
      <c r="HO129" s="238"/>
      <c r="HP129" s="238"/>
      <c r="HQ129" s="238"/>
      <c r="HR129" s="238"/>
      <c r="HS129" s="238"/>
      <c r="HT129" s="238"/>
      <c r="HU129" s="238"/>
      <c r="HV129" s="238"/>
      <c r="HW129" s="238"/>
      <c r="HX129" s="257"/>
      <c r="HY129" s="257"/>
      <c r="HZ129" s="257"/>
      <c r="IA129" s="257"/>
      <c r="IB129" s="257"/>
      <c r="IC129" s="257"/>
      <c r="ID129" s="257"/>
      <c r="IE129" s="257"/>
      <c r="IF129" s="257"/>
      <c r="IG129" s="257"/>
      <c r="IH129" s="257"/>
      <c r="II129" s="257"/>
      <c r="IJ129" s="257"/>
      <c r="IK129" s="257"/>
      <c r="IL129" s="257"/>
      <c r="IM129" s="257"/>
      <c r="IN129" s="257"/>
      <c r="IO129" s="257"/>
      <c r="IP129" s="257"/>
      <c r="IQ129" s="257"/>
      <c r="IR129" s="257"/>
      <c r="IS129" s="257"/>
      <c r="IT129" s="257"/>
      <c r="IU129" s="257"/>
      <c r="IV129" s="257"/>
      <c r="IW129" s="257"/>
      <c r="IX129" s="257"/>
      <c r="IY129" s="257"/>
      <c r="IZ129" s="257"/>
      <c r="JA129" s="257"/>
      <c r="JB129" s="257"/>
      <c r="JC129" s="257"/>
      <c r="JD129" s="257"/>
      <c r="JE129" s="257"/>
      <c r="JF129" s="238"/>
      <c r="JG129" s="238"/>
      <c r="JH129" s="238"/>
      <c r="JI129" s="238"/>
      <c r="JJ129" s="238"/>
      <c r="JK129" s="238"/>
      <c r="JL129" s="238"/>
      <c r="JM129" s="238"/>
      <c r="JN129" s="238"/>
      <c r="JO129" s="238"/>
      <c r="JP129" s="238"/>
      <c r="JQ129" s="238"/>
      <c r="JR129" s="238"/>
      <c r="JS129" s="238"/>
      <c r="JT129" s="238"/>
      <c r="JU129" s="238"/>
      <c r="JV129" s="238"/>
      <c r="JW129" s="238"/>
      <c r="JX129" s="238"/>
      <c r="JY129" s="238"/>
      <c r="JZ129" s="238"/>
      <c r="KA129" s="238"/>
      <c r="KB129" s="238"/>
      <c r="KC129" s="238"/>
      <c r="KD129" s="238"/>
      <c r="KE129" s="238"/>
      <c r="KF129" s="238"/>
      <c r="KG129" s="238"/>
      <c r="KH129" s="238"/>
      <c r="KI129" s="238"/>
      <c r="KJ129" s="238"/>
      <c r="KK129" s="238"/>
      <c r="KL129" s="238"/>
      <c r="KM129" s="238"/>
      <c r="KN129" s="238"/>
      <c r="KO129" s="238"/>
      <c r="KP129" s="238"/>
      <c r="KQ129" s="238"/>
      <c r="KR129" s="238"/>
      <c r="KS129" s="238"/>
      <c r="KT129" s="238"/>
      <c r="KU129" s="238"/>
      <c r="KV129" s="238"/>
      <c r="KW129" s="238"/>
      <c r="KX129" s="238"/>
      <c r="KY129" s="238"/>
      <c r="KZ129" s="238"/>
      <c r="LA129" s="238"/>
      <c r="LB129" s="238"/>
      <c r="LC129" s="238"/>
      <c r="LD129" s="238"/>
      <c r="LE129" s="238"/>
      <c r="LF129" s="238"/>
      <c r="LG129" s="238"/>
      <c r="LH129" s="238"/>
      <c r="LI129" s="238"/>
      <c r="LJ129" s="238"/>
      <c r="LK129" s="238"/>
      <c r="LL129" s="238"/>
      <c r="LM129" s="238"/>
      <c r="LN129" s="238"/>
      <c r="LO129" s="238"/>
      <c r="LP129" s="238"/>
      <c r="LQ129" s="238"/>
      <c r="LR129" s="238"/>
      <c r="LS129" s="238"/>
      <c r="LT129" s="238"/>
      <c r="LU129" s="238"/>
      <c r="LV129" s="238"/>
      <c r="LW129" s="238"/>
      <c r="LX129" s="238"/>
      <c r="LY129" s="238"/>
      <c r="LZ129" s="238"/>
      <c r="MA129" s="238"/>
      <c r="MB129" s="238"/>
      <c r="MC129" s="238"/>
      <c r="MD129" s="238"/>
      <c r="ME129" s="238"/>
      <c r="MF129" s="238"/>
      <c r="MG129" s="238"/>
      <c r="MH129" s="238"/>
      <c r="MI129" s="238"/>
      <c r="MJ129" s="238"/>
      <c r="MK129" s="238"/>
      <c r="ML129" s="238"/>
    </row>
    <row r="130" ht="18.75" customHeight="1">
      <c r="A130" s="283"/>
      <c r="B130" s="234" t="str">
        <f>'Building Bill of Materials_SLIM'!P130</f>
        <v/>
      </c>
      <c r="C130" s="234" t="str">
        <f>'Building Bill of Materials_SLIM'!Q130</f>
        <v/>
      </c>
      <c r="D130" s="234" t="str">
        <f>'Building Bill of Materials_SLIM'!R130</f>
        <v/>
      </c>
      <c r="E130" s="234" t="str">
        <f>'Building Bill of Materials_SLIM'!S130</f>
        <v/>
      </c>
      <c r="F130" s="234" t="str">
        <f>'Building Bill of Materials_SLIM'!U130</f>
        <v/>
      </c>
      <c r="G130" s="234"/>
      <c r="H130" s="234"/>
      <c r="I130" s="234"/>
      <c r="J130" s="234" t="str">
        <f>'Building Bill of Materials_SLIM'!V130</f>
        <v/>
      </c>
      <c r="K130" s="238"/>
      <c r="L130" s="238"/>
      <c r="M130" s="238"/>
      <c r="N130" s="238"/>
      <c r="O130" s="238"/>
      <c r="P130" s="238"/>
      <c r="Q130" s="238"/>
      <c r="R130" s="238"/>
      <c r="S130" s="238"/>
      <c r="T130" s="238"/>
      <c r="U130" s="238"/>
      <c r="V130" s="238"/>
      <c r="W130" s="238"/>
      <c r="X130" s="238"/>
      <c r="Y130" s="238"/>
      <c r="Z130" s="238"/>
      <c r="AA130" s="192"/>
      <c r="AB130" s="257"/>
      <c r="AC130" s="257"/>
      <c r="AD130" s="257"/>
      <c r="AE130" s="257"/>
      <c r="AF130" s="257"/>
      <c r="AG130" s="257"/>
      <c r="AH130" s="257"/>
      <c r="AI130" s="257"/>
      <c r="AJ130" s="257"/>
      <c r="AK130" s="257"/>
      <c r="AL130" s="257"/>
      <c r="AM130" s="257"/>
      <c r="AN130" s="257"/>
      <c r="AO130" s="257"/>
      <c r="AP130" s="257"/>
      <c r="AQ130" s="257"/>
      <c r="AR130" s="257"/>
      <c r="AS130" s="257"/>
      <c r="AT130" s="257"/>
      <c r="AU130" s="257"/>
      <c r="AV130" s="257"/>
      <c r="AW130" s="257"/>
      <c r="AX130" s="257"/>
      <c r="AY130" s="257"/>
      <c r="AZ130" s="257"/>
      <c r="BA130" s="257"/>
      <c r="BB130" s="257"/>
      <c r="BC130" s="257"/>
      <c r="BD130" s="257"/>
      <c r="BE130" s="257"/>
      <c r="BF130" s="257"/>
      <c r="BG130" s="257"/>
      <c r="BH130" s="257"/>
      <c r="BI130" s="257"/>
      <c r="BJ130" s="238"/>
      <c r="BK130" s="238"/>
      <c r="BL130" s="238"/>
      <c r="BM130" s="238"/>
      <c r="BN130" s="238"/>
      <c r="BO130" s="238"/>
      <c r="BP130" s="238"/>
      <c r="BQ130" s="238"/>
      <c r="BR130" s="238"/>
      <c r="BS130" s="238"/>
      <c r="BT130" s="238"/>
      <c r="BU130" s="238"/>
      <c r="BV130" s="238"/>
      <c r="BW130" s="238"/>
      <c r="BX130" s="238"/>
      <c r="BY130" s="238"/>
      <c r="BZ130" s="238"/>
      <c r="CA130" s="238"/>
      <c r="CB130" s="238"/>
      <c r="CC130" s="238"/>
      <c r="CD130" s="238"/>
      <c r="CE130" s="257"/>
      <c r="CF130" s="257"/>
      <c r="CG130" s="238"/>
      <c r="CH130" s="238"/>
      <c r="CI130" s="238"/>
      <c r="CJ130" s="238"/>
      <c r="CK130" s="238"/>
      <c r="CL130" s="238"/>
      <c r="CM130" s="238"/>
      <c r="CN130" s="238"/>
      <c r="CO130" s="238"/>
      <c r="CP130" s="238"/>
      <c r="CQ130" s="238"/>
      <c r="CR130" s="238"/>
      <c r="CS130" s="238"/>
      <c r="CT130" s="238"/>
      <c r="CU130" s="238"/>
      <c r="CV130" s="238"/>
      <c r="CW130" s="238"/>
      <c r="CX130" s="238"/>
      <c r="CY130" s="238"/>
      <c r="CZ130" s="238"/>
      <c r="DA130" s="238"/>
      <c r="DB130" s="238"/>
      <c r="DC130" s="238"/>
      <c r="DD130" s="238"/>
      <c r="DE130" s="238"/>
      <c r="DF130" s="238"/>
      <c r="DG130" s="257"/>
      <c r="DH130" s="238"/>
      <c r="DI130" s="238"/>
      <c r="DJ130" s="238"/>
      <c r="DK130" s="238"/>
      <c r="DL130" s="238"/>
      <c r="DM130" s="238"/>
      <c r="DN130" s="238"/>
      <c r="DO130" s="238"/>
      <c r="DP130" s="238"/>
      <c r="DQ130" s="238"/>
      <c r="DR130" s="238"/>
      <c r="DS130" s="238"/>
      <c r="DT130" s="238"/>
      <c r="DU130" s="238"/>
      <c r="DV130" s="238"/>
      <c r="DW130" s="238"/>
      <c r="DX130" s="238"/>
      <c r="DY130" s="238"/>
      <c r="DZ130" s="238"/>
      <c r="EA130" s="238"/>
      <c r="EB130" s="238"/>
      <c r="EC130" s="238"/>
      <c r="ED130" s="238"/>
      <c r="EE130" s="238"/>
      <c r="EF130" s="238"/>
      <c r="EG130" s="238"/>
      <c r="EH130" s="238"/>
      <c r="EI130" s="238"/>
      <c r="EJ130" s="238"/>
      <c r="EK130" s="238"/>
      <c r="EL130" s="238"/>
      <c r="EM130" s="238"/>
      <c r="EN130" s="238"/>
      <c r="EO130" s="238"/>
      <c r="EP130" s="238"/>
      <c r="EQ130" s="238"/>
      <c r="ER130" s="238"/>
      <c r="ES130" s="238"/>
      <c r="ET130" s="238"/>
      <c r="EU130" s="238"/>
      <c r="EV130" s="238"/>
      <c r="EW130" s="238"/>
      <c r="EX130" s="238"/>
      <c r="EY130" s="238"/>
      <c r="EZ130" s="238"/>
      <c r="FA130" s="238"/>
      <c r="FB130" s="238"/>
      <c r="FC130" s="238"/>
      <c r="FD130" s="238"/>
      <c r="FE130" s="238"/>
      <c r="FF130" s="238"/>
      <c r="FG130" s="238"/>
      <c r="FH130" s="257"/>
      <c r="FI130" s="257"/>
      <c r="FJ130" s="257"/>
      <c r="FK130" s="257"/>
      <c r="FL130" s="257"/>
      <c r="FM130" s="257"/>
      <c r="FN130" s="257"/>
      <c r="FO130" s="257"/>
      <c r="FP130" s="257"/>
      <c r="FQ130" s="257"/>
      <c r="FR130" s="257"/>
      <c r="FS130" s="257"/>
      <c r="FT130" s="257"/>
      <c r="FU130" s="257"/>
      <c r="FV130" s="257"/>
      <c r="FW130" s="257"/>
      <c r="FX130" s="257"/>
      <c r="FY130" s="238"/>
      <c r="FZ130" s="238"/>
      <c r="GA130" s="238"/>
      <c r="GB130" s="238"/>
      <c r="GC130" s="238"/>
      <c r="GD130" s="238"/>
      <c r="GE130" s="238"/>
      <c r="GF130" s="238"/>
      <c r="GG130" s="238"/>
      <c r="GH130" s="238"/>
      <c r="GI130" s="238"/>
      <c r="GJ130" s="238"/>
      <c r="GK130" s="238"/>
      <c r="GL130" s="238"/>
      <c r="GM130" s="238"/>
      <c r="GN130" s="238"/>
      <c r="GO130" s="238"/>
      <c r="GP130" s="238"/>
      <c r="GQ130" s="238"/>
      <c r="GR130" s="238"/>
      <c r="GS130" s="238"/>
      <c r="GT130" s="238"/>
      <c r="GU130" s="238"/>
      <c r="GV130" s="238"/>
      <c r="GW130" s="238"/>
      <c r="GX130" s="238"/>
      <c r="GY130" s="238"/>
      <c r="GZ130" s="238"/>
      <c r="HA130" s="238"/>
      <c r="HB130" s="238"/>
      <c r="HC130" s="238"/>
      <c r="HD130" s="238"/>
      <c r="HE130" s="238"/>
      <c r="HF130" s="238"/>
      <c r="HG130" s="238"/>
      <c r="HH130" s="238"/>
      <c r="HI130" s="238"/>
      <c r="HJ130" s="238"/>
      <c r="HK130" s="238"/>
      <c r="HL130" s="238"/>
      <c r="HM130" s="238"/>
      <c r="HN130" s="238"/>
      <c r="HO130" s="238"/>
      <c r="HP130" s="238"/>
      <c r="HQ130" s="238"/>
      <c r="HR130" s="238"/>
      <c r="HS130" s="238"/>
      <c r="HT130" s="238"/>
      <c r="HU130" s="238"/>
      <c r="HV130" s="238"/>
      <c r="HW130" s="238"/>
      <c r="HX130" s="257"/>
      <c r="HY130" s="257"/>
      <c r="HZ130" s="257"/>
      <c r="IA130" s="257"/>
      <c r="IB130" s="257"/>
      <c r="IC130" s="257"/>
      <c r="ID130" s="257"/>
      <c r="IE130" s="257"/>
      <c r="IF130" s="257"/>
      <c r="IG130" s="257"/>
      <c r="IH130" s="257"/>
      <c r="II130" s="257"/>
      <c r="IJ130" s="257"/>
      <c r="IK130" s="257"/>
      <c r="IL130" s="257"/>
      <c r="IM130" s="257"/>
      <c r="IN130" s="257"/>
      <c r="IO130" s="257"/>
      <c r="IP130" s="257"/>
      <c r="IQ130" s="257"/>
      <c r="IR130" s="257"/>
      <c r="IS130" s="257"/>
      <c r="IT130" s="257"/>
      <c r="IU130" s="257"/>
      <c r="IV130" s="257"/>
      <c r="IW130" s="257"/>
      <c r="IX130" s="257"/>
      <c r="IY130" s="257"/>
      <c r="IZ130" s="257"/>
      <c r="JA130" s="257"/>
      <c r="JB130" s="257"/>
      <c r="JC130" s="257"/>
      <c r="JD130" s="257"/>
      <c r="JE130" s="257"/>
      <c r="JF130" s="238"/>
      <c r="JG130" s="238"/>
      <c r="JH130" s="238"/>
      <c r="JI130" s="238"/>
      <c r="JJ130" s="238"/>
      <c r="JK130" s="238"/>
      <c r="JL130" s="238"/>
      <c r="JM130" s="238"/>
      <c r="JN130" s="238"/>
      <c r="JO130" s="238"/>
      <c r="JP130" s="238"/>
      <c r="JQ130" s="238"/>
      <c r="JR130" s="238"/>
      <c r="JS130" s="238"/>
      <c r="JT130" s="238"/>
      <c r="JU130" s="238"/>
      <c r="JV130" s="238"/>
      <c r="JW130" s="238"/>
      <c r="JX130" s="238"/>
      <c r="JY130" s="238"/>
      <c r="JZ130" s="238"/>
      <c r="KA130" s="238"/>
      <c r="KB130" s="238"/>
      <c r="KC130" s="238"/>
      <c r="KD130" s="238"/>
      <c r="KE130" s="238"/>
      <c r="KF130" s="238"/>
      <c r="KG130" s="238"/>
      <c r="KH130" s="238"/>
      <c r="KI130" s="238"/>
      <c r="KJ130" s="238"/>
      <c r="KK130" s="238"/>
      <c r="KL130" s="238"/>
      <c r="KM130" s="238"/>
      <c r="KN130" s="238"/>
      <c r="KO130" s="238"/>
      <c r="KP130" s="238"/>
      <c r="KQ130" s="238"/>
      <c r="KR130" s="238"/>
      <c r="KS130" s="238"/>
      <c r="KT130" s="238"/>
      <c r="KU130" s="238"/>
      <c r="KV130" s="238"/>
      <c r="KW130" s="238"/>
      <c r="KX130" s="238"/>
      <c r="KY130" s="238"/>
      <c r="KZ130" s="238"/>
      <c r="LA130" s="238"/>
      <c r="LB130" s="238"/>
      <c r="LC130" s="238"/>
      <c r="LD130" s="238"/>
      <c r="LE130" s="238"/>
      <c r="LF130" s="238"/>
      <c r="LG130" s="238"/>
      <c r="LH130" s="238"/>
      <c r="LI130" s="238"/>
      <c r="LJ130" s="238"/>
      <c r="LK130" s="238"/>
      <c r="LL130" s="238"/>
      <c r="LM130" s="238"/>
      <c r="LN130" s="238"/>
      <c r="LO130" s="238"/>
      <c r="LP130" s="238"/>
      <c r="LQ130" s="238"/>
      <c r="LR130" s="238"/>
      <c r="LS130" s="238"/>
      <c r="LT130" s="238"/>
      <c r="LU130" s="238"/>
      <c r="LV130" s="238"/>
      <c r="LW130" s="238"/>
      <c r="LX130" s="238"/>
      <c r="LY130" s="238"/>
      <c r="LZ130" s="238"/>
      <c r="MA130" s="238"/>
      <c r="MB130" s="238"/>
      <c r="MC130" s="238"/>
      <c r="MD130" s="238"/>
      <c r="ME130" s="238"/>
      <c r="MF130" s="238"/>
      <c r="MG130" s="238"/>
      <c r="MH130" s="238"/>
      <c r="MI130" s="238"/>
      <c r="MJ130" s="238"/>
      <c r="MK130" s="238"/>
      <c r="ML130" s="238"/>
    </row>
    <row r="131" ht="18.75" customHeight="1">
      <c r="A131" s="283"/>
      <c r="B131" s="234" t="str">
        <f>'Building Bill of Materials_SLIM'!P131</f>
        <v/>
      </c>
      <c r="C131" s="234" t="str">
        <f>'Building Bill of Materials_SLIM'!Q131</f>
        <v/>
      </c>
      <c r="D131" s="234" t="str">
        <f>'Building Bill of Materials_SLIM'!R131</f>
        <v/>
      </c>
      <c r="E131" s="234" t="str">
        <f>'Building Bill of Materials_SLIM'!S131</f>
        <v/>
      </c>
      <c r="F131" s="234" t="str">
        <f>'Building Bill of Materials_SLIM'!U131</f>
        <v/>
      </c>
      <c r="G131" s="234"/>
      <c r="H131" s="234"/>
      <c r="I131" s="234"/>
      <c r="J131" s="234" t="str">
        <f>'Building Bill of Materials_SLIM'!V131</f>
        <v/>
      </c>
      <c r="K131" s="238"/>
      <c r="L131" s="238"/>
      <c r="M131" s="238"/>
      <c r="N131" s="238"/>
      <c r="O131" s="238"/>
      <c r="P131" s="238"/>
      <c r="Q131" s="238"/>
      <c r="R131" s="238"/>
      <c r="S131" s="238"/>
      <c r="T131" s="238"/>
      <c r="U131" s="238"/>
      <c r="V131" s="238"/>
      <c r="W131" s="238"/>
      <c r="X131" s="238"/>
      <c r="Y131" s="238"/>
      <c r="Z131" s="238"/>
      <c r="AA131" s="192"/>
      <c r="AB131" s="257"/>
      <c r="AC131" s="257"/>
      <c r="AD131" s="257"/>
      <c r="AE131" s="257"/>
      <c r="AF131" s="257"/>
      <c r="AG131" s="257"/>
      <c r="AH131" s="257"/>
      <c r="AI131" s="257"/>
      <c r="AJ131" s="257"/>
      <c r="AK131" s="257"/>
      <c r="AL131" s="257"/>
      <c r="AM131" s="257"/>
      <c r="AN131" s="257"/>
      <c r="AO131" s="257"/>
      <c r="AP131" s="257"/>
      <c r="AQ131" s="257"/>
      <c r="AR131" s="257"/>
      <c r="AS131" s="257"/>
      <c r="AT131" s="257"/>
      <c r="AU131" s="257"/>
      <c r="AV131" s="257"/>
      <c r="AW131" s="257"/>
      <c r="AX131" s="257"/>
      <c r="AY131" s="257"/>
      <c r="AZ131" s="257"/>
      <c r="BA131" s="257"/>
      <c r="BB131" s="257"/>
      <c r="BC131" s="257"/>
      <c r="BD131" s="257"/>
      <c r="BE131" s="257"/>
      <c r="BF131" s="257"/>
      <c r="BG131" s="257"/>
      <c r="BH131" s="257"/>
      <c r="BI131" s="257"/>
      <c r="BJ131" s="238"/>
      <c r="BK131" s="238"/>
      <c r="BL131" s="238"/>
      <c r="BM131" s="238"/>
      <c r="BN131" s="238"/>
      <c r="BO131" s="238"/>
      <c r="BP131" s="238"/>
      <c r="BQ131" s="238"/>
      <c r="BR131" s="238"/>
      <c r="BS131" s="238"/>
      <c r="BT131" s="238"/>
      <c r="BU131" s="238"/>
      <c r="BV131" s="238"/>
      <c r="BW131" s="238"/>
      <c r="BX131" s="238"/>
      <c r="BY131" s="238"/>
      <c r="BZ131" s="238"/>
      <c r="CA131" s="238"/>
      <c r="CB131" s="238"/>
      <c r="CC131" s="238"/>
      <c r="CD131" s="238"/>
      <c r="CE131" s="257"/>
      <c r="CF131" s="257"/>
      <c r="CG131" s="238"/>
      <c r="CH131" s="238"/>
      <c r="CI131" s="238"/>
      <c r="CJ131" s="238"/>
      <c r="CK131" s="238"/>
      <c r="CL131" s="238"/>
      <c r="CM131" s="238"/>
      <c r="CN131" s="238"/>
      <c r="CO131" s="238"/>
      <c r="CP131" s="238"/>
      <c r="CQ131" s="238"/>
      <c r="CR131" s="238"/>
      <c r="CS131" s="238"/>
      <c r="CT131" s="238"/>
      <c r="CU131" s="238"/>
      <c r="CV131" s="238"/>
      <c r="CW131" s="238"/>
      <c r="CX131" s="238"/>
      <c r="CY131" s="238"/>
      <c r="CZ131" s="238"/>
      <c r="DA131" s="238"/>
      <c r="DB131" s="238"/>
      <c r="DC131" s="238"/>
      <c r="DD131" s="238"/>
      <c r="DE131" s="238"/>
      <c r="DF131" s="238"/>
      <c r="DG131" s="257"/>
      <c r="DH131" s="238"/>
      <c r="DI131" s="238"/>
      <c r="DJ131" s="238"/>
      <c r="DK131" s="238"/>
      <c r="DL131" s="238"/>
      <c r="DM131" s="238"/>
      <c r="DN131" s="238"/>
      <c r="DO131" s="238"/>
      <c r="DP131" s="238"/>
      <c r="DQ131" s="238"/>
      <c r="DR131" s="238"/>
      <c r="DS131" s="238"/>
      <c r="DT131" s="238"/>
      <c r="DU131" s="238"/>
      <c r="DV131" s="238"/>
      <c r="DW131" s="238"/>
      <c r="DX131" s="238"/>
      <c r="DY131" s="238"/>
      <c r="DZ131" s="238"/>
      <c r="EA131" s="238"/>
      <c r="EB131" s="238"/>
      <c r="EC131" s="238"/>
      <c r="ED131" s="238"/>
      <c r="EE131" s="238"/>
      <c r="EF131" s="238"/>
      <c r="EG131" s="238"/>
      <c r="EH131" s="238"/>
      <c r="EI131" s="238"/>
      <c r="EJ131" s="238"/>
      <c r="EK131" s="238"/>
      <c r="EL131" s="238"/>
      <c r="EM131" s="238"/>
      <c r="EN131" s="238"/>
      <c r="EO131" s="238"/>
      <c r="EP131" s="238"/>
      <c r="EQ131" s="238"/>
      <c r="ER131" s="238"/>
      <c r="ES131" s="238"/>
      <c r="ET131" s="238"/>
      <c r="EU131" s="238"/>
      <c r="EV131" s="238"/>
      <c r="EW131" s="238"/>
      <c r="EX131" s="238"/>
      <c r="EY131" s="238"/>
      <c r="EZ131" s="238"/>
      <c r="FA131" s="238"/>
      <c r="FB131" s="238"/>
      <c r="FC131" s="238"/>
      <c r="FD131" s="238"/>
      <c r="FE131" s="238"/>
      <c r="FF131" s="238"/>
      <c r="FG131" s="238"/>
      <c r="FH131" s="257"/>
      <c r="FI131" s="257"/>
      <c r="FJ131" s="257"/>
      <c r="FK131" s="257"/>
      <c r="FL131" s="257"/>
      <c r="FM131" s="257"/>
      <c r="FN131" s="257"/>
      <c r="FO131" s="257"/>
      <c r="FP131" s="257"/>
      <c r="FQ131" s="257"/>
      <c r="FR131" s="257"/>
      <c r="FS131" s="257"/>
      <c r="FT131" s="257"/>
      <c r="FU131" s="257"/>
      <c r="FV131" s="257"/>
      <c r="FW131" s="257"/>
      <c r="FX131" s="257"/>
      <c r="FY131" s="238"/>
      <c r="FZ131" s="238"/>
      <c r="GA131" s="238"/>
      <c r="GB131" s="238"/>
      <c r="GC131" s="238"/>
      <c r="GD131" s="238"/>
      <c r="GE131" s="238"/>
      <c r="GF131" s="238"/>
      <c r="GG131" s="238"/>
      <c r="GH131" s="238"/>
      <c r="GI131" s="238"/>
      <c r="GJ131" s="238"/>
      <c r="GK131" s="238"/>
      <c r="GL131" s="238"/>
      <c r="GM131" s="238"/>
      <c r="GN131" s="238"/>
      <c r="GO131" s="238"/>
      <c r="GP131" s="238"/>
      <c r="GQ131" s="238"/>
      <c r="GR131" s="238"/>
      <c r="GS131" s="238"/>
      <c r="GT131" s="238"/>
      <c r="GU131" s="238"/>
      <c r="GV131" s="238"/>
      <c r="GW131" s="238"/>
      <c r="GX131" s="238"/>
      <c r="GY131" s="238"/>
      <c r="GZ131" s="238"/>
      <c r="HA131" s="238"/>
      <c r="HB131" s="238"/>
      <c r="HC131" s="238"/>
      <c r="HD131" s="238"/>
      <c r="HE131" s="238"/>
      <c r="HF131" s="238"/>
      <c r="HG131" s="238"/>
      <c r="HH131" s="238"/>
      <c r="HI131" s="238"/>
      <c r="HJ131" s="238"/>
      <c r="HK131" s="238"/>
      <c r="HL131" s="238"/>
      <c r="HM131" s="238"/>
      <c r="HN131" s="238"/>
      <c r="HO131" s="238"/>
      <c r="HP131" s="238"/>
      <c r="HQ131" s="238"/>
      <c r="HR131" s="238"/>
      <c r="HS131" s="238"/>
      <c r="HT131" s="238"/>
      <c r="HU131" s="238"/>
      <c r="HV131" s="238"/>
      <c r="HW131" s="238"/>
      <c r="HX131" s="257"/>
      <c r="HY131" s="257"/>
      <c r="HZ131" s="257"/>
      <c r="IA131" s="257"/>
      <c r="IB131" s="257"/>
      <c r="IC131" s="257"/>
      <c r="ID131" s="257"/>
      <c r="IE131" s="257"/>
      <c r="IF131" s="257"/>
      <c r="IG131" s="257"/>
      <c r="IH131" s="257"/>
      <c r="II131" s="257"/>
      <c r="IJ131" s="257"/>
      <c r="IK131" s="257"/>
      <c r="IL131" s="257"/>
      <c r="IM131" s="257"/>
      <c r="IN131" s="257"/>
      <c r="IO131" s="257"/>
      <c r="IP131" s="257"/>
      <c r="IQ131" s="257"/>
      <c r="IR131" s="257"/>
      <c r="IS131" s="257"/>
      <c r="IT131" s="257"/>
      <c r="IU131" s="257"/>
      <c r="IV131" s="257"/>
      <c r="IW131" s="257"/>
      <c r="IX131" s="257"/>
      <c r="IY131" s="257"/>
      <c r="IZ131" s="257"/>
      <c r="JA131" s="257"/>
      <c r="JB131" s="257"/>
      <c r="JC131" s="257"/>
      <c r="JD131" s="257"/>
      <c r="JE131" s="257"/>
      <c r="JF131" s="238"/>
      <c r="JG131" s="238"/>
      <c r="JH131" s="238"/>
      <c r="JI131" s="238"/>
      <c r="JJ131" s="238"/>
      <c r="JK131" s="238"/>
      <c r="JL131" s="238"/>
      <c r="JM131" s="238"/>
      <c r="JN131" s="238"/>
      <c r="JO131" s="238"/>
      <c r="JP131" s="238"/>
      <c r="JQ131" s="238"/>
      <c r="JR131" s="238"/>
      <c r="JS131" s="238"/>
      <c r="JT131" s="238"/>
      <c r="JU131" s="238"/>
      <c r="JV131" s="238"/>
      <c r="JW131" s="238"/>
      <c r="JX131" s="238"/>
      <c r="JY131" s="238"/>
      <c r="JZ131" s="238"/>
      <c r="KA131" s="238"/>
      <c r="KB131" s="238"/>
      <c r="KC131" s="238"/>
      <c r="KD131" s="238"/>
      <c r="KE131" s="238"/>
      <c r="KF131" s="238"/>
      <c r="KG131" s="238"/>
      <c r="KH131" s="238"/>
      <c r="KI131" s="238"/>
      <c r="KJ131" s="238"/>
      <c r="KK131" s="238"/>
      <c r="KL131" s="238"/>
      <c r="KM131" s="238"/>
      <c r="KN131" s="238"/>
      <c r="KO131" s="238"/>
      <c r="KP131" s="238"/>
      <c r="KQ131" s="238"/>
      <c r="KR131" s="238"/>
      <c r="KS131" s="238"/>
      <c r="KT131" s="238"/>
      <c r="KU131" s="238"/>
      <c r="KV131" s="238"/>
      <c r="KW131" s="238"/>
      <c r="KX131" s="238"/>
      <c r="KY131" s="238"/>
      <c r="KZ131" s="238"/>
      <c r="LA131" s="238"/>
      <c r="LB131" s="238"/>
      <c r="LC131" s="238"/>
      <c r="LD131" s="238"/>
      <c r="LE131" s="238"/>
      <c r="LF131" s="238"/>
      <c r="LG131" s="238"/>
      <c r="LH131" s="238"/>
      <c r="LI131" s="238"/>
      <c r="LJ131" s="238"/>
      <c r="LK131" s="238"/>
      <c r="LL131" s="238"/>
      <c r="LM131" s="238"/>
      <c r="LN131" s="238"/>
      <c r="LO131" s="238"/>
      <c r="LP131" s="238"/>
      <c r="LQ131" s="238"/>
      <c r="LR131" s="238"/>
      <c r="LS131" s="238"/>
      <c r="LT131" s="238"/>
      <c r="LU131" s="238"/>
      <c r="LV131" s="238"/>
      <c r="LW131" s="238"/>
      <c r="LX131" s="238"/>
      <c r="LY131" s="238"/>
      <c r="LZ131" s="238"/>
      <c r="MA131" s="238"/>
      <c r="MB131" s="238"/>
      <c r="MC131" s="238"/>
      <c r="MD131" s="238"/>
      <c r="ME131" s="238"/>
      <c r="MF131" s="238"/>
      <c r="MG131" s="238"/>
      <c r="MH131" s="238"/>
      <c r="MI131" s="238"/>
      <c r="MJ131" s="238"/>
      <c r="MK131" s="238"/>
      <c r="ML131" s="238"/>
    </row>
    <row r="132" ht="18.75" customHeight="1">
      <c r="A132" s="283"/>
      <c r="B132" s="234" t="str">
        <f>'Building Bill of Materials_SLIM'!P132</f>
        <v/>
      </c>
      <c r="C132" s="234" t="str">
        <f>'Building Bill of Materials_SLIM'!Q132</f>
        <v/>
      </c>
      <c r="D132" s="234" t="str">
        <f>'Building Bill of Materials_SLIM'!R132</f>
        <v/>
      </c>
      <c r="E132" s="234" t="str">
        <f>'Building Bill of Materials_SLIM'!S132</f>
        <v/>
      </c>
      <c r="F132" s="234" t="str">
        <f>'Building Bill of Materials_SLIM'!U132</f>
        <v/>
      </c>
      <c r="G132" s="234"/>
      <c r="H132" s="234"/>
      <c r="I132" s="234"/>
      <c r="J132" s="234" t="str">
        <f>'Building Bill of Materials_SLIM'!V132</f>
        <v/>
      </c>
      <c r="K132" s="238"/>
      <c r="L132" s="238"/>
      <c r="M132" s="238"/>
      <c r="N132" s="238"/>
      <c r="O132" s="238"/>
      <c r="P132" s="238"/>
      <c r="Q132" s="238"/>
      <c r="R132" s="238"/>
      <c r="S132" s="238"/>
      <c r="T132" s="238"/>
      <c r="U132" s="238"/>
      <c r="V132" s="238"/>
      <c r="W132" s="238"/>
      <c r="X132" s="238"/>
      <c r="Y132" s="238"/>
      <c r="Z132" s="238"/>
      <c r="AA132" s="192"/>
      <c r="AB132" s="257"/>
      <c r="AC132" s="257"/>
      <c r="AD132" s="257"/>
      <c r="AE132" s="257"/>
      <c r="AF132" s="257"/>
      <c r="AG132" s="257"/>
      <c r="AH132" s="257"/>
      <c r="AI132" s="257"/>
      <c r="AJ132" s="257"/>
      <c r="AK132" s="257"/>
      <c r="AL132" s="257"/>
      <c r="AM132" s="257"/>
      <c r="AN132" s="257"/>
      <c r="AO132" s="257"/>
      <c r="AP132" s="257"/>
      <c r="AQ132" s="257"/>
      <c r="AR132" s="257"/>
      <c r="AS132" s="257"/>
      <c r="AT132" s="257"/>
      <c r="AU132" s="257"/>
      <c r="AV132" s="257"/>
      <c r="AW132" s="257"/>
      <c r="AX132" s="257"/>
      <c r="AY132" s="257"/>
      <c r="AZ132" s="257"/>
      <c r="BA132" s="257"/>
      <c r="BB132" s="257"/>
      <c r="BC132" s="257"/>
      <c r="BD132" s="257"/>
      <c r="BE132" s="257"/>
      <c r="BF132" s="257"/>
      <c r="BG132" s="257"/>
      <c r="BH132" s="257"/>
      <c r="BI132" s="257"/>
      <c r="BJ132" s="238"/>
      <c r="BK132" s="238"/>
      <c r="BL132" s="238"/>
      <c r="BM132" s="238"/>
      <c r="BN132" s="238"/>
      <c r="BO132" s="238"/>
      <c r="BP132" s="238"/>
      <c r="BQ132" s="238"/>
      <c r="BR132" s="238"/>
      <c r="BS132" s="238"/>
      <c r="BT132" s="238"/>
      <c r="BU132" s="238"/>
      <c r="BV132" s="238"/>
      <c r="BW132" s="238"/>
      <c r="BX132" s="238"/>
      <c r="BY132" s="238"/>
      <c r="BZ132" s="238"/>
      <c r="CA132" s="238"/>
      <c r="CB132" s="238"/>
      <c r="CC132" s="238"/>
      <c r="CD132" s="238"/>
      <c r="CE132" s="257"/>
      <c r="CF132" s="257"/>
      <c r="CG132" s="238"/>
      <c r="CH132" s="238"/>
      <c r="CI132" s="238"/>
      <c r="CJ132" s="238"/>
      <c r="CK132" s="238"/>
      <c r="CL132" s="238"/>
      <c r="CM132" s="238"/>
      <c r="CN132" s="238"/>
      <c r="CO132" s="238"/>
      <c r="CP132" s="238"/>
      <c r="CQ132" s="238"/>
      <c r="CR132" s="238"/>
      <c r="CS132" s="238"/>
      <c r="CT132" s="238"/>
      <c r="CU132" s="238"/>
      <c r="CV132" s="238"/>
      <c r="CW132" s="238"/>
      <c r="CX132" s="238"/>
      <c r="CY132" s="238"/>
      <c r="CZ132" s="238"/>
      <c r="DA132" s="238"/>
      <c r="DB132" s="238"/>
      <c r="DC132" s="238"/>
      <c r="DD132" s="238"/>
      <c r="DE132" s="238"/>
      <c r="DF132" s="238"/>
      <c r="DG132" s="257"/>
      <c r="DH132" s="238"/>
      <c r="DI132" s="238"/>
      <c r="DJ132" s="238"/>
      <c r="DK132" s="238"/>
      <c r="DL132" s="238"/>
      <c r="DM132" s="238"/>
      <c r="DN132" s="238"/>
      <c r="DO132" s="238"/>
      <c r="DP132" s="238"/>
      <c r="DQ132" s="238"/>
      <c r="DR132" s="238"/>
      <c r="DS132" s="238"/>
      <c r="DT132" s="238"/>
      <c r="DU132" s="238"/>
      <c r="DV132" s="238"/>
      <c r="DW132" s="238"/>
      <c r="DX132" s="238"/>
      <c r="DY132" s="238"/>
      <c r="DZ132" s="238"/>
      <c r="EA132" s="238"/>
      <c r="EB132" s="238"/>
      <c r="EC132" s="238"/>
      <c r="ED132" s="238"/>
      <c r="EE132" s="238"/>
      <c r="EF132" s="238"/>
      <c r="EG132" s="238"/>
      <c r="EH132" s="238"/>
      <c r="EI132" s="238"/>
      <c r="EJ132" s="238"/>
      <c r="EK132" s="238"/>
      <c r="EL132" s="238"/>
      <c r="EM132" s="238"/>
      <c r="EN132" s="238"/>
      <c r="EO132" s="238"/>
      <c r="EP132" s="238"/>
      <c r="EQ132" s="238"/>
      <c r="ER132" s="238"/>
      <c r="ES132" s="238"/>
      <c r="ET132" s="238"/>
      <c r="EU132" s="238"/>
      <c r="EV132" s="238"/>
      <c r="EW132" s="238"/>
      <c r="EX132" s="238"/>
      <c r="EY132" s="238"/>
      <c r="EZ132" s="238"/>
      <c r="FA132" s="238"/>
      <c r="FB132" s="238"/>
      <c r="FC132" s="238"/>
      <c r="FD132" s="238"/>
      <c r="FE132" s="238"/>
      <c r="FF132" s="238"/>
      <c r="FG132" s="238"/>
      <c r="FH132" s="257"/>
      <c r="FI132" s="257"/>
      <c r="FJ132" s="257"/>
      <c r="FK132" s="257"/>
      <c r="FL132" s="257"/>
      <c r="FM132" s="257"/>
      <c r="FN132" s="257"/>
      <c r="FO132" s="257"/>
      <c r="FP132" s="257"/>
      <c r="FQ132" s="257"/>
      <c r="FR132" s="257"/>
      <c r="FS132" s="257"/>
      <c r="FT132" s="257"/>
      <c r="FU132" s="257"/>
      <c r="FV132" s="257"/>
      <c r="FW132" s="257"/>
      <c r="FX132" s="257"/>
      <c r="FY132" s="238"/>
      <c r="FZ132" s="238"/>
      <c r="GA132" s="238"/>
      <c r="GB132" s="238"/>
      <c r="GC132" s="238"/>
      <c r="GD132" s="238"/>
      <c r="GE132" s="238"/>
      <c r="GF132" s="238"/>
      <c r="GG132" s="238"/>
      <c r="GH132" s="238"/>
      <c r="GI132" s="238"/>
      <c r="GJ132" s="238"/>
      <c r="GK132" s="238"/>
      <c r="GL132" s="238"/>
      <c r="GM132" s="238"/>
      <c r="GN132" s="238"/>
      <c r="GO132" s="238"/>
      <c r="GP132" s="238"/>
      <c r="GQ132" s="238"/>
      <c r="GR132" s="238"/>
      <c r="GS132" s="238"/>
      <c r="GT132" s="238"/>
      <c r="GU132" s="238"/>
      <c r="GV132" s="238"/>
      <c r="GW132" s="238"/>
      <c r="GX132" s="238"/>
      <c r="GY132" s="238"/>
      <c r="GZ132" s="238"/>
      <c r="HA132" s="238"/>
      <c r="HB132" s="238"/>
      <c r="HC132" s="238"/>
      <c r="HD132" s="238"/>
      <c r="HE132" s="238"/>
      <c r="HF132" s="238"/>
      <c r="HG132" s="238"/>
      <c r="HH132" s="238"/>
      <c r="HI132" s="238"/>
      <c r="HJ132" s="238"/>
      <c r="HK132" s="238"/>
      <c r="HL132" s="238"/>
      <c r="HM132" s="238"/>
      <c r="HN132" s="238"/>
      <c r="HO132" s="238"/>
      <c r="HP132" s="238"/>
      <c r="HQ132" s="238"/>
      <c r="HR132" s="238"/>
      <c r="HS132" s="238"/>
      <c r="HT132" s="238"/>
      <c r="HU132" s="238"/>
      <c r="HV132" s="238"/>
      <c r="HW132" s="238"/>
      <c r="HX132" s="257"/>
      <c r="HY132" s="257"/>
      <c r="HZ132" s="257"/>
      <c r="IA132" s="257"/>
      <c r="IB132" s="257"/>
      <c r="IC132" s="257"/>
      <c r="ID132" s="257"/>
      <c r="IE132" s="257"/>
      <c r="IF132" s="257"/>
      <c r="IG132" s="257"/>
      <c r="IH132" s="257"/>
      <c r="II132" s="257"/>
      <c r="IJ132" s="257"/>
      <c r="IK132" s="257"/>
      <c r="IL132" s="257"/>
      <c r="IM132" s="257"/>
      <c r="IN132" s="257"/>
      <c r="IO132" s="257"/>
      <c r="IP132" s="257"/>
      <c r="IQ132" s="257"/>
      <c r="IR132" s="257"/>
      <c r="IS132" s="257"/>
      <c r="IT132" s="257"/>
      <c r="IU132" s="257"/>
      <c r="IV132" s="257"/>
      <c r="IW132" s="257"/>
      <c r="IX132" s="257"/>
      <c r="IY132" s="257"/>
      <c r="IZ132" s="257"/>
      <c r="JA132" s="257"/>
      <c r="JB132" s="257"/>
      <c r="JC132" s="257"/>
      <c r="JD132" s="257"/>
      <c r="JE132" s="257"/>
      <c r="JF132" s="238"/>
      <c r="JG132" s="238"/>
      <c r="JH132" s="238"/>
      <c r="JI132" s="238"/>
      <c r="JJ132" s="238"/>
      <c r="JK132" s="238"/>
      <c r="JL132" s="238"/>
      <c r="JM132" s="238"/>
      <c r="JN132" s="238"/>
      <c r="JO132" s="238"/>
      <c r="JP132" s="238"/>
      <c r="JQ132" s="238"/>
      <c r="JR132" s="238"/>
      <c r="JS132" s="238"/>
      <c r="JT132" s="238"/>
      <c r="JU132" s="238"/>
      <c r="JV132" s="238"/>
      <c r="JW132" s="238"/>
      <c r="JX132" s="238"/>
      <c r="JY132" s="238"/>
      <c r="JZ132" s="238"/>
      <c r="KA132" s="238"/>
      <c r="KB132" s="238"/>
      <c r="KC132" s="238"/>
      <c r="KD132" s="238"/>
      <c r="KE132" s="238"/>
      <c r="KF132" s="238"/>
      <c r="KG132" s="238"/>
      <c r="KH132" s="238"/>
      <c r="KI132" s="238"/>
      <c r="KJ132" s="238"/>
      <c r="KK132" s="238"/>
      <c r="KL132" s="238"/>
      <c r="KM132" s="238"/>
      <c r="KN132" s="238"/>
      <c r="KO132" s="238"/>
      <c r="KP132" s="238"/>
      <c r="KQ132" s="238"/>
      <c r="KR132" s="238"/>
      <c r="KS132" s="238"/>
      <c r="KT132" s="238"/>
      <c r="KU132" s="238"/>
      <c r="KV132" s="238"/>
      <c r="KW132" s="238"/>
      <c r="KX132" s="238"/>
      <c r="KY132" s="238"/>
      <c r="KZ132" s="238"/>
      <c r="LA132" s="238"/>
      <c r="LB132" s="238"/>
      <c r="LC132" s="238"/>
      <c r="LD132" s="238"/>
      <c r="LE132" s="238"/>
      <c r="LF132" s="238"/>
      <c r="LG132" s="238"/>
      <c r="LH132" s="238"/>
      <c r="LI132" s="238"/>
      <c r="LJ132" s="238"/>
      <c r="LK132" s="238"/>
      <c r="LL132" s="238"/>
      <c r="LM132" s="238"/>
      <c r="LN132" s="238"/>
      <c r="LO132" s="238"/>
      <c r="LP132" s="238"/>
      <c r="LQ132" s="238"/>
      <c r="LR132" s="238"/>
      <c r="LS132" s="238"/>
      <c r="LT132" s="238"/>
      <c r="LU132" s="238"/>
      <c r="LV132" s="238"/>
      <c r="LW132" s="238"/>
      <c r="LX132" s="238"/>
      <c r="LY132" s="238"/>
      <c r="LZ132" s="238"/>
      <c r="MA132" s="238"/>
      <c r="MB132" s="238"/>
      <c r="MC132" s="238"/>
      <c r="MD132" s="238"/>
      <c r="ME132" s="238"/>
      <c r="MF132" s="238"/>
      <c r="MG132" s="238"/>
      <c r="MH132" s="238"/>
      <c r="MI132" s="238"/>
      <c r="MJ132" s="238"/>
      <c r="MK132" s="238"/>
      <c r="ML132" s="238"/>
    </row>
    <row r="133" ht="18.75" customHeight="1">
      <c r="A133" s="283"/>
      <c r="B133" s="234" t="str">
        <f>'Building Bill of Materials_SLIM'!P133</f>
        <v/>
      </c>
      <c r="C133" s="234" t="str">
        <f>'Building Bill of Materials_SLIM'!Q133</f>
        <v/>
      </c>
      <c r="D133" s="234" t="str">
        <f>'Building Bill of Materials_SLIM'!R133</f>
        <v/>
      </c>
      <c r="E133" s="234" t="str">
        <f>'Building Bill of Materials_SLIM'!S133</f>
        <v/>
      </c>
      <c r="F133" s="234" t="str">
        <f>'Building Bill of Materials_SLIM'!U133</f>
        <v/>
      </c>
      <c r="G133" s="234"/>
      <c r="H133" s="234"/>
      <c r="I133" s="234"/>
      <c r="J133" s="234" t="str">
        <f>'Building Bill of Materials_SLIM'!V133</f>
        <v/>
      </c>
      <c r="K133" s="238"/>
      <c r="L133" s="238"/>
      <c r="M133" s="238"/>
      <c r="N133" s="238"/>
      <c r="O133" s="238"/>
      <c r="P133" s="238"/>
      <c r="Q133" s="238"/>
      <c r="R133" s="238"/>
      <c r="S133" s="238"/>
      <c r="T133" s="238"/>
      <c r="U133" s="238"/>
      <c r="V133" s="238"/>
      <c r="W133" s="238"/>
      <c r="X133" s="238"/>
      <c r="Y133" s="238"/>
      <c r="Z133" s="238"/>
      <c r="AA133" s="192"/>
      <c r="AB133" s="257"/>
      <c r="AC133" s="257"/>
      <c r="AD133" s="257"/>
      <c r="AE133" s="257"/>
      <c r="AF133" s="257"/>
      <c r="AG133" s="257"/>
      <c r="AH133" s="257"/>
      <c r="AI133" s="257"/>
      <c r="AJ133" s="257"/>
      <c r="AK133" s="257"/>
      <c r="AL133" s="257"/>
      <c r="AM133" s="257"/>
      <c r="AN133" s="257"/>
      <c r="AO133" s="257"/>
      <c r="AP133" s="257"/>
      <c r="AQ133" s="257"/>
      <c r="AR133" s="257"/>
      <c r="AS133" s="257"/>
      <c r="AT133" s="257"/>
      <c r="AU133" s="257"/>
      <c r="AV133" s="257"/>
      <c r="AW133" s="257"/>
      <c r="AX133" s="257"/>
      <c r="AY133" s="257"/>
      <c r="AZ133" s="257"/>
      <c r="BA133" s="257"/>
      <c r="BB133" s="257"/>
      <c r="BC133" s="257"/>
      <c r="BD133" s="257"/>
      <c r="BE133" s="257"/>
      <c r="BF133" s="257"/>
      <c r="BG133" s="257"/>
      <c r="BH133" s="257"/>
      <c r="BI133" s="257"/>
      <c r="BJ133" s="238"/>
      <c r="BK133" s="238"/>
      <c r="BL133" s="238"/>
      <c r="BM133" s="238"/>
      <c r="BN133" s="238"/>
      <c r="BO133" s="238"/>
      <c r="BP133" s="238"/>
      <c r="BQ133" s="238"/>
      <c r="BR133" s="238"/>
      <c r="BS133" s="238"/>
      <c r="BT133" s="238"/>
      <c r="BU133" s="238"/>
      <c r="BV133" s="238"/>
      <c r="BW133" s="238"/>
      <c r="BX133" s="238"/>
      <c r="BY133" s="238"/>
      <c r="BZ133" s="238"/>
      <c r="CA133" s="238"/>
      <c r="CB133" s="238"/>
      <c r="CC133" s="238"/>
      <c r="CD133" s="238"/>
      <c r="CE133" s="257"/>
      <c r="CF133" s="257"/>
      <c r="CG133" s="238"/>
      <c r="CH133" s="238"/>
      <c r="CI133" s="238"/>
      <c r="CJ133" s="238"/>
      <c r="CK133" s="238"/>
      <c r="CL133" s="238"/>
      <c r="CM133" s="238"/>
      <c r="CN133" s="238"/>
      <c r="CO133" s="238"/>
      <c r="CP133" s="238"/>
      <c r="CQ133" s="238"/>
      <c r="CR133" s="238"/>
      <c r="CS133" s="238"/>
      <c r="CT133" s="238"/>
      <c r="CU133" s="238"/>
      <c r="CV133" s="238"/>
      <c r="CW133" s="238"/>
      <c r="CX133" s="238"/>
      <c r="CY133" s="238"/>
      <c r="CZ133" s="238"/>
      <c r="DA133" s="238"/>
      <c r="DB133" s="238"/>
      <c r="DC133" s="238"/>
      <c r="DD133" s="238"/>
      <c r="DE133" s="238"/>
      <c r="DF133" s="238"/>
      <c r="DG133" s="257"/>
      <c r="DH133" s="238"/>
      <c r="DI133" s="238"/>
      <c r="DJ133" s="238"/>
      <c r="DK133" s="238"/>
      <c r="DL133" s="238"/>
      <c r="DM133" s="238"/>
      <c r="DN133" s="238"/>
      <c r="DO133" s="238"/>
      <c r="DP133" s="238"/>
      <c r="DQ133" s="238"/>
      <c r="DR133" s="238"/>
      <c r="DS133" s="238"/>
      <c r="DT133" s="238"/>
      <c r="DU133" s="238"/>
      <c r="DV133" s="238"/>
      <c r="DW133" s="238"/>
      <c r="DX133" s="238"/>
      <c r="DY133" s="238"/>
      <c r="DZ133" s="238"/>
      <c r="EA133" s="238"/>
      <c r="EB133" s="238"/>
      <c r="EC133" s="238"/>
      <c r="ED133" s="238"/>
      <c r="EE133" s="238"/>
      <c r="EF133" s="238"/>
      <c r="EG133" s="238"/>
      <c r="EH133" s="238"/>
      <c r="EI133" s="238"/>
      <c r="EJ133" s="238"/>
      <c r="EK133" s="238"/>
      <c r="EL133" s="238"/>
      <c r="EM133" s="238"/>
      <c r="EN133" s="238"/>
      <c r="EO133" s="238"/>
      <c r="EP133" s="238"/>
      <c r="EQ133" s="238"/>
      <c r="ER133" s="238"/>
      <c r="ES133" s="238"/>
      <c r="ET133" s="238"/>
      <c r="EU133" s="238"/>
      <c r="EV133" s="238"/>
      <c r="EW133" s="238"/>
      <c r="EX133" s="238"/>
      <c r="EY133" s="238"/>
      <c r="EZ133" s="238"/>
      <c r="FA133" s="238"/>
      <c r="FB133" s="238"/>
      <c r="FC133" s="238"/>
      <c r="FD133" s="238"/>
      <c r="FE133" s="238"/>
      <c r="FF133" s="238"/>
      <c r="FG133" s="238"/>
      <c r="FH133" s="257"/>
      <c r="FI133" s="257"/>
      <c r="FJ133" s="257"/>
      <c r="FK133" s="257"/>
      <c r="FL133" s="257"/>
      <c r="FM133" s="257"/>
      <c r="FN133" s="257"/>
      <c r="FO133" s="257"/>
      <c r="FP133" s="257"/>
      <c r="FQ133" s="257"/>
      <c r="FR133" s="257"/>
      <c r="FS133" s="257"/>
      <c r="FT133" s="257"/>
      <c r="FU133" s="257"/>
      <c r="FV133" s="257"/>
      <c r="FW133" s="257"/>
      <c r="FX133" s="257"/>
      <c r="FY133" s="238"/>
      <c r="FZ133" s="238"/>
      <c r="GA133" s="238"/>
      <c r="GB133" s="238"/>
      <c r="GC133" s="238"/>
      <c r="GD133" s="238"/>
      <c r="GE133" s="238"/>
      <c r="GF133" s="238"/>
      <c r="GG133" s="238"/>
      <c r="GH133" s="238"/>
      <c r="GI133" s="238"/>
      <c r="GJ133" s="238"/>
      <c r="GK133" s="238"/>
      <c r="GL133" s="238"/>
      <c r="GM133" s="238"/>
      <c r="GN133" s="238"/>
      <c r="GO133" s="238"/>
      <c r="GP133" s="238"/>
      <c r="GQ133" s="238"/>
      <c r="GR133" s="238"/>
      <c r="GS133" s="238"/>
      <c r="GT133" s="238"/>
      <c r="GU133" s="238"/>
      <c r="GV133" s="238"/>
      <c r="GW133" s="238"/>
      <c r="GX133" s="238"/>
      <c r="GY133" s="238"/>
      <c r="GZ133" s="238"/>
      <c r="HA133" s="238"/>
      <c r="HB133" s="238"/>
      <c r="HC133" s="238"/>
      <c r="HD133" s="238"/>
      <c r="HE133" s="238"/>
      <c r="HF133" s="238"/>
      <c r="HG133" s="238"/>
      <c r="HH133" s="238"/>
      <c r="HI133" s="238"/>
      <c r="HJ133" s="238"/>
      <c r="HK133" s="238"/>
      <c r="HL133" s="238"/>
      <c r="HM133" s="238"/>
      <c r="HN133" s="238"/>
      <c r="HO133" s="238"/>
      <c r="HP133" s="238"/>
      <c r="HQ133" s="238"/>
      <c r="HR133" s="238"/>
      <c r="HS133" s="238"/>
      <c r="HT133" s="238"/>
      <c r="HU133" s="238"/>
      <c r="HV133" s="238"/>
      <c r="HW133" s="238"/>
      <c r="HX133" s="257"/>
      <c r="HY133" s="257"/>
      <c r="HZ133" s="257"/>
      <c r="IA133" s="257"/>
      <c r="IB133" s="257"/>
      <c r="IC133" s="257"/>
      <c r="ID133" s="257"/>
      <c r="IE133" s="257"/>
      <c r="IF133" s="257"/>
      <c r="IG133" s="257"/>
      <c r="IH133" s="257"/>
      <c r="II133" s="257"/>
      <c r="IJ133" s="257"/>
      <c r="IK133" s="257"/>
      <c r="IL133" s="257"/>
      <c r="IM133" s="257"/>
      <c r="IN133" s="257"/>
      <c r="IO133" s="257"/>
      <c r="IP133" s="257"/>
      <c r="IQ133" s="257"/>
      <c r="IR133" s="257"/>
      <c r="IS133" s="257"/>
      <c r="IT133" s="257"/>
      <c r="IU133" s="257"/>
      <c r="IV133" s="257"/>
      <c r="IW133" s="257"/>
      <c r="IX133" s="257"/>
      <c r="IY133" s="257"/>
      <c r="IZ133" s="257"/>
      <c r="JA133" s="257"/>
      <c r="JB133" s="257"/>
      <c r="JC133" s="257"/>
      <c r="JD133" s="257"/>
      <c r="JE133" s="257"/>
      <c r="JF133" s="238"/>
      <c r="JG133" s="238"/>
      <c r="JH133" s="238"/>
      <c r="JI133" s="238"/>
      <c r="JJ133" s="238"/>
      <c r="JK133" s="238"/>
      <c r="JL133" s="238"/>
      <c r="JM133" s="238"/>
      <c r="JN133" s="238"/>
      <c r="JO133" s="238"/>
      <c r="JP133" s="238"/>
      <c r="JQ133" s="238"/>
      <c r="JR133" s="238"/>
      <c r="JS133" s="238"/>
      <c r="JT133" s="238"/>
      <c r="JU133" s="238"/>
      <c r="JV133" s="238"/>
      <c r="JW133" s="238"/>
      <c r="JX133" s="238"/>
      <c r="JY133" s="238"/>
      <c r="JZ133" s="238"/>
      <c r="KA133" s="238"/>
      <c r="KB133" s="238"/>
      <c r="KC133" s="238"/>
      <c r="KD133" s="238"/>
      <c r="KE133" s="238"/>
      <c r="KF133" s="238"/>
      <c r="KG133" s="238"/>
      <c r="KH133" s="238"/>
      <c r="KI133" s="238"/>
      <c r="KJ133" s="238"/>
      <c r="KK133" s="238"/>
      <c r="KL133" s="238"/>
      <c r="KM133" s="238"/>
      <c r="KN133" s="238"/>
      <c r="KO133" s="238"/>
      <c r="KP133" s="238"/>
      <c r="KQ133" s="238"/>
      <c r="KR133" s="238"/>
      <c r="KS133" s="238"/>
      <c r="KT133" s="238"/>
      <c r="KU133" s="238"/>
      <c r="KV133" s="238"/>
      <c r="KW133" s="238"/>
      <c r="KX133" s="238"/>
      <c r="KY133" s="238"/>
      <c r="KZ133" s="238"/>
      <c r="LA133" s="238"/>
      <c r="LB133" s="238"/>
      <c r="LC133" s="238"/>
      <c r="LD133" s="238"/>
      <c r="LE133" s="238"/>
      <c r="LF133" s="238"/>
      <c r="LG133" s="238"/>
      <c r="LH133" s="238"/>
      <c r="LI133" s="238"/>
      <c r="LJ133" s="238"/>
      <c r="LK133" s="238"/>
      <c r="LL133" s="238"/>
      <c r="LM133" s="238"/>
      <c r="LN133" s="238"/>
      <c r="LO133" s="238"/>
      <c r="LP133" s="238"/>
      <c r="LQ133" s="238"/>
      <c r="LR133" s="238"/>
      <c r="LS133" s="238"/>
      <c r="LT133" s="238"/>
      <c r="LU133" s="238"/>
      <c r="LV133" s="238"/>
      <c r="LW133" s="238"/>
      <c r="LX133" s="238"/>
      <c r="LY133" s="238"/>
      <c r="LZ133" s="238"/>
      <c r="MA133" s="238"/>
      <c r="MB133" s="238"/>
      <c r="MC133" s="238"/>
      <c r="MD133" s="238"/>
      <c r="ME133" s="238"/>
      <c r="MF133" s="238"/>
      <c r="MG133" s="238"/>
      <c r="MH133" s="238"/>
      <c r="MI133" s="238"/>
      <c r="MJ133" s="238"/>
      <c r="MK133" s="238"/>
      <c r="ML133" s="238"/>
    </row>
    <row r="134" ht="18.75" customHeight="1">
      <c r="A134" s="283"/>
      <c r="B134" s="234" t="str">
        <f>'Building Bill of Materials_SLIM'!P134</f>
        <v/>
      </c>
      <c r="C134" s="234" t="str">
        <f>'Building Bill of Materials_SLIM'!Q134</f>
        <v/>
      </c>
      <c r="D134" s="234" t="str">
        <f>'Building Bill of Materials_SLIM'!R134</f>
        <v/>
      </c>
      <c r="E134" s="234" t="str">
        <f>'Building Bill of Materials_SLIM'!S134</f>
        <v/>
      </c>
      <c r="F134" s="234" t="str">
        <f>'Building Bill of Materials_SLIM'!U134</f>
        <v/>
      </c>
      <c r="G134" s="234"/>
      <c r="H134" s="234"/>
      <c r="I134" s="234"/>
      <c r="J134" s="234" t="str">
        <f>'Building Bill of Materials_SLIM'!V134</f>
        <v/>
      </c>
      <c r="K134" s="238"/>
      <c r="L134" s="238"/>
      <c r="M134" s="238"/>
      <c r="N134" s="238"/>
      <c r="O134" s="238"/>
      <c r="P134" s="238"/>
      <c r="Q134" s="238"/>
      <c r="R134" s="238"/>
      <c r="S134" s="238"/>
      <c r="T134" s="238"/>
      <c r="U134" s="238"/>
      <c r="V134" s="238"/>
      <c r="W134" s="238"/>
      <c r="X134" s="238"/>
      <c r="Y134" s="238"/>
      <c r="Z134" s="238"/>
      <c r="AA134" s="192"/>
      <c r="AB134" s="257"/>
      <c r="AC134" s="257"/>
      <c r="AD134" s="257"/>
      <c r="AE134" s="257"/>
      <c r="AF134" s="257"/>
      <c r="AG134" s="257"/>
      <c r="AH134" s="257"/>
      <c r="AI134" s="257"/>
      <c r="AJ134" s="257"/>
      <c r="AK134" s="257"/>
      <c r="AL134" s="257"/>
      <c r="AM134" s="257"/>
      <c r="AN134" s="257"/>
      <c r="AO134" s="257"/>
      <c r="AP134" s="257"/>
      <c r="AQ134" s="257"/>
      <c r="AR134" s="257"/>
      <c r="AS134" s="257"/>
      <c r="AT134" s="257"/>
      <c r="AU134" s="257"/>
      <c r="AV134" s="257"/>
      <c r="AW134" s="257"/>
      <c r="AX134" s="257"/>
      <c r="AY134" s="257"/>
      <c r="AZ134" s="257"/>
      <c r="BA134" s="257"/>
      <c r="BB134" s="257"/>
      <c r="BC134" s="257"/>
      <c r="BD134" s="257"/>
      <c r="BE134" s="257"/>
      <c r="BF134" s="257"/>
      <c r="BG134" s="257"/>
      <c r="BH134" s="257"/>
      <c r="BI134" s="257"/>
      <c r="BJ134" s="238"/>
      <c r="BK134" s="238"/>
      <c r="BL134" s="238"/>
      <c r="BM134" s="238"/>
      <c r="BN134" s="238"/>
      <c r="BO134" s="238"/>
      <c r="BP134" s="238"/>
      <c r="BQ134" s="238"/>
      <c r="BR134" s="238"/>
      <c r="BS134" s="238"/>
      <c r="BT134" s="238"/>
      <c r="BU134" s="238"/>
      <c r="BV134" s="238"/>
      <c r="BW134" s="238"/>
      <c r="BX134" s="238"/>
      <c r="BY134" s="238"/>
      <c r="BZ134" s="238"/>
      <c r="CA134" s="238"/>
      <c r="CB134" s="238"/>
      <c r="CC134" s="238"/>
      <c r="CD134" s="238"/>
      <c r="CE134" s="257"/>
      <c r="CF134" s="257"/>
      <c r="CG134" s="238"/>
      <c r="CH134" s="238"/>
      <c r="CI134" s="238"/>
      <c r="CJ134" s="238"/>
      <c r="CK134" s="238"/>
      <c r="CL134" s="238"/>
      <c r="CM134" s="238"/>
      <c r="CN134" s="238"/>
      <c r="CO134" s="238"/>
      <c r="CP134" s="238"/>
      <c r="CQ134" s="238"/>
      <c r="CR134" s="238"/>
      <c r="CS134" s="238"/>
      <c r="CT134" s="238"/>
      <c r="CU134" s="238"/>
      <c r="CV134" s="238"/>
      <c r="CW134" s="238"/>
      <c r="CX134" s="238"/>
      <c r="CY134" s="238"/>
      <c r="CZ134" s="238"/>
      <c r="DA134" s="238"/>
      <c r="DB134" s="238"/>
      <c r="DC134" s="238"/>
      <c r="DD134" s="238"/>
      <c r="DE134" s="238"/>
      <c r="DF134" s="238"/>
      <c r="DG134" s="257"/>
      <c r="DH134" s="238"/>
      <c r="DI134" s="238"/>
      <c r="DJ134" s="238"/>
      <c r="DK134" s="238"/>
      <c r="DL134" s="238"/>
      <c r="DM134" s="238"/>
      <c r="DN134" s="238"/>
      <c r="DO134" s="238"/>
      <c r="DP134" s="238"/>
      <c r="DQ134" s="238"/>
      <c r="DR134" s="238"/>
      <c r="DS134" s="238"/>
      <c r="DT134" s="238"/>
      <c r="DU134" s="238"/>
      <c r="DV134" s="238"/>
      <c r="DW134" s="238"/>
      <c r="DX134" s="238"/>
      <c r="DY134" s="238"/>
      <c r="DZ134" s="238"/>
      <c r="EA134" s="238"/>
      <c r="EB134" s="238"/>
      <c r="EC134" s="238"/>
      <c r="ED134" s="238"/>
      <c r="EE134" s="238"/>
      <c r="EF134" s="238"/>
      <c r="EG134" s="238"/>
      <c r="EH134" s="238"/>
      <c r="EI134" s="238"/>
      <c r="EJ134" s="238"/>
      <c r="EK134" s="238"/>
      <c r="EL134" s="238"/>
      <c r="EM134" s="238"/>
      <c r="EN134" s="238"/>
      <c r="EO134" s="238"/>
      <c r="EP134" s="238"/>
      <c r="EQ134" s="238"/>
      <c r="ER134" s="238"/>
      <c r="ES134" s="238"/>
      <c r="ET134" s="238"/>
      <c r="EU134" s="238"/>
      <c r="EV134" s="238"/>
      <c r="EW134" s="238"/>
      <c r="EX134" s="238"/>
      <c r="EY134" s="238"/>
      <c r="EZ134" s="238"/>
      <c r="FA134" s="238"/>
      <c r="FB134" s="238"/>
      <c r="FC134" s="238"/>
      <c r="FD134" s="238"/>
      <c r="FE134" s="238"/>
      <c r="FF134" s="238"/>
      <c r="FG134" s="238"/>
      <c r="FH134" s="257"/>
      <c r="FI134" s="257"/>
      <c r="FJ134" s="257"/>
      <c r="FK134" s="257"/>
      <c r="FL134" s="257"/>
      <c r="FM134" s="257"/>
      <c r="FN134" s="257"/>
      <c r="FO134" s="257"/>
      <c r="FP134" s="257"/>
      <c r="FQ134" s="257"/>
      <c r="FR134" s="257"/>
      <c r="FS134" s="257"/>
      <c r="FT134" s="257"/>
      <c r="FU134" s="257"/>
      <c r="FV134" s="257"/>
      <c r="FW134" s="257"/>
      <c r="FX134" s="257"/>
      <c r="FY134" s="238"/>
      <c r="FZ134" s="238"/>
      <c r="GA134" s="238"/>
      <c r="GB134" s="238"/>
      <c r="GC134" s="238"/>
      <c r="GD134" s="238"/>
      <c r="GE134" s="238"/>
      <c r="GF134" s="238"/>
      <c r="GG134" s="238"/>
      <c r="GH134" s="238"/>
      <c r="GI134" s="238"/>
      <c r="GJ134" s="238"/>
      <c r="GK134" s="238"/>
      <c r="GL134" s="238"/>
      <c r="GM134" s="238"/>
      <c r="GN134" s="238"/>
      <c r="GO134" s="238"/>
      <c r="GP134" s="238"/>
      <c r="GQ134" s="238"/>
      <c r="GR134" s="238"/>
      <c r="GS134" s="238"/>
      <c r="GT134" s="238"/>
      <c r="GU134" s="238"/>
      <c r="GV134" s="238"/>
      <c r="GW134" s="238"/>
      <c r="GX134" s="238"/>
      <c r="GY134" s="238"/>
      <c r="GZ134" s="238"/>
      <c r="HA134" s="238"/>
      <c r="HB134" s="238"/>
      <c r="HC134" s="238"/>
      <c r="HD134" s="238"/>
      <c r="HE134" s="238"/>
      <c r="HF134" s="238"/>
      <c r="HG134" s="238"/>
      <c r="HH134" s="238"/>
      <c r="HI134" s="238"/>
      <c r="HJ134" s="238"/>
      <c r="HK134" s="238"/>
      <c r="HL134" s="238"/>
      <c r="HM134" s="238"/>
      <c r="HN134" s="238"/>
      <c r="HO134" s="238"/>
      <c r="HP134" s="238"/>
      <c r="HQ134" s="238"/>
      <c r="HR134" s="238"/>
      <c r="HS134" s="238"/>
      <c r="HT134" s="238"/>
      <c r="HU134" s="238"/>
      <c r="HV134" s="238"/>
      <c r="HW134" s="238"/>
      <c r="HX134" s="257"/>
      <c r="HY134" s="257"/>
      <c r="HZ134" s="257"/>
      <c r="IA134" s="257"/>
      <c r="IB134" s="257"/>
      <c r="IC134" s="257"/>
      <c r="ID134" s="257"/>
      <c r="IE134" s="257"/>
      <c r="IF134" s="257"/>
      <c r="IG134" s="257"/>
      <c r="IH134" s="257"/>
      <c r="II134" s="257"/>
      <c r="IJ134" s="257"/>
      <c r="IK134" s="257"/>
      <c r="IL134" s="257"/>
      <c r="IM134" s="257"/>
      <c r="IN134" s="257"/>
      <c r="IO134" s="257"/>
      <c r="IP134" s="257"/>
      <c r="IQ134" s="257"/>
      <c r="IR134" s="257"/>
      <c r="IS134" s="257"/>
      <c r="IT134" s="257"/>
      <c r="IU134" s="257"/>
      <c r="IV134" s="257"/>
      <c r="IW134" s="257"/>
      <c r="IX134" s="257"/>
      <c r="IY134" s="257"/>
      <c r="IZ134" s="257"/>
      <c r="JA134" s="257"/>
      <c r="JB134" s="257"/>
      <c r="JC134" s="257"/>
      <c r="JD134" s="257"/>
      <c r="JE134" s="257"/>
      <c r="JF134" s="238"/>
      <c r="JG134" s="238"/>
      <c r="JH134" s="238"/>
      <c r="JI134" s="238"/>
      <c r="JJ134" s="238"/>
      <c r="JK134" s="238"/>
      <c r="JL134" s="238"/>
      <c r="JM134" s="238"/>
      <c r="JN134" s="238"/>
      <c r="JO134" s="238"/>
      <c r="JP134" s="238"/>
      <c r="JQ134" s="238"/>
      <c r="JR134" s="238"/>
      <c r="JS134" s="238"/>
      <c r="JT134" s="238"/>
      <c r="JU134" s="238"/>
      <c r="JV134" s="238"/>
      <c r="JW134" s="238"/>
      <c r="JX134" s="238"/>
      <c r="JY134" s="238"/>
      <c r="JZ134" s="238"/>
      <c r="KA134" s="238"/>
      <c r="KB134" s="238"/>
      <c r="KC134" s="238"/>
      <c r="KD134" s="238"/>
      <c r="KE134" s="238"/>
      <c r="KF134" s="238"/>
      <c r="KG134" s="238"/>
      <c r="KH134" s="238"/>
      <c r="KI134" s="238"/>
      <c r="KJ134" s="238"/>
      <c r="KK134" s="238"/>
      <c r="KL134" s="238"/>
      <c r="KM134" s="238"/>
      <c r="KN134" s="238"/>
      <c r="KO134" s="238"/>
      <c r="KP134" s="238"/>
      <c r="KQ134" s="238"/>
      <c r="KR134" s="238"/>
      <c r="KS134" s="238"/>
      <c r="KT134" s="238"/>
      <c r="KU134" s="238"/>
      <c r="KV134" s="238"/>
      <c r="KW134" s="238"/>
      <c r="KX134" s="238"/>
      <c r="KY134" s="238"/>
      <c r="KZ134" s="238"/>
      <c r="LA134" s="238"/>
      <c r="LB134" s="238"/>
      <c r="LC134" s="238"/>
      <c r="LD134" s="238"/>
      <c r="LE134" s="238"/>
      <c r="LF134" s="238"/>
      <c r="LG134" s="238"/>
      <c r="LH134" s="238"/>
      <c r="LI134" s="238"/>
      <c r="LJ134" s="238"/>
      <c r="LK134" s="238"/>
      <c r="LL134" s="238"/>
      <c r="LM134" s="238"/>
      <c r="LN134" s="238"/>
      <c r="LO134" s="238"/>
      <c r="LP134" s="238"/>
      <c r="LQ134" s="238"/>
      <c r="LR134" s="238"/>
      <c r="LS134" s="238"/>
      <c r="LT134" s="238"/>
      <c r="LU134" s="238"/>
      <c r="LV134" s="238"/>
      <c r="LW134" s="238"/>
      <c r="LX134" s="238"/>
      <c r="LY134" s="238"/>
      <c r="LZ134" s="238"/>
      <c r="MA134" s="238"/>
      <c r="MB134" s="238"/>
      <c r="MC134" s="238"/>
      <c r="MD134" s="238"/>
      <c r="ME134" s="238"/>
      <c r="MF134" s="238"/>
      <c r="MG134" s="238"/>
      <c r="MH134" s="238"/>
      <c r="MI134" s="238"/>
      <c r="MJ134" s="238"/>
      <c r="MK134" s="238"/>
      <c r="ML134" s="238"/>
    </row>
    <row r="135" ht="18.75" customHeight="1">
      <c r="A135" s="283"/>
      <c r="B135" s="234" t="str">
        <f>'Building Bill of Materials_SLIM'!P135</f>
        <v/>
      </c>
      <c r="C135" s="234" t="str">
        <f>'Building Bill of Materials_SLIM'!Q135</f>
        <v/>
      </c>
      <c r="D135" s="234" t="str">
        <f>'Building Bill of Materials_SLIM'!R135</f>
        <v/>
      </c>
      <c r="E135" s="234" t="str">
        <f>'Building Bill of Materials_SLIM'!S135</f>
        <v/>
      </c>
      <c r="F135" s="234" t="str">
        <f>'Building Bill of Materials_SLIM'!U135</f>
        <v/>
      </c>
      <c r="G135" s="234"/>
      <c r="H135" s="234"/>
      <c r="I135" s="234"/>
      <c r="J135" s="234" t="str">
        <f>'Building Bill of Materials_SLIM'!V135</f>
        <v/>
      </c>
      <c r="K135" s="238"/>
      <c r="L135" s="238"/>
      <c r="M135" s="238"/>
      <c r="N135" s="238"/>
      <c r="O135" s="238"/>
      <c r="P135" s="238"/>
      <c r="Q135" s="238"/>
      <c r="R135" s="238"/>
      <c r="S135" s="238"/>
      <c r="T135" s="238"/>
      <c r="U135" s="238"/>
      <c r="V135" s="238"/>
      <c r="W135" s="238"/>
      <c r="X135" s="238"/>
      <c r="Y135" s="238"/>
      <c r="Z135" s="238"/>
      <c r="AA135" s="192"/>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257"/>
      <c r="BF135" s="257"/>
      <c r="BG135" s="257"/>
      <c r="BH135" s="257"/>
      <c r="BI135" s="257"/>
      <c r="BJ135" s="238"/>
      <c r="BK135" s="238"/>
      <c r="BL135" s="238"/>
      <c r="BM135" s="238"/>
      <c r="BN135" s="238"/>
      <c r="BO135" s="238"/>
      <c r="BP135" s="238"/>
      <c r="BQ135" s="238"/>
      <c r="BR135" s="238"/>
      <c r="BS135" s="238"/>
      <c r="BT135" s="238"/>
      <c r="BU135" s="238"/>
      <c r="BV135" s="238"/>
      <c r="BW135" s="238"/>
      <c r="BX135" s="238"/>
      <c r="BY135" s="238"/>
      <c r="BZ135" s="238"/>
      <c r="CA135" s="238"/>
      <c r="CB135" s="238"/>
      <c r="CC135" s="238"/>
      <c r="CD135" s="238"/>
      <c r="CE135" s="257"/>
      <c r="CF135" s="257"/>
      <c r="CG135" s="238"/>
      <c r="CH135" s="238"/>
      <c r="CI135" s="238"/>
      <c r="CJ135" s="238"/>
      <c r="CK135" s="238"/>
      <c r="CL135" s="238"/>
      <c r="CM135" s="238"/>
      <c r="CN135" s="238"/>
      <c r="CO135" s="238"/>
      <c r="CP135" s="238"/>
      <c r="CQ135" s="238"/>
      <c r="CR135" s="238"/>
      <c r="CS135" s="238"/>
      <c r="CT135" s="238"/>
      <c r="CU135" s="238"/>
      <c r="CV135" s="238"/>
      <c r="CW135" s="238"/>
      <c r="CX135" s="238"/>
      <c r="CY135" s="238"/>
      <c r="CZ135" s="238"/>
      <c r="DA135" s="238"/>
      <c r="DB135" s="238"/>
      <c r="DC135" s="238"/>
      <c r="DD135" s="238"/>
      <c r="DE135" s="238"/>
      <c r="DF135" s="238"/>
      <c r="DG135" s="257"/>
      <c r="DH135" s="238"/>
      <c r="DI135" s="238"/>
      <c r="DJ135" s="238"/>
      <c r="DK135" s="238"/>
      <c r="DL135" s="238"/>
      <c r="DM135" s="238"/>
      <c r="DN135" s="238"/>
      <c r="DO135" s="238"/>
      <c r="DP135" s="238"/>
      <c r="DQ135" s="238"/>
      <c r="DR135" s="238"/>
      <c r="DS135" s="238"/>
      <c r="DT135" s="238"/>
      <c r="DU135" s="238"/>
      <c r="DV135" s="238"/>
      <c r="DW135" s="238"/>
      <c r="DX135" s="238"/>
      <c r="DY135" s="238"/>
      <c r="DZ135" s="238"/>
      <c r="EA135" s="238"/>
      <c r="EB135" s="238"/>
      <c r="EC135" s="238"/>
      <c r="ED135" s="238"/>
      <c r="EE135" s="238"/>
      <c r="EF135" s="238"/>
      <c r="EG135" s="238"/>
      <c r="EH135" s="238"/>
      <c r="EI135" s="238"/>
      <c r="EJ135" s="238"/>
      <c r="EK135" s="238"/>
      <c r="EL135" s="238"/>
      <c r="EM135" s="238"/>
      <c r="EN135" s="238"/>
      <c r="EO135" s="238"/>
      <c r="EP135" s="238"/>
      <c r="EQ135" s="238"/>
      <c r="ER135" s="238"/>
      <c r="ES135" s="238"/>
      <c r="ET135" s="238"/>
      <c r="EU135" s="238"/>
      <c r="EV135" s="238"/>
      <c r="EW135" s="238"/>
      <c r="EX135" s="238"/>
      <c r="EY135" s="238"/>
      <c r="EZ135" s="238"/>
      <c r="FA135" s="238"/>
      <c r="FB135" s="238"/>
      <c r="FC135" s="238"/>
      <c r="FD135" s="238"/>
      <c r="FE135" s="238"/>
      <c r="FF135" s="238"/>
      <c r="FG135" s="238"/>
      <c r="FH135" s="257"/>
      <c r="FI135" s="257"/>
      <c r="FJ135" s="257"/>
      <c r="FK135" s="257"/>
      <c r="FL135" s="257"/>
      <c r="FM135" s="257"/>
      <c r="FN135" s="257"/>
      <c r="FO135" s="257"/>
      <c r="FP135" s="257"/>
      <c r="FQ135" s="257"/>
      <c r="FR135" s="257"/>
      <c r="FS135" s="257"/>
      <c r="FT135" s="257"/>
      <c r="FU135" s="257"/>
      <c r="FV135" s="257"/>
      <c r="FW135" s="257"/>
      <c r="FX135" s="257"/>
      <c r="FY135" s="238"/>
      <c r="FZ135" s="238"/>
      <c r="GA135" s="238"/>
      <c r="GB135" s="238"/>
      <c r="GC135" s="238"/>
      <c r="GD135" s="238"/>
      <c r="GE135" s="238"/>
      <c r="GF135" s="238"/>
      <c r="GG135" s="238"/>
      <c r="GH135" s="238"/>
      <c r="GI135" s="238"/>
      <c r="GJ135" s="238"/>
      <c r="GK135" s="238"/>
      <c r="GL135" s="238"/>
      <c r="GM135" s="238"/>
      <c r="GN135" s="238"/>
      <c r="GO135" s="238"/>
      <c r="GP135" s="238"/>
      <c r="GQ135" s="238"/>
      <c r="GR135" s="238"/>
      <c r="GS135" s="238"/>
      <c r="GT135" s="238"/>
      <c r="GU135" s="238"/>
      <c r="GV135" s="238"/>
      <c r="GW135" s="238"/>
      <c r="GX135" s="238"/>
      <c r="GY135" s="238"/>
      <c r="GZ135" s="238"/>
      <c r="HA135" s="238"/>
      <c r="HB135" s="238"/>
      <c r="HC135" s="238"/>
      <c r="HD135" s="238"/>
      <c r="HE135" s="238"/>
      <c r="HF135" s="238"/>
      <c r="HG135" s="238"/>
      <c r="HH135" s="238"/>
      <c r="HI135" s="238"/>
      <c r="HJ135" s="238"/>
      <c r="HK135" s="238"/>
      <c r="HL135" s="238"/>
      <c r="HM135" s="238"/>
      <c r="HN135" s="238"/>
      <c r="HO135" s="238"/>
      <c r="HP135" s="238"/>
      <c r="HQ135" s="238"/>
      <c r="HR135" s="238"/>
      <c r="HS135" s="238"/>
      <c r="HT135" s="238"/>
      <c r="HU135" s="238"/>
      <c r="HV135" s="238"/>
      <c r="HW135" s="238"/>
      <c r="HX135" s="257"/>
      <c r="HY135" s="257"/>
      <c r="HZ135" s="257"/>
      <c r="IA135" s="257"/>
      <c r="IB135" s="257"/>
      <c r="IC135" s="257"/>
      <c r="ID135" s="257"/>
      <c r="IE135" s="257"/>
      <c r="IF135" s="257"/>
      <c r="IG135" s="257"/>
      <c r="IH135" s="257"/>
      <c r="II135" s="257"/>
      <c r="IJ135" s="257"/>
      <c r="IK135" s="257"/>
      <c r="IL135" s="257"/>
      <c r="IM135" s="257"/>
      <c r="IN135" s="257"/>
      <c r="IO135" s="257"/>
      <c r="IP135" s="257"/>
      <c r="IQ135" s="257"/>
      <c r="IR135" s="257"/>
      <c r="IS135" s="257"/>
      <c r="IT135" s="257"/>
      <c r="IU135" s="257"/>
      <c r="IV135" s="257"/>
      <c r="IW135" s="257"/>
      <c r="IX135" s="257"/>
      <c r="IY135" s="257"/>
      <c r="IZ135" s="257"/>
      <c r="JA135" s="257"/>
      <c r="JB135" s="257"/>
      <c r="JC135" s="257"/>
      <c r="JD135" s="257"/>
      <c r="JE135" s="257"/>
      <c r="JF135" s="238"/>
      <c r="JG135" s="238"/>
      <c r="JH135" s="238"/>
      <c r="JI135" s="238"/>
      <c r="JJ135" s="238"/>
      <c r="JK135" s="238"/>
      <c r="JL135" s="238"/>
      <c r="JM135" s="238"/>
      <c r="JN135" s="238"/>
      <c r="JO135" s="238"/>
      <c r="JP135" s="238"/>
      <c r="JQ135" s="238"/>
      <c r="JR135" s="238"/>
      <c r="JS135" s="238"/>
      <c r="JT135" s="238"/>
      <c r="JU135" s="238"/>
      <c r="JV135" s="238"/>
      <c r="JW135" s="238"/>
      <c r="JX135" s="238"/>
      <c r="JY135" s="238"/>
      <c r="JZ135" s="238"/>
      <c r="KA135" s="238"/>
      <c r="KB135" s="238"/>
      <c r="KC135" s="238"/>
      <c r="KD135" s="238"/>
      <c r="KE135" s="238"/>
      <c r="KF135" s="238"/>
      <c r="KG135" s="238"/>
      <c r="KH135" s="238"/>
      <c r="KI135" s="238"/>
      <c r="KJ135" s="238"/>
      <c r="KK135" s="238"/>
      <c r="KL135" s="238"/>
      <c r="KM135" s="238"/>
      <c r="KN135" s="238"/>
      <c r="KO135" s="238"/>
      <c r="KP135" s="238"/>
      <c r="KQ135" s="238"/>
      <c r="KR135" s="238"/>
      <c r="KS135" s="238"/>
      <c r="KT135" s="238"/>
      <c r="KU135" s="238"/>
      <c r="KV135" s="238"/>
      <c r="KW135" s="238"/>
      <c r="KX135" s="238"/>
      <c r="KY135" s="238"/>
      <c r="KZ135" s="238"/>
      <c r="LA135" s="238"/>
      <c r="LB135" s="238"/>
      <c r="LC135" s="238"/>
      <c r="LD135" s="238"/>
      <c r="LE135" s="238"/>
      <c r="LF135" s="238"/>
      <c r="LG135" s="238"/>
      <c r="LH135" s="238"/>
      <c r="LI135" s="238"/>
      <c r="LJ135" s="238"/>
      <c r="LK135" s="238"/>
      <c r="LL135" s="238"/>
      <c r="LM135" s="238"/>
      <c r="LN135" s="238"/>
      <c r="LO135" s="238"/>
      <c r="LP135" s="238"/>
      <c r="LQ135" s="238"/>
      <c r="LR135" s="238"/>
      <c r="LS135" s="238"/>
      <c r="LT135" s="238"/>
      <c r="LU135" s="238"/>
      <c r="LV135" s="238"/>
      <c r="LW135" s="238"/>
      <c r="LX135" s="238"/>
      <c r="LY135" s="238"/>
      <c r="LZ135" s="238"/>
      <c r="MA135" s="238"/>
      <c r="MB135" s="238"/>
      <c r="MC135" s="238"/>
      <c r="MD135" s="238"/>
      <c r="ME135" s="238"/>
      <c r="MF135" s="238"/>
      <c r="MG135" s="238"/>
      <c r="MH135" s="238"/>
      <c r="MI135" s="238"/>
      <c r="MJ135" s="238"/>
      <c r="MK135" s="238"/>
      <c r="ML135" s="238"/>
    </row>
    <row r="136" ht="18.75" customHeight="1">
      <c r="A136" s="283"/>
      <c r="B136" s="234" t="str">
        <f>'Building Bill of Materials_SLIM'!P136</f>
        <v/>
      </c>
      <c r="C136" s="234" t="str">
        <f>'Building Bill of Materials_SLIM'!Q136</f>
        <v/>
      </c>
      <c r="D136" s="234" t="str">
        <f>'Building Bill of Materials_SLIM'!R136</f>
        <v/>
      </c>
      <c r="E136" s="234" t="str">
        <f>'Building Bill of Materials_SLIM'!S136</f>
        <v/>
      </c>
      <c r="F136" s="234" t="str">
        <f>'Building Bill of Materials_SLIM'!U136</f>
        <v/>
      </c>
      <c r="G136" s="234"/>
      <c r="H136" s="234"/>
      <c r="I136" s="234"/>
      <c r="J136" s="234" t="str">
        <f>'Building Bill of Materials_SLIM'!V136</f>
        <v/>
      </c>
      <c r="K136" s="238"/>
      <c r="L136" s="238"/>
      <c r="M136" s="238"/>
      <c r="N136" s="238"/>
      <c r="O136" s="238"/>
      <c r="P136" s="238"/>
      <c r="Q136" s="238"/>
      <c r="R136" s="238"/>
      <c r="S136" s="238"/>
      <c r="T136" s="238"/>
      <c r="U136" s="238"/>
      <c r="V136" s="238"/>
      <c r="W136" s="238"/>
      <c r="X136" s="238"/>
      <c r="Y136" s="238"/>
      <c r="Z136" s="238"/>
      <c r="AA136" s="192"/>
      <c r="AB136" s="257"/>
      <c r="AC136" s="257"/>
      <c r="AD136" s="257"/>
      <c r="AE136" s="257"/>
      <c r="AF136" s="257"/>
      <c r="AG136" s="257"/>
      <c r="AH136" s="257"/>
      <c r="AI136" s="257"/>
      <c r="AJ136" s="257"/>
      <c r="AK136" s="257"/>
      <c r="AL136" s="257"/>
      <c r="AM136" s="257"/>
      <c r="AN136" s="257"/>
      <c r="AO136" s="257"/>
      <c r="AP136" s="257"/>
      <c r="AQ136" s="257"/>
      <c r="AR136" s="257"/>
      <c r="AS136" s="257"/>
      <c r="AT136" s="257"/>
      <c r="AU136" s="257"/>
      <c r="AV136" s="257"/>
      <c r="AW136" s="257"/>
      <c r="AX136" s="257"/>
      <c r="AY136" s="257"/>
      <c r="AZ136" s="257"/>
      <c r="BA136" s="257"/>
      <c r="BB136" s="257"/>
      <c r="BC136" s="257"/>
      <c r="BD136" s="257"/>
      <c r="BE136" s="257"/>
      <c r="BF136" s="257"/>
      <c r="BG136" s="257"/>
      <c r="BH136" s="257"/>
      <c r="BI136" s="257"/>
      <c r="BJ136" s="238"/>
      <c r="BK136" s="238"/>
      <c r="BL136" s="238"/>
      <c r="BM136" s="238"/>
      <c r="BN136" s="238"/>
      <c r="BO136" s="238"/>
      <c r="BP136" s="238"/>
      <c r="BQ136" s="238"/>
      <c r="BR136" s="238"/>
      <c r="BS136" s="238"/>
      <c r="BT136" s="238"/>
      <c r="BU136" s="238"/>
      <c r="BV136" s="238"/>
      <c r="BW136" s="238"/>
      <c r="BX136" s="238"/>
      <c r="BY136" s="238"/>
      <c r="BZ136" s="238"/>
      <c r="CA136" s="238"/>
      <c r="CB136" s="238"/>
      <c r="CC136" s="238"/>
      <c r="CD136" s="238"/>
      <c r="CE136" s="257"/>
      <c r="CF136" s="257"/>
      <c r="CG136" s="238"/>
      <c r="CH136" s="238"/>
      <c r="CI136" s="238"/>
      <c r="CJ136" s="238"/>
      <c r="CK136" s="238"/>
      <c r="CL136" s="238"/>
      <c r="CM136" s="238"/>
      <c r="CN136" s="238"/>
      <c r="CO136" s="238"/>
      <c r="CP136" s="238"/>
      <c r="CQ136" s="238"/>
      <c r="CR136" s="238"/>
      <c r="CS136" s="238"/>
      <c r="CT136" s="238"/>
      <c r="CU136" s="238"/>
      <c r="CV136" s="238"/>
      <c r="CW136" s="238"/>
      <c r="CX136" s="238"/>
      <c r="CY136" s="238"/>
      <c r="CZ136" s="238"/>
      <c r="DA136" s="238"/>
      <c r="DB136" s="238"/>
      <c r="DC136" s="238"/>
      <c r="DD136" s="238"/>
      <c r="DE136" s="238"/>
      <c r="DF136" s="238"/>
      <c r="DG136" s="257"/>
      <c r="DH136" s="238"/>
      <c r="DI136" s="238"/>
      <c r="DJ136" s="238"/>
      <c r="DK136" s="238"/>
      <c r="DL136" s="238"/>
      <c r="DM136" s="238"/>
      <c r="DN136" s="238"/>
      <c r="DO136" s="238"/>
      <c r="DP136" s="238"/>
      <c r="DQ136" s="238"/>
      <c r="DR136" s="238"/>
      <c r="DS136" s="238"/>
      <c r="DT136" s="238"/>
      <c r="DU136" s="238"/>
      <c r="DV136" s="238"/>
      <c r="DW136" s="238"/>
      <c r="DX136" s="238"/>
      <c r="DY136" s="238"/>
      <c r="DZ136" s="238"/>
      <c r="EA136" s="238"/>
      <c r="EB136" s="238"/>
      <c r="EC136" s="238"/>
      <c r="ED136" s="238"/>
      <c r="EE136" s="238"/>
      <c r="EF136" s="238"/>
      <c r="EG136" s="238"/>
      <c r="EH136" s="238"/>
      <c r="EI136" s="238"/>
      <c r="EJ136" s="238"/>
      <c r="EK136" s="238"/>
      <c r="EL136" s="238"/>
      <c r="EM136" s="238"/>
      <c r="EN136" s="238"/>
      <c r="EO136" s="238"/>
      <c r="EP136" s="238"/>
      <c r="EQ136" s="238"/>
      <c r="ER136" s="238"/>
      <c r="ES136" s="238"/>
      <c r="ET136" s="238"/>
      <c r="EU136" s="238"/>
      <c r="EV136" s="238"/>
      <c r="EW136" s="238"/>
      <c r="EX136" s="238"/>
      <c r="EY136" s="238"/>
      <c r="EZ136" s="238"/>
      <c r="FA136" s="238"/>
      <c r="FB136" s="238"/>
      <c r="FC136" s="238"/>
      <c r="FD136" s="238"/>
      <c r="FE136" s="238"/>
      <c r="FF136" s="238"/>
      <c r="FG136" s="238"/>
      <c r="FH136" s="257"/>
      <c r="FI136" s="257"/>
      <c r="FJ136" s="257"/>
      <c r="FK136" s="257"/>
      <c r="FL136" s="257"/>
      <c r="FM136" s="257"/>
      <c r="FN136" s="257"/>
      <c r="FO136" s="257"/>
      <c r="FP136" s="257"/>
      <c r="FQ136" s="257"/>
      <c r="FR136" s="257"/>
      <c r="FS136" s="257"/>
      <c r="FT136" s="257"/>
      <c r="FU136" s="257"/>
      <c r="FV136" s="257"/>
      <c r="FW136" s="257"/>
      <c r="FX136" s="257"/>
      <c r="FY136" s="238"/>
      <c r="FZ136" s="238"/>
      <c r="GA136" s="238"/>
      <c r="GB136" s="238"/>
      <c r="GC136" s="238"/>
      <c r="GD136" s="238"/>
      <c r="GE136" s="238"/>
      <c r="GF136" s="238"/>
      <c r="GG136" s="238"/>
      <c r="GH136" s="238"/>
      <c r="GI136" s="238"/>
      <c r="GJ136" s="238"/>
      <c r="GK136" s="238"/>
      <c r="GL136" s="238"/>
      <c r="GM136" s="238"/>
      <c r="GN136" s="238"/>
      <c r="GO136" s="238"/>
      <c r="GP136" s="238"/>
      <c r="GQ136" s="238"/>
      <c r="GR136" s="238"/>
      <c r="GS136" s="238"/>
      <c r="GT136" s="238"/>
      <c r="GU136" s="238"/>
      <c r="GV136" s="238"/>
      <c r="GW136" s="238"/>
      <c r="GX136" s="238"/>
      <c r="GY136" s="238"/>
      <c r="GZ136" s="238"/>
      <c r="HA136" s="238"/>
      <c r="HB136" s="238"/>
      <c r="HC136" s="238"/>
      <c r="HD136" s="238"/>
      <c r="HE136" s="238"/>
      <c r="HF136" s="238"/>
      <c r="HG136" s="238"/>
      <c r="HH136" s="238"/>
      <c r="HI136" s="238"/>
      <c r="HJ136" s="238"/>
      <c r="HK136" s="238"/>
      <c r="HL136" s="238"/>
      <c r="HM136" s="238"/>
      <c r="HN136" s="238"/>
      <c r="HO136" s="238"/>
      <c r="HP136" s="238"/>
      <c r="HQ136" s="238"/>
      <c r="HR136" s="238"/>
      <c r="HS136" s="238"/>
      <c r="HT136" s="238"/>
      <c r="HU136" s="238"/>
      <c r="HV136" s="238"/>
      <c r="HW136" s="238"/>
      <c r="HX136" s="257"/>
      <c r="HY136" s="257"/>
      <c r="HZ136" s="257"/>
      <c r="IA136" s="257"/>
      <c r="IB136" s="257"/>
      <c r="IC136" s="257"/>
      <c r="ID136" s="257"/>
      <c r="IE136" s="257"/>
      <c r="IF136" s="257"/>
      <c r="IG136" s="257"/>
      <c r="IH136" s="257"/>
      <c r="II136" s="257"/>
      <c r="IJ136" s="257"/>
      <c r="IK136" s="257"/>
      <c r="IL136" s="257"/>
      <c r="IM136" s="257"/>
      <c r="IN136" s="257"/>
      <c r="IO136" s="257"/>
      <c r="IP136" s="257"/>
      <c r="IQ136" s="257"/>
      <c r="IR136" s="257"/>
      <c r="IS136" s="257"/>
      <c r="IT136" s="257"/>
      <c r="IU136" s="257"/>
      <c r="IV136" s="257"/>
      <c r="IW136" s="257"/>
      <c r="IX136" s="257"/>
      <c r="IY136" s="257"/>
      <c r="IZ136" s="257"/>
      <c r="JA136" s="257"/>
      <c r="JB136" s="257"/>
      <c r="JC136" s="257"/>
      <c r="JD136" s="257"/>
      <c r="JE136" s="257"/>
      <c r="JF136" s="238"/>
      <c r="JG136" s="238"/>
      <c r="JH136" s="238"/>
      <c r="JI136" s="238"/>
      <c r="JJ136" s="238"/>
      <c r="JK136" s="238"/>
      <c r="JL136" s="238"/>
      <c r="JM136" s="238"/>
      <c r="JN136" s="238"/>
      <c r="JO136" s="238"/>
      <c r="JP136" s="238"/>
      <c r="JQ136" s="238"/>
      <c r="JR136" s="238"/>
      <c r="JS136" s="238"/>
      <c r="JT136" s="238"/>
      <c r="JU136" s="238"/>
      <c r="JV136" s="238"/>
      <c r="JW136" s="238"/>
      <c r="JX136" s="238"/>
      <c r="JY136" s="238"/>
      <c r="JZ136" s="238"/>
      <c r="KA136" s="238"/>
      <c r="KB136" s="238"/>
      <c r="KC136" s="238"/>
      <c r="KD136" s="238"/>
      <c r="KE136" s="238"/>
      <c r="KF136" s="238"/>
      <c r="KG136" s="238"/>
      <c r="KH136" s="238"/>
      <c r="KI136" s="238"/>
      <c r="KJ136" s="238"/>
      <c r="KK136" s="238"/>
      <c r="KL136" s="238"/>
      <c r="KM136" s="238"/>
      <c r="KN136" s="238"/>
      <c r="KO136" s="238"/>
      <c r="KP136" s="238"/>
      <c r="KQ136" s="238"/>
      <c r="KR136" s="238"/>
      <c r="KS136" s="238"/>
      <c r="KT136" s="238"/>
      <c r="KU136" s="238"/>
      <c r="KV136" s="238"/>
      <c r="KW136" s="238"/>
      <c r="KX136" s="238"/>
      <c r="KY136" s="238"/>
      <c r="KZ136" s="238"/>
      <c r="LA136" s="238"/>
      <c r="LB136" s="238"/>
      <c r="LC136" s="238"/>
      <c r="LD136" s="238"/>
      <c r="LE136" s="238"/>
      <c r="LF136" s="238"/>
      <c r="LG136" s="238"/>
      <c r="LH136" s="238"/>
      <c r="LI136" s="238"/>
      <c r="LJ136" s="238"/>
      <c r="LK136" s="238"/>
      <c r="LL136" s="238"/>
      <c r="LM136" s="238"/>
      <c r="LN136" s="238"/>
      <c r="LO136" s="238"/>
      <c r="LP136" s="238"/>
      <c r="LQ136" s="238"/>
      <c r="LR136" s="238"/>
      <c r="LS136" s="238"/>
      <c r="LT136" s="238"/>
      <c r="LU136" s="238"/>
      <c r="LV136" s="238"/>
      <c r="LW136" s="238"/>
      <c r="LX136" s="238"/>
      <c r="LY136" s="238"/>
      <c r="LZ136" s="238"/>
      <c r="MA136" s="238"/>
      <c r="MB136" s="238"/>
      <c r="MC136" s="238"/>
      <c r="MD136" s="238"/>
      <c r="ME136" s="238"/>
      <c r="MF136" s="238"/>
      <c r="MG136" s="238"/>
      <c r="MH136" s="238"/>
      <c r="MI136" s="238"/>
      <c r="MJ136" s="238"/>
      <c r="MK136" s="238"/>
      <c r="ML136" s="238"/>
    </row>
    <row r="137" ht="18.75" customHeight="1">
      <c r="A137" s="283"/>
      <c r="B137" s="234" t="str">
        <f>'Building Bill of Materials_SLIM'!P137</f>
        <v/>
      </c>
      <c r="C137" s="234" t="str">
        <f>'Building Bill of Materials_SLIM'!Q137</f>
        <v/>
      </c>
      <c r="D137" s="234" t="str">
        <f>'Building Bill of Materials_SLIM'!R137</f>
        <v/>
      </c>
      <c r="E137" s="234" t="str">
        <f>'Building Bill of Materials_SLIM'!S137</f>
        <v/>
      </c>
      <c r="F137" s="234" t="str">
        <f>'Building Bill of Materials_SLIM'!U137</f>
        <v/>
      </c>
      <c r="G137" s="234"/>
      <c r="H137" s="234"/>
      <c r="I137" s="234"/>
      <c r="J137" s="234" t="str">
        <f>'Building Bill of Materials_SLIM'!V137</f>
        <v/>
      </c>
      <c r="K137" s="238"/>
      <c r="L137" s="238"/>
      <c r="M137" s="238"/>
      <c r="N137" s="238"/>
      <c r="O137" s="238"/>
      <c r="P137" s="238"/>
      <c r="Q137" s="238"/>
      <c r="R137" s="238"/>
      <c r="S137" s="238"/>
      <c r="T137" s="238"/>
      <c r="U137" s="238"/>
      <c r="V137" s="238"/>
      <c r="W137" s="238"/>
      <c r="X137" s="238"/>
      <c r="Y137" s="238"/>
      <c r="Z137" s="238"/>
      <c r="AA137" s="192"/>
      <c r="AB137" s="257"/>
      <c r="AC137" s="257"/>
      <c r="AD137" s="257"/>
      <c r="AE137" s="257"/>
      <c r="AF137" s="257"/>
      <c r="AG137" s="257"/>
      <c r="AH137" s="257"/>
      <c r="AI137" s="257"/>
      <c r="AJ137" s="257"/>
      <c r="AK137" s="257"/>
      <c r="AL137" s="257"/>
      <c r="AM137" s="257"/>
      <c r="AN137" s="257"/>
      <c r="AO137" s="257"/>
      <c r="AP137" s="257"/>
      <c r="AQ137" s="257"/>
      <c r="AR137" s="257"/>
      <c r="AS137" s="257"/>
      <c r="AT137" s="257"/>
      <c r="AU137" s="257"/>
      <c r="AV137" s="257"/>
      <c r="AW137" s="257"/>
      <c r="AX137" s="257"/>
      <c r="AY137" s="257"/>
      <c r="AZ137" s="257"/>
      <c r="BA137" s="257"/>
      <c r="BB137" s="257"/>
      <c r="BC137" s="257"/>
      <c r="BD137" s="257"/>
      <c r="BE137" s="257"/>
      <c r="BF137" s="257"/>
      <c r="BG137" s="257"/>
      <c r="BH137" s="257"/>
      <c r="BI137" s="257"/>
      <c r="BJ137" s="238"/>
      <c r="BK137" s="238"/>
      <c r="BL137" s="238"/>
      <c r="BM137" s="238"/>
      <c r="BN137" s="238"/>
      <c r="BO137" s="238"/>
      <c r="BP137" s="238"/>
      <c r="BQ137" s="238"/>
      <c r="BR137" s="238"/>
      <c r="BS137" s="238"/>
      <c r="BT137" s="238"/>
      <c r="BU137" s="238"/>
      <c r="BV137" s="238"/>
      <c r="BW137" s="238"/>
      <c r="BX137" s="238"/>
      <c r="BY137" s="238"/>
      <c r="BZ137" s="238"/>
      <c r="CA137" s="238"/>
      <c r="CB137" s="238"/>
      <c r="CC137" s="238"/>
      <c r="CD137" s="238"/>
      <c r="CE137" s="257"/>
      <c r="CF137" s="257"/>
      <c r="CG137" s="238"/>
      <c r="CH137" s="238"/>
      <c r="CI137" s="238"/>
      <c r="CJ137" s="238"/>
      <c r="CK137" s="238"/>
      <c r="CL137" s="238"/>
      <c r="CM137" s="238"/>
      <c r="CN137" s="238"/>
      <c r="CO137" s="238"/>
      <c r="CP137" s="238"/>
      <c r="CQ137" s="238"/>
      <c r="CR137" s="238"/>
      <c r="CS137" s="238"/>
      <c r="CT137" s="238"/>
      <c r="CU137" s="238"/>
      <c r="CV137" s="238"/>
      <c r="CW137" s="238"/>
      <c r="CX137" s="238"/>
      <c r="CY137" s="238"/>
      <c r="CZ137" s="238"/>
      <c r="DA137" s="238"/>
      <c r="DB137" s="238"/>
      <c r="DC137" s="238"/>
      <c r="DD137" s="238"/>
      <c r="DE137" s="238"/>
      <c r="DF137" s="238"/>
      <c r="DG137" s="257"/>
      <c r="DH137" s="238"/>
      <c r="DI137" s="238"/>
      <c r="DJ137" s="238"/>
      <c r="DK137" s="238"/>
      <c r="DL137" s="238"/>
      <c r="DM137" s="238"/>
      <c r="DN137" s="238"/>
      <c r="DO137" s="238"/>
      <c r="DP137" s="238"/>
      <c r="DQ137" s="238"/>
      <c r="DR137" s="238"/>
      <c r="DS137" s="238"/>
      <c r="DT137" s="238"/>
      <c r="DU137" s="238"/>
      <c r="DV137" s="238"/>
      <c r="DW137" s="238"/>
      <c r="DX137" s="238"/>
      <c r="DY137" s="238"/>
      <c r="DZ137" s="238"/>
      <c r="EA137" s="238"/>
      <c r="EB137" s="238"/>
      <c r="EC137" s="238"/>
      <c r="ED137" s="238"/>
      <c r="EE137" s="238"/>
      <c r="EF137" s="238"/>
      <c r="EG137" s="238"/>
      <c r="EH137" s="238"/>
      <c r="EI137" s="238"/>
      <c r="EJ137" s="238"/>
      <c r="EK137" s="238"/>
      <c r="EL137" s="238"/>
      <c r="EM137" s="238"/>
      <c r="EN137" s="238"/>
      <c r="EO137" s="238"/>
      <c r="EP137" s="238"/>
      <c r="EQ137" s="238"/>
      <c r="ER137" s="238"/>
      <c r="ES137" s="238"/>
      <c r="ET137" s="238"/>
      <c r="EU137" s="238"/>
      <c r="EV137" s="238"/>
      <c r="EW137" s="238"/>
      <c r="EX137" s="238"/>
      <c r="EY137" s="238"/>
      <c r="EZ137" s="238"/>
      <c r="FA137" s="238"/>
      <c r="FB137" s="238"/>
      <c r="FC137" s="238"/>
      <c r="FD137" s="238"/>
      <c r="FE137" s="238"/>
      <c r="FF137" s="238"/>
      <c r="FG137" s="238"/>
      <c r="FH137" s="257"/>
      <c r="FI137" s="257"/>
      <c r="FJ137" s="257"/>
      <c r="FK137" s="257"/>
      <c r="FL137" s="257"/>
      <c r="FM137" s="257"/>
      <c r="FN137" s="257"/>
      <c r="FO137" s="257"/>
      <c r="FP137" s="257"/>
      <c r="FQ137" s="257"/>
      <c r="FR137" s="257"/>
      <c r="FS137" s="257"/>
      <c r="FT137" s="257"/>
      <c r="FU137" s="257"/>
      <c r="FV137" s="257"/>
      <c r="FW137" s="257"/>
      <c r="FX137" s="257"/>
      <c r="FY137" s="238"/>
      <c r="FZ137" s="238"/>
      <c r="GA137" s="238"/>
      <c r="GB137" s="238"/>
      <c r="GC137" s="238"/>
      <c r="GD137" s="238"/>
      <c r="GE137" s="238"/>
      <c r="GF137" s="238"/>
      <c r="GG137" s="238"/>
      <c r="GH137" s="238"/>
      <c r="GI137" s="238"/>
      <c r="GJ137" s="238"/>
      <c r="GK137" s="238"/>
      <c r="GL137" s="238"/>
      <c r="GM137" s="238"/>
      <c r="GN137" s="238"/>
      <c r="GO137" s="238"/>
      <c r="GP137" s="238"/>
      <c r="GQ137" s="238"/>
      <c r="GR137" s="238"/>
      <c r="GS137" s="238"/>
      <c r="GT137" s="238"/>
      <c r="GU137" s="238"/>
      <c r="GV137" s="238"/>
      <c r="GW137" s="238"/>
      <c r="GX137" s="238"/>
      <c r="GY137" s="238"/>
      <c r="GZ137" s="238"/>
      <c r="HA137" s="238"/>
      <c r="HB137" s="238"/>
      <c r="HC137" s="238"/>
      <c r="HD137" s="238"/>
      <c r="HE137" s="238"/>
      <c r="HF137" s="238"/>
      <c r="HG137" s="238"/>
      <c r="HH137" s="238"/>
      <c r="HI137" s="238"/>
      <c r="HJ137" s="238"/>
      <c r="HK137" s="238"/>
      <c r="HL137" s="238"/>
      <c r="HM137" s="238"/>
      <c r="HN137" s="238"/>
      <c r="HO137" s="238"/>
      <c r="HP137" s="238"/>
      <c r="HQ137" s="238"/>
      <c r="HR137" s="238"/>
      <c r="HS137" s="238"/>
      <c r="HT137" s="238"/>
      <c r="HU137" s="238"/>
      <c r="HV137" s="238"/>
      <c r="HW137" s="238"/>
      <c r="HX137" s="257"/>
      <c r="HY137" s="257"/>
      <c r="HZ137" s="257"/>
      <c r="IA137" s="257"/>
      <c r="IB137" s="257"/>
      <c r="IC137" s="257"/>
      <c r="ID137" s="257"/>
      <c r="IE137" s="257"/>
      <c r="IF137" s="257"/>
      <c r="IG137" s="257"/>
      <c r="IH137" s="257"/>
      <c r="II137" s="257"/>
      <c r="IJ137" s="257"/>
      <c r="IK137" s="257"/>
      <c r="IL137" s="257"/>
      <c r="IM137" s="257"/>
      <c r="IN137" s="257"/>
      <c r="IO137" s="257"/>
      <c r="IP137" s="257"/>
      <c r="IQ137" s="257"/>
      <c r="IR137" s="257"/>
      <c r="IS137" s="257"/>
      <c r="IT137" s="257"/>
      <c r="IU137" s="257"/>
      <c r="IV137" s="257"/>
      <c r="IW137" s="257"/>
      <c r="IX137" s="257"/>
      <c r="IY137" s="257"/>
      <c r="IZ137" s="257"/>
      <c r="JA137" s="257"/>
      <c r="JB137" s="257"/>
      <c r="JC137" s="257"/>
      <c r="JD137" s="257"/>
      <c r="JE137" s="257"/>
      <c r="JF137" s="238"/>
      <c r="JG137" s="238"/>
      <c r="JH137" s="238"/>
      <c r="JI137" s="238"/>
      <c r="JJ137" s="238"/>
      <c r="JK137" s="238"/>
      <c r="JL137" s="238"/>
      <c r="JM137" s="238"/>
      <c r="JN137" s="238"/>
      <c r="JO137" s="238"/>
      <c r="JP137" s="238"/>
      <c r="JQ137" s="238"/>
      <c r="JR137" s="238"/>
      <c r="JS137" s="238"/>
      <c r="JT137" s="238"/>
      <c r="JU137" s="238"/>
      <c r="JV137" s="238"/>
      <c r="JW137" s="238"/>
      <c r="JX137" s="238"/>
      <c r="JY137" s="238"/>
      <c r="JZ137" s="238"/>
      <c r="KA137" s="238"/>
      <c r="KB137" s="238"/>
      <c r="KC137" s="238"/>
      <c r="KD137" s="238"/>
      <c r="KE137" s="238"/>
      <c r="KF137" s="238"/>
      <c r="KG137" s="238"/>
      <c r="KH137" s="238"/>
      <c r="KI137" s="238"/>
      <c r="KJ137" s="238"/>
      <c r="KK137" s="238"/>
      <c r="KL137" s="238"/>
      <c r="KM137" s="238"/>
      <c r="KN137" s="238"/>
      <c r="KO137" s="238"/>
      <c r="KP137" s="238"/>
      <c r="KQ137" s="238"/>
      <c r="KR137" s="238"/>
      <c r="KS137" s="238"/>
      <c r="KT137" s="238"/>
      <c r="KU137" s="238"/>
      <c r="KV137" s="238"/>
      <c r="KW137" s="238"/>
      <c r="KX137" s="238"/>
      <c r="KY137" s="238"/>
      <c r="KZ137" s="238"/>
      <c r="LA137" s="238"/>
      <c r="LB137" s="238"/>
      <c r="LC137" s="238"/>
      <c r="LD137" s="238"/>
      <c r="LE137" s="238"/>
      <c r="LF137" s="238"/>
      <c r="LG137" s="238"/>
      <c r="LH137" s="238"/>
      <c r="LI137" s="238"/>
      <c r="LJ137" s="238"/>
      <c r="LK137" s="238"/>
      <c r="LL137" s="238"/>
      <c r="LM137" s="238"/>
      <c r="LN137" s="238"/>
      <c r="LO137" s="238"/>
      <c r="LP137" s="238"/>
      <c r="LQ137" s="238"/>
      <c r="LR137" s="238"/>
      <c r="LS137" s="238"/>
      <c r="LT137" s="238"/>
      <c r="LU137" s="238"/>
      <c r="LV137" s="238"/>
      <c r="LW137" s="238"/>
      <c r="LX137" s="238"/>
      <c r="LY137" s="238"/>
      <c r="LZ137" s="238"/>
      <c r="MA137" s="238"/>
      <c r="MB137" s="238"/>
      <c r="MC137" s="238"/>
      <c r="MD137" s="238"/>
      <c r="ME137" s="238"/>
      <c r="MF137" s="238"/>
      <c r="MG137" s="238"/>
      <c r="MH137" s="238"/>
      <c r="MI137" s="238"/>
      <c r="MJ137" s="238"/>
      <c r="MK137" s="238"/>
      <c r="ML137" s="238"/>
    </row>
    <row r="138" ht="18.75" customHeight="1">
      <c r="A138" s="283"/>
      <c r="B138" s="234" t="str">
        <f>'Building Bill of Materials_SLIM'!P138</f>
        <v/>
      </c>
      <c r="C138" s="234" t="str">
        <f>'Building Bill of Materials_SLIM'!Q138</f>
        <v/>
      </c>
      <c r="D138" s="234" t="str">
        <f>'Building Bill of Materials_SLIM'!R138</f>
        <v/>
      </c>
      <c r="E138" s="234" t="str">
        <f>'Building Bill of Materials_SLIM'!S138</f>
        <v/>
      </c>
      <c r="F138" s="234" t="str">
        <f>'Building Bill of Materials_SLIM'!U138</f>
        <v/>
      </c>
      <c r="G138" s="234"/>
      <c r="H138" s="234"/>
      <c r="I138" s="234"/>
      <c r="J138" s="234" t="str">
        <f>'Building Bill of Materials_SLIM'!V138</f>
        <v/>
      </c>
      <c r="K138" s="238"/>
      <c r="L138" s="238"/>
      <c r="M138" s="238"/>
      <c r="N138" s="238"/>
      <c r="O138" s="238"/>
      <c r="P138" s="238"/>
      <c r="Q138" s="238"/>
      <c r="R138" s="238"/>
      <c r="S138" s="238"/>
      <c r="T138" s="238"/>
      <c r="U138" s="238"/>
      <c r="V138" s="238"/>
      <c r="W138" s="238"/>
      <c r="X138" s="238"/>
      <c r="Y138" s="238"/>
      <c r="Z138" s="238"/>
      <c r="AA138" s="192"/>
      <c r="AB138" s="257"/>
      <c r="AC138" s="257"/>
      <c r="AD138" s="257"/>
      <c r="AE138" s="257"/>
      <c r="AF138" s="257"/>
      <c r="AG138" s="257"/>
      <c r="AH138" s="257"/>
      <c r="AI138" s="257"/>
      <c r="AJ138" s="257"/>
      <c r="AK138" s="257"/>
      <c r="AL138" s="257"/>
      <c r="AM138" s="257"/>
      <c r="AN138" s="257"/>
      <c r="AO138" s="257"/>
      <c r="AP138" s="257"/>
      <c r="AQ138" s="257"/>
      <c r="AR138" s="257"/>
      <c r="AS138" s="257"/>
      <c r="AT138" s="257"/>
      <c r="AU138" s="257"/>
      <c r="AV138" s="257"/>
      <c r="AW138" s="257"/>
      <c r="AX138" s="257"/>
      <c r="AY138" s="257"/>
      <c r="AZ138" s="257"/>
      <c r="BA138" s="257"/>
      <c r="BB138" s="257"/>
      <c r="BC138" s="257"/>
      <c r="BD138" s="257"/>
      <c r="BE138" s="257"/>
      <c r="BF138" s="257"/>
      <c r="BG138" s="257"/>
      <c r="BH138" s="257"/>
      <c r="BI138" s="257"/>
      <c r="BJ138" s="238"/>
      <c r="BK138" s="238"/>
      <c r="BL138" s="238"/>
      <c r="BM138" s="238"/>
      <c r="BN138" s="238"/>
      <c r="BO138" s="238"/>
      <c r="BP138" s="238"/>
      <c r="BQ138" s="238"/>
      <c r="BR138" s="238"/>
      <c r="BS138" s="238"/>
      <c r="BT138" s="238"/>
      <c r="BU138" s="238"/>
      <c r="BV138" s="238"/>
      <c r="BW138" s="238"/>
      <c r="BX138" s="238"/>
      <c r="BY138" s="238"/>
      <c r="BZ138" s="238"/>
      <c r="CA138" s="238"/>
      <c r="CB138" s="238"/>
      <c r="CC138" s="238"/>
      <c r="CD138" s="238"/>
      <c r="CE138" s="257"/>
      <c r="CF138" s="257"/>
      <c r="CG138" s="238"/>
      <c r="CH138" s="238"/>
      <c r="CI138" s="238"/>
      <c r="CJ138" s="238"/>
      <c r="CK138" s="238"/>
      <c r="CL138" s="238"/>
      <c r="CM138" s="238"/>
      <c r="CN138" s="238"/>
      <c r="CO138" s="238"/>
      <c r="CP138" s="238"/>
      <c r="CQ138" s="238"/>
      <c r="CR138" s="238"/>
      <c r="CS138" s="238"/>
      <c r="CT138" s="238"/>
      <c r="CU138" s="238"/>
      <c r="CV138" s="238"/>
      <c r="CW138" s="238"/>
      <c r="CX138" s="238"/>
      <c r="CY138" s="238"/>
      <c r="CZ138" s="238"/>
      <c r="DA138" s="238"/>
      <c r="DB138" s="238"/>
      <c r="DC138" s="238"/>
      <c r="DD138" s="238"/>
      <c r="DE138" s="238"/>
      <c r="DF138" s="238"/>
      <c r="DG138" s="257"/>
      <c r="DH138" s="238"/>
      <c r="DI138" s="238"/>
      <c r="DJ138" s="238"/>
      <c r="DK138" s="238"/>
      <c r="DL138" s="238"/>
      <c r="DM138" s="238"/>
      <c r="DN138" s="238"/>
      <c r="DO138" s="238"/>
      <c r="DP138" s="238"/>
      <c r="DQ138" s="238"/>
      <c r="DR138" s="238"/>
      <c r="DS138" s="238"/>
      <c r="DT138" s="238"/>
      <c r="DU138" s="238"/>
      <c r="DV138" s="238"/>
      <c r="DW138" s="238"/>
      <c r="DX138" s="238"/>
      <c r="DY138" s="238"/>
      <c r="DZ138" s="238"/>
      <c r="EA138" s="238"/>
      <c r="EB138" s="238"/>
      <c r="EC138" s="238"/>
      <c r="ED138" s="238"/>
      <c r="EE138" s="238"/>
      <c r="EF138" s="238"/>
      <c r="EG138" s="238"/>
      <c r="EH138" s="238"/>
      <c r="EI138" s="238"/>
      <c r="EJ138" s="238"/>
      <c r="EK138" s="238"/>
      <c r="EL138" s="238"/>
      <c r="EM138" s="238"/>
      <c r="EN138" s="238"/>
      <c r="EO138" s="238"/>
      <c r="EP138" s="238"/>
      <c r="EQ138" s="238"/>
      <c r="ER138" s="238"/>
      <c r="ES138" s="238"/>
      <c r="ET138" s="238"/>
      <c r="EU138" s="238"/>
      <c r="EV138" s="238"/>
      <c r="EW138" s="238"/>
      <c r="EX138" s="238"/>
      <c r="EY138" s="238"/>
      <c r="EZ138" s="238"/>
      <c r="FA138" s="238"/>
      <c r="FB138" s="238"/>
      <c r="FC138" s="238"/>
      <c r="FD138" s="238"/>
      <c r="FE138" s="238"/>
      <c r="FF138" s="238"/>
      <c r="FG138" s="238"/>
      <c r="FH138" s="257"/>
      <c r="FI138" s="257"/>
      <c r="FJ138" s="257"/>
      <c r="FK138" s="257"/>
      <c r="FL138" s="257"/>
      <c r="FM138" s="257"/>
      <c r="FN138" s="257"/>
      <c r="FO138" s="257"/>
      <c r="FP138" s="257"/>
      <c r="FQ138" s="257"/>
      <c r="FR138" s="257"/>
      <c r="FS138" s="257"/>
      <c r="FT138" s="257"/>
      <c r="FU138" s="257"/>
      <c r="FV138" s="257"/>
      <c r="FW138" s="257"/>
      <c r="FX138" s="257"/>
      <c r="FY138" s="238"/>
      <c r="FZ138" s="238"/>
      <c r="GA138" s="238"/>
      <c r="GB138" s="238"/>
      <c r="GC138" s="238"/>
      <c r="GD138" s="238"/>
      <c r="GE138" s="238"/>
      <c r="GF138" s="238"/>
      <c r="GG138" s="238"/>
      <c r="GH138" s="238"/>
      <c r="GI138" s="238"/>
      <c r="GJ138" s="238"/>
      <c r="GK138" s="238"/>
      <c r="GL138" s="238"/>
      <c r="GM138" s="238"/>
      <c r="GN138" s="238"/>
      <c r="GO138" s="238"/>
      <c r="GP138" s="238"/>
      <c r="GQ138" s="238"/>
      <c r="GR138" s="238"/>
      <c r="GS138" s="238"/>
      <c r="GT138" s="238"/>
      <c r="GU138" s="238"/>
      <c r="GV138" s="238"/>
      <c r="GW138" s="238"/>
      <c r="GX138" s="238"/>
      <c r="GY138" s="238"/>
      <c r="GZ138" s="238"/>
      <c r="HA138" s="238"/>
      <c r="HB138" s="238"/>
      <c r="HC138" s="238"/>
      <c r="HD138" s="238"/>
      <c r="HE138" s="238"/>
      <c r="HF138" s="238"/>
      <c r="HG138" s="238"/>
      <c r="HH138" s="238"/>
      <c r="HI138" s="238"/>
      <c r="HJ138" s="238"/>
      <c r="HK138" s="238"/>
      <c r="HL138" s="238"/>
      <c r="HM138" s="238"/>
      <c r="HN138" s="238"/>
      <c r="HO138" s="238"/>
      <c r="HP138" s="238"/>
      <c r="HQ138" s="238"/>
      <c r="HR138" s="238"/>
      <c r="HS138" s="238"/>
      <c r="HT138" s="238"/>
      <c r="HU138" s="238"/>
      <c r="HV138" s="238"/>
      <c r="HW138" s="238"/>
      <c r="HX138" s="257"/>
      <c r="HY138" s="257"/>
      <c r="HZ138" s="257"/>
      <c r="IA138" s="257"/>
      <c r="IB138" s="257"/>
      <c r="IC138" s="257"/>
      <c r="ID138" s="257"/>
      <c r="IE138" s="257"/>
      <c r="IF138" s="257"/>
      <c r="IG138" s="257"/>
      <c r="IH138" s="257"/>
      <c r="II138" s="257"/>
      <c r="IJ138" s="257"/>
      <c r="IK138" s="257"/>
      <c r="IL138" s="257"/>
      <c r="IM138" s="257"/>
      <c r="IN138" s="257"/>
      <c r="IO138" s="257"/>
      <c r="IP138" s="257"/>
      <c r="IQ138" s="257"/>
      <c r="IR138" s="257"/>
      <c r="IS138" s="257"/>
      <c r="IT138" s="257"/>
      <c r="IU138" s="257"/>
      <c r="IV138" s="257"/>
      <c r="IW138" s="257"/>
      <c r="IX138" s="257"/>
      <c r="IY138" s="257"/>
      <c r="IZ138" s="257"/>
      <c r="JA138" s="257"/>
      <c r="JB138" s="257"/>
      <c r="JC138" s="257"/>
      <c r="JD138" s="257"/>
      <c r="JE138" s="257"/>
      <c r="JF138" s="238"/>
      <c r="JG138" s="238"/>
      <c r="JH138" s="238"/>
      <c r="JI138" s="238"/>
      <c r="JJ138" s="238"/>
      <c r="JK138" s="238"/>
      <c r="JL138" s="238"/>
      <c r="JM138" s="238"/>
      <c r="JN138" s="238"/>
      <c r="JO138" s="238"/>
      <c r="JP138" s="238"/>
      <c r="JQ138" s="238"/>
      <c r="JR138" s="238"/>
      <c r="JS138" s="238"/>
      <c r="JT138" s="238"/>
      <c r="JU138" s="238"/>
      <c r="JV138" s="238"/>
      <c r="JW138" s="238"/>
      <c r="JX138" s="238"/>
      <c r="JY138" s="238"/>
      <c r="JZ138" s="238"/>
      <c r="KA138" s="238"/>
      <c r="KB138" s="238"/>
      <c r="KC138" s="238"/>
      <c r="KD138" s="238"/>
      <c r="KE138" s="238"/>
      <c r="KF138" s="238"/>
      <c r="KG138" s="238"/>
      <c r="KH138" s="238"/>
      <c r="KI138" s="238"/>
      <c r="KJ138" s="238"/>
      <c r="KK138" s="238"/>
      <c r="KL138" s="238"/>
      <c r="KM138" s="238"/>
      <c r="KN138" s="238"/>
      <c r="KO138" s="238"/>
      <c r="KP138" s="238"/>
      <c r="KQ138" s="238"/>
      <c r="KR138" s="238"/>
      <c r="KS138" s="238"/>
      <c r="KT138" s="238"/>
      <c r="KU138" s="238"/>
      <c r="KV138" s="238"/>
      <c r="KW138" s="238"/>
      <c r="KX138" s="238"/>
      <c r="KY138" s="238"/>
      <c r="KZ138" s="238"/>
      <c r="LA138" s="238"/>
      <c r="LB138" s="238"/>
      <c r="LC138" s="238"/>
      <c r="LD138" s="238"/>
      <c r="LE138" s="238"/>
      <c r="LF138" s="238"/>
      <c r="LG138" s="238"/>
      <c r="LH138" s="238"/>
      <c r="LI138" s="238"/>
      <c r="LJ138" s="238"/>
      <c r="LK138" s="238"/>
      <c r="LL138" s="238"/>
      <c r="LM138" s="238"/>
      <c r="LN138" s="238"/>
      <c r="LO138" s="238"/>
      <c r="LP138" s="238"/>
      <c r="LQ138" s="238"/>
      <c r="LR138" s="238"/>
      <c r="LS138" s="238"/>
      <c r="LT138" s="238"/>
      <c r="LU138" s="238"/>
      <c r="LV138" s="238"/>
      <c r="LW138" s="238"/>
      <c r="LX138" s="238"/>
      <c r="LY138" s="238"/>
      <c r="LZ138" s="238"/>
      <c r="MA138" s="238"/>
      <c r="MB138" s="238"/>
      <c r="MC138" s="238"/>
      <c r="MD138" s="238"/>
      <c r="ME138" s="238"/>
      <c r="MF138" s="238"/>
      <c r="MG138" s="238"/>
      <c r="MH138" s="238"/>
      <c r="MI138" s="238"/>
      <c r="MJ138" s="238"/>
      <c r="MK138" s="238"/>
      <c r="ML138" s="238"/>
    </row>
    <row r="139" ht="18.75" customHeight="1">
      <c r="A139" s="283"/>
      <c r="B139" s="234" t="str">
        <f>'Building Bill of Materials_SLIM'!P139</f>
        <v/>
      </c>
      <c r="C139" s="234" t="str">
        <f>'Building Bill of Materials_SLIM'!Q139</f>
        <v/>
      </c>
      <c r="D139" s="234" t="str">
        <f>'Building Bill of Materials_SLIM'!R139</f>
        <v/>
      </c>
      <c r="E139" s="234" t="str">
        <f>'Building Bill of Materials_SLIM'!S139</f>
        <v/>
      </c>
      <c r="F139" s="234" t="str">
        <f>'Building Bill of Materials_SLIM'!U139</f>
        <v/>
      </c>
      <c r="G139" s="234"/>
      <c r="H139" s="234"/>
      <c r="I139" s="234"/>
      <c r="J139" s="234" t="str">
        <f>'Building Bill of Materials_SLIM'!V139</f>
        <v/>
      </c>
      <c r="K139" s="238"/>
      <c r="L139" s="238"/>
      <c r="M139" s="238"/>
      <c r="N139" s="238"/>
      <c r="O139" s="238"/>
      <c r="P139" s="238"/>
      <c r="Q139" s="238"/>
      <c r="R139" s="238"/>
      <c r="S139" s="238"/>
      <c r="T139" s="238"/>
      <c r="U139" s="238"/>
      <c r="V139" s="238"/>
      <c r="W139" s="238"/>
      <c r="X139" s="238"/>
      <c r="Y139" s="238"/>
      <c r="Z139" s="238"/>
      <c r="AA139" s="192"/>
      <c r="AB139" s="257"/>
      <c r="AC139" s="257"/>
      <c r="AD139" s="257"/>
      <c r="AE139" s="257"/>
      <c r="AF139" s="257"/>
      <c r="AG139" s="257"/>
      <c r="AH139" s="257"/>
      <c r="AI139" s="257"/>
      <c r="AJ139" s="257"/>
      <c r="AK139" s="257"/>
      <c r="AL139" s="257"/>
      <c r="AM139" s="257"/>
      <c r="AN139" s="257"/>
      <c r="AO139" s="257"/>
      <c r="AP139" s="257"/>
      <c r="AQ139" s="257"/>
      <c r="AR139" s="257"/>
      <c r="AS139" s="257"/>
      <c r="AT139" s="257"/>
      <c r="AU139" s="257"/>
      <c r="AV139" s="257"/>
      <c r="AW139" s="257"/>
      <c r="AX139" s="257"/>
      <c r="AY139" s="257"/>
      <c r="AZ139" s="257"/>
      <c r="BA139" s="257"/>
      <c r="BB139" s="257"/>
      <c r="BC139" s="257"/>
      <c r="BD139" s="257"/>
      <c r="BE139" s="257"/>
      <c r="BF139" s="257"/>
      <c r="BG139" s="257"/>
      <c r="BH139" s="257"/>
      <c r="BI139" s="257"/>
      <c r="BJ139" s="238"/>
      <c r="BK139" s="238"/>
      <c r="BL139" s="238"/>
      <c r="BM139" s="238"/>
      <c r="BN139" s="238"/>
      <c r="BO139" s="238"/>
      <c r="BP139" s="238"/>
      <c r="BQ139" s="238"/>
      <c r="BR139" s="238"/>
      <c r="BS139" s="238"/>
      <c r="BT139" s="238"/>
      <c r="BU139" s="238"/>
      <c r="BV139" s="238"/>
      <c r="BW139" s="238"/>
      <c r="BX139" s="238"/>
      <c r="BY139" s="238"/>
      <c r="BZ139" s="238"/>
      <c r="CA139" s="238"/>
      <c r="CB139" s="238"/>
      <c r="CC139" s="238"/>
      <c r="CD139" s="238"/>
      <c r="CE139" s="257"/>
      <c r="CF139" s="257"/>
      <c r="CG139" s="238"/>
      <c r="CH139" s="238"/>
      <c r="CI139" s="238"/>
      <c r="CJ139" s="238"/>
      <c r="CK139" s="238"/>
      <c r="CL139" s="238"/>
      <c r="CM139" s="238"/>
      <c r="CN139" s="238"/>
      <c r="CO139" s="238"/>
      <c r="CP139" s="238"/>
      <c r="CQ139" s="238"/>
      <c r="CR139" s="238"/>
      <c r="CS139" s="238"/>
      <c r="CT139" s="238"/>
      <c r="CU139" s="238"/>
      <c r="CV139" s="238"/>
      <c r="CW139" s="238"/>
      <c r="CX139" s="238"/>
      <c r="CY139" s="238"/>
      <c r="CZ139" s="238"/>
      <c r="DA139" s="238"/>
      <c r="DB139" s="238"/>
      <c r="DC139" s="238"/>
      <c r="DD139" s="238"/>
      <c r="DE139" s="238"/>
      <c r="DF139" s="238"/>
      <c r="DG139" s="257"/>
      <c r="DH139" s="238"/>
      <c r="DI139" s="238"/>
      <c r="DJ139" s="238"/>
      <c r="DK139" s="238"/>
      <c r="DL139" s="238"/>
      <c r="DM139" s="238"/>
      <c r="DN139" s="238"/>
      <c r="DO139" s="238"/>
      <c r="DP139" s="238"/>
      <c r="DQ139" s="238"/>
      <c r="DR139" s="238"/>
      <c r="DS139" s="238"/>
      <c r="DT139" s="238"/>
      <c r="DU139" s="238"/>
      <c r="DV139" s="238"/>
      <c r="DW139" s="238"/>
      <c r="DX139" s="238"/>
      <c r="DY139" s="238"/>
      <c r="DZ139" s="238"/>
      <c r="EA139" s="238"/>
      <c r="EB139" s="238"/>
      <c r="EC139" s="238"/>
      <c r="ED139" s="238"/>
      <c r="EE139" s="238"/>
      <c r="EF139" s="238"/>
      <c r="EG139" s="238"/>
      <c r="EH139" s="238"/>
      <c r="EI139" s="238"/>
      <c r="EJ139" s="238"/>
      <c r="EK139" s="238"/>
      <c r="EL139" s="238"/>
      <c r="EM139" s="238"/>
      <c r="EN139" s="238"/>
      <c r="EO139" s="238"/>
      <c r="EP139" s="238"/>
      <c r="EQ139" s="238"/>
      <c r="ER139" s="238"/>
      <c r="ES139" s="238"/>
      <c r="ET139" s="238"/>
      <c r="EU139" s="238"/>
      <c r="EV139" s="238"/>
      <c r="EW139" s="238"/>
      <c r="EX139" s="238"/>
      <c r="EY139" s="238"/>
      <c r="EZ139" s="238"/>
      <c r="FA139" s="238"/>
      <c r="FB139" s="238"/>
      <c r="FC139" s="238"/>
      <c r="FD139" s="238"/>
      <c r="FE139" s="238"/>
      <c r="FF139" s="238"/>
      <c r="FG139" s="238"/>
      <c r="FH139" s="257"/>
      <c r="FI139" s="257"/>
      <c r="FJ139" s="257"/>
      <c r="FK139" s="257"/>
      <c r="FL139" s="257"/>
      <c r="FM139" s="257"/>
      <c r="FN139" s="257"/>
      <c r="FO139" s="257"/>
      <c r="FP139" s="257"/>
      <c r="FQ139" s="257"/>
      <c r="FR139" s="257"/>
      <c r="FS139" s="257"/>
      <c r="FT139" s="257"/>
      <c r="FU139" s="257"/>
      <c r="FV139" s="257"/>
      <c r="FW139" s="257"/>
      <c r="FX139" s="257"/>
      <c r="FY139" s="238"/>
      <c r="FZ139" s="238"/>
      <c r="GA139" s="238"/>
      <c r="GB139" s="238"/>
      <c r="GC139" s="238"/>
      <c r="GD139" s="238"/>
      <c r="GE139" s="238"/>
      <c r="GF139" s="238"/>
      <c r="GG139" s="238"/>
      <c r="GH139" s="238"/>
      <c r="GI139" s="238"/>
      <c r="GJ139" s="238"/>
      <c r="GK139" s="238"/>
      <c r="GL139" s="238"/>
      <c r="GM139" s="238"/>
      <c r="GN139" s="238"/>
      <c r="GO139" s="238"/>
      <c r="GP139" s="238"/>
      <c r="GQ139" s="238"/>
      <c r="GR139" s="238"/>
      <c r="GS139" s="238"/>
      <c r="GT139" s="238"/>
      <c r="GU139" s="238"/>
      <c r="GV139" s="238"/>
      <c r="GW139" s="238"/>
      <c r="GX139" s="238"/>
      <c r="GY139" s="238"/>
      <c r="GZ139" s="238"/>
      <c r="HA139" s="238"/>
      <c r="HB139" s="238"/>
      <c r="HC139" s="238"/>
      <c r="HD139" s="238"/>
      <c r="HE139" s="238"/>
      <c r="HF139" s="238"/>
      <c r="HG139" s="238"/>
      <c r="HH139" s="238"/>
      <c r="HI139" s="238"/>
      <c r="HJ139" s="238"/>
      <c r="HK139" s="238"/>
      <c r="HL139" s="238"/>
      <c r="HM139" s="238"/>
      <c r="HN139" s="238"/>
      <c r="HO139" s="238"/>
      <c r="HP139" s="238"/>
      <c r="HQ139" s="238"/>
      <c r="HR139" s="238"/>
      <c r="HS139" s="238"/>
      <c r="HT139" s="238"/>
      <c r="HU139" s="238"/>
      <c r="HV139" s="238"/>
      <c r="HW139" s="238"/>
      <c r="HX139" s="257"/>
      <c r="HY139" s="257"/>
      <c r="HZ139" s="257"/>
      <c r="IA139" s="257"/>
      <c r="IB139" s="257"/>
      <c r="IC139" s="257"/>
      <c r="ID139" s="257"/>
      <c r="IE139" s="257"/>
      <c r="IF139" s="257"/>
      <c r="IG139" s="257"/>
      <c r="IH139" s="257"/>
      <c r="II139" s="257"/>
      <c r="IJ139" s="257"/>
      <c r="IK139" s="257"/>
      <c r="IL139" s="257"/>
      <c r="IM139" s="257"/>
      <c r="IN139" s="257"/>
      <c r="IO139" s="257"/>
      <c r="IP139" s="257"/>
      <c r="IQ139" s="257"/>
      <c r="IR139" s="257"/>
      <c r="IS139" s="257"/>
      <c r="IT139" s="257"/>
      <c r="IU139" s="257"/>
      <c r="IV139" s="257"/>
      <c r="IW139" s="257"/>
      <c r="IX139" s="257"/>
      <c r="IY139" s="257"/>
      <c r="IZ139" s="257"/>
      <c r="JA139" s="257"/>
      <c r="JB139" s="257"/>
      <c r="JC139" s="257"/>
      <c r="JD139" s="257"/>
      <c r="JE139" s="257"/>
      <c r="JF139" s="238"/>
      <c r="JG139" s="238"/>
      <c r="JH139" s="238"/>
      <c r="JI139" s="238"/>
      <c r="JJ139" s="238"/>
      <c r="JK139" s="238"/>
      <c r="JL139" s="238"/>
      <c r="JM139" s="238"/>
      <c r="JN139" s="238"/>
      <c r="JO139" s="238"/>
      <c r="JP139" s="238"/>
      <c r="JQ139" s="238"/>
      <c r="JR139" s="238"/>
      <c r="JS139" s="238"/>
      <c r="JT139" s="238"/>
      <c r="JU139" s="238"/>
      <c r="JV139" s="238"/>
      <c r="JW139" s="238"/>
      <c r="JX139" s="238"/>
      <c r="JY139" s="238"/>
      <c r="JZ139" s="238"/>
      <c r="KA139" s="238"/>
      <c r="KB139" s="238"/>
      <c r="KC139" s="238"/>
      <c r="KD139" s="238"/>
      <c r="KE139" s="238"/>
      <c r="KF139" s="238"/>
      <c r="KG139" s="238"/>
      <c r="KH139" s="238"/>
      <c r="KI139" s="238"/>
      <c r="KJ139" s="238"/>
      <c r="KK139" s="238"/>
      <c r="KL139" s="238"/>
      <c r="KM139" s="238"/>
      <c r="KN139" s="238"/>
      <c r="KO139" s="238"/>
      <c r="KP139" s="238"/>
      <c r="KQ139" s="238"/>
      <c r="KR139" s="238"/>
      <c r="KS139" s="238"/>
      <c r="KT139" s="238"/>
      <c r="KU139" s="238"/>
      <c r="KV139" s="238"/>
      <c r="KW139" s="238"/>
      <c r="KX139" s="238"/>
      <c r="KY139" s="238"/>
      <c r="KZ139" s="238"/>
      <c r="LA139" s="238"/>
      <c r="LB139" s="238"/>
      <c r="LC139" s="238"/>
      <c r="LD139" s="238"/>
      <c r="LE139" s="238"/>
      <c r="LF139" s="238"/>
      <c r="LG139" s="238"/>
      <c r="LH139" s="238"/>
      <c r="LI139" s="238"/>
      <c r="LJ139" s="238"/>
      <c r="LK139" s="238"/>
      <c r="LL139" s="238"/>
      <c r="LM139" s="238"/>
      <c r="LN139" s="238"/>
      <c r="LO139" s="238"/>
      <c r="LP139" s="238"/>
      <c r="LQ139" s="238"/>
      <c r="LR139" s="238"/>
      <c r="LS139" s="238"/>
      <c r="LT139" s="238"/>
      <c r="LU139" s="238"/>
      <c r="LV139" s="238"/>
      <c r="LW139" s="238"/>
      <c r="LX139" s="238"/>
      <c r="LY139" s="238"/>
      <c r="LZ139" s="238"/>
      <c r="MA139" s="238"/>
      <c r="MB139" s="238"/>
      <c r="MC139" s="238"/>
      <c r="MD139" s="238"/>
      <c r="ME139" s="238"/>
      <c r="MF139" s="238"/>
      <c r="MG139" s="238"/>
      <c r="MH139" s="238"/>
      <c r="MI139" s="238"/>
      <c r="MJ139" s="238"/>
      <c r="MK139" s="238"/>
      <c r="ML139" s="238"/>
    </row>
    <row r="140" ht="18.75" customHeight="1">
      <c r="A140" s="283"/>
      <c r="B140" s="234" t="str">
        <f>'Building Bill of Materials_SLIM'!P140</f>
        <v/>
      </c>
      <c r="C140" s="234" t="str">
        <f>'Building Bill of Materials_SLIM'!Q140</f>
        <v/>
      </c>
      <c r="D140" s="234" t="str">
        <f>'Building Bill of Materials_SLIM'!R140</f>
        <v/>
      </c>
      <c r="E140" s="234" t="str">
        <f>'Building Bill of Materials_SLIM'!S140</f>
        <v/>
      </c>
      <c r="F140" s="234" t="str">
        <f>'Building Bill of Materials_SLIM'!U140</f>
        <v/>
      </c>
      <c r="G140" s="234"/>
      <c r="H140" s="234"/>
      <c r="I140" s="234"/>
      <c r="J140" s="234" t="str">
        <f>'Building Bill of Materials_SLIM'!V140</f>
        <v/>
      </c>
      <c r="K140" s="238"/>
      <c r="L140" s="238"/>
      <c r="M140" s="238"/>
      <c r="N140" s="238"/>
      <c r="O140" s="238"/>
      <c r="P140" s="238"/>
      <c r="Q140" s="238"/>
      <c r="R140" s="238"/>
      <c r="S140" s="238"/>
      <c r="T140" s="238"/>
      <c r="U140" s="238"/>
      <c r="V140" s="238"/>
      <c r="W140" s="238"/>
      <c r="X140" s="238"/>
      <c r="Y140" s="238"/>
      <c r="Z140" s="238"/>
      <c r="AA140" s="192"/>
      <c r="AB140" s="257"/>
      <c r="AC140" s="257"/>
      <c r="AD140" s="257"/>
      <c r="AE140" s="257"/>
      <c r="AF140" s="257"/>
      <c r="AG140" s="257"/>
      <c r="AH140" s="257"/>
      <c r="AI140" s="257"/>
      <c r="AJ140" s="257"/>
      <c r="AK140" s="257"/>
      <c r="AL140" s="257"/>
      <c r="AM140" s="257"/>
      <c r="AN140" s="257"/>
      <c r="AO140" s="257"/>
      <c r="AP140" s="257"/>
      <c r="AQ140" s="257"/>
      <c r="AR140" s="257"/>
      <c r="AS140" s="257"/>
      <c r="AT140" s="257"/>
      <c r="AU140" s="257"/>
      <c r="AV140" s="257"/>
      <c r="AW140" s="257"/>
      <c r="AX140" s="257"/>
      <c r="AY140" s="257"/>
      <c r="AZ140" s="257"/>
      <c r="BA140" s="257"/>
      <c r="BB140" s="257"/>
      <c r="BC140" s="257"/>
      <c r="BD140" s="257"/>
      <c r="BE140" s="257"/>
      <c r="BF140" s="257"/>
      <c r="BG140" s="257"/>
      <c r="BH140" s="257"/>
      <c r="BI140" s="257"/>
      <c r="BJ140" s="238"/>
      <c r="BK140" s="238"/>
      <c r="BL140" s="238"/>
      <c r="BM140" s="238"/>
      <c r="BN140" s="238"/>
      <c r="BO140" s="238"/>
      <c r="BP140" s="238"/>
      <c r="BQ140" s="238"/>
      <c r="BR140" s="238"/>
      <c r="BS140" s="238"/>
      <c r="BT140" s="238"/>
      <c r="BU140" s="238"/>
      <c r="BV140" s="238"/>
      <c r="BW140" s="238"/>
      <c r="BX140" s="238"/>
      <c r="BY140" s="238"/>
      <c r="BZ140" s="238"/>
      <c r="CA140" s="238"/>
      <c r="CB140" s="238"/>
      <c r="CC140" s="238"/>
      <c r="CD140" s="238"/>
      <c r="CE140" s="257"/>
      <c r="CF140" s="257"/>
      <c r="CG140" s="238"/>
      <c r="CH140" s="238"/>
      <c r="CI140" s="238"/>
      <c r="CJ140" s="238"/>
      <c r="CK140" s="238"/>
      <c r="CL140" s="238"/>
      <c r="CM140" s="238"/>
      <c r="CN140" s="238"/>
      <c r="CO140" s="238"/>
      <c r="CP140" s="238"/>
      <c r="CQ140" s="238"/>
      <c r="CR140" s="238"/>
      <c r="CS140" s="238"/>
      <c r="CT140" s="238"/>
      <c r="CU140" s="238"/>
      <c r="CV140" s="238"/>
      <c r="CW140" s="238"/>
      <c r="CX140" s="238"/>
      <c r="CY140" s="238"/>
      <c r="CZ140" s="238"/>
      <c r="DA140" s="238"/>
      <c r="DB140" s="238"/>
      <c r="DC140" s="238"/>
      <c r="DD140" s="238"/>
      <c r="DE140" s="238"/>
      <c r="DF140" s="238"/>
      <c r="DG140" s="257"/>
      <c r="DH140" s="238"/>
      <c r="DI140" s="238"/>
      <c r="DJ140" s="238"/>
      <c r="DK140" s="238"/>
      <c r="DL140" s="238"/>
      <c r="DM140" s="238"/>
      <c r="DN140" s="238"/>
      <c r="DO140" s="238"/>
      <c r="DP140" s="238"/>
      <c r="DQ140" s="238"/>
      <c r="DR140" s="238"/>
      <c r="DS140" s="238"/>
      <c r="DT140" s="238"/>
      <c r="DU140" s="238"/>
      <c r="DV140" s="238"/>
      <c r="DW140" s="238"/>
      <c r="DX140" s="238"/>
      <c r="DY140" s="238"/>
      <c r="DZ140" s="238"/>
      <c r="EA140" s="238"/>
      <c r="EB140" s="238"/>
      <c r="EC140" s="238"/>
      <c r="ED140" s="238"/>
      <c r="EE140" s="238"/>
      <c r="EF140" s="238"/>
      <c r="EG140" s="238"/>
      <c r="EH140" s="238"/>
      <c r="EI140" s="238"/>
      <c r="EJ140" s="238"/>
      <c r="EK140" s="238"/>
      <c r="EL140" s="238"/>
      <c r="EM140" s="238"/>
      <c r="EN140" s="238"/>
      <c r="EO140" s="238"/>
      <c r="EP140" s="238"/>
      <c r="EQ140" s="238"/>
      <c r="ER140" s="238"/>
      <c r="ES140" s="238"/>
      <c r="ET140" s="238"/>
      <c r="EU140" s="238"/>
      <c r="EV140" s="238"/>
      <c r="EW140" s="238"/>
      <c r="EX140" s="238"/>
      <c r="EY140" s="238"/>
      <c r="EZ140" s="238"/>
      <c r="FA140" s="238"/>
      <c r="FB140" s="238"/>
      <c r="FC140" s="238"/>
      <c r="FD140" s="238"/>
      <c r="FE140" s="238"/>
      <c r="FF140" s="238"/>
      <c r="FG140" s="238"/>
      <c r="FH140" s="257"/>
      <c r="FI140" s="257"/>
      <c r="FJ140" s="257"/>
      <c r="FK140" s="257"/>
      <c r="FL140" s="257"/>
      <c r="FM140" s="257"/>
      <c r="FN140" s="257"/>
      <c r="FO140" s="257"/>
      <c r="FP140" s="257"/>
      <c r="FQ140" s="257"/>
      <c r="FR140" s="257"/>
      <c r="FS140" s="257"/>
      <c r="FT140" s="257"/>
      <c r="FU140" s="257"/>
      <c r="FV140" s="257"/>
      <c r="FW140" s="257"/>
      <c r="FX140" s="257"/>
      <c r="FY140" s="238"/>
      <c r="FZ140" s="238"/>
      <c r="GA140" s="238"/>
      <c r="GB140" s="238"/>
      <c r="GC140" s="238"/>
      <c r="GD140" s="238"/>
      <c r="GE140" s="238"/>
      <c r="GF140" s="238"/>
      <c r="GG140" s="238"/>
      <c r="GH140" s="238"/>
      <c r="GI140" s="238"/>
      <c r="GJ140" s="238"/>
      <c r="GK140" s="238"/>
      <c r="GL140" s="238"/>
      <c r="GM140" s="238"/>
      <c r="GN140" s="238"/>
      <c r="GO140" s="238"/>
      <c r="GP140" s="238"/>
      <c r="GQ140" s="238"/>
      <c r="GR140" s="238"/>
      <c r="GS140" s="238"/>
      <c r="GT140" s="238"/>
      <c r="GU140" s="238"/>
      <c r="GV140" s="238"/>
      <c r="GW140" s="238"/>
      <c r="GX140" s="238"/>
      <c r="GY140" s="238"/>
      <c r="GZ140" s="238"/>
      <c r="HA140" s="238"/>
      <c r="HB140" s="238"/>
      <c r="HC140" s="238"/>
      <c r="HD140" s="238"/>
      <c r="HE140" s="238"/>
      <c r="HF140" s="238"/>
      <c r="HG140" s="238"/>
      <c r="HH140" s="238"/>
      <c r="HI140" s="238"/>
      <c r="HJ140" s="238"/>
      <c r="HK140" s="238"/>
      <c r="HL140" s="238"/>
      <c r="HM140" s="238"/>
      <c r="HN140" s="238"/>
      <c r="HO140" s="238"/>
      <c r="HP140" s="238"/>
      <c r="HQ140" s="238"/>
      <c r="HR140" s="238"/>
      <c r="HS140" s="238"/>
      <c r="HT140" s="238"/>
      <c r="HU140" s="238"/>
      <c r="HV140" s="238"/>
      <c r="HW140" s="238"/>
      <c r="HX140" s="257"/>
      <c r="HY140" s="257"/>
      <c r="HZ140" s="257"/>
      <c r="IA140" s="257"/>
      <c r="IB140" s="257"/>
      <c r="IC140" s="257"/>
      <c r="ID140" s="257"/>
      <c r="IE140" s="257"/>
      <c r="IF140" s="257"/>
      <c r="IG140" s="257"/>
      <c r="IH140" s="257"/>
      <c r="II140" s="257"/>
      <c r="IJ140" s="257"/>
      <c r="IK140" s="257"/>
      <c r="IL140" s="257"/>
      <c r="IM140" s="257"/>
      <c r="IN140" s="257"/>
      <c r="IO140" s="257"/>
      <c r="IP140" s="257"/>
      <c r="IQ140" s="257"/>
      <c r="IR140" s="257"/>
      <c r="IS140" s="257"/>
      <c r="IT140" s="257"/>
      <c r="IU140" s="257"/>
      <c r="IV140" s="257"/>
      <c r="IW140" s="257"/>
      <c r="IX140" s="257"/>
      <c r="IY140" s="257"/>
      <c r="IZ140" s="257"/>
      <c r="JA140" s="257"/>
      <c r="JB140" s="257"/>
      <c r="JC140" s="257"/>
      <c r="JD140" s="257"/>
      <c r="JE140" s="257"/>
      <c r="JF140" s="238"/>
      <c r="JG140" s="238"/>
      <c r="JH140" s="238"/>
      <c r="JI140" s="238"/>
      <c r="JJ140" s="238"/>
      <c r="JK140" s="238"/>
      <c r="JL140" s="238"/>
      <c r="JM140" s="238"/>
      <c r="JN140" s="238"/>
      <c r="JO140" s="238"/>
      <c r="JP140" s="238"/>
      <c r="JQ140" s="238"/>
      <c r="JR140" s="238"/>
      <c r="JS140" s="238"/>
      <c r="JT140" s="238"/>
      <c r="JU140" s="238"/>
      <c r="JV140" s="238"/>
      <c r="JW140" s="238"/>
      <c r="JX140" s="238"/>
      <c r="JY140" s="238"/>
      <c r="JZ140" s="238"/>
      <c r="KA140" s="238"/>
      <c r="KB140" s="238"/>
      <c r="KC140" s="238"/>
      <c r="KD140" s="238"/>
      <c r="KE140" s="238"/>
      <c r="KF140" s="238"/>
      <c r="KG140" s="238"/>
      <c r="KH140" s="238"/>
      <c r="KI140" s="238"/>
      <c r="KJ140" s="238"/>
      <c r="KK140" s="238"/>
      <c r="KL140" s="238"/>
      <c r="KM140" s="238"/>
      <c r="KN140" s="238"/>
      <c r="KO140" s="238"/>
      <c r="KP140" s="238"/>
      <c r="KQ140" s="238"/>
      <c r="KR140" s="238"/>
      <c r="KS140" s="238"/>
      <c r="KT140" s="238"/>
      <c r="KU140" s="238"/>
      <c r="KV140" s="238"/>
      <c r="KW140" s="238"/>
      <c r="KX140" s="238"/>
      <c r="KY140" s="238"/>
      <c r="KZ140" s="238"/>
      <c r="LA140" s="238"/>
      <c r="LB140" s="238"/>
      <c r="LC140" s="238"/>
      <c r="LD140" s="238"/>
      <c r="LE140" s="238"/>
      <c r="LF140" s="238"/>
      <c r="LG140" s="238"/>
      <c r="LH140" s="238"/>
      <c r="LI140" s="238"/>
      <c r="LJ140" s="238"/>
      <c r="LK140" s="238"/>
      <c r="LL140" s="238"/>
      <c r="LM140" s="238"/>
      <c r="LN140" s="238"/>
      <c r="LO140" s="238"/>
      <c r="LP140" s="238"/>
      <c r="LQ140" s="238"/>
      <c r="LR140" s="238"/>
      <c r="LS140" s="238"/>
      <c r="LT140" s="238"/>
      <c r="LU140" s="238"/>
      <c r="LV140" s="238"/>
      <c r="LW140" s="238"/>
      <c r="LX140" s="238"/>
      <c r="LY140" s="238"/>
      <c r="LZ140" s="238"/>
      <c r="MA140" s="238"/>
      <c r="MB140" s="238"/>
      <c r="MC140" s="238"/>
      <c r="MD140" s="238"/>
      <c r="ME140" s="238"/>
      <c r="MF140" s="238"/>
      <c r="MG140" s="238"/>
      <c r="MH140" s="238"/>
      <c r="MI140" s="238"/>
      <c r="MJ140" s="238"/>
      <c r="MK140" s="238"/>
      <c r="ML140" s="238"/>
    </row>
    <row r="141" ht="18.75" customHeight="1">
      <c r="A141" s="283"/>
      <c r="B141" s="234" t="str">
        <f>'Building Bill of Materials_SLIM'!P141</f>
        <v/>
      </c>
      <c r="C141" s="234" t="str">
        <f>'Building Bill of Materials_SLIM'!Q141</f>
        <v/>
      </c>
      <c r="D141" s="234" t="str">
        <f>'Building Bill of Materials_SLIM'!R141</f>
        <v/>
      </c>
      <c r="E141" s="234" t="str">
        <f>'Building Bill of Materials_SLIM'!S141</f>
        <v/>
      </c>
      <c r="F141" s="234" t="str">
        <f>'Building Bill of Materials_SLIM'!U141</f>
        <v/>
      </c>
      <c r="G141" s="234"/>
      <c r="H141" s="234"/>
      <c r="I141" s="234"/>
      <c r="J141" s="234" t="str">
        <f>'Building Bill of Materials_SLIM'!V141</f>
        <v/>
      </c>
      <c r="K141" s="238"/>
      <c r="L141" s="238"/>
      <c r="M141" s="238"/>
      <c r="N141" s="238"/>
      <c r="O141" s="238"/>
      <c r="P141" s="238"/>
      <c r="Q141" s="238"/>
      <c r="R141" s="238"/>
      <c r="S141" s="238"/>
      <c r="T141" s="238"/>
      <c r="U141" s="238"/>
      <c r="V141" s="238"/>
      <c r="W141" s="238"/>
      <c r="X141" s="238"/>
      <c r="Y141" s="238"/>
      <c r="Z141" s="238"/>
      <c r="AA141" s="192"/>
      <c r="AB141" s="257"/>
      <c r="AC141" s="257"/>
      <c r="AD141" s="257"/>
      <c r="AE141" s="257"/>
      <c r="AF141" s="257"/>
      <c r="AG141" s="257"/>
      <c r="AH141" s="257"/>
      <c r="AI141" s="257"/>
      <c r="AJ141" s="257"/>
      <c r="AK141" s="257"/>
      <c r="AL141" s="257"/>
      <c r="AM141" s="257"/>
      <c r="AN141" s="257"/>
      <c r="AO141" s="257"/>
      <c r="AP141" s="257"/>
      <c r="AQ141" s="257"/>
      <c r="AR141" s="257"/>
      <c r="AS141" s="257"/>
      <c r="AT141" s="257"/>
      <c r="AU141" s="257"/>
      <c r="AV141" s="257"/>
      <c r="AW141" s="257"/>
      <c r="AX141" s="257"/>
      <c r="AY141" s="257"/>
      <c r="AZ141" s="257"/>
      <c r="BA141" s="257"/>
      <c r="BB141" s="257"/>
      <c r="BC141" s="257"/>
      <c r="BD141" s="257"/>
      <c r="BE141" s="257"/>
      <c r="BF141" s="257"/>
      <c r="BG141" s="257"/>
      <c r="BH141" s="257"/>
      <c r="BI141" s="257"/>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57"/>
      <c r="CF141" s="257"/>
      <c r="CG141" s="238"/>
      <c r="CH141" s="238"/>
      <c r="CI141" s="238"/>
      <c r="CJ141" s="238"/>
      <c r="CK141" s="238"/>
      <c r="CL141" s="238"/>
      <c r="CM141" s="238"/>
      <c r="CN141" s="238"/>
      <c r="CO141" s="238"/>
      <c r="CP141" s="238"/>
      <c r="CQ141" s="238"/>
      <c r="CR141" s="238"/>
      <c r="CS141" s="238"/>
      <c r="CT141" s="238"/>
      <c r="CU141" s="238"/>
      <c r="CV141" s="238"/>
      <c r="CW141" s="238"/>
      <c r="CX141" s="238"/>
      <c r="CY141" s="238"/>
      <c r="CZ141" s="238"/>
      <c r="DA141" s="238"/>
      <c r="DB141" s="238"/>
      <c r="DC141" s="238"/>
      <c r="DD141" s="238"/>
      <c r="DE141" s="238"/>
      <c r="DF141" s="238"/>
      <c r="DG141" s="257"/>
      <c r="DH141" s="238"/>
      <c r="DI141" s="238"/>
      <c r="DJ141" s="238"/>
      <c r="DK141" s="238"/>
      <c r="DL141" s="238"/>
      <c r="DM141" s="238"/>
      <c r="DN141" s="238"/>
      <c r="DO141" s="238"/>
      <c r="DP141" s="238"/>
      <c r="DQ141" s="238"/>
      <c r="DR141" s="238"/>
      <c r="DS141" s="238"/>
      <c r="DT141" s="238"/>
      <c r="DU141" s="238"/>
      <c r="DV141" s="238"/>
      <c r="DW141" s="238"/>
      <c r="DX141" s="238"/>
      <c r="DY141" s="238"/>
      <c r="DZ141" s="238"/>
      <c r="EA141" s="238"/>
      <c r="EB141" s="238"/>
      <c r="EC141" s="238"/>
      <c r="ED141" s="238"/>
      <c r="EE141" s="238"/>
      <c r="EF141" s="238"/>
      <c r="EG141" s="238"/>
      <c r="EH141" s="238"/>
      <c r="EI141" s="238"/>
      <c r="EJ141" s="238"/>
      <c r="EK141" s="238"/>
      <c r="EL141" s="238"/>
      <c r="EM141" s="238"/>
      <c r="EN141" s="238"/>
      <c r="EO141" s="238"/>
      <c r="EP141" s="238"/>
      <c r="EQ141" s="238"/>
      <c r="ER141" s="238"/>
      <c r="ES141" s="238"/>
      <c r="ET141" s="238"/>
      <c r="EU141" s="238"/>
      <c r="EV141" s="238"/>
      <c r="EW141" s="238"/>
      <c r="EX141" s="238"/>
      <c r="EY141" s="238"/>
      <c r="EZ141" s="238"/>
      <c r="FA141" s="238"/>
      <c r="FB141" s="238"/>
      <c r="FC141" s="238"/>
      <c r="FD141" s="238"/>
      <c r="FE141" s="238"/>
      <c r="FF141" s="238"/>
      <c r="FG141" s="238"/>
      <c r="FH141" s="257"/>
      <c r="FI141" s="257"/>
      <c r="FJ141" s="257"/>
      <c r="FK141" s="257"/>
      <c r="FL141" s="257"/>
      <c r="FM141" s="257"/>
      <c r="FN141" s="257"/>
      <c r="FO141" s="257"/>
      <c r="FP141" s="257"/>
      <c r="FQ141" s="257"/>
      <c r="FR141" s="257"/>
      <c r="FS141" s="257"/>
      <c r="FT141" s="257"/>
      <c r="FU141" s="257"/>
      <c r="FV141" s="257"/>
      <c r="FW141" s="257"/>
      <c r="FX141" s="257"/>
      <c r="FY141" s="238"/>
      <c r="FZ141" s="238"/>
      <c r="GA141" s="238"/>
      <c r="GB141" s="238"/>
      <c r="GC141" s="238"/>
      <c r="GD141" s="238"/>
      <c r="GE141" s="238"/>
      <c r="GF141" s="238"/>
      <c r="GG141" s="238"/>
      <c r="GH141" s="238"/>
      <c r="GI141" s="238"/>
      <c r="GJ141" s="238"/>
      <c r="GK141" s="238"/>
      <c r="GL141" s="238"/>
      <c r="GM141" s="238"/>
      <c r="GN141" s="238"/>
      <c r="GO141" s="238"/>
      <c r="GP141" s="238"/>
      <c r="GQ141" s="238"/>
      <c r="GR141" s="238"/>
      <c r="GS141" s="238"/>
      <c r="GT141" s="238"/>
      <c r="GU141" s="238"/>
      <c r="GV141" s="238"/>
      <c r="GW141" s="238"/>
      <c r="GX141" s="238"/>
      <c r="GY141" s="238"/>
      <c r="GZ141" s="238"/>
      <c r="HA141" s="238"/>
      <c r="HB141" s="238"/>
      <c r="HC141" s="238"/>
      <c r="HD141" s="238"/>
      <c r="HE141" s="238"/>
      <c r="HF141" s="238"/>
      <c r="HG141" s="238"/>
      <c r="HH141" s="238"/>
      <c r="HI141" s="238"/>
      <c r="HJ141" s="238"/>
      <c r="HK141" s="238"/>
      <c r="HL141" s="238"/>
      <c r="HM141" s="238"/>
      <c r="HN141" s="238"/>
      <c r="HO141" s="238"/>
      <c r="HP141" s="238"/>
      <c r="HQ141" s="238"/>
      <c r="HR141" s="238"/>
      <c r="HS141" s="238"/>
      <c r="HT141" s="238"/>
      <c r="HU141" s="238"/>
      <c r="HV141" s="238"/>
      <c r="HW141" s="238"/>
      <c r="HX141" s="257"/>
      <c r="HY141" s="257"/>
      <c r="HZ141" s="257"/>
      <c r="IA141" s="257"/>
      <c r="IB141" s="257"/>
      <c r="IC141" s="257"/>
      <c r="ID141" s="257"/>
      <c r="IE141" s="257"/>
      <c r="IF141" s="257"/>
      <c r="IG141" s="257"/>
      <c r="IH141" s="257"/>
      <c r="II141" s="257"/>
      <c r="IJ141" s="257"/>
      <c r="IK141" s="257"/>
      <c r="IL141" s="257"/>
      <c r="IM141" s="257"/>
      <c r="IN141" s="257"/>
      <c r="IO141" s="257"/>
      <c r="IP141" s="257"/>
      <c r="IQ141" s="257"/>
      <c r="IR141" s="257"/>
      <c r="IS141" s="257"/>
      <c r="IT141" s="257"/>
      <c r="IU141" s="257"/>
      <c r="IV141" s="257"/>
      <c r="IW141" s="257"/>
      <c r="IX141" s="257"/>
      <c r="IY141" s="257"/>
      <c r="IZ141" s="257"/>
      <c r="JA141" s="257"/>
      <c r="JB141" s="257"/>
      <c r="JC141" s="257"/>
      <c r="JD141" s="257"/>
      <c r="JE141" s="257"/>
      <c r="JF141" s="238"/>
      <c r="JG141" s="238"/>
      <c r="JH141" s="238"/>
      <c r="JI141" s="238"/>
      <c r="JJ141" s="238"/>
      <c r="JK141" s="238"/>
      <c r="JL141" s="238"/>
      <c r="JM141" s="238"/>
      <c r="JN141" s="238"/>
      <c r="JO141" s="238"/>
      <c r="JP141" s="238"/>
      <c r="JQ141" s="238"/>
      <c r="JR141" s="238"/>
      <c r="JS141" s="238"/>
      <c r="JT141" s="238"/>
      <c r="JU141" s="238"/>
      <c r="JV141" s="238"/>
      <c r="JW141" s="238"/>
      <c r="JX141" s="238"/>
      <c r="JY141" s="238"/>
      <c r="JZ141" s="238"/>
      <c r="KA141" s="238"/>
      <c r="KB141" s="238"/>
      <c r="KC141" s="238"/>
      <c r="KD141" s="238"/>
      <c r="KE141" s="238"/>
      <c r="KF141" s="238"/>
      <c r="KG141" s="238"/>
      <c r="KH141" s="238"/>
      <c r="KI141" s="238"/>
      <c r="KJ141" s="238"/>
      <c r="KK141" s="238"/>
      <c r="KL141" s="238"/>
      <c r="KM141" s="238"/>
      <c r="KN141" s="238"/>
      <c r="KO141" s="238"/>
      <c r="KP141" s="238"/>
      <c r="KQ141" s="238"/>
      <c r="KR141" s="238"/>
      <c r="KS141" s="238"/>
      <c r="KT141" s="238"/>
      <c r="KU141" s="238"/>
      <c r="KV141" s="238"/>
      <c r="KW141" s="238"/>
      <c r="KX141" s="238"/>
      <c r="KY141" s="238"/>
      <c r="KZ141" s="238"/>
      <c r="LA141" s="238"/>
      <c r="LB141" s="238"/>
      <c r="LC141" s="238"/>
      <c r="LD141" s="238"/>
      <c r="LE141" s="238"/>
      <c r="LF141" s="238"/>
      <c r="LG141" s="238"/>
      <c r="LH141" s="238"/>
      <c r="LI141" s="238"/>
      <c r="LJ141" s="238"/>
      <c r="LK141" s="238"/>
      <c r="LL141" s="238"/>
      <c r="LM141" s="238"/>
      <c r="LN141" s="238"/>
      <c r="LO141" s="238"/>
      <c r="LP141" s="238"/>
      <c r="LQ141" s="238"/>
      <c r="LR141" s="238"/>
      <c r="LS141" s="238"/>
      <c r="LT141" s="238"/>
      <c r="LU141" s="238"/>
      <c r="LV141" s="238"/>
      <c r="LW141" s="238"/>
      <c r="LX141" s="238"/>
      <c r="LY141" s="238"/>
      <c r="LZ141" s="238"/>
      <c r="MA141" s="238"/>
      <c r="MB141" s="238"/>
      <c r="MC141" s="238"/>
      <c r="MD141" s="238"/>
      <c r="ME141" s="238"/>
      <c r="MF141" s="238"/>
      <c r="MG141" s="238"/>
      <c r="MH141" s="238"/>
      <c r="MI141" s="238"/>
      <c r="MJ141" s="238"/>
      <c r="MK141" s="238"/>
      <c r="ML141" s="238"/>
    </row>
    <row r="142" ht="18.75" customHeight="1">
      <c r="A142" s="283"/>
      <c r="B142" s="234" t="str">
        <f>'Building Bill of Materials_SLIM'!P142</f>
        <v/>
      </c>
      <c r="C142" s="234" t="str">
        <f>'Building Bill of Materials_SLIM'!Q142</f>
        <v/>
      </c>
      <c r="D142" s="234" t="str">
        <f>'Building Bill of Materials_SLIM'!R142</f>
        <v/>
      </c>
      <c r="E142" s="234" t="str">
        <f>'Building Bill of Materials_SLIM'!S142</f>
        <v/>
      </c>
      <c r="F142" s="234" t="str">
        <f>'Building Bill of Materials_SLIM'!U142</f>
        <v/>
      </c>
      <c r="G142" s="234"/>
      <c r="H142" s="234"/>
      <c r="I142" s="234"/>
      <c r="J142" s="234" t="str">
        <f>'Building Bill of Materials_SLIM'!V142</f>
        <v/>
      </c>
      <c r="K142" s="238"/>
      <c r="L142" s="238"/>
      <c r="M142" s="238"/>
      <c r="N142" s="238"/>
      <c r="O142" s="238"/>
      <c r="P142" s="238"/>
      <c r="Q142" s="238"/>
      <c r="R142" s="238"/>
      <c r="S142" s="238"/>
      <c r="T142" s="238"/>
      <c r="U142" s="238"/>
      <c r="V142" s="238"/>
      <c r="W142" s="238"/>
      <c r="X142" s="238"/>
      <c r="Y142" s="238"/>
      <c r="Z142" s="238"/>
      <c r="AA142" s="192"/>
      <c r="AB142" s="257"/>
      <c r="AC142" s="257"/>
      <c r="AD142" s="257"/>
      <c r="AE142" s="257"/>
      <c r="AF142" s="257"/>
      <c r="AG142" s="257"/>
      <c r="AH142" s="257"/>
      <c r="AI142" s="257"/>
      <c r="AJ142" s="257"/>
      <c r="AK142" s="257"/>
      <c r="AL142" s="257"/>
      <c r="AM142" s="257"/>
      <c r="AN142" s="257"/>
      <c r="AO142" s="257"/>
      <c r="AP142" s="257"/>
      <c r="AQ142" s="257"/>
      <c r="AR142" s="257"/>
      <c r="AS142" s="257"/>
      <c r="AT142" s="257"/>
      <c r="AU142" s="257"/>
      <c r="AV142" s="257"/>
      <c r="AW142" s="257"/>
      <c r="AX142" s="257"/>
      <c r="AY142" s="257"/>
      <c r="AZ142" s="257"/>
      <c r="BA142" s="257"/>
      <c r="BB142" s="257"/>
      <c r="BC142" s="257"/>
      <c r="BD142" s="257"/>
      <c r="BE142" s="257"/>
      <c r="BF142" s="257"/>
      <c r="BG142" s="257"/>
      <c r="BH142" s="257"/>
      <c r="BI142" s="257"/>
      <c r="BJ142" s="238"/>
      <c r="BK142" s="238"/>
      <c r="BL142" s="238"/>
      <c r="BM142" s="238"/>
      <c r="BN142" s="238"/>
      <c r="BO142" s="238"/>
      <c r="BP142" s="238"/>
      <c r="BQ142" s="238"/>
      <c r="BR142" s="238"/>
      <c r="BS142" s="238"/>
      <c r="BT142" s="238"/>
      <c r="BU142" s="238"/>
      <c r="BV142" s="238"/>
      <c r="BW142" s="238"/>
      <c r="BX142" s="238"/>
      <c r="BY142" s="238"/>
      <c r="BZ142" s="238"/>
      <c r="CA142" s="238"/>
      <c r="CB142" s="238"/>
      <c r="CC142" s="238"/>
      <c r="CD142" s="238"/>
      <c r="CE142" s="257"/>
      <c r="CF142" s="257"/>
      <c r="CG142" s="238"/>
      <c r="CH142" s="238"/>
      <c r="CI142" s="238"/>
      <c r="CJ142" s="238"/>
      <c r="CK142" s="238"/>
      <c r="CL142" s="238"/>
      <c r="CM142" s="238"/>
      <c r="CN142" s="238"/>
      <c r="CO142" s="238"/>
      <c r="CP142" s="238"/>
      <c r="CQ142" s="238"/>
      <c r="CR142" s="238"/>
      <c r="CS142" s="238"/>
      <c r="CT142" s="238"/>
      <c r="CU142" s="238"/>
      <c r="CV142" s="238"/>
      <c r="CW142" s="238"/>
      <c r="CX142" s="238"/>
      <c r="CY142" s="238"/>
      <c r="CZ142" s="238"/>
      <c r="DA142" s="238"/>
      <c r="DB142" s="238"/>
      <c r="DC142" s="238"/>
      <c r="DD142" s="238"/>
      <c r="DE142" s="238"/>
      <c r="DF142" s="238"/>
      <c r="DG142" s="257"/>
      <c r="DH142" s="238"/>
      <c r="DI142" s="238"/>
      <c r="DJ142" s="238"/>
      <c r="DK142" s="238"/>
      <c r="DL142" s="238"/>
      <c r="DM142" s="238"/>
      <c r="DN142" s="238"/>
      <c r="DO142" s="238"/>
      <c r="DP142" s="238"/>
      <c r="DQ142" s="238"/>
      <c r="DR142" s="238"/>
      <c r="DS142" s="238"/>
      <c r="DT142" s="238"/>
      <c r="DU142" s="238"/>
      <c r="DV142" s="238"/>
      <c r="DW142" s="238"/>
      <c r="DX142" s="238"/>
      <c r="DY142" s="238"/>
      <c r="DZ142" s="238"/>
      <c r="EA142" s="238"/>
      <c r="EB142" s="238"/>
      <c r="EC142" s="238"/>
      <c r="ED142" s="238"/>
      <c r="EE142" s="238"/>
      <c r="EF142" s="238"/>
      <c r="EG142" s="238"/>
      <c r="EH142" s="238"/>
      <c r="EI142" s="238"/>
      <c r="EJ142" s="238"/>
      <c r="EK142" s="238"/>
      <c r="EL142" s="238"/>
      <c r="EM142" s="238"/>
      <c r="EN142" s="238"/>
      <c r="EO142" s="238"/>
      <c r="EP142" s="238"/>
      <c r="EQ142" s="238"/>
      <c r="ER142" s="238"/>
      <c r="ES142" s="238"/>
      <c r="ET142" s="238"/>
      <c r="EU142" s="238"/>
      <c r="EV142" s="238"/>
      <c r="EW142" s="238"/>
      <c r="EX142" s="238"/>
      <c r="EY142" s="238"/>
      <c r="EZ142" s="238"/>
      <c r="FA142" s="238"/>
      <c r="FB142" s="238"/>
      <c r="FC142" s="238"/>
      <c r="FD142" s="238"/>
      <c r="FE142" s="238"/>
      <c r="FF142" s="238"/>
      <c r="FG142" s="238"/>
      <c r="FH142" s="257"/>
      <c r="FI142" s="257"/>
      <c r="FJ142" s="257"/>
      <c r="FK142" s="257"/>
      <c r="FL142" s="257"/>
      <c r="FM142" s="257"/>
      <c r="FN142" s="257"/>
      <c r="FO142" s="257"/>
      <c r="FP142" s="257"/>
      <c r="FQ142" s="257"/>
      <c r="FR142" s="257"/>
      <c r="FS142" s="257"/>
      <c r="FT142" s="257"/>
      <c r="FU142" s="257"/>
      <c r="FV142" s="257"/>
      <c r="FW142" s="257"/>
      <c r="FX142" s="257"/>
      <c r="FY142" s="238"/>
      <c r="FZ142" s="238"/>
      <c r="GA142" s="238"/>
      <c r="GB142" s="238"/>
      <c r="GC142" s="238"/>
      <c r="GD142" s="238"/>
      <c r="GE142" s="238"/>
      <c r="GF142" s="238"/>
      <c r="GG142" s="238"/>
      <c r="GH142" s="238"/>
      <c r="GI142" s="238"/>
      <c r="GJ142" s="238"/>
      <c r="GK142" s="238"/>
      <c r="GL142" s="238"/>
      <c r="GM142" s="238"/>
      <c r="GN142" s="238"/>
      <c r="GO142" s="238"/>
      <c r="GP142" s="238"/>
      <c r="GQ142" s="238"/>
      <c r="GR142" s="238"/>
      <c r="GS142" s="238"/>
      <c r="GT142" s="238"/>
      <c r="GU142" s="238"/>
      <c r="GV142" s="238"/>
      <c r="GW142" s="238"/>
      <c r="GX142" s="238"/>
      <c r="GY142" s="238"/>
      <c r="GZ142" s="238"/>
      <c r="HA142" s="238"/>
      <c r="HB142" s="238"/>
      <c r="HC142" s="238"/>
      <c r="HD142" s="238"/>
      <c r="HE142" s="238"/>
      <c r="HF142" s="238"/>
      <c r="HG142" s="238"/>
      <c r="HH142" s="238"/>
      <c r="HI142" s="238"/>
      <c r="HJ142" s="238"/>
      <c r="HK142" s="238"/>
      <c r="HL142" s="238"/>
      <c r="HM142" s="238"/>
      <c r="HN142" s="238"/>
      <c r="HO142" s="238"/>
      <c r="HP142" s="238"/>
      <c r="HQ142" s="238"/>
      <c r="HR142" s="238"/>
      <c r="HS142" s="238"/>
      <c r="HT142" s="238"/>
      <c r="HU142" s="238"/>
      <c r="HV142" s="238"/>
      <c r="HW142" s="238"/>
      <c r="HX142" s="257"/>
      <c r="HY142" s="257"/>
      <c r="HZ142" s="257"/>
      <c r="IA142" s="257"/>
      <c r="IB142" s="257"/>
      <c r="IC142" s="257"/>
      <c r="ID142" s="257"/>
      <c r="IE142" s="257"/>
      <c r="IF142" s="257"/>
      <c r="IG142" s="257"/>
      <c r="IH142" s="257"/>
      <c r="II142" s="257"/>
      <c r="IJ142" s="257"/>
      <c r="IK142" s="257"/>
      <c r="IL142" s="257"/>
      <c r="IM142" s="257"/>
      <c r="IN142" s="257"/>
      <c r="IO142" s="257"/>
      <c r="IP142" s="257"/>
      <c r="IQ142" s="257"/>
      <c r="IR142" s="257"/>
      <c r="IS142" s="257"/>
      <c r="IT142" s="257"/>
      <c r="IU142" s="257"/>
      <c r="IV142" s="257"/>
      <c r="IW142" s="257"/>
      <c r="IX142" s="257"/>
      <c r="IY142" s="257"/>
      <c r="IZ142" s="257"/>
      <c r="JA142" s="257"/>
      <c r="JB142" s="257"/>
      <c r="JC142" s="257"/>
      <c r="JD142" s="257"/>
      <c r="JE142" s="257"/>
      <c r="JF142" s="238"/>
      <c r="JG142" s="238"/>
      <c r="JH142" s="238"/>
      <c r="JI142" s="238"/>
      <c r="JJ142" s="238"/>
      <c r="JK142" s="238"/>
      <c r="JL142" s="238"/>
      <c r="JM142" s="238"/>
      <c r="JN142" s="238"/>
      <c r="JO142" s="238"/>
      <c r="JP142" s="238"/>
      <c r="JQ142" s="238"/>
      <c r="JR142" s="238"/>
      <c r="JS142" s="238"/>
      <c r="JT142" s="238"/>
      <c r="JU142" s="238"/>
      <c r="JV142" s="238"/>
      <c r="JW142" s="238"/>
      <c r="JX142" s="238"/>
      <c r="JY142" s="238"/>
      <c r="JZ142" s="238"/>
      <c r="KA142" s="238"/>
      <c r="KB142" s="238"/>
      <c r="KC142" s="238"/>
      <c r="KD142" s="238"/>
      <c r="KE142" s="238"/>
      <c r="KF142" s="238"/>
      <c r="KG142" s="238"/>
      <c r="KH142" s="238"/>
      <c r="KI142" s="238"/>
      <c r="KJ142" s="238"/>
      <c r="KK142" s="238"/>
      <c r="KL142" s="238"/>
      <c r="KM142" s="238"/>
      <c r="KN142" s="238"/>
      <c r="KO142" s="238"/>
      <c r="KP142" s="238"/>
      <c r="KQ142" s="238"/>
      <c r="KR142" s="238"/>
      <c r="KS142" s="238"/>
      <c r="KT142" s="238"/>
      <c r="KU142" s="238"/>
      <c r="KV142" s="238"/>
      <c r="KW142" s="238"/>
      <c r="KX142" s="238"/>
      <c r="KY142" s="238"/>
      <c r="KZ142" s="238"/>
      <c r="LA142" s="238"/>
      <c r="LB142" s="238"/>
      <c r="LC142" s="238"/>
      <c r="LD142" s="238"/>
      <c r="LE142" s="238"/>
      <c r="LF142" s="238"/>
      <c r="LG142" s="238"/>
      <c r="LH142" s="238"/>
      <c r="LI142" s="238"/>
      <c r="LJ142" s="238"/>
      <c r="LK142" s="238"/>
      <c r="LL142" s="238"/>
      <c r="LM142" s="238"/>
      <c r="LN142" s="238"/>
      <c r="LO142" s="238"/>
      <c r="LP142" s="238"/>
      <c r="LQ142" s="238"/>
      <c r="LR142" s="238"/>
      <c r="LS142" s="238"/>
      <c r="LT142" s="238"/>
      <c r="LU142" s="238"/>
      <c r="LV142" s="238"/>
      <c r="LW142" s="238"/>
      <c r="LX142" s="238"/>
      <c r="LY142" s="238"/>
      <c r="LZ142" s="238"/>
      <c r="MA142" s="238"/>
      <c r="MB142" s="238"/>
      <c r="MC142" s="238"/>
      <c r="MD142" s="238"/>
      <c r="ME142" s="238"/>
      <c r="MF142" s="238"/>
      <c r="MG142" s="238"/>
      <c r="MH142" s="238"/>
      <c r="MI142" s="238"/>
      <c r="MJ142" s="238"/>
      <c r="MK142" s="238"/>
      <c r="ML142" s="238"/>
    </row>
    <row r="143" ht="18.75" customHeight="1">
      <c r="A143" s="283"/>
      <c r="B143" s="234" t="str">
        <f>'Building Bill of Materials_SLIM'!P143</f>
        <v/>
      </c>
      <c r="C143" s="234" t="str">
        <f>'Building Bill of Materials_SLIM'!Q143</f>
        <v/>
      </c>
      <c r="D143" s="234" t="str">
        <f>'Building Bill of Materials_SLIM'!R143</f>
        <v/>
      </c>
      <c r="E143" s="234" t="str">
        <f>'Building Bill of Materials_SLIM'!S143</f>
        <v/>
      </c>
      <c r="F143" s="234" t="str">
        <f>'Building Bill of Materials_SLIM'!U143</f>
        <v/>
      </c>
      <c r="G143" s="234"/>
      <c r="H143" s="234"/>
      <c r="I143" s="234"/>
      <c r="J143" s="234" t="str">
        <f>'Building Bill of Materials_SLIM'!V143</f>
        <v/>
      </c>
      <c r="K143" s="238"/>
      <c r="L143" s="238"/>
      <c r="M143" s="238"/>
      <c r="N143" s="238"/>
      <c r="O143" s="238"/>
      <c r="P143" s="238"/>
      <c r="Q143" s="238"/>
      <c r="R143" s="238"/>
      <c r="S143" s="238"/>
      <c r="T143" s="238"/>
      <c r="U143" s="238"/>
      <c r="V143" s="238"/>
      <c r="W143" s="238"/>
      <c r="X143" s="238"/>
      <c r="Y143" s="238"/>
      <c r="Z143" s="238"/>
      <c r="AA143" s="192"/>
      <c r="AB143" s="257"/>
      <c r="AC143" s="257"/>
      <c r="AD143" s="257"/>
      <c r="AE143" s="257"/>
      <c r="AF143" s="257"/>
      <c r="AG143" s="257"/>
      <c r="AH143" s="257"/>
      <c r="AI143" s="257"/>
      <c r="AJ143" s="257"/>
      <c r="AK143" s="257"/>
      <c r="AL143" s="257"/>
      <c r="AM143" s="257"/>
      <c r="AN143" s="257"/>
      <c r="AO143" s="257"/>
      <c r="AP143" s="257"/>
      <c r="AQ143" s="257"/>
      <c r="AR143" s="257"/>
      <c r="AS143" s="257"/>
      <c r="AT143" s="257"/>
      <c r="AU143" s="257"/>
      <c r="AV143" s="257"/>
      <c r="AW143" s="257"/>
      <c r="AX143" s="257"/>
      <c r="AY143" s="257"/>
      <c r="AZ143" s="257"/>
      <c r="BA143" s="257"/>
      <c r="BB143" s="257"/>
      <c r="BC143" s="257"/>
      <c r="BD143" s="257"/>
      <c r="BE143" s="257"/>
      <c r="BF143" s="257"/>
      <c r="BG143" s="257"/>
      <c r="BH143" s="257"/>
      <c r="BI143" s="257"/>
      <c r="BJ143" s="238"/>
      <c r="BK143" s="238"/>
      <c r="BL143" s="238"/>
      <c r="BM143" s="238"/>
      <c r="BN143" s="238"/>
      <c r="BO143" s="238"/>
      <c r="BP143" s="238"/>
      <c r="BQ143" s="238"/>
      <c r="BR143" s="238"/>
      <c r="BS143" s="238"/>
      <c r="BT143" s="238"/>
      <c r="BU143" s="238"/>
      <c r="BV143" s="238"/>
      <c r="BW143" s="238"/>
      <c r="BX143" s="238"/>
      <c r="BY143" s="238"/>
      <c r="BZ143" s="238"/>
      <c r="CA143" s="238"/>
      <c r="CB143" s="238"/>
      <c r="CC143" s="238"/>
      <c r="CD143" s="238"/>
      <c r="CE143" s="257"/>
      <c r="CF143" s="257"/>
      <c r="CG143" s="238"/>
      <c r="CH143" s="238"/>
      <c r="CI143" s="238"/>
      <c r="CJ143" s="238"/>
      <c r="CK143" s="238"/>
      <c r="CL143" s="238"/>
      <c r="CM143" s="238"/>
      <c r="CN143" s="238"/>
      <c r="CO143" s="238"/>
      <c r="CP143" s="238"/>
      <c r="CQ143" s="238"/>
      <c r="CR143" s="238"/>
      <c r="CS143" s="238"/>
      <c r="CT143" s="238"/>
      <c r="CU143" s="238"/>
      <c r="CV143" s="238"/>
      <c r="CW143" s="238"/>
      <c r="CX143" s="238"/>
      <c r="CY143" s="238"/>
      <c r="CZ143" s="238"/>
      <c r="DA143" s="238"/>
      <c r="DB143" s="238"/>
      <c r="DC143" s="238"/>
      <c r="DD143" s="238"/>
      <c r="DE143" s="238"/>
      <c r="DF143" s="238"/>
      <c r="DG143" s="257"/>
      <c r="DH143" s="238"/>
      <c r="DI143" s="238"/>
      <c r="DJ143" s="238"/>
      <c r="DK143" s="238"/>
      <c r="DL143" s="238"/>
      <c r="DM143" s="238"/>
      <c r="DN143" s="238"/>
      <c r="DO143" s="238"/>
      <c r="DP143" s="238"/>
      <c r="DQ143" s="238"/>
      <c r="DR143" s="238"/>
      <c r="DS143" s="238"/>
      <c r="DT143" s="238"/>
      <c r="DU143" s="238"/>
      <c r="DV143" s="238"/>
      <c r="DW143" s="238"/>
      <c r="DX143" s="238"/>
      <c r="DY143" s="238"/>
      <c r="DZ143" s="238"/>
      <c r="EA143" s="238"/>
      <c r="EB143" s="238"/>
      <c r="EC143" s="238"/>
      <c r="ED143" s="238"/>
      <c r="EE143" s="238"/>
      <c r="EF143" s="238"/>
      <c r="EG143" s="238"/>
      <c r="EH143" s="238"/>
      <c r="EI143" s="238"/>
      <c r="EJ143" s="238"/>
      <c r="EK143" s="238"/>
      <c r="EL143" s="238"/>
      <c r="EM143" s="238"/>
      <c r="EN143" s="238"/>
      <c r="EO143" s="238"/>
      <c r="EP143" s="238"/>
      <c r="EQ143" s="238"/>
      <c r="ER143" s="238"/>
      <c r="ES143" s="238"/>
      <c r="ET143" s="238"/>
      <c r="EU143" s="238"/>
      <c r="EV143" s="238"/>
      <c r="EW143" s="238"/>
      <c r="EX143" s="238"/>
      <c r="EY143" s="238"/>
      <c r="EZ143" s="238"/>
      <c r="FA143" s="238"/>
      <c r="FB143" s="238"/>
      <c r="FC143" s="238"/>
      <c r="FD143" s="238"/>
      <c r="FE143" s="238"/>
      <c r="FF143" s="238"/>
      <c r="FG143" s="238"/>
      <c r="FH143" s="257"/>
      <c r="FI143" s="257"/>
      <c r="FJ143" s="257"/>
      <c r="FK143" s="257"/>
      <c r="FL143" s="257"/>
      <c r="FM143" s="257"/>
      <c r="FN143" s="257"/>
      <c r="FO143" s="257"/>
      <c r="FP143" s="257"/>
      <c r="FQ143" s="257"/>
      <c r="FR143" s="257"/>
      <c r="FS143" s="257"/>
      <c r="FT143" s="257"/>
      <c r="FU143" s="257"/>
      <c r="FV143" s="257"/>
      <c r="FW143" s="257"/>
      <c r="FX143" s="257"/>
      <c r="FY143" s="238"/>
      <c r="FZ143" s="238"/>
      <c r="GA143" s="238"/>
      <c r="GB143" s="238"/>
      <c r="GC143" s="238"/>
      <c r="GD143" s="238"/>
      <c r="GE143" s="238"/>
      <c r="GF143" s="238"/>
      <c r="GG143" s="238"/>
      <c r="GH143" s="238"/>
      <c r="GI143" s="238"/>
      <c r="GJ143" s="238"/>
      <c r="GK143" s="238"/>
      <c r="GL143" s="238"/>
      <c r="GM143" s="238"/>
      <c r="GN143" s="238"/>
      <c r="GO143" s="238"/>
      <c r="GP143" s="238"/>
      <c r="GQ143" s="238"/>
      <c r="GR143" s="238"/>
      <c r="GS143" s="238"/>
      <c r="GT143" s="238"/>
      <c r="GU143" s="238"/>
      <c r="GV143" s="238"/>
      <c r="GW143" s="238"/>
      <c r="GX143" s="238"/>
      <c r="GY143" s="238"/>
      <c r="GZ143" s="238"/>
      <c r="HA143" s="238"/>
      <c r="HB143" s="238"/>
      <c r="HC143" s="238"/>
      <c r="HD143" s="238"/>
      <c r="HE143" s="238"/>
      <c r="HF143" s="238"/>
      <c r="HG143" s="238"/>
      <c r="HH143" s="238"/>
      <c r="HI143" s="238"/>
      <c r="HJ143" s="238"/>
      <c r="HK143" s="238"/>
      <c r="HL143" s="238"/>
      <c r="HM143" s="238"/>
      <c r="HN143" s="238"/>
      <c r="HO143" s="238"/>
      <c r="HP143" s="238"/>
      <c r="HQ143" s="238"/>
      <c r="HR143" s="238"/>
      <c r="HS143" s="238"/>
      <c r="HT143" s="238"/>
      <c r="HU143" s="238"/>
      <c r="HV143" s="238"/>
      <c r="HW143" s="238"/>
      <c r="HX143" s="257"/>
      <c r="HY143" s="257"/>
      <c r="HZ143" s="257"/>
      <c r="IA143" s="257"/>
      <c r="IB143" s="257"/>
      <c r="IC143" s="257"/>
      <c r="ID143" s="257"/>
      <c r="IE143" s="257"/>
      <c r="IF143" s="257"/>
      <c r="IG143" s="257"/>
      <c r="IH143" s="257"/>
      <c r="II143" s="257"/>
      <c r="IJ143" s="257"/>
      <c r="IK143" s="257"/>
      <c r="IL143" s="257"/>
      <c r="IM143" s="257"/>
      <c r="IN143" s="257"/>
      <c r="IO143" s="257"/>
      <c r="IP143" s="257"/>
      <c r="IQ143" s="257"/>
      <c r="IR143" s="257"/>
      <c r="IS143" s="257"/>
      <c r="IT143" s="257"/>
      <c r="IU143" s="257"/>
      <c r="IV143" s="257"/>
      <c r="IW143" s="257"/>
      <c r="IX143" s="257"/>
      <c r="IY143" s="257"/>
      <c r="IZ143" s="257"/>
      <c r="JA143" s="257"/>
      <c r="JB143" s="257"/>
      <c r="JC143" s="257"/>
      <c r="JD143" s="257"/>
      <c r="JE143" s="257"/>
      <c r="JF143" s="238"/>
      <c r="JG143" s="238"/>
      <c r="JH143" s="238"/>
      <c r="JI143" s="238"/>
      <c r="JJ143" s="238"/>
      <c r="JK143" s="238"/>
      <c r="JL143" s="238"/>
      <c r="JM143" s="238"/>
      <c r="JN143" s="238"/>
      <c r="JO143" s="238"/>
      <c r="JP143" s="238"/>
      <c r="JQ143" s="238"/>
      <c r="JR143" s="238"/>
      <c r="JS143" s="238"/>
      <c r="JT143" s="238"/>
      <c r="JU143" s="238"/>
      <c r="JV143" s="238"/>
      <c r="JW143" s="238"/>
      <c r="JX143" s="238"/>
      <c r="JY143" s="238"/>
      <c r="JZ143" s="238"/>
      <c r="KA143" s="238"/>
      <c r="KB143" s="238"/>
      <c r="KC143" s="238"/>
      <c r="KD143" s="238"/>
      <c r="KE143" s="238"/>
      <c r="KF143" s="238"/>
      <c r="KG143" s="238"/>
      <c r="KH143" s="238"/>
      <c r="KI143" s="238"/>
      <c r="KJ143" s="238"/>
      <c r="KK143" s="238"/>
      <c r="KL143" s="238"/>
      <c r="KM143" s="238"/>
      <c r="KN143" s="238"/>
      <c r="KO143" s="238"/>
      <c r="KP143" s="238"/>
      <c r="KQ143" s="238"/>
      <c r="KR143" s="238"/>
      <c r="KS143" s="238"/>
      <c r="KT143" s="238"/>
      <c r="KU143" s="238"/>
      <c r="KV143" s="238"/>
      <c r="KW143" s="238"/>
      <c r="KX143" s="238"/>
      <c r="KY143" s="238"/>
      <c r="KZ143" s="238"/>
      <c r="LA143" s="238"/>
      <c r="LB143" s="238"/>
      <c r="LC143" s="238"/>
      <c r="LD143" s="238"/>
      <c r="LE143" s="238"/>
      <c r="LF143" s="238"/>
      <c r="LG143" s="238"/>
      <c r="LH143" s="238"/>
      <c r="LI143" s="238"/>
      <c r="LJ143" s="238"/>
      <c r="LK143" s="238"/>
      <c r="LL143" s="238"/>
      <c r="LM143" s="238"/>
      <c r="LN143" s="238"/>
      <c r="LO143" s="238"/>
      <c r="LP143" s="238"/>
      <c r="LQ143" s="238"/>
      <c r="LR143" s="238"/>
      <c r="LS143" s="238"/>
      <c r="LT143" s="238"/>
      <c r="LU143" s="238"/>
      <c r="LV143" s="238"/>
      <c r="LW143" s="238"/>
      <c r="LX143" s="238"/>
      <c r="LY143" s="238"/>
      <c r="LZ143" s="238"/>
      <c r="MA143" s="238"/>
      <c r="MB143" s="238"/>
      <c r="MC143" s="238"/>
      <c r="MD143" s="238"/>
      <c r="ME143" s="238"/>
      <c r="MF143" s="238"/>
      <c r="MG143" s="238"/>
      <c r="MH143" s="238"/>
      <c r="MI143" s="238"/>
      <c r="MJ143" s="238"/>
      <c r="MK143" s="238"/>
      <c r="ML143" s="238"/>
    </row>
    <row r="144" ht="18.75" customHeight="1">
      <c r="A144" s="283"/>
      <c r="B144" s="234" t="str">
        <f>'Building Bill of Materials_SLIM'!P144</f>
        <v/>
      </c>
      <c r="C144" s="234" t="str">
        <f>'Building Bill of Materials_SLIM'!Q144</f>
        <v/>
      </c>
      <c r="D144" s="234" t="str">
        <f>'Building Bill of Materials_SLIM'!R144</f>
        <v/>
      </c>
      <c r="E144" s="234" t="str">
        <f>'Building Bill of Materials_SLIM'!S144</f>
        <v/>
      </c>
      <c r="F144" s="234" t="str">
        <f>'Building Bill of Materials_SLIM'!U144</f>
        <v/>
      </c>
      <c r="G144" s="234"/>
      <c r="H144" s="234"/>
      <c r="I144" s="234"/>
      <c r="J144" s="234" t="str">
        <f>'Building Bill of Materials_SLIM'!V144</f>
        <v/>
      </c>
      <c r="K144" s="238"/>
      <c r="L144" s="238"/>
      <c r="M144" s="238"/>
      <c r="N144" s="238"/>
      <c r="O144" s="238"/>
      <c r="P144" s="238"/>
      <c r="Q144" s="238"/>
      <c r="R144" s="238"/>
      <c r="S144" s="238"/>
      <c r="T144" s="238"/>
      <c r="U144" s="238"/>
      <c r="V144" s="238"/>
      <c r="W144" s="238"/>
      <c r="X144" s="238"/>
      <c r="Y144" s="238"/>
      <c r="Z144" s="238"/>
      <c r="AA144" s="192"/>
      <c r="AB144" s="257"/>
      <c r="AC144" s="257"/>
      <c r="AD144" s="257"/>
      <c r="AE144" s="257"/>
      <c r="AF144" s="257"/>
      <c r="AG144" s="257"/>
      <c r="AH144" s="257"/>
      <c r="AI144" s="257"/>
      <c r="AJ144" s="257"/>
      <c r="AK144" s="257"/>
      <c r="AL144" s="257"/>
      <c r="AM144" s="257"/>
      <c r="AN144" s="257"/>
      <c r="AO144" s="257"/>
      <c r="AP144" s="257"/>
      <c r="AQ144" s="257"/>
      <c r="AR144" s="257"/>
      <c r="AS144" s="257"/>
      <c r="AT144" s="257"/>
      <c r="AU144" s="257"/>
      <c r="AV144" s="257"/>
      <c r="AW144" s="257"/>
      <c r="AX144" s="257"/>
      <c r="AY144" s="257"/>
      <c r="AZ144" s="257"/>
      <c r="BA144" s="257"/>
      <c r="BB144" s="257"/>
      <c r="BC144" s="257"/>
      <c r="BD144" s="257"/>
      <c r="BE144" s="257"/>
      <c r="BF144" s="257"/>
      <c r="BG144" s="257"/>
      <c r="BH144" s="257"/>
      <c r="BI144" s="257"/>
      <c r="BJ144" s="238"/>
      <c r="BK144" s="238"/>
      <c r="BL144" s="238"/>
      <c r="BM144" s="238"/>
      <c r="BN144" s="238"/>
      <c r="BO144" s="238"/>
      <c r="BP144" s="238"/>
      <c r="BQ144" s="238"/>
      <c r="BR144" s="238"/>
      <c r="BS144" s="238"/>
      <c r="BT144" s="238"/>
      <c r="BU144" s="238"/>
      <c r="BV144" s="238"/>
      <c r="BW144" s="238"/>
      <c r="BX144" s="238"/>
      <c r="BY144" s="238"/>
      <c r="BZ144" s="238"/>
      <c r="CA144" s="238"/>
      <c r="CB144" s="238"/>
      <c r="CC144" s="238"/>
      <c r="CD144" s="238"/>
      <c r="CE144" s="257"/>
      <c r="CF144" s="257"/>
      <c r="CG144" s="238"/>
      <c r="CH144" s="238"/>
      <c r="CI144" s="238"/>
      <c r="CJ144" s="238"/>
      <c r="CK144" s="238"/>
      <c r="CL144" s="238"/>
      <c r="CM144" s="238"/>
      <c r="CN144" s="238"/>
      <c r="CO144" s="238"/>
      <c r="CP144" s="238"/>
      <c r="CQ144" s="238"/>
      <c r="CR144" s="238"/>
      <c r="CS144" s="238"/>
      <c r="CT144" s="238"/>
      <c r="CU144" s="238"/>
      <c r="CV144" s="238"/>
      <c r="CW144" s="238"/>
      <c r="CX144" s="238"/>
      <c r="CY144" s="238"/>
      <c r="CZ144" s="238"/>
      <c r="DA144" s="238"/>
      <c r="DB144" s="238"/>
      <c r="DC144" s="238"/>
      <c r="DD144" s="238"/>
      <c r="DE144" s="238"/>
      <c r="DF144" s="238"/>
      <c r="DG144" s="257"/>
      <c r="DH144" s="238"/>
      <c r="DI144" s="238"/>
      <c r="DJ144" s="238"/>
      <c r="DK144" s="238"/>
      <c r="DL144" s="238"/>
      <c r="DM144" s="238"/>
      <c r="DN144" s="238"/>
      <c r="DO144" s="238"/>
      <c r="DP144" s="238"/>
      <c r="DQ144" s="238"/>
      <c r="DR144" s="238"/>
      <c r="DS144" s="238"/>
      <c r="DT144" s="238"/>
      <c r="DU144" s="238"/>
      <c r="DV144" s="238"/>
      <c r="DW144" s="238"/>
      <c r="DX144" s="238"/>
      <c r="DY144" s="238"/>
      <c r="DZ144" s="238"/>
      <c r="EA144" s="238"/>
      <c r="EB144" s="238"/>
      <c r="EC144" s="238"/>
      <c r="ED144" s="238"/>
      <c r="EE144" s="238"/>
      <c r="EF144" s="238"/>
      <c r="EG144" s="238"/>
      <c r="EH144" s="238"/>
      <c r="EI144" s="238"/>
      <c r="EJ144" s="238"/>
      <c r="EK144" s="238"/>
      <c r="EL144" s="238"/>
      <c r="EM144" s="238"/>
      <c r="EN144" s="238"/>
      <c r="EO144" s="238"/>
      <c r="EP144" s="238"/>
      <c r="EQ144" s="238"/>
      <c r="ER144" s="238"/>
      <c r="ES144" s="238"/>
      <c r="ET144" s="238"/>
      <c r="EU144" s="238"/>
      <c r="EV144" s="238"/>
      <c r="EW144" s="238"/>
      <c r="EX144" s="238"/>
      <c r="EY144" s="238"/>
      <c r="EZ144" s="238"/>
      <c r="FA144" s="238"/>
      <c r="FB144" s="238"/>
      <c r="FC144" s="238"/>
      <c r="FD144" s="238"/>
      <c r="FE144" s="238"/>
      <c r="FF144" s="238"/>
      <c r="FG144" s="238"/>
      <c r="FH144" s="257"/>
      <c r="FI144" s="257"/>
      <c r="FJ144" s="257"/>
      <c r="FK144" s="257"/>
      <c r="FL144" s="257"/>
      <c r="FM144" s="257"/>
      <c r="FN144" s="257"/>
      <c r="FO144" s="257"/>
      <c r="FP144" s="257"/>
      <c r="FQ144" s="257"/>
      <c r="FR144" s="257"/>
      <c r="FS144" s="257"/>
      <c r="FT144" s="257"/>
      <c r="FU144" s="257"/>
      <c r="FV144" s="257"/>
      <c r="FW144" s="257"/>
      <c r="FX144" s="257"/>
      <c r="FY144" s="238"/>
      <c r="FZ144" s="238"/>
      <c r="GA144" s="238"/>
      <c r="GB144" s="238"/>
      <c r="GC144" s="238"/>
      <c r="GD144" s="238"/>
      <c r="GE144" s="238"/>
      <c r="GF144" s="238"/>
      <c r="GG144" s="238"/>
      <c r="GH144" s="238"/>
      <c r="GI144" s="238"/>
      <c r="GJ144" s="238"/>
      <c r="GK144" s="238"/>
      <c r="GL144" s="238"/>
      <c r="GM144" s="238"/>
      <c r="GN144" s="238"/>
      <c r="GO144" s="238"/>
      <c r="GP144" s="238"/>
      <c r="GQ144" s="238"/>
      <c r="GR144" s="238"/>
      <c r="GS144" s="238"/>
      <c r="GT144" s="238"/>
      <c r="GU144" s="238"/>
      <c r="GV144" s="238"/>
      <c r="GW144" s="238"/>
      <c r="GX144" s="238"/>
      <c r="GY144" s="238"/>
      <c r="GZ144" s="238"/>
      <c r="HA144" s="238"/>
      <c r="HB144" s="238"/>
      <c r="HC144" s="238"/>
      <c r="HD144" s="238"/>
      <c r="HE144" s="238"/>
      <c r="HF144" s="238"/>
      <c r="HG144" s="238"/>
      <c r="HH144" s="238"/>
      <c r="HI144" s="238"/>
      <c r="HJ144" s="238"/>
      <c r="HK144" s="238"/>
      <c r="HL144" s="238"/>
      <c r="HM144" s="238"/>
      <c r="HN144" s="238"/>
      <c r="HO144" s="238"/>
      <c r="HP144" s="238"/>
      <c r="HQ144" s="238"/>
      <c r="HR144" s="238"/>
      <c r="HS144" s="238"/>
      <c r="HT144" s="238"/>
      <c r="HU144" s="238"/>
      <c r="HV144" s="238"/>
      <c r="HW144" s="238"/>
      <c r="HX144" s="257"/>
      <c r="HY144" s="257"/>
      <c r="HZ144" s="257"/>
      <c r="IA144" s="257"/>
      <c r="IB144" s="257"/>
      <c r="IC144" s="257"/>
      <c r="ID144" s="257"/>
      <c r="IE144" s="257"/>
      <c r="IF144" s="257"/>
      <c r="IG144" s="257"/>
      <c r="IH144" s="257"/>
      <c r="II144" s="257"/>
      <c r="IJ144" s="257"/>
      <c r="IK144" s="257"/>
      <c r="IL144" s="257"/>
      <c r="IM144" s="257"/>
      <c r="IN144" s="257"/>
      <c r="IO144" s="257"/>
      <c r="IP144" s="257"/>
      <c r="IQ144" s="257"/>
      <c r="IR144" s="257"/>
      <c r="IS144" s="257"/>
      <c r="IT144" s="257"/>
      <c r="IU144" s="257"/>
      <c r="IV144" s="257"/>
      <c r="IW144" s="257"/>
      <c r="IX144" s="257"/>
      <c r="IY144" s="257"/>
      <c r="IZ144" s="257"/>
      <c r="JA144" s="257"/>
      <c r="JB144" s="257"/>
      <c r="JC144" s="257"/>
      <c r="JD144" s="257"/>
      <c r="JE144" s="257"/>
      <c r="JF144" s="238"/>
      <c r="JG144" s="238"/>
      <c r="JH144" s="238"/>
      <c r="JI144" s="238"/>
      <c r="JJ144" s="238"/>
      <c r="JK144" s="238"/>
      <c r="JL144" s="238"/>
      <c r="JM144" s="238"/>
      <c r="JN144" s="238"/>
      <c r="JO144" s="238"/>
      <c r="JP144" s="238"/>
      <c r="JQ144" s="238"/>
      <c r="JR144" s="238"/>
      <c r="JS144" s="238"/>
      <c r="JT144" s="238"/>
      <c r="JU144" s="238"/>
      <c r="JV144" s="238"/>
      <c r="JW144" s="238"/>
      <c r="JX144" s="238"/>
      <c r="JY144" s="238"/>
      <c r="JZ144" s="238"/>
      <c r="KA144" s="238"/>
      <c r="KB144" s="238"/>
      <c r="KC144" s="238"/>
      <c r="KD144" s="238"/>
      <c r="KE144" s="238"/>
      <c r="KF144" s="238"/>
      <c r="KG144" s="238"/>
      <c r="KH144" s="238"/>
      <c r="KI144" s="238"/>
      <c r="KJ144" s="238"/>
      <c r="KK144" s="238"/>
      <c r="KL144" s="238"/>
      <c r="KM144" s="238"/>
      <c r="KN144" s="238"/>
      <c r="KO144" s="238"/>
      <c r="KP144" s="238"/>
      <c r="KQ144" s="238"/>
      <c r="KR144" s="238"/>
      <c r="KS144" s="238"/>
      <c r="KT144" s="238"/>
      <c r="KU144" s="238"/>
      <c r="KV144" s="238"/>
      <c r="KW144" s="238"/>
      <c r="KX144" s="238"/>
      <c r="KY144" s="238"/>
      <c r="KZ144" s="238"/>
      <c r="LA144" s="238"/>
      <c r="LB144" s="238"/>
      <c r="LC144" s="238"/>
      <c r="LD144" s="238"/>
      <c r="LE144" s="238"/>
      <c r="LF144" s="238"/>
      <c r="LG144" s="238"/>
      <c r="LH144" s="238"/>
      <c r="LI144" s="238"/>
      <c r="LJ144" s="238"/>
      <c r="LK144" s="238"/>
      <c r="LL144" s="238"/>
      <c r="LM144" s="238"/>
      <c r="LN144" s="238"/>
      <c r="LO144" s="238"/>
      <c r="LP144" s="238"/>
      <c r="LQ144" s="238"/>
      <c r="LR144" s="238"/>
      <c r="LS144" s="238"/>
      <c r="LT144" s="238"/>
      <c r="LU144" s="238"/>
      <c r="LV144" s="238"/>
      <c r="LW144" s="238"/>
      <c r="LX144" s="238"/>
      <c r="LY144" s="238"/>
      <c r="LZ144" s="238"/>
      <c r="MA144" s="238"/>
      <c r="MB144" s="238"/>
      <c r="MC144" s="238"/>
      <c r="MD144" s="238"/>
      <c r="ME144" s="238"/>
      <c r="MF144" s="238"/>
      <c r="MG144" s="238"/>
      <c r="MH144" s="238"/>
      <c r="MI144" s="238"/>
      <c r="MJ144" s="238"/>
      <c r="MK144" s="238"/>
      <c r="ML144" s="238"/>
    </row>
    <row r="145" ht="18.75" customHeight="1">
      <c r="A145" s="283"/>
      <c r="B145" s="234" t="str">
        <f>'Building Bill of Materials_SLIM'!P145</f>
        <v/>
      </c>
      <c r="C145" s="234" t="str">
        <f>'Building Bill of Materials_SLIM'!Q145</f>
        <v/>
      </c>
      <c r="D145" s="234" t="str">
        <f>'Building Bill of Materials_SLIM'!R145</f>
        <v/>
      </c>
      <c r="E145" s="234" t="str">
        <f>'Building Bill of Materials_SLIM'!S145</f>
        <v/>
      </c>
      <c r="F145" s="234" t="str">
        <f>'Building Bill of Materials_SLIM'!U145</f>
        <v/>
      </c>
      <c r="G145" s="234"/>
      <c r="H145" s="234"/>
      <c r="I145" s="234"/>
      <c r="J145" s="234" t="str">
        <f>'Building Bill of Materials_SLIM'!V145</f>
        <v/>
      </c>
      <c r="K145" s="238"/>
      <c r="L145" s="238"/>
      <c r="M145" s="238"/>
      <c r="N145" s="238"/>
      <c r="O145" s="238"/>
      <c r="P145" s="238"/>
      <c r="Q145" s="238"/>
      <c r="R145" s="238"/>
      <c r="S145" s="238"/>
      <c r="T145" s="238"/>
      <c r="U145" s="238"/>
      <c r="V145" s="238"/>
      <c r="W145" s="238"/>
      <c r="X145" s="238"/>
      <c r="Y145" s="238"/>
      <c r="Z145" s="238"/>
      <c r="AA145" s="192"/>
      <c r="AB145" s="257"/>
      <c r="AC145" s="257"/>
      <c r="AD145" s="257"/>
      <c r="AE145" s="257"/>
      <c r="AF145" s="257"/>
      <c r="AG145" s="257"/>
      <c r="AH145" s="257"/>
      <c r="AI145" s="257"/>
      <c r="AJ145" s="257"/>
      <c r="AK145" s="257"/>
      <c r="AL145" s="257"/>
      <c r="AM145" s="257"/>
      <c r="AN145" s="257"/>
      <c r="AO145" s="257"/>
      <c r="AP145" s="257"/>
      <c r="AQ145" s="257"/>
      <c r="AR145" s="257"/>
      <c r="AS145" s="257"/>
      <c r="AT145" s="257"/>
      <c r="AU145" s="257"/>
      <c r="AV145" s="257"/>
      <c r="AW145" s="257"/>
      <c r="AX145" s="257"/>
      <c r="AY145" s="257"/>
      <c r="AZ145" s="257"/>
      <c r="BA145" s="257"/>
      <c r="BB145" s="257"/>
      <c r="BC145" s="257"/>
      <c r="BD145" s="257"/>
      <c r="BE145" s="257"/>
      <c r="BF145" s="257"/>
      <c r="BG145" s="257"/>
      <c r="BH145" s="257"/>
      <c r="BI145" s="257"/>
      <c r="BJ145" s="238"/>
      <c r="BK145" s="238"/>
      <c r="BL145" s="238"/>
      <c r="BM145" s="238"/>
      <c r="BN145" s="238"/>
      <c r="BO145" s="238"/>
      <c r="BP145" s="238"/>
      <c r="BQ145" s="238"/>
      <c r="BR145" s="238"/>
      <c r="BS145" s="238"/>
      <c r="BT145" s="238"/>
      <c r="BU145" s="238"/>
      <c r="BV145" s="238"/>
      <c r="BW145" s="238"/>
      <c r="BX145" s="238"/>
      <c r="BY145" s="238"/>
      <c r="BZ145" s="238"/>
      <c r="CA145" s="238"/>
      <c r="CB145" s="238"/>
      <c r="CC145" s="238"/>
      <c r="CD145" s="238"/>
      <c r="CE145" s="257"/>
      <c r="CF145" s="257"/>
      <c r="CG145" s="238"/>
      <c r="CH145" s="238"/>
      <c r="CI145" s="238"/>
      <c r="CJ145" s="238"/>
      <c r="CK145" s="238"/>
      <c r="CL145" s="238"/>
      <c r="CM145" s="238"/>
      <c r="CN145" s="238"/>
      <c r="CO145" s="238"/>
      <c r="CP145" s="238"/>
      <c r="CQ145" s="238"/>
      <c r="CR145" s="238"/>
      <c r="CS145" s="238"/>
      <c r="CT145" s="238"/>
      <c r="CU145" s="238"/>
      <c r="CV145" s="238"/>
      <c r="CW145" s="238"/>
      <c r="CX145" s="238"/>
      <c r="CY145" s="238"/>
      <c r="CZ145" s="238"/>
      <c r="DA145" s="238"/>
      <c r="DB145" s="238"/>
      <c r="DC145" s="238"/>
      <c r="DD145" s="238"/>
      <c r="DE145" s="238"/>
      <c r="DF145" s="238"/>
      <c r="DG145" s="257"/>
      <c r="DH145" s="238"/>
      <c r="DI145" s="238"/>
      <c r="DJ145" s="238"/>
      <c r="DK145" s="238"/>
      <c r="DL145" s="238"/>
      <c r="DM145" s="238"/>
      <c r="DN145" s="238"/>
      <c r="DO145" s="238"/>
      <c r="DP145" s="238"/>
      <c r="DQ145" s="238"/>
      <c r="DR145" s="238"/>
      <c r="DS145" s="238"/>
      <c r="DT145" s="238"/>
      <c r="DU145" s="238"/>
      <c r="DV145" s="238"/>
      <c r="DW145" s="238"/>
      <c r="DX145" s="238"/>
      <c r="DY145" s="238"/>
      <c r="DZ145" s="238"/>
      <c r="EA145" s="238"/>
      <c r="EB145" s="238"/>
      <c r="EC145" s="238"/>
      <c r="ED145" s="238"/>
      <c r="EE145" s="238"/>
      <c r="EF145" s="238"/>
      <c r="EG145" s="238"/>
      <c r="EH145" s="238"/>
      <c r="EI145" s="238"/>
      <c r="EJ145" s="238"/>
      <c r="EK145" s="238"/>
      <c r="EL145" s="238"/>
      <c r="EM145" s="238"/>
      <c r="EN145" s="238"/>
      <c r="EO145" s="238"/>
      <c r="EP145" s="238"/>
      <c r="EQ145" s="238"/>
      <c r="ER145" s="238"/>
      <c r="ES145" s="238"/>
      <c r="ET145" s="238"/>
      <c r="EU145" s="238"/>
      <c r="EV145" s="238"/>
      <c r="EW145" s="238"/>
      <c r="EX145" s="238"/>
      <c r="EY145" s="238"/>
      <c r="EZ145" s="238"/>
      <c r="FA145" s="238"/>
      <c r="FB145" s="238"/>
      <c r="FC145" s="238"/>
      <c r="FD145" s="238"/>
      <c r="FE145" s="238"/>
      <c r="FF145" s="238"/>
      <c r="FG145" s="238"/>
      <c r="FH145" s="257"/>
      <c r="FI145" s="257"/>
      <c r="FJ145" s="257"/>
      <c r="FK145" s="257"/>
      <c r="FL145" s="257"/>
      <c r="FM145" s="257"/>
      <c r="FN145" s="257"/>
      <c r="FO145" s="257"/>
      <c r="FP145" s="257"/>
      <c r="FQ145" s="257"/>
      <c r="FR145" s="257"/>
      <c r="FS145" s="257"/>
      <c r="FT145" s="257"/>
      <c r="FU145" s="257"/>
      <c r="FV145" s="257"/>
      <c r="FW145" s="257"/>
      <c r="FX145" s="257"/>
      <c r="FY145" s="238"/>
      <c r="FZ145" s="238"/>
      <c r="GA145" s="238"/>
      <c r="GB145" s="238"/>
      <c r="GC145" s="238"/>
      <c r="GD145" s="238"/>
      <c r="GE145" s="238"/>
      <c r="GF145" s="238"/>
      <c r="GG145" s="238"/>
      <c r="GH145" s="238"/>
      <c r="GI145" s="238"/>
      <c r="GJ145" s="238"/>
      <c r="GK145" s="238"/>
      <c r="GL145" s="238"/>
      <c r="GM145" s="238"/>
      <c r="GN145" s="238"/>
      <c r="GO145" s="238"/>
      <c r="GP145" s="238"/>
      <c r="GQ145" s="238"/>
      <c r="GR145" s="238"/>
      <c r="GS145" s="238"/>
      <c r="GT145" s="238"/>
      <c r="GU145" s="238"/>
      <c r="GV145" s="238"/>
      <c r="GW145" s="238"/>
      <c r="GX145" s="238"/>
      <c r="GY145" s="238"/>
      <c r="GZ145" s="238"/>
      <c r="HA145" s="238"/>
      <c r="HB145" s="238"/>
      <c r="HC145" s="238"/>
      <c r="HD145" s="238"/>
      <c r="HE145" s="238"/>
      <c r="HF145" s="238"/>
      <c r="HG145" s="238"/>
      <c r="HH145" s="238"/>
      <c r="HI145" s="238"/>
      <c r="HJ145" s="238"/>
      <c r="HK145" s="238"/>
      <c r="HL145" s="238"/>
      <c r="HM145" s="238"/>
      <c r="HN145" s="238"/>
      <c r="HO145" s="238"/>
      <c r="HP145" s="238"/>
      <c r="HQ145" s="238"/>
      <c r="HR145" s="238"/>
      <c r="HS145" s="238"/>
      <c r="HT145" s="238"/>
      <c r="HU145" s="238"/>
      <c r="HV145" s="238"/>
      <c r="HW145" s="238"/>
      <c r="HX145" s="257"/>
      <c r="HY145" s="257"/>
      <c r="HZ145" s="257"/>
      <c r="IA145" s="257"/>
      <c r="IB145" s="257"/>
      <c r="IC145" s="257"/>
      <c r="ID145" s="257"/>
      <c r="IE145" s="257"/>
      <c r="IF145" s="257"/>
      <c r="IG145" s="257"/>
      <c r="IH145" s="257"/>
      <c r="II145" s="257"/>
      <c r="IJ145" s="257"/>
      <c r="IK145" s="257"/>
      <c r="IL145" s="257"/>
      <c r="IM145" s="257"/>
      <c r="IN145" s="257"/>
      <c r="IO145" s="257"/>
      <c r="IP145" s="257"/>
      <c r="IQ145" s="257"/>
      <c r="IR145" s="257"/>
      <c r="IS145" s="257"/>
      <c r="IT145" s="257"/>
      <c r="IU145" s="257"/>
      <c r="IV145" s="257"/>
      <c r="IW145" s="257"/>
      <c r="IX145" s="257"/>
      <c r="IY145" s="257"/>
      <c r="IZ145" s="257"/>
      <c r="JA145" s="257"/>
      <c r="JB145" s="257"/>
      <c r="JC145" s="257"/>
      <c r="JD145" s="257"/>
      <c r="JE145" s="257"/>
      <c r="JF145" s="238"/>
      <c r="JG145" s="238"/>
      <c r="JH145" s="238"/>
      <c r="JI145" s="238"/>
      <c r="JJ145" s="238"/>
      <c r="JK145" s="238"/>
      <c r="JL145" s="238"/>
      <c r="JM145" s="238"/>
      <c r="JN145" s="238"/>
      <c r="JO145" s="238"/>
      <c r="JP145" s="238"/>
      <c r="JQ145" s="238"/>
      <c r="JR145" s="238"/>
      <c r="JS145" s="238"/>
      <c r="JT145" s="238"/>
      <c r="JU145" s="238"/>
      <c r="JV145" s="238"/>
      <c r="JW145" s="238"/>
      <c r="JX145" s="238"/>
      <c r="JY145" s="238"/>
      <c r="JZ145" s="238"/>
      <c r="KA145" s="238"/>
      <c r="KB145" s="238"/>
      <c r="KC145" s="238"/>
      <c r="KD145" s="238"/>
      <c r="KE145" s="238"/>
      <c r="KF145" s="238"/>
      <c r="KG145" s="238"/>
      <c r="KH145" s="238"/>
      <c r="KI145" s="238"/>
      <c r="KJ145" s="238"/>
      <c r="KK145" s="238"/>
      <c r="KL145" s="238"/>
      <c r="KM145" s="238"/>
      <c r="KN145" s="238"/>
      <c r="KO145" s="238"/>
      <c r="KP145" s="238"/>
      <c r="KQ145" s="238"/>
      <c r="KR145" s="238"/>
      <c r="KS145" s="238"/>
      <c r="KT145" s="238"/>
      <c r="KU145" s="238"/>
      <c r="KV145" s="238"/>
      <c r="KW145" s="238"/>
      <c r="KX145" s="238"/>
      <c r="KY145" s="238"/>
      <c r="KZ145" s="238"/>
      <c r="LA145" s="238"/>
      <c r="LB145" s="238"/>
      <c r="LC145" s="238"/>
      <c r="LD145" s="238"/>
      <c r="LE145" s="238"/>
      <c r="LF145" s="238"/>
      <c r="LG145" s="238"/>
      <c r="LH145" s="238"/>
      <c r="LI145" s="238"/>
      <c r="LJ145" s="238"/>
      <c r="LK145" s="238"/>
      <c r="LL145" s="238"/>
      <c r="LM145" s="238"/>
      <c r="LN145" s="238"/>
      <c r="LO145" s="238"/>
      <c r="LP145" s="238"/>
      <c r="LQ145" s="238"/>
      <c r="LR145" s="238"/>
      <c r="LS145" s="238"/>
      <c r="LT145" s="238"/>
      <c r="LU145" s="238"/>
      <c r="LV145" s="238"/>
      <c r="LW145" s="238"/>
      <c r="LX145" s="238"/>
      <c r="LY145" s="238"/>
      <c r="LZ145" s="238"/>
      <c r="MA145" s="238"/>
      <c r="MB145" s="238"/>
      <c r="MC145" s="238"/>
      <c r="MD145" s="238"/>
      <c r="ME145" s="238"/>
      <c r="MF145" s="238"/>
      <c r="MG145" s="238"/>
      <c r="MH145" s="238"/>
      <c r="MI145" s="238"/>
      <c r="MJ145" s="238"/>
      <c r="MK145" s="238"/>
      <c r="ML145" s="238"/>
    </row>
    <row r="146" ht="18.75" customHeight="1">
      <c r="A146" s="283"/>
      <c r="B146" s="234" t="str">
        <f>'Building Bill of Materials_SLIM'!P146</f>
        <v/>
      </c>
      <c r="C146" s="234" t="str">
        <f>'Building Bill of Materials_SLIM'!Q146</f>
        <v/>
      </c>
      <c r="D146" s="234" t="str">
        <f>'Building Bill of Materials_SLIM'!R146</f>
        <v/>
      </c>
      <c r="E146" s="234" t="str">
        <f>'Building Bill of Materials_SLIM'!S146</f>
        <v/>
      </c>
      <c r="F146" s="234" t="str">
        <f>'Building Bill of Materials_SLIM'!U146</f>
        <v/>
      </c>
      <c r="G146" s="234"/>
      <c r="H146" s="234"/>
      <c r="I146" s="234"/>
      <c r="J146" s="234" t="str">
        <f>'Building Bill of Materials_SLIM'!V146</f>
        <v/>
      </c>
      <c r="K146" s="238"/>
      <c r="L146" s="238"/>
      <c r="M146" s="238"/>
      <c r="N146" s="238"/>
      <c r="O146" s="238"/>
      <c r="P146" s="238"/>
      <c r="Q146" s="238"/>
      <c r="R146" s="238"/>
      <c r="S146" s="238"/>
      <c r="T146" s="238"/>
      <c r="U146" s="238"/>
      <c r="V146" s="238"/>
      <c r="W146" s="238"/>
      <c r="X146" s="238"/>
      <c r="Y146" s="238"/>
      <c r="Z146" s="238"/>
      <c r="AA146" s="192"/>
      <c r="AB146" s="257"/>
      <c r="AC146" s="257"/>
      <c r="AD146" s="257"/>
      <c r="AE146" s="257"/>
      <c r="AF146" s="257"/>
      <c r="AG146" s="257"/>
      <c r="AH146" s="257"/>
      <c r="AI146" s="257"/>
      <c r="AJ146" s="257"/>
      <c r="AK146" s="257"/>
      <c r="AL146" s="257"/>
      <c r="AM146" s="257"/>
      <c r="AN146" s="257"/>
      <c r="AO146" s="257"/>
      <c r="AP146" s="257"/>
      <c r="AQ146" s="257"/>
      <c r="AR146" s="257"/>
      <c r="AS146" s="257"/>
      <c r="AT146" s="257"/>
      <c r="AU146" s="257"/>
      <c r="AV146" s="257"/>
      <c r="AW146" s="257"/>
      <c r="AX146" s="257"/>
      <c r="AY146" s="257"/>
      <c r="AZ146" s="257"/>
      <c r="BA146" s="257"/>
      <c r="BB146" s="257"/>
      <c r="BC146" s="257"/>
      <c r="BD146" s="257"/>
      <c r="BE146" s="257"/>
      <c r="BF146" s="257"/>
      <c r="BG146" s="257"/>
      <c r="BH146" s="257"/>
      <c r="BI146" s="257"/>
      <c r="BJ146" s="238"/>
      <c r="BK146" s="238"/>
      <c r="BL146" s="238"/>
      <c r="BM146" s="238"/>
      <c r="BN146" s="238"/>
      <c r="BO146" s="238"/>
      <c r="BP146" s="238"/>
      <c r="BQ146" s="238"/>
      <c r="BR146" s="238"/>
      <c r="BS146" s="238"/>
      <c r="BT146" s="238"/>
      <c r="BU146" s="238"/>
      <c r="BV146" s="238"/>
      <c r="BW146" s="238"/>
      <c r="BX146" s="238"/>
      <c r="BY146" s="238"/>
      <c r="BZ146" s="238"/>
      <c r="CA146" s="238"/>
      <c r="CB146" s="238"/>
      <c r="CC146" s="238"/>
      <c r="CD146" s="238"/>
      <c r="CE146" s="257"/>
      <c r="CF146" s="257"/>
      <c r="CG146" s="238"/>
      <c r="CH146" s="238"/>
      <c r="CI146" s="238"/>
      <c r="CJ146" s="238"/>
      <c r="CK146" s="238"/>
      <c r="CL146" s="238"/>
      <c r="CM146" s="238"/>
      <c r="CN146" s="238"/>
      <c r="CO146" s="238"/>
      <c r="CP146" s="238"/>
      <c r="CQ146" s="238"/>
      <c r="CR146" s="238"/>
      <c r="CS146" s="238"/>
      <c r="CT146" s="238"/>
      <c r="CU146" s="238"/>
      <c r="CV146" s="238"/>
      <c r="CW146" s="238"/>
      <c r="CX146" s="238"/>
      <c r="CY146" s="238"/>
      <c r="CZ146" s="238"/>
      <c r="DA146" s="238"/>
      <c r="DB146" s="238"/>
      <c r="DC146" s="238"/>
      <c r="DD146" s="238"/>
      <c r="DE146" s="238"/>
      <c r="DF146" s="238"/>
      <c r="DG146" s="257"/>
      <c r="DH146" s="238"/>
      <c r="DI146" s="238"/>
      <c r="DJ146" s="238"/>
      <c r="DK146" s="238"/>
      <c r="DL146" s="238"/>
      <c r="DM146" s="238"/>
      <c r="DN146" s="238"/>
      <c r="DO146" s="238"/>
      <c r="DP146" s="238"/>
      <c r="DQ146" s="238"/>
      <c r="DR146" s="238"/>
      <c r="DS146" s="238"/>
      <c r="DT146" s="238"/>
      <c r="DU146" s="238"/>
      <c r="DV146" s="238"/>
      <c r="DW146" s="238"/>
      <c r="DX146" s="238"/>
      <c r="DY146" s="238"/>
      <c r="DZ146" s="238"/>
      <c r="EA146" s="238"/>
      <c r="EB146" s="238"/>
      <c r="EC146" s="238"/>
      <c r="ED146" s="238"/>
      <c r="EE146" s="238"/>
      <c r="EF146" s="238"/>
      <c r="EG146" s="238"/>
      <c r="EH146" s="238"/>
      <c r="EI146" s="238"/>
      <c r="EJ146" s="238"/>
      <c r="EK146" s="238"/>
      <c r="EL146" s="238"/>
      <c r="EM146" s="238"/>
      <c r="EN146" s="238"/>
      <c r="EO146" s="238"/>
      <c r="EP146" s="238"/>
      <c r="EQ146" s="238"/>
      <c r="ER146" s="238"/>
      <c r="ES146" s="238"/>
      <c r="ET146" s="238"/>
      <c r="EU146" s="238"/>
      <c r="EV146" s="238"/>
      <c r="EW146" s="238"/>
      <c r="EX146" s="238"/>
      <c r="EY146" s="238"/>
      <c r="EZ146" s="238"/>
      <c r="FA146" s="238"/>
      <c r="FB146" s="238"/>
      <c r="FC146" s="238"/>
      <c r="FD146" s="238"/>
      <c r="FE146" s="238"/>
      <c r="FF146" s="238"/>
      <c r="FG146" s="238"/>
      <c r="FH146" s="257"/>
      <c r="FI146" s="257"/>
      <c r="FJ146" s="257"/>
      <c r="FK146" s="257"/>
      <c r="FL146" s="257"/>
      <c r="FM146" s="257"/>
      <c r="FN146" s="257"/>
      <c r="FO146" s="257"/>
      <c r="FP146" s="257"/>
      <c r="FQ146" s="257"/>
      <c r="FR146" s="257"/>
      <c r="FS146" s="257"/>
      <c r="FT146" s="257"/>
      <c r="FU146" s="257"/>
      <c r="FV146" s="257"/>
      <c r="FW146" s="257"/>
      <c r="FX146" s="257"/>
      <c r="FY146" s="238"/>
      <c r="FZ146" s="238"/>
      <c r="GA146" s="238"/>
      <c r="GB146" s="238"/>
      <c r="GC146" s="238"/>
      <c r="GD146" s="238"/>
      <c r="GE146" s="238"/>
      <c r="GF146" s="238"/>
      <c r="GG146" s="238"/>
      <c r="GH146" s="238"/>
      <c r="GI146" s="238"/>
      <c r="GJ146" s="238"/>
      <c r="GK146" s="238"/>
      <c r="GL146" s="238"/>
      <c r="GM146" s="238"/>
      <c r="GN146" s="238"/>
      <c r="GO146" s="238"/>
      <c r="GP146" s="238"/>
      <c r="GQ146" s="238"/>
      <c r="GR146" s="238"/>
      <c r="GS146" s="238"/>
      <c r="GT146" s="238"/>
      <c r="GU146" s="238"/>
      <c r="GV146" s="238"/>
      <c r="GW146" s="238"/>
      <c r="GX146" s="238"/>
      <c r="GY146" s="238"/>
      <c r="GZ146" s="238"/>
      <c r="HA146" s="238"/>
      <c r="HB146" s="238"/>
      <c r="HC146" s="238"/>
      <c r="HD146" s="238"/>
      <c r="HE146" s="238"/>
      <c r="HF146" s="238"/>
      <c r="HG146" s="238"/>
      <c r="HH146" s="238"/>
      <c r="HI146" s="238"/>
      <c r="HJ146" s="238"/>
      <c r="HK146" s="238"/>
      <c r="HL146" s="238"/>
      <c r="HM146" s="238"/>
      <c r="HN146" s="238"/>
      <c r="HO146" s="238"/>
      <c r="HP146" s="238"/>
      <c r="HQ146" s="238"/>
      <c r="HR146" s="238"/>
      <c r="HS146" s="238"/>
      <c r="HT146" s="238"/>
      <c r="HU146" s="238"/>
      <c r="HV146" s="238"/>
      <c r="HW146" s="238"/>
      <c r="HX146" s="257"/>
      <c r="HY146" s="257"/>
      <c r="HZ146" s="257"/>
      <c r="IA146" s="257"/>
      <c r="IB146" s="257"/>
      <c r="IC146" s="257"/>
      <c r="ID146" s="257"/>
      <c r="IE146" s="257"/>
      <c r="IF146" s="257"/>
      <c r="IG146" s="257"/>
      <c r="IH146" s="257"/>
      <c r="II146" s="257"/>
      <c r="IJ146" s="257"/>
      <c r="IK146" s="257"/>
      <c r="IL146" s="257"/>
      <c r="IM146" s="257"/>
      <c r="IN146" s="257"/>
      <c r="IO146" s="257"/>
      <c r="IP146" s="257"/>
      <c r="IQ146" s="257"/>
      <c r="IR146" s="257"/>
      <c r="IS146" s="257"/>
      <c r="IT146" s="257"/>
      <c r="IU146" s="257"/>
      <c r="IV146" s="257"/>
      <c r="IW146" s="257"/>
      <c r="IX146" s="257"/>
      <c r="IY146" s="257"/>
      <c r="IZ146" s="257"/>
      <c r="JA146" s="257"/>
      <c r="JB146" s="257"/>
      <c r="JC146" s="257"/>
      <c r="JD146" s="257"/>
      <c r="JE146" s="257"/>
      <c r="JF146" s="238"/>
      <c r="JG146" s="238"/>
      <c r="JH146" s="238"/>
      <c r="JI146" s="238"/>
      <c r="JJ146" s="238"/>
      <c r="JK146" s="238"/>
      <c r="JL146" s="238"/>
      <c r="JM146" s="238"/>
      <c r="JN146" s="238"/>
      <c r="JO146" s="238"/>
      <c r="JP146" s="238"/>
      <c r="JQ146" s="238"/>
      <c r="JR146" s="238"/>
      <c r="JS146" s="238"/>
      <c r="JT146" s="238"/>
      <c r="JU146" s="238"/>
      <c r="JV146" s="238"/>
      <c r="JW146" s="238"/>
      <c r="JX146" s="238"/>
      <c r="JY146" s="238"/>
      <c r="JZ146" s="238"/>
      <c r="KA146" s="238"/>
      <c r="KB146" s="238"/>
      <c r="KC146" s="238"/>
      <c r="KD146" s="238"/>
      <c r="KE146" s="238"/>
      <c r="KF146" s="238"/>
      <c r="KG146" s="238"/>
      <c r="KH146" s="238"/>
      <c r="KI146" s="238"/>
      <c r="KJ146" s="238"/>
      <c r="KK146" s="238"/>
      <c r="KL146" s="238"/>
      <c r="KM146" s="238"/>
      <c r="KN146" s="238"/>
      <c r="KO146" s="238"/>
      <c r="KP146" s="238"/>
      <c r="KQ146" s="238"/>
      <c r="KR146" s="238"/>
      <c r="KS146" s="238"/>
      <c r="KT146" s="238"/>
      <c r="KU146" s="238"/>
      <c r="KV146" s="238"/>
      <c r="KW146" s="238"/>
      <c r="KX146" s="238"/>
      <c r="KY146" s="238"/>
      <c r="KZ146" s="238"/>
      <c r="LA146" s="238"/>
      <c r="LB146" s="238"/>
      <c r="LC146" s="238"/>
      <c r="LD146" s="238"/>
      <c r="LE146" s="238"/>
      <c r="LF146" s="238"/>
      <c r="LG146" s="238"/>
      <c r="LH146" s="238"/>
      <c r="LI146" s="238"/>
      <c r="LJ146" s="238"/>
      <c r="LK146" s="238"/>
      <c r="LL146" s="238"/>
      <c r="LM146" s="238"/>
      <c r="LN146" s="238"/>
      <c r="LO146" s="238"/>
      <c r="LP146" s="238"/>
      <c r="LQ146" s="238"/>
      <c r="LR146" s="238"/>
      <c r="LS146" s="238"/>
      <c r="LT146" s="238"/>
      <c r="LU146" s="238"/>
      <c r="LV146" s="238"/>
      <c r="LW146" s="238"/>
      <c r="LX146" s="238"/>
      <c r="LY146" s="238"/>
      <c r="LZ146" s="238"/>
      <c r="MA146" s="238"/>
      <c r="MB146" s="238"/>
      <c r="MC146" s="238"/>
      <c r="MD146" s="238"/>
      <c r="ME146" s="238"/>
      <c r="MF146" s="238"/>
      <c r="MG146" s="238"/>
      <c r="MH146" s="238"/>
      <c r="MI146" s="238"/>
      <c r="MJ146" s="238"/>
      <c r="MK146" s="238"/>
      <c r="ML146" s="238"/>
    </row>
    <row r="147" ht="18.75" customHeight="1">
      <c r="A147" s="283"/>
      <c r="B147" s="234" t="str">
        <f>'Building Bill of Materials_SLIM'!P147</f>
        <v/>
      </c>
      <c r="C147" s="234" t="str">
        <f>'Building Bill of Materials_SLIM'!Q147</f>
        <v/>
      </c>
      <c r="D147" s="234" t="str">
        <f>'Building Bill of Materials_SLIM'!R147</f>
        <v/>
      </c>
      <c r="E147" s="234" t="str">
        <f>'Building Bill of Materials_SLIM'!S147</f>
        <v/>
      </c>
      <c r="F147" s="234" t="str">
        <f>'Building Bill of Materials_SLIM'!U147</f>
        <v/>
      </c>
      <c r="G147" s="234"/>
      <c r="H147" s="234"/>
      <c r="I147" s="234"/>
      <c r="J147" s="234" t="str">
        <f>'Building Bill of Materials_SLIM'!V147</f>
        <v/>
      </c>
      <c r="K147" s="238"/>
      <c r="L147" s="238"/>
      <c r="M147" s="238"/>
      <c r="N147" s="238"/>
      <c r="O147" s="238"/>
      <c r="P147" s="238"/>
      <c r="Q147" s="238"/>
      <c r="R147" s="238"/>
      <c r="S147" s="238"/>
      <c r="T147" s="238"/>
      <c r="U147" s="238"/>
      <c r="V147" s="238"/>
      <c r="W147" s="238"/>
      <c r="X147" s="238"/>
      <c r="Y147" s="238"/>
      <c r="Z147" s="238"/>
      <c r="AA147" s="192"/>
      <c r="AB147" s="257"/>
      <c r="AC147" s="257"/>
      <c r="AD147" s="257"/>
      <c r="AE147" s="257"/>
      <c r="AF147" s="257"/>
      <c r="AG147" s="257"/>
      <c r="AH147" s="257"/>
      <c r="AI147" s="257"/>
      <c r="AJ147" s="257"/>
      <c r="AK147" s="257"/>
      <c r="AL147" s="257"/>
      <c r="AM147" s="257"/>
      <c r="AN147" s="257"/>
      <c r="AO147" s="257"/>
      <c r="AP147" s="257"/>
      <c r="AQ147" s="257"/>
      <c r="AR147" s="257"/>
      <c r="AS147" s="257"/>
      <c r="AT147" s="257"/>
      <c r="AU147" s="257"/>
      <c r="AV147" s="257"/>
      <c r="AW147" s="257"/>
      <c r="AX147" s="257"/>
      <c r="AY147" s="257"/>
      <c r="AZ147" s="257"/>
      <c r="BA147" s="257"/>
      <c r="BB147" s="257"/>
      <c r="BC147" s="257"/>
      <c r="BD147" s="257"/>
      <c r="BE147" s="257"/>
      <c r="BF147" s="257"/>
      <c r="BG147" s="257"/>
      <c r="BH147" s="257"/>
      <c r="BI147" s="257"/>
      <c r="BJ147" s="238"/>
      <c r="BK147" s="238"/>
      <c r="BL147" s="238"/>
      <c r="BM147" s="238"/>
      <c r="BN147" s="238"/>
      <c r="BO147" s="238"/>
      <c r="BP147" s="238"/>
      <c r="BQ147" s="238"/>
      <c r="BR147" s="238"/>
      <c r="BS147" s="238"/>
      <c r="BT147" s="238"/>
      <c r="BU147" s="238"/>
      <c r="BV147" s="238"/>
      <c r="BW147" s="238"/>
      <c r="BX147" s="238"/>
      <c r="BY147" s="238"/>
      <c r="BZ147" s="238"/>
      <c r="CA147" s="238"/>
      <c r="CB147" s="238"/>
      <c r="CC147" s="238"/>
      <c r="CD147" s="238"/>
      <c r="CE147" s="257"/>
      <c r="CF147" s="257"/>
      <c r="CG147" s="238"/>
      <c r="CH147" s="238"/>
      <c r="CI147" s="238"/>
      <c r="CJ147" s="238"/>
      <c r="CK147" s="238"/>
      <c r="CL147" s="238"/>
      <c r="CM147" s="238"/>
      <c r="CN147" s="238"/>
      <c r="CO147" s="238"/>
      <c r="CP147" s="238"/>
      <c r="CQ147" s="238"/>
      <c r="CR147" s="238"/>
      <c r="CS147" s="238"/>
      <c r="CT147" s="238"/>
      <c r="CU147" s="238"/>
      <c r="CV147" s="238"/>
      <c r="CW147" s="238"/>
      <c r="CX147" s="238"/>
      <c r="CY147" s="238"/>
      <c r="CZ147" s="238"/>
      <c r="DA147" s="238"/>
      <c r="DB147" s="238"/>
      <c r="DC147" s="238"/>
      <c r="DD147" s="238"/>
      <c r="DE147" s="238"/>
      <c r="DF147" s="238"/>
      <c r="DG147" s="257"/>
      <c r="DH147" s="238"/>
      <c r="DI147" s="238"/>
      <c r="DJ147" s="238"/>
      <c r="DK147" s="238"/>
      <c r="DL147" s="238"/>
      <c r="DM147" s="238"/>
      <c r="DN147" s="238"/>
      <c r="DO147" s="238"/>
      <c r="DP147" s="238"/>
      <c r="DQ147" s="238"/>
      <c r="DR147" s="238"/>
      <c r="DS147" s="238"/>
      <c r="DT147" s="238"/>
      <c r="DU147" s="238"/>
      <c r="DV147" s="238"/>
      <c r="DW147" s="238"/>
      <c r="DX147" s="238"/>
      <c r="DY147" s="238"/>
      <c r="DZ147" s="238"/>
      <c r="EA147" s="238"/>
      <c r="EB147" s="238"/>
      <c r="EC147" s="238"/>
      <c r="ED147" s="238"/>
      <c r="EE147" s="238"/>
      <c r="EF147" s="238"/>
      <c r="EG147" s="238"/>
      <c r="EH147" s="238"/>
      <c r="EI147" s="238"/>
      <c r="EJ147" s="238"/>
      <c r="EK147" s="238"/>
      <c r="EL147" s="238"/>
      <c r="EM147" s="238"/>
      <c r="EN147" s="238"/>
      <c r="EO147" s="238"/>
      <c r="EP147" s="238"/>
      <c r="EQ147" s="238"/>
      <c r="ER147" s="238"/>
      <c r="ES147" s="238"/>
      <c r="ET147" s="238"/>
      <c r="EU147" s="238"/>
      <c r="EV147" s="238"/>
      <c r="EW147" s="238"/>
      <c r="EX147" s="238"/>
      <c r="EY147" s="238"/>
      <c r="EZ147" s="238"/>
      <c r="FA147" s="238"/>
      <c r="FB147" s="238"/>
      <c r="FC147" s="238"/>
      <c r="FD147" s="238"/>
      <c r="FE147" s="238"/>
      <c r="FF147" s="238"/>
      <c r="FG147" s="238"/>
      <c r="FH147" s="257"/>
      <c r="FI147" s="257"/>
      <c r="FJ147" s="257"/>
      <c r="FK147" s="257"/>
      <c r="FL147" s="257"/>
      <c r="FM147" s="257"/>
      <c r="FN147" s="257"/>
      <c r="FO147" s="257"/>
      <c r="FP147" s="257"/>
      <c r="FQ147" s="257"/>
      <c r="FR147" s="257"/>
      <c r="FS147" s="257"/>
      <c r="FT147" s="257"/>
      <c r="FU147" s="257"/>
      <c r="FV147" s="257"/>
      <c r="FW147" s="257"/>
      <c r="FX147" s="257"/>
      <c r="FY147" s="238"/>
      <c r="FZ147" s="238"/>
      <c r="GA147" s="238"/>
      <c r="GB147" s="238"/>
      <c r="GC147" s="238"/>
      <c r="GD147" s="238"/>
      <c r="GE147" s="238"/>
      <c r="GF147" s="238"/>
      <c r="GG147" s="238"/>
      <c r="GH147" s="238"/>
      <c r="GI147" s="238"/>
      <c r="GJ147" s="238"/>
      <c r="GK147" s="238"/>
      <c r="GL147" s="238"/>
      <c r="GM147" s="238"/>
      <c r="GN147" s="238"/>
      <c r="GO147" s="238"/>
      <c r="GP147" s="238"/>
      <c r="GQ147" s="238"/>
      <c r="GR147" s="238"/>
      <c r="GS147" s="238"/>
      <c r="GT147" s="238"/>
      <c r="GU147" s="238"/>
      <c r="GV147" s="238"/>
      <c r="GW147" s="238"/>
      <c r="GX147" s="238"/>
      <c r="GY147" s="238"/>
      <c r="GZ147" s="238"/>
      <c r="HA147" s="238"/>
      <c r="HB147" s="238"/>
      <c r="HC147" s="238"/>
      <c r="HD147" s="238"/>
      <c r="HE147" s="238"/>
      <c r="HF147" s="238"/>
      <c r="HG147" s="238"/>
      <c r="HH147" s="238"/>
      <c r="HI147" s="238"/>
      <c r="HJ147" s="238"/>
      <c r="HK147" s="238"/>
      <c r="HL147" s="238"/>
      <c r="HM147" s="238"/>
      <c r="HN147" s="238"/>
      <c r="HO147" s="238"/>
      <c r="HP147" s="238"/>
      <c r="HQ147" s="238"/>
      <c r="HR147" s="238"/>
      <c r="HS147" s="238"/>
      <c r="HT147" s="238"/>
      <c r="HU147" s="238"/>
      <c r="HV147" s="238"/>
      <c r="HW147" s="238"/>
      <c r="HX147" s="257"/>
      <c r="HY147" s="257"/>
      <c r="HZ147" s="257"/>
      <c r="IA147" s="257"/>
      <c r="IB147" s="257"/>
      <c r="IC147" s="257"/>
      <c r="ID147" s="257"/>
      <c r="IE147" s="257"/>
      <c r="IF147" s="257"/>
      <c r="IG147" s="257"/>
      <c r="IH147" s="257"/>
      <c r="II147" s="257"/>
      <c r="IJ147" s="257"/>
      <c r="IK147" s="257"/>
      <c r="IL147" s="257"/>
      <c r="IM147" s="257"/>
      <c r="IN147" s="257"/>
      <c r="IO147" s="257"/>
      <c r="IP147" s="257"/>
      <c r="IQ147" s="257"/>
      <c r="IR147" s="257"/>
      <c r="IS147" s="257"/>
      <c r="IT147" s="257"/>
      <c r="IU147" s="257"/>
      <c r="IV147" s="257"/>
      <c r="IW147" s="257"/>
      <c r="IX147" s="257"/>
      <c r="IY147" s="257"/>
      <c r="IZ147" s="257"/>
      <c r="JA147" s="257"/>
      <c r="JB147" s="257"/>
      <c r="JC147" s="257"/>
      <c r="JD147" s="257"/>
      <c r="JE147" s="257"/>
      <c r="JF147" s="238"/>
      <c r="JG147" s="238"/>
      <c r="JH147" s="238"/>
      <c r="JI147" s="238"/>
      <c r="JJ147" s="238"/>
      <c r="JK147" s="238"/>
      <c r="JL147" s="238"/>
      <c r="JM147" s="238"/>
      <c r="JN147" s="238"/>
      <c r="JO147" s="238"/>
      <c r="JP147" s="238"/>
      <c r="JQ147" s="238"/>
      <c r="JR147" s="238"/>
      <c r="JS147" s="238"/>
      <c r="JT147" s="238"/>
      <c r="JU147" s="238"/>
      <c r="JV147" s="238"/>
      <c r="JW147" s="238"/>
      <c r="JX147" s="238"/>
      <c r="JY147" s="238"/>
      <c r="JZ147" s="238"/>
      <c r="KA147" s="238"/>
      <c r="KB147" s="238"/>
      <c r="KC147" s="238"/>
      <c r="KD147" s="238"/>
      <c r="KE147" s="238"/>
      <c r="KF147" s="238"/>
      <c r="KG147" s="238"/>
      <c r="KH147" s="238"/>
      <c r="KI147" s="238"/>
      <c r="KJ147" s="238"/>
      <c r="KK147" s="238"/>
      <c r="KL147" s="238"/>
      <c r="KM147" s="238"/>
      <c r="KN147" s="238"/>
      <c r="KO147" s="238"/>
      <c r="KP147" s="238"/>
      <c r="KQ147" s="238"/>
      <c r="KR147" s="238"/>
      <c r="KS147" s="238"/>
      <c r="KT147" s="238"/>
      <c r="KU147" s="238"/>
      <c r="KV147" s="238"/>
      <c r="KW147" s="238"/>
      <c r="KX147" s="238"/>
      <c r="KY147" s="238"/>
      <c r="KZ147" s="238"/>
      <c r="LA147" s="238"/>
      <c r="LB147" s="238"/>
      <c r="LC147" s="238"/>
      <c r="LD147" s="238"/>
      <c r="LE147" s="238"/>
      <c r="LF147" s="238"/>
      <c r="LG147" s="238"/>
      <c r="LH147" s="238"/>
      <c r="LI147" s="238"/>
      <c r="LJ147" s="238"/>
      <c r="LK147" s="238"/>
      <c r="LL147" s="238"/>
      <c r="LM147" s="238"/>
      <c r="LN147" s="238"/>
      <c r="LO147" s="238"/>
      <c r="LP147" s="238"/>
      <c r="LQ147" s="238"/>
      <c r="LR147" s="238"/>
      <c r="LS147" s="238"/>
      <c r="LT147" s="238"/>
      <c r="LU147" s="238"/>
      <c r="LV147" s="238"/>
      <c r="LW147" s="238"/>
      <c r="LX147" s="238"/>
      <c r="LY147" s="238"/>
      <c r="LZ147" s="238"/>
      <c r="MA147" s="238"/>
      <c r="MB147" s="238"/>
      <c r="MC147" s="238"/>
      <c r="MD147" s="238"/>
      <c r="ME147" s="238"/>
      <c r="MF147" s="238"/>
      <c r="MG147" s="238"/>
      <c r="MH147" s="238"/>
      <c r="MI147" s="238"/>
      <c r="MJ147" s="238"/>
      <c r="MK147" s="238"/>
      <c r="ML147" s="238"/>
    </row>
    <row r="148" ht="18.75" customHeight="1">
      <c r="A148" s="283"/>
      <c r="B148" s="234" t="str">
        <f>'Building Bill of Materials_SLIM'!P148</f>
        <v/>
      </c>
      <c r="C148" s="234" t="str">
        <f>'Building Bill of Materials_SLIM'!Q148</f>
        <v/>
      </c>
      <c r="D148" s="234" t="str">
        <f>'Building Bill of Materials_SLIM'!R148</f>
        <v/>
      </c>
      <c r="E148" s="234" t="str">
        <f>'Building Bill of Materials_SLIM'!S148</f>
        <v/>
      </c>
      <c r="F148" s="234" t="str">
        <f>'Building Bill of Materials_SLIM'!U148</f>
        <v/>
      </c>
      <c r="G148" s="234"/>
      <c r="H148" s="234"/>
      <c r="I148" s="234"/>
      <c r="J148" s="234" t="str">
        <f>'Building Bill of Materials_SLIM'!V148</f>
        <v/>
      </c>
      <c r="K148" s="238"/>
      <c r="L148" s="238"/>
      <c r="M148" s="238"/>
      <c r="N148" s="238"/>
      <c r="O148" s="238"/>
      <c r="P148" s="238"/>
      <c r="Q148" s="238"/>
      <c r="R148" s="238"/>
      <c r="S148" s="238"/>
      <c r="T148" s="238"/>
      <c r="U148" s="238"/>
      <c r="V148" s="238"/>
      <c r="W148" s="238"/>
      <c r="X148" s="238"/>
      <c r="Y148" s="238"/>
      <c r="Z148" s="238"/>
      <c r="AA148" s="192"/>
      <c r="AB148" s="257"/>
      <c r="AC148" s="257"/>
      <c r="AD148" s="257"/>
      <c r="AE148" s="257"/>
      <c r="AF148" s="257"/>
      <c r="AG148" s="257"/>
      <c r="AH148" s="257"/>
      <c r="AI148" s="257"/>
      <c r="AJ148" s="257"/>
      <c r="AK148" s="257"/>
      <c r="AL148" s="257"/>
      <c r="AM148" s="257"/>
      <c r="AN148" s="257"/>
      <c r="AO148" s="257"/>
      <c r="AP148" s="257"/>
      <c r="AQ148" s="257"/>
      <c r="AR148" s="257"/>
      <c r="AS148" s="257"/>
      <c r="AT148" s="257"/>
      <c r="AU148" s="257"/>
      <c r="AV148" s="257"/>
      <c r="AW148" s="257"/>
      <c r="AX148" s="257"/>
      <c r="AY148" s="257"/>
      <c r="AZ148" s="257"/>
      <c r="BA148" s="257"/>
      <c r="BB148" s="257"/>
      <c r="BC148" s="257"/>
      <c r="BD148" s="257"/>
      <c r="BE148" s="257"/>
      <c r="BF148" s="257"/>
      <c r="BG148" s="257"/>
      <c r="BH148" s="257"/>
      <c r="BI148" s="257"/>
      <c r="BJ148" s="238"/>
      <c r="BK148" s="238"/>
      <c r="BL148" s="238"/>
      <c r="BM148" s="238"/>
      <c r="BN148" s="238"/>
      <c r="BO148" s="238"/>
      <c r="BP148" s="238"/>
      <c r="BQ148" s="238"/>
      <c r="BR148" s="238"/>
      <c r="BS148" s="238"/>
      <c r="BT148" s="238"/>
      <c r="BU148" s="238"/>
      <c r="BV148" s="238"/>
      <c r="BW148" s="238"/>
      <c r="BX148" s="238"/>
      <c r="BY148" s="238"/>
      <c r="BZ148" s="238"/>
      <c r="CA148" s="238"/>
      <c r="CB148" s="238"/>
      <c r="CC148" s="238"/>
      <c r="CD148" s="238"/>
      <c r="CE148" s="257"/>
      <c r="CF148" s="257"/>
      <c r="CG148" s="238"/>
      <c r="CH148" s="238"/>
      <c r="CI148" s="238"/>
      <c r="CJ148" s="238"/>
      <c r="CK148" s="238"/>
      <c r="CL148" s="238"/>
      <c r="CM148" s="238"/>
      <c r="CN148" s="238"/>
      <c r="CO148" s="238"/>
      <c r="CP148" s="238"/>
      <c r="CQ148" s="238"/>
      <c r="CR148" s="238"/>
      <c r="CS148" s="238"/>
      <c r="CT148" s="238"/>
      <c r="CU148" s="238"/>
      <c r="CV148" s="238"/>
      <c r="CW148" s="238"/>
      <c r="CX148" s="238"/>
      <c r="CY148" s="238"/>
      <c r="CZ148" s="238"/>
      <c r="DA148" s="238"/>
      <c r="DB148" s="238"/>
      <c r="DC148" s="238"/>
      <c r="DD148" s="238"/>
      <c r="DE148" s="238"/>
      <c r="DF148" s="238"/>
      <c r="DG148" s="257"/>
      <c r="DH148" s="238"/>
      <c r="DI148" s="238"/>
      <c r="DJ148" s="238"/>
      <c r="DK148" s="238"/>
      <c r="DL148" s="238"/>
      <c r="DM148" s="238"/>
      <c r="DN148" s="238"/>
      <c r="DO148" s="238"/>
      <c r="DP148" s="238"/>
      <c r="DQ148" s="238"/>
      <c r="DR148" s="238"/>
      <c r="DS148" s="238"/>
      <c r="DT148" s="238"/>
      <c r="DU148" s="238"/>
      <c r="DV148" s="238"/>
      <c r="DW148" s="238"/>
      <c r="DX148" s="238"/>
      <c r="DY148" s="238"/>
      <c r="DZ148" s="238"/>
      <c r="EA148" s="238"/>
      <c r="EB148" s="238"/>
      <c r="EC148" s="238"/>
      <c r="ED148" s="238"/>
      <c r="EE148" s="238"/>
      <c r="EF148" s="238"/>
      <c r="EG148" s="238"/>
      <c r="EH148" s="238"/>
      <c r="EI148" s="238"/>
      <c r="EJ148" s="238"/>
      <c r="EK148" s="238"/>
      <c r="EL148" s="238"/>
      <c r="EM148" s="238"/>
      <c r="EN148" s="238"/>
      <c r="EO148" s="238"/>
      <c r="EP148" s="238"/>
      <c r="EQ148" s="238"/>
      <c r="ER148" s="238"/>
      <c r="ES148" s="238"/>
      <c r="ET148" s="238"/>
      <c r="EU148" s="238"/>
      <c r="EV148" s="238"/>
      <c r="EW148" s="238"/>
      <c r="EX148" s="238"/>
      <c r="EY148" s="238"/>
      <c r="EZ148" s="238"/>
      <c r="FA148" s="238"/>
      <c r="FB148" s="238"/>
      <c r="FC148" s="238"/>
      <c r="FD148" s="238"/>
      <c r="FE148" s="238"/>
      <c r="FF148" s="238"/>
      <c r="FG148" s="238"/>
      <c r="FH148" s="257"/>
      <c r="FI148" s="257"/>
      <c r="FJ148" s="257"/>
      <c r="FK148" s="257"/>
      <c r="FL148" s="257"/>
      <c r="FM148" s="257"/>
      <c r="FN148" s="257"/>
      <c r="FO148" s="257"/>
      <c r="FP148" s="257"/>
      <c r="FQ148" s="257"/>
      <c r="FR148" s="257"/>
      <c r="FS148" s="257"/>
      <c r="FT148" s="257"/>
      <c r="FU148" s="257"/>
      <c r="FV148" s="257"/>
      <c r="FW148" s="257"/>
      <c r="FX148" s="257"/>
      <c r="FY148" s="238"/>
      <c r="FZ148" s="238"/>
      <c r="GA148" s="238"/>
      <c r="GB148" s="238"/>
      <c r="GC148" s="238"/>
      <c r="GD148" s="238"/>
      <c r="GE148" s="238"/>
      <c r="GF148" s="238"/>
      <c r="GG148" s="238"/>
      <c r="GH148" s="238"/>
      <c r="GI148" s="238"/>
      <c r="GJ148" s="238"/>
      <c r="GK148" s="238"/>
      <c r="GL148" s="238"/>
      <c r="GM148" s="238"/>
      <c r="GN148" s="238"/>
      <c r="GO148" s="238"/>
      <c r="GP148" s="238"/>
      <c r="GQ148" s="238"/>
      <c r="GR148" s="238"/>
      <c r="GS148" s="238"/>
      <c r="GT148" s="238"/>
      <c r="GU148" s="238"/>
      <c r="GV148" s="238"/>
      <c r="GW148" s="238"/>
      <c r="GX148" s="238"/>
      <c r="GY148" s="238"/>
      <c r="GZ148" s="238"/>
      <c r="HA148" s="238"/>
      <c r="HB148" s="238"/>
      <c r="HC148" s="238"/>
      <c r="HD148" s="238"/>
      <c r="HE148" s="238"/>
      <c r="HF148" s="238"/>
      <c r="HG148" s="238"/>
      <c r="HH148" s="238"/>
      <c r="HI148" s="238"/>
      <c r="HJ148" s="238"/>
      <c r="HK148" s="238"/>
      <c r="HL148" s="238"/>
      <c r="HM148" s="238"/>
      <c r="HN148" s="238"/>
      <c r="HO148" s="238"/>
      <c r="HP148" s="238"/>
      <c r="HQ148" s="238"/>
      <c r="HR148" s="238"/>
      <c r="HS148" s="238"/>
      <c r="HT148" s="238"/>
      <c r="HU148" s="238"/>
      <c r="HV148" s="238"/>
      <c r="HW148" s="238"/>
      <c r="HX148" s="257"/>
      <c r="HY148" s="257"/>
      <c r="HZ148" s="257"/>
      <c r="IA148" s="257"/>
      <c r="IB148" s="257"/>
      <c r="IC148" s="257"/>
      <c r="ID148" s="257"/>
      <c r="IE148" s="257"/>
      <c r="IF148" s="257"/>
      <c r="IG148" s="257"/>
      <c r="IH148" s="257"/>
      <c r="II148" s="257"/>
      <c r="IJ148" s="257"/>
      <c r="IK148" s="257"/>
      <c r="IL148" s="257"/>
      <c r="IM148" s="257"/>
      <c r="IN148" s="257"/>
      <c r="IO148" s="257"/>
      <c r="IP148" s="257"/>
      <c r="IQ148" s="257"/>
      <c r="IR148" s="257"/>
      <c r="IS148" s="257"/>
      <c r="IT148" s="257"/>
      <c r="IU148" s="257"/>
      <c r="IV148" s="257"/>
      <c r="IW148" s="257"/>
      <c r="IX148" s="257"/>
      <c r="IY148" s="257"/>
      <c r="IZ148" s="257"/>
      <c r="JA148" s="257"/>
      <c r="JB148" s="257"/>
      <c r="JC148" s="257"/>
      <c r="JD148" s="257"/>
      <c r="JE148" s="257"/>
      <c r="JF148" s="238"/>
      <c r="JG148" s="238"/>
      <c r="JH148" s="238"/>
      <c r="JI148" s="238"/>
      <c r="JJ148" s="238"/>
      <c r="JK148" s="238"/>
      <c r="JL148" s="238"/>
      <c r="JM148" s="238"/>
      <c r="JN148" s="238"/>
      <c r="JO148" s="238"/>
      <c r="JP148" s="238"/>
      <c r="JQ148" s="238"/>
      <c r="JR148" s="238"/>
      <c r="JS148" s="238"/>
      <c r="JT148" s="238"/>
      <c r="JU148" s="238"/>
      <c r="JV148" s="238"/>
      <c r="JW148" s="238"/>
      <c r="JX148" s="238"/>
      <c r="JY148" s="238"/>
      <c r="JZ148" s="238"/>
      <c r="KA148" s="238"/>
      <c r="KB148" s="238"/>
      <c r="KC148" s="238"/>
      <c r="KD148" s="238"/>
      <c r="KE148" s="238"/>
      <c r="KF148" s="238"/>
      <c r="KG148" s="238"/>
      <c r="KH148" s="238"/>
      <c r="KI148" s="238"/>
      <c r="KJ148" s="238"/>
      <c r="KK148" s="238"/>
      <c r="KL148" s="238"/>
      <c r="KM148" s="238"/>
      <c r="KN148" s="238"/>
      <c r="KO148" s="238"/>
      <c r="KP148" s="238"/>
      <c r="KQ148" s="238"/>
      <c r="KR148" s="238"/>
      <c r="KS148" s="238"/>
      <c r="KT148" s="238"/>
      <c r="KU148" s="238"/>
      <c r="KV148" s="238"/>
      <c r="KW148" s="238"/>
      <c r="KX148" s="238"/>
      <c r="KY148" s="238"/>
      <c r="KZ148" s="238"/>
      <c r="LA148" s="238"/>
      <c r="LB148" s="238"/>
      <c r="LC148" s="238"/>
      <c r="LD148" s="238"/>
      <c r="LE148" s="238"/>
      <c r="LF148" s="238"/>
      <c r="LG148" s="238"/>
      <c r="LH148" s="238"/>
      <c r="LI148" s="238"/>
      <c r="LJ148" s="238"/>
      <c r="LK148" s="238"/>
      <c r="LL148" s="238"/>
      <c r="LM148" s="238"/>
      <c r="LN148" s="238"/>
      <c r="LO148" s="238"/>
      <c r="LP148" s="238"/>
      <c r="LQ148" s="238"/>
      <c r="LR148" s="238"/>
      <c r="LS148" s="238"/>
      <c r="LT148" s="238"/>
      <c r="LU148" s="238"/>
      <c r="LV148" s="238"/>
      <c r="LW148" s="238"/>
      <c r="LX148" s="238"/>
      <c r="LY148" s="238"/>
      <c r="LZ148" s="238"/>
      <c r="MA148" s="238"/>
      <c r="MB148" s="238"/>
      <c r="MC148" s="238"/>
      <c r="MD148" s="238"/>
      <c r="ME148" s="238"/>
      <c r="MF148" s="238"/>
      <c r="MG148" s="238"/>
      <c r="MH148" s="238"/>
      <c r="MI148" s="238"/>
      <c r="MJ148" s="238"/>
      <c r="MK148" s="238"/>
      <c r="ML148" s="238"/>
    </row>
    <row r="149" ht="18.75" customHeight="1">
      <c r="A149" s="283"/>
      <c r="B149" s="234" t="str">
        <f>'Building Bill of Materials_SLIM'!P149</f>
        <v/>
      </c>
      <c r="C149" s="234" t="str">
        <f>'Building Bill of Materials_SLIM'!Q149</f>
        <v/>
      </c>
      <c r="D149" s="234" t="str">
        <f>'Building Bill of Materials_SLIM'!R149</f>
        <v/>
      </c>
      <c r="E149" s="234" t="str">
        <f>'Building Bill of Materials_SLIM'!S149</f>
        <v/>
      </c>
      <c r="F149" s="234" t="str">
        <f>'Building Bill of Materials_SLIM'!U149</f>
        <v/>
      </c>
      <c r="G149" s="234"/>
      <c r="H149" s="234"/>
      <c r="I149" s="234"/>
      <c r="J149" s="234" t="str">
        <f>'Building Bill of Materials_SLIM'!V149</f>
        <v/>
      </c>
      <c r="K149" s="238"/>
      <c r="L149" s="238"/>
      <c r="M149" s="238"/>
      <c r="N149" s="238"/>
      <c r="O149" s="238"/>
      <c r="P149" s="238"/>
      <c r="Q149" s="238"/>
      <c r="R149" s="238"/>
      <c r="S149" s="238"/>
      <c r="T149" s="238"/>
      <c r="U149" s="238"/>
      <c r="V149" s="238"/>
      <c r="W149" s="238"/>
      <c r="X149" s="238"/>
      <c r="Y149" s="238"/>
      <c r="Z149" s="238"/>
      <c r="AA149" s="192"/>
      <c r="AB149" s="257"/>
      <c r="AC149" s="257"/>
      <c r="AD149" s="257"/>
      <c r="AE149" s="257"/>
      <c r="AF149" s="257"/>
      <c r="AG149" s="257"/>
      <c r="AH149" s="257"/>
      <c r="AI149" s="257"/>
      <c r="AJ149" s="257"/>
      <c r="AK149" s="257"/>
      <c r="AL149" s="257"/>
      <c r="AM149" s="257"/>
      <c r="AN149" s="257"/>
      <c r="AO149" s="257"/>
      <c r="AP149" s="257"/>
      <c r="AQ149" s="257"/>
      <c r="AR149" s="257"/>
      <c r="AS149" s="257"/>
      <c r="AT149" s="257"/>
      <c r="AU149" s="257"/>
      <c r="AV149" s="257"/>
      <c r="AW149" s="257"/>
      <c r="AX149" s="257"/>
      <c r="AY149" s="257"/>
      <c r="AZ149" s="257"/>
      <c r="BA149" s="257"/>
      <c r="BB149" s="257"/>
      <c r="BC149" s="257"/>
      <c r="BD149" s="257"/>
      <c r="BE149" s="257"/>
      <c r="BF149" s="257"/>
      <c r="BG149" s="257"/>
      <c r="BH149" s="257"/>
      <c r="BI149" s="257"/>
      <c r="BJ149" s="238"/>
      <c r="BK149" s="238"/>
      <c r="BL149" s="238"/>
      <c r="BM149" s="238"/>
      <c r="BN149" s="238"/>
      <c r="BO149" s="238"/>
      <c r="BP149" s="238"/>
      <c r="BQ149" s="238"/>
      <c r="BR149" s="238"/>
      <c r="BS149" s="238"/>
      <c r="BT149" s="238"/>
      <c r="BU149" s="238"/>
      <c r="BV149" s="238"/>
      <c r="BW149" s="238"/>
      <c r="BX149" s="238"/>
      <c r="BY149" s="238"/>
      <c r="BZ149" s="238"/>
      <c r="CA149" s="238"/>
      <c r="CB149" s="238"/>
      <c r="CC149" s="238"/>
      <c r="CD149" s="238"/>
      <c r="CE149" s="257"/>
      <c r="CF149" s="257"/>
      <c r="CG149" s="238"/>
      <c r="CH149" s="238"/>
      <c r="CI149" s="238"/>
      <c r="CJ149" s="238"/>
      <c r="CK149" s="238"/>
      <c r="CL149" s="238"/>
      <c r="CM149" s="238"/>
      <c r="CN149" s="238"/>
      <c r="CO149" s="238"/>
      <c r="CP149" s="238"/>
      <c r="CQ149" s="238"/>
      <c r="CR149" s="238"/>
      <c r="CS149" s="238"/>
      <c r="CT149" s="238"/>
      <c r="CU149" s="238"/>
      <c r="CV149" s="238"/>
      <c r="CW149" s="238"/>
      <c r="CX149" s="238"/>
      <c r="CY149" s="238"/>
      <c r="CZ149" s="238"/>
      <c r="DA149" s="238"/>
      <c r="DB149" s="238"/>
      <c r="DC149" s="238"/>
      <c r="DD149" s="238"/>
      <c r="DE149" s="238"/>
      <c r="DF149" s="238"/>
      <c r="DG149" s="257"/>
      <c r="DH149" s="238"/>
      <c r="DI149" s="238"/>
      <c r="DJ149" s="238"/>
      <c r="DK149" s="238"/>
      <c r="DL149" s="238"/>
      <c r="DM149" s="238"/>
      <c r="DN149" s="238"/>
      <c r="DO149" s="238"/>
      <c r="DP149" s="238"/>
      <c r="DQ149" s="238"/>
      <c r="DR149" s="238"/>
      <c r="DS149" s="238"/>
      <c r="DT149" s="238"/>
      <c r="DU149" s="238"/>
      <c r="DV149" s="238"/>
      <c r="DW149" s="238"/>
      <c r="DX149" s="238"/>
      <c r="DY149" s="238"/>
      <c r="DZ149" s="238"/>
      <c r="EA149" s="238"/>
      <c r="EB149" s="238"/>
      <c r="EC149" s="238"/>
      <c r="ED149" s="238"/>
      <c r="EE149" s="238"/>
      <c r="EF149" s="238"/>
      <c r="EG149" s="238"/>
      <c r="EH149" s="238"/>
      <c r="EI149" s="238"/>
      <c r="EJ149" s="238"/>
      <c r="EK149" s="238"/>
      <c r="EL149" s="238"/>
      <c r="EM149" s="238"/>
      <c r="EN149" s="238"/>
      <c r="EO149" s="238"/>
      <c r="EP149" s="238"/>
      <c r="EQ149" s="238"/>
      <c r="ER149" s="238"/>
      <c r="ES149" s="238"/>
      <c r="ET149" s="238"/>
      <c r="EU149" s="238"/>
      <c r="EV149" s="238"/>
      <c r="EW149" s="238"/>
      <c r="EX149" s="238"/>
      <c r="EY149" s="238"/>
      <c r="EZ149" s="238"/>
      <c r="FA149" s="238"/>
      <c r="FB149" s="238"/>
      <c r="FC149" s="238"/>
      <c r="FD149" s="238"/>
      <c r="FE149" s="238"/>
      <c r="FF149" s="238"/>
      <c r="FG149" s="238"/>
      <c r="FH149" s="257"/>
      <c r="FI149" s="257"/>
      <c r="FJ149" s="257"/>
      <c r="FK149" s="257"/>
      <c r="FL149" s="257"/>
      <c r="FM149" s="257"/>
      <c r="FN149" s="257"/>
      <c r="FO149" s="257"/>
      <c r="FP149" s="257"/>
      <c r="FQ149" s="257"/>
      <c r="FR149" s="257"/>
      <c r="FS149" s="257"/>
      <c r="FT149" s="257"/>
      <c r="FU149" s="257"/>
      <c r="FV149" s="257"/>
      <c r="FW149" s="257"/>
      <c r="FX149" s="257"/>
      <c r="FY149" s="238"/>
      <c r="FZ149" s="238"/>
      <c r="GA149" s="238"/>
      <c r="GB149" s="238"/>
      <c r="GC149" s="238"/>
      <c r="GD149" s="238"/>
      <c r="GE149" s="238"/>
      <c r="GF149" s="238"/>
      <c r="GG149" s="238"/>
      <c r="GH149" s="238"/>
      <c r="GI149" s="238"/>
      <c r="GJ149" s="238"/>
      <c r="GK149" s="238"/>
      <c r="GL149" s="238"/>
      <c r="GM149" s="238"/>
      <c r="GN149" s="238"/>
      <c r="GO149" s="238"/>
      <c r="GP149" s="238"/>
      <c r="GQ149" s="238"/>
      <c r="GR149" s="238"/>
      <c r="GS149" s="238"/>
      <c r="GT149" s="238"/>
      <c r="GU149" s="238"/>
      <c r="GV149" s="238"/>
      <c r="GW149" s="238"/>
      <c r="GX149" s="238"/>
      <c r="GY149" s="238"/>
      <c r="GZ149" s="238"/>
      <c r="HA149" s="238"/>
      <c r="HB149" s="238"/>
      <c r="HC149" s="238"/>
      <c r="HD149" s="238"/>
      <c r="HE149" s="238"/>
      <c r="HF149" s="238"/>
      <c r="HG149" s="238"/>
      <c r="HH149" s="238"/>
      <c r="HI149" s="238"/>
      <c r="HJ149" s="238"/>
      <c r="HK149" s="238"/>
      <c r="HL149" s="238"/>
      <c r="HM149" s="238"/>
      <c r="HN149" s="238"/>
      <c r="HO149" s="238"/>
      <c r="HP149" s="238"/>
      <c r="HQ149" s="238"/>
      <c r="HR149" s="238"/>
      <c r="HS149" s="238"/>
      <c r="HT149" s="238"/>
      <c r="HU149" s="238"/>
      <c r="HV149" s="238"/>
      <c r="HW149" s="238"/>
      <c r="HX149" s="257"/>
      <c r="HY149" s="257"/>
      <c r="HZ149" s="257"/>
      <c r="IA149" s="257"/>
      <c r="IB149" s="257"/>
      <c r="IC149" s="257"/>
      <c r="ID149" s="257"/>
      <c r="IE149" s="257"/>
      <c r="IF149" s="257"/>
      <c r="IG149" s="257"/>
      <c r="IH149" s="257"/>
      <c r="II149" s="257"/>
      <c r="IJ149" s="257"/>
      <c r="IK149" s="257"/>
      <c r="IL149" s="257"/>
      <c r="IM149" s="257"/>
      <c r="IN149" s="257"/>
      <c r="IO149" s="257"/>
      <c r="IP149" s="257"/>
      <c r="IQ149" s="257"/>
      <c r="IR149" s="257"/>
      <c r="IS149" s="257"/>
      <c r="IT149" s="257"/>
      <c r="IU149" s="257"/>
      <c r="IV149" s="257"/>
      <c r="IW149" s="257"/>
      <c r="IX149" s="257"/>
      <c r="IY149" s="257"/>
      <c r="IZ149" s="257"/>
      <c r="JA149" s="257"/>
      <c r="JB149" s="257"/>
      <c r="JC149" s="257"/>
      <c r="JD149" s="257"/>
      <c r="JE149" s="257"/>
      <c r="JF149" s="238"/>
      <c r="JG149" s="238"/>
      <c r="JH149" s="238"/>
      <c r="JI149" s="238"/>
      <c r="JJ149" s="238"/>
      <c r="JK149" s="238"/>
      <c r="JL149" s="238"/>
      <c r="JM149" s="238"/>
      <c r="JN149" s="238"/>
      <c r="JO149" s="238"/>
      <c r="JP149" s="238"/>
      <c r="JQ149" s="238"/>
      <c r="JR149" s="238"/>
      <c r="JS149" s="238"/>
      <c r="JT149" s="238"/>
      <c r="JU149" s="238"/>
      <c r="JV149" s="238"/>
      <c r="JW149" s="238"/>
      <c r="JX149" s="238"/>
      <c r="JY149" s="238"/>
      <c r="JZ149" s="238"/>
      <c r="KA149" s="238"/>
      <c r="KB149" s="238"/>
      <c r="KC149" s="238"/>
      <c r="KD149" s="238"/>
      <c r="KE149" s="238"/>
      <c r="KF149" s="238"/>
      <c r="KG149" s="238"/>
      <c r="KH149" s="238"/>
      <c r="KI149" s="238"/>
      <c r="KJ149" s="238"/>
      <c r="KK149" s="238"/>
      <c r="KL149" s="238"/>
      <c r="KM149" s="238"/>
      <c r="KN149" s="238"/>
      <c r="KO149" s="238"/>
      <c r="KP149" s="238"/>
      <c r="KQ149" s="238"/>
      <c r="KR149" s="238"/>
      <c r="KS149" s="238"/>
      <c r="KT149" s="238"/>
      <c r="KU149" s="238"/>
      <c r="KV149" s="238"/>
      <c r="KW149" s="238"/>
      <c r="KX149" s="238"/>
      <c r="KY149" s="238"/>
      <c r="KZ149" s="238"/>
      <c r="LA149" s="238"/>
      <c r="LB149" s="238"/>
      <c r="LC149" s="238"/>
      <c r="LD149" s="238"/>
      <c r="LE149" s="238"/>
      <c r="LF149" s="238"/>
      <c r="LG149" s="238"/>
      <c r="LH149" s="238"/>
      <c r="LI149" s="238"/>
      <c r="LJ149" s="238"/>
      <c r="LK149" s="238"/>
      <c r="LL149" s="238"/>
      <c r="LM149" s="238"/>
      <c r="LN149" s="238"/>
      <c r="LO149" s="238"/>
      <c r="LP149" s="238"/>
      <c r="LQ149" s="238"/>
      <c r="LR149" s="238"/>
      <c r="LS149" s="238"/>
      <c r="LT149" s="238"/>
      <c r="LU149" s="238"/>
      <c r="LV149" s="238"/>
      <c r="LW149" s="238"/>
      <c r="LX149" s="238"/>
      <c r="LY149" s="238"/>
      <c r="LZ149" s="238"/>
      <c r="MA149" s="238"/>
      <c r="MB149" s="238"/>
      <c r="MC149" s="238"/>
      <c r="MD149" s="238"/>
      <c r="ME149" s="238"/>
      <c r="MF149" s="238"/>
      <c r="MG149" s="238"/>
      <c r="MH149" s="238"/>
      <c r="MI149" s="238"/>
      <c r="MJ149" s="238"/>
      <c r="MK149" s="238"/>
      <c r="ML149" s="238"/>
    </row>
    <row r="150" ht="18.75" customHeight="1">
      <c r="A150" s="283"/>
      <c r="B150" s="234" t="str">
        <f>'Building Bill of Materials_SLIM'!P150</f>
        <v/>
      </c>
      <c r="C150" s="234" t="str">
        <f>'Building Bill of Materials_SLIM'!Q150</f>
        <v/>
      </c>
      <c r="D150" s="234" t="str">
        <f>'Building Bill of Materials_SLIM'!R150</f>
        <v/>
      </c>
      <c r="E150" s="234" t="str">
        <f>'Building Bill of Materials_SLIM'!S150</f>
        <v/>
      </c>
      <c r="F150" s="234" t="str">
        <f>'Building Bill of Materials_SLIM'!U150</f>
        <v/>
      </c>
      <c r="G150" s="234"/>
      <c r="H150" s="234"/>
      <c r="I150" s="234"/>
      <c r="J150" s="234" t="str">
        <f>'Building Bill of Materials_SLIM'!V150</f>
        <v/>
      </c>
      <c r="K150" s="238"/>
      <c r="L150" s="238"/>
      <c r="M150" s="238"/>
      <c r="N150" s="238"/>
      <c r="O150" s="238"/>
      <c r="P150" s="238"/>
      <c r="Q150" s="238"/>
      <c r="R150" s="238"/>
      <c r="S150" s="238"/>
      <c r="T150" s="238"/>
      <c r="U150" s="238"/>
      <c r="V150" s="238"/>
      <c r="W150" s="238"/>
      <c r="X150" s="238"/>
      <c r="Y150" s="238"/>
      <c r="Z150" s="238"/>
      <c r="AA150" s="192"/>
      <c r="AB150" s="257"/>
      <c r="AC150" s="257"/>
      <c r="AD150" s="257"/>
      <c r="AE150" s="257"/>
      <c r="AF150" s="257"/>
      <c r="AG150" s="257"/>
      <c r="AH150" s="257"/>
      <c r="AI150" s="257"/>
      <c r="AJ150" s="257"/>
      <c r="AK150" s="257"/>
      <c r="AL150" s="257"/>
      <c r="AM150" s="257"/>
      <c r="AN150" s="257"/>
      <c r="AO150" s="257"/>
      <c r="AP150" s="257"/>
      <c r="AQ150" s="257"/>
      <c r="AR150" s="257"/>
      <c r="AS150" s="257"/>
      <c r="AT150" s="257"/>
      <c r="AU150" s="257"/>
      <c r="AV150" s="257"/>
      <c r="AW150" s="257"/>
      <c r="AX150" s="257"/>
      <c r="AY150" s="257"/>
      <c r="AZ150" s="257"/>
      <c r="BA150" s="257"/>
      <c r="BB150" s="257"/>
      <c r="BC150" s="257"/>
      <c r="BD150" s="257"/>
      <c r="BE150" s="257"/>
      <c r="BF150" s="257"/>
      <c r="BG150" s="257"/>
      <c r="BH150" s="257"/>
      <c r="BI150" s="257"/>
      <c r="BJ150" s="238"/>
      <c r="BK150" s="238"/>
      <c r="BL150" s="238"/>
      <c r="BM150" s="238"/>
      <c r="BN150" s="238"/>
      <c r="BO150" s="238"/>
      <c r="BP150" s="238"/>
      <c r="BQ150" s="238"/>
      <c r="BR150" s="238"/>
      <c r="BS150" s="238"/>
      <c r="BT150" s="238"/>
      <c r="BU150" s="238"/>
      <c r="BV150" s="238"/>
      <c r="BW150" s="238"/>
      <c r="BX150" s="238"/>
      <c r="BY150" s="238"/>
      <c r="BZ150" s="238"/>
      <c r="CA150" s="238"/>
      <c r="CB150" s="238"/>
      <c r="CC150" s="238"/>
      <c r="CD150" s="238"/>
      <c r="CE150" s="257"/>
      <c r="CF150" s="257"/>
      <c r="CG150" s="238"/>
      <c r="CH150" s="238"/>
      <c r="CI150" s="238"/>
      <c r="CJ150" s="238"/>
      <c r="CK150" s="238"/>
      <c r="CL150" s="238"/>
      <c r="CM150" s="238"/>
      <c r="CN150" s="238"/>
      <c r="CO150" s="238"/>
      <c r="CP150" s="238"/>
      <c r="CQ150" s="238"/>
      <c r="CR150" s="238"/>
      <c r="CS150" s="238"/>
      <c r="CT150" s="238"/>
      <c r="CU150" s="238"/>
      <c r="CV150" s="238"/>
      <c r="CW150" s="238"/>
      <c r="CX150" s="238"/>
      <c r="CY150" s="238"/>
      <c r="CZ150" s="238"/>
      <c r="DA150" s="238"/>
      <c r="DB150" s="238"/>
      <c r="DC150" s="238"/>
      <c r="DD150" s="238"/>
      <c r="DE150" s="238"/>
      <c r="DF150" s="238"/>
      <c r="DG150" s="257"/>
      <c r="DH150" s="238"/>
      <c r="DI150" s="238"/>
      <c r="DJ150" s="238"/>
      <c r="DK150" s="238"/>
      <c r="DL150" s="238"/>
      <c r="DM150" s="238"/>
      <c r="DN150" s="238"/>
      <c r="DO150" s="238"/>
      <c r="DP150" s="238"/>
      <c r="DQ150" s="238"/>
      <c r="DR150" s="238"/>
      <c r="DS150" s="238"/>
      <c r="DT150" s="238"/>
      <c r="DU150" s="238"/>
      <c r="DV150" s="238"/>
      <c r="DW150" s="238"/>
      <c r="DX150" s="238"/>
      <c r="DY150" s="238"/>
      <c r="DZ150" s="238"/>
      <c r="EA150" s="238"/>
      <c r="EB150" s="238"/>
      <c r="EC150" s="238"/>
      <c r="ED150" s="238"/>
      <c r="EE150" s="238"/>
      <c r="EF150" s="238"/>
      <c r="EG150" s="238"/>
      <c r="EH150" s="238"/>
      <c r="EI150" s="238"/>
      <c r="EJ150" s="238"/>
      <c r="EK150" s="238"/>
      <c r="EL150" s="238"/>
      <c r="EM150" s="238"/>
      <c r="EN150" s="238"/>
      <c r="EO150" s="238"/>
      <c r="EP150" s="238"/>
      <c r="EQ150" s="238"/>
      <c r="ER150" s="238"/>
      <c r="ES150" s="238"/>
      <c r="ET150" s="238"/>
      <c r="EU150" s="238"/>
      <c r="EV150" s="238"/>
      <c r="EW150" s="238"/>
      <c r="EX150" s="238"/>
      <c r="EY150" s="238"/>
      <c r="EZ150" s="238"/>
      <c r="FA150" s="238"/>
      <c r="FB150" s="238"/>
      <c r="FC150" s="238"/>
      <c r="FD150" s="238"/>
      <c r="FE150" s="238"/>
      <c r="FF150" s="238"/>
      <c r="FG150" s="238"/>
      <c r="FH150" s="257"/>
      <c r="FI150" s="257"/>
      <c r="FJ150" s="257"/>
      <c r="FK150" s="257"/>
      <c r="FL150" s="257"/>
      <c r="FM150" s="257"/>
      <c r="FN150" s="257"/>
      <c r="FO150" s="257"/>
      <c r="FP150" s="257"/>
      <c r="FQ150" s="257"/>
      <c r="FR150" s="257"/>
      <c r="FS150" s="257"/>
      <c r="FT150" s="257"/>
      <c r="FU150" s="257"/>
      <c r="FV150" s="257"/>
      <c r="FW150" s="257"/>
      <c r="FX150" s="257"/>
      <c r="FY150" s="238"/>
      <c r="FZ150" s="238"/>
      <c r="GA150" s="238"/>
      <c r="GB150" s="238"/>
      <c r="GC150" s="238"/>
      <c r="GD150" s="238"/>
      <c r="GE150" s="238"/>
      <c r="GF150" s="238"/>
      <c r="GG150" s="238"/>
      <c r="GH150" s="238"/>
      <c r="GI150" s="238"/>
      <c r="GJ150" s="238"/>
      <c r="GK150" s="238"/>
      <c r="GL150" s="238"/>
      <c r="GM150" s="238"/>
      <c r="GN150" s="238"/>
      <c r="GO150" s="238"/>
      <c r="GP150" s="238"/>
      <c r="GQ150" s="238"/>
      <c r="GR150" s="238"/>
      <c r="GS150" s="238"/>
      <c r="GT150" s="238"/>
      <c r="GU150" s="238"/>
      <c r="GV150" s="238"/>
      <c r="GW150" s="238"/>
      <c r="GX150" s="238"/>
      <c r="GY150" s="238"/>
      <c r="GZ150" s="238"/>
      <c r="HA150" s="238"/>
      <c r="HB150" s="238"/>
      <c r="HC150" s="238"/>
      <c r="HD150" s="238"/>
      <c r="HE150" s="238"/>
      <c r="HF150" s="238"/>
      <c r="HG150" s="238"/>
      <c r="HH150" s="238"/>
      <c r="HI150" s="238"/>
      <c r="HJ150" s="238"/>
      <c r="HK150" s="238"/>
      <c r="HL150" s="238"/>
      <c r="HM150" s="238"/>
      <c r="HN150" s="238"/>
      <c r="HO150" s="238"/>
      <c r="HP150" s="238"/>
      <c r="HQ150" s="238"/>
      <c r="HR150" s="238"/>
      <c r="HS150" s="238"/>
      <c r="HT150" s="238"/>
      <c r="HU150" s="238"/>
      <c r="HV150" s="238"/>
      <c r="HW150" s="238"/>
      <c r="HX150" s="257"/>
      <c r="HY150" s="257"/>
      <c r="HZ150" s="257"/>
      <c r="IA150" s="257"/>
      <c r="IB150" s="257"/>
      <c r="IC150" s="257"/>
      <c r="ID150" s="257"/>
      <c r="IE150" s="257"/>
      <c r="IF150" s="257"/>
      <c r="IG150" s="257"/>
      <c r="IH150" s="257"/>
      <c r="II150" s="257"/>
      <c r="IJ150" s="257"/>
      <c r="IK150" s="257"/>
      <c r="IL150" s="257"/>
      <c r="IM150" s="257"/>
      <c r="IN150" s="257"/>
      <c r="IO150" s="257"/>
      <c r="IP150" s="257"/>
      <c r="IQ150" s="257"/>
      <c r="IR150" s="257"/>
      <c r="IS150" s="257"/>
      <c r="IT150" s="257"/>
      <c r="IU150" s="257"/>
      <c r="IV150" s="257"/>
      <c r="IW150" s="257"/>
      <c r="IX150" s="257"/>
      <c r="IY150" s="257"/>
      <c r="IZ150" s="257"/>
      <c r="JA150" s="257"/>
      <c r="JB150" s="257"/>
      <c r="JC150" s="257"/>
      <c r="JD150" s="257"/>
      <c r="JE150" s="257"/>
      <c r="JF150" s="238"/>
      <c r="JG150" s="238"/>
      <c r="JH150" s="238"/>
      <c r="JI150" s="238"/>
      <c r="JJ150" s="238"/>
      <c r="JK150" s="238"/>
      <c r="JL150" s="238"/>
      <c r="JM150" s="238"/>
      <c r="JN150" s="238"/>
      <c r="JO150" s="238"/>
      <c r="JP150" s="238"/>
      <c r="JQ150" s="238"/>
      <c r="JR150" s="238"/>
      <c r="JS150" s="238"/>
      <c r="JT150" s="238"/>
      <c r="JU150" s="238"/>
      <c r="JV150" s="238"/>
      <c r="JW150" s="238"/>
      <c r="JX150" s="238"/>
      <c r="JY150" s="238"/>
      <c r="JZ150" s="238"/>
      <c r="KA150" s="238"/>
      <c r="KB150" s="238"/>
      <c r="KC150" s="238"/>
      <c r="KD150" s="238"/>
      <c r="KE150" s="238"/>
      <c r="KF150" s="238"/>
      <c r="KG150" s="238"/>
      <c r="KH150" s="238"/>
      <c r="KI150" s="238"/>
      <c r="KJ150" s="238"/>
      <c r="KK150" s="238"/>
      <c r="KL150" s="238"/>
      <c r="KM150" s="238"/>
      <c r="KN150" s="238"/>
      <c r="KO150" s="238"/>
      <c r="KP150" s="238"/>
      <c r="KQ150" s="238"/>
      <c r="KR150" s="238"/>
      <c r="KS150" s="238"/>
      <c r="KT150" s="238"/>
      <c r="KU150" s="238"/>
      <c r="KV150" s="238"/>
      <c r="KW150" s="238"/>
      <c r="KX150" s="238"/>
      <c r="KY150" s="238"/>
      <c r="KZ150" s="238"/>
      <c r="LA150" s="238"/>
      <c r="LB150" s="238"/>
      <c r="LC150" s="238"/>
      <c r="LD150" s="238"/>
      <c r="LE150" s="238"/>
      <c r="LF150" s="238"/>
      <c r="LG150" s="238"/>
      <c r="LH150" s="238"/>
      <c r="LI150" s="238"/>
      <c r="LJ150" s="238"/>
      <c r="LK150" s="238"/>
      <c r="LL150" s="238"/>
      <c r="LM150" s="238"/>
      <c r="LN150" s="238"/>
      <c r="LO150" s="238"/>
      <c r="LP150" s="238"/>
      <c r="LQ150" s="238"/>
      <c r="LR150" s="238"/>
      <c r="LS150" s="238"/>
      <c r="LT150" s="238"/>
      <c r="LU150" s="238"/>
      <c r="LV150" s="238"/>
      <c r="LW150" s="238"/>
      <c r="LX150" s="238"/>
      <c r="LY150" s="238"/>
      <c r="LZ150" s="238"/>
      <c r="MA150" s="238"/>
      <c r="MB150" s="238"/>
      <c r="MC150" s="238"/>
      <c r="MD150" s="238"/>
      <c r="ME150" s="238"/>
      <c r="MF150" s="238"/>
      <c r="MG150" s="238"/>
      <c r="MH150" s="238"/>
      <c r="MI150" s="238"/>
      <c r="MJ150" s="238"/>
      <c r="MK150" s="238"/>
      <c r="ML150" s="238"/>
    </row>
    <row r="151" ht="18.75" customHeight="1">
      <c r="A151" s="283"/>
      <c r="B151" s="234" t="str">
        <f>'Building Bill of Materials_SLIM'!P151</f>
        <v/>
      </c>
      <c r="C151" s="234" t="str">
        <f>'Building Bill of Materials_SLIM'!Q151</f>
        <v/>
      </c>
      <c r="D151" s="234" t="str">
        <f>'Building Bill of Materials_SLIM'!R151</f>
        <v/>
      </c>
      <c r="E151" s="234" t="str">
        <f>'Building Bill of Materials_SLIM'!S151</f>
        <v/>
      </c>
      <c r="F151" s="234" t="str">
        <f>'Building Bill of Materials_SLIM'!U151</f>
        <v/>
      </c>
      <c r="G151" s="234"/>
      <c r="H151" s="234"/>
      <c r="I151" s="234"/>
      <c r="J151" s="234" t="str">
        <f>'Building Bill of Materials_SLIM'!V151</f>
        <v/>
      </c>
      <c r="K151" s="238"/>
      <c r="L151" s="238"/>
      <c r="M151" s="238"/>
      <c r="N151" s="238"/>
      <c r="O151" s="238"/>
      <c r="P151" s="238"/>
      <c r="Q151" s="238"/>
      <c r="R151" s="238"/>
      <c r="S151" s="238"/>
      <c r="T151" s="238"/>
      <c r="U151" s="238"/>
      <c r="V151" s="238"/>
      <c r="W151" s="238"/>
      <c r="X151" s="238"/>
      <c r="Y151" s="238"/>
      <c r="Z151" s="238"/>
      <c r="AA151" s="192"/>
      <c r="AB151" s="257"/>
      <c r="AC151" s="257"/>
      <c r="AD151" s="257"/>
      <c r="AE151" s="257"/>
      <c r="AF151" s="257"/>
      <c r="AG151" s="257"/>
      <c r="AH151" s="257"/>
      <c r="AI151" s="257"/>
      <c r="AJ151" s="257"/>
      <c r="AK151" s="257"/>
      <c r="AL151" s="257"/>
      <c r="AM151" s="257"/>
      <c r="AN151" s="257"/>
      <c r="AO151" s="257"/>
      <c r="AP151" s="257"/>
      <c r="AQ151" s="257"/>
      <c r="AR151" s="257"/>
      <c r="AS151" s="257"/>
      <c r="AT151" s="257"/>
      <c r="AU151" s="257"/>
      <c r="AV151" s="257"/>
      <c r="AW151" s="257"/>
      <c r="AX151" s="257"/>
      <c r="AY151" s="257"/>
      <c r="AZ151" s="257"/>
      <c r="BA151" s="257"/>
      <c r="BB151" s="257"/>
      <c r="BC151" s="257"/>
      <c r="BD151" s="257"/>
      <c r="BE151" s="257"/>
      <c r="BF151" s="257"/>
      <c r="BG151" s="257"/>
      <c r="BH151" s="257"/>
      <c r="BI151" s="257"/>
      <c r="BJ151" s="238"/>
      <c r="BK151" s="238"/>
      <c r="BL151" s="238"/>
      <c r="BM151" s="238"/>
      <c r="BN151" s="238"/>
      <c r="BO151" s="238"/>
      <c r="BP151" s="238"/>
      <c r="BQ151" s="238"/>
      <c r="BR151" s="238"/>
      <c r="BS151" s="238"/>
      <c r="BT151" s="238"/>
      <c r="BU151" s="238"/>
      <c r="BV151" s="238"/>
      <c r="BW151" s="238"/>
      <c r="BX151" s="238"/>
      <c r="BY151" s="238"/>
      <c r="BZ151" s="238"/>
      <c r="CA151" s="238"/>
      <c r="CB151" s="238"/>
      <c r="CC151" s="238"/>
      <c r="CD151" s="238"/>
      <c r="CE151" s="257"/>
      <c r="CF151" s="257"/>
      <c r="CG151" s="238"/>
      <c r="CH151" s="238"/>
      <c r="CI151" s="238"/>
      <c r="CJ151" s="238"/>
      <c r="CK151" s="238"/>
      <c r="CL151" s="238"/>
      <c r="CM151" s="238"/>
      <c r="CN151" s="238"/>
      <c r="CO151" s="238"/>
      <c r="CP151" s="238"/>
      <c r="CQ151" s="238"/>
      <c r="CR151" s="238"/>
      <c r="CS151" s="238"/>
      <c r="CT151" s="238"/>
      <c r="CU151" s="238"/>
      <c r="CV151" s="238"/>
      <c r="CW151" s="238"/>
      <c r="CX151" s="238"/>
      <c r="CY151" s="238"/>
      <c r="CZ151" s="238"/>
      <c r="DA151" s="238"/>
      <c r="DB151" s="238"/>
      <c r="DC151" s="238"/>
      <c r="DD151" s="238"/>
      <c r="DE151" s="238"/>
      <c r="DF151" s="238"/>
      <c r="DG151" s="257"/>
      <c r="DH151" s="238"/>
      <c r="DI151" s="238"/>
      <c r="DJ151" s="238"/>
      <c r="DK151" s="238"/>
      <c r="DL151" s="238"/>
      <c r="DM151" s="238"/>
      <c r="DN151" s="238"/>
      <c r="DO151" s="238"/>
      <c r="DP151" s="238"/>
      <c r="DQ151" s="238"/>
      <c r="DR151" s="238"/>
      <c r="DS151" s="238"/>
      <c r="DT151" s="238"/>
      <c r="DU151" s="238"/>
      <c r="DV151" s="238"/>
      <c r="DW151" s="238"/>
      <c r="DX151" s="238"/>
      <c r="DY151" s="238"/>
      <c r="DZ151" s="238"/>
      <c r="EA151" s="238"/>
      <c r="EB151" s="238"/>
      <c r="EC151" s="238"/>
      <c r="ED151" s="238"/>
      <c r="EE151" s="238"/>
      <c r="EF151" s="238"/>
      <c r="EG151" s="238"/>
      <c r="EH151" s="238"/>
      <c r="EI151" s="238"/>
      <c r="EJ151" s="238"/>
      <c r="EK151" s="238"/>
      <c r="EL151" s="238"/>
      <c r="EM151" s="238"/>
      <c r="EN151" s="238"/>
      <c r="EO151" s="238"/>
      <c r="EP151" s="238"/>
      <c r="EQ151" s="238"/>
      <c r="ER151" s="238"/>
      <c r="ES151" s="238"/>
      <c r="ET151" s="238"/>
      <c r="EU151" s="238"/>
      <c r="EV151" s="238"/>
      <c r="EW151" s="238"/>
      <c r="EX151" s="238"/>
      <c r="EY151" s="238"/>
      <c r="EZ151" s="238"/>
      <c r="FA151" s="238"/>
      <c r="FB151" s="238"/>
      <c r="FC151" s="238"/>
      <c r="FD151" s="238"/>
      <c r="FE151" s="238"/>
      <c r="FF151" s="238"/>
      <c r="FG151" s="238"/>
      <c r="FH151" s="257"/>
      <c r="FI151" s="257"/>
      <c r="FJ151" s="257"/>
      <c r="FK151" s="257"/>
      <c r="FL151" s="257"/>
      <c r="FM151" s="257"/>
      <c r="FN151" s="257"/>
      <c r="FO151" s="257"/>
      <c r="FP151" s="257"/>
      <c r="FQ151" s="257"/>
      <c r="FR151" s="257"/>
      <c r="FS151" s="257"/>
      <c r="FT151" s="257"/>
      <c r="FU151" s="257"/>
      <c r="FV151" s="257"/>
      <c r="FW151" s="257"/>
      <c r="FX151" s="257"/>
      <c r="FY151" s="238"/>
      <c r="FZ151" s="238"/>
      <c r="GA151" s="238"/>
      <c r="GB151" s="238"/>
      <c r="GC151" s="238"/>
      <c r="GD151" s="238"/>
      <c r="GE151" s="238"/>
      <c r="GF151" s="238"/>
      <c r="GG151" s="238"/>
      <c r="GH151" s="238"/>
      <c r="GI151" s="238"/>
      <c r="GJ151" s="238"/>
      <c r="GK151" s="238"/>
      <c r="GL151" s="238"/>
      <c r="GM151" s="238"/>
      <c r="GN151" s="238"/>
      <c r="GO151" s="238"/>
      <c r="GP151" s="238"/>
      <c r="GQ151" s="238"/>
      <c r="GR151" s="238"/>
      <c r="GS151" s="238"/>
      <c r="GT151" s="238"/>
      <c r="GU151" s="238"/>
      <c r="GV151" s="238"/>
      <c r="GW151" s="238"/>
      <c r="GX151" s="238"/>
      <c r="GY151" s="238"/>
      <c r="GZ151" s="238"/>
      <c r="HA151" s="238"/>
      <c r="HB151" s="238"/>
      <c r="HC151" s="238"/>
      <c r="HD151" s="238"/>
      <c r="HE151" s="238"/>
      <c r="HF151" s="238"/>
      <c r="HG151" s="238"/>
      <c r="HH151" s="238"/>
      <c r="HI151" s="238"/>
      <c r="HJ151" s="238"/>
      <c r="HK151" s="238"/>
      <c r="HL151" s="238"/>
      <c r="HM151" s="238"/>
      <c r="HN151" s="238"/>
      <c r="HO151" s="238"/>
      <c r="HP151" s="238"/>
      <c r="HQ151" s="238"/>
      <c r="HR151" s="238"/>
      <c r="HS151" s="238"/>
      <c r="HT151" s="238"/>
      <c r="HU151" s="238"/>
      <c r="HV151" s="238"/>
      <c r="HW151" s="238"/>
      <c r="HX151" s="257"/>
      <c r="HY151" s="257"/>
      <c r="HZ151" s="257"/>
      <c r="IA151" s="257"/>
      <c r="IB151" s="257"/>
      <c r="IC151" s="257"/>
      <c r="ID151" s="257"/>
      <c r="IE151" s="257"/>
      <c r="IF151" s="257"/>
      <c r="IG151" s="257"/>
      <c r="IH151" s="257"/>
      <c r="II151" s="257"/>
      <c r="IJ151" s="257"/>
      <c r="IK151" s="257"/>
      <c r="IL151" s="257"/>
      <c r="IM151" s="257"/>
      <c r="IN151" s="257"/>
      <c r="IO151" s="257"/>
      <c r="IP151" s="257"/>
      <c r="IQ151" s="257"/>
      <c r="IR151" s="257"/>
      <c r="IS151" s="257"/>
      <c r="IT151" s="257"/>
      <c r="IU151" s="257"/>
      <c r="IV151" s="257"/>
      <c r="IW151" s="257"/>
      <c r="IX151" s="257"/>
      <c r="IY151" s="257"/>
      <c r="IZ151" s="257"/>
      <c r="JA151" s="257"/>
      <c r="JB151" s="257"/>
      <c r="JC151" s="257"/>
      <c r="JD151" s="257"/>
      <c r="JE151" s="257"/>
      <c r="JF151" s="238"/>
      <c r="JG151" s="238"/>
      <c r="JH151" s="238"/>
      <c r="JI151" s="238"/>
      <c r="JJ151" s="238"/>
      <c r="JK151" s="238"/>
      <c r="JL151" s="238"/>
      <c r="JM151" s="238"/>
      <c r="JN151" s="238"/>
      <c r="JO151" s="238"/>
      <c r="JP151" s="238"/>
      <c r="JQ151" s="238"/>
      <c r="JR151" s="238"/>
      <c r="JS151" s="238"/>
      <c r="JT151" s="238"/>
      <c r="JU151" s="238"/>
      <c r="JV151" s="238"/>
      <c r="JW151" s="238"/>
      <c r="JX151" s="238"/>
      <c r="JY151" s="238"/>
      <c r="JZ151" s="238"/>
      <c r="KA151" s="238"/>
      <c r="KB151" s="238"/>
      <c r="KC151" s="238"/>
      <c r="KD151" s="238"/>
      <c r="KE151" s="238"/>
      <c r="KF151" s="238"/>
      <c r="KG151" s="238"/>
      <c r="KH151" s="238"/>
      <c r="KI151" s="238"/>
      <c r="KJ151" s="238"/>
      <c r="KK151" s="238"/>
      <c r="KL151" s="238"/>
      <c r="KM151" s="238"/>
      <c r="KN151" s="238"/>
      <c r="KO151" s="238"/>
      <c r="KP151" s="238"/>
      <c r="KQ151" s="238"/>
      <c r="KR151" s="238"/>
      <c r="KS151" s="238"/>
      <c r="KT151" s="238"/>
      <c r="KU151" s="238"/>
      <c r="KV151" s="238"/>
      <c r="KW151" s="238"/>
      <c r="KX151" s="238"/>
      <c r="KY151" s="238"/>
      <c r="KZ151" s="238"/>
      <c r="LA151" s="238"/>
      <c r="LB151" s="238"/>
      <c r="LC151" s="238"/>
      <c r="LD151" s="238"/>
      <c r="LE151" s="238"/>
      <c r="LF151" s="238"/>
      <c r="LG151" s="238"/>
      <c r="LH151" s="238"/>
      <c r="LI151" s="238"/>
      <c r="LJ151" s="238"/>
      <c r="LK151" s="238"/>
      <c r="LL151" s="238"/>
      <c r="LM151" s="238"/>
      <c r="LN151" s="238"/>
      <c r="LO151" s="238"/>
      <c r="LP151" s="238"/>
      <c r="LQ151" s="238"/>
      <c r="LR151" s="238"/>
      <c r="LS151" s="238"/>
      <c r="LT151" s="238"/>
      <c r="LU151" s="238"/>
      <c r="LV151" s="238"/>
      <c r="LW151" s="238"/>
      <c r="LX151" s="238"/>
      <c r="LY151" s="238"/>
      <c r="LZ151" s="238"/>
      <c r="MA151" s="238"/>
      <c r="MB151" s="238"/>
      <c r="MC151" s="238"/>
      <c r="MD151" s="238"/>
      <c r="ME151" s="238"/>
      <c r="MF151" s="238"/>
      <c r="MG151" s="238"/>
      <c r="MH151" s="238"/>
      <c r="MI151" s="238"/>
      <c r="MJ151" s="238"/>
      <c r="MK151" s="238"/>
      <c r="ML151" s="238"/>
    </row>
    <row r="152" ht="18.75" customHeight="1">
      <c r="A152" s="283"/>
      <c r="B152" s="234" t="str">
        <f>'Building Bill of Materials_SLIM'!P152</f>
        <v/>
      </c>
      <c r="C152" s="234" t="str">
        <f>'Building Bill of Materials_SLIM'!Q152</f>
        <v/>
      </c>
      <c r="D152" s="234" t="str">
        <f>'Building Bill of Materials_SLIM'!R152</f>
        <v/>
      </c>
      <c r="E152" s="234" t="str">
        <f>'Building Bill of Materials_SLIM'!S152</f>
        <v/>
      </c>
      <c r="F152" s="234" t="str">
        <f>'Building Bill of Materials_SLIM'!U152</f>
        <v/>
      </c>
      <c r="G152" s="234"/>
      <c r="H152" s="234"/>
      <c r="I152" s="234"/>
      <c r="J152" s="234" t="str">
        <f>'Building Bill of Materials_SLIM'!V152</f>
        <v/>
      </c>
      <c r="K152" s="238"/>
      <c r="L152" s="238"/>
      <c r="M152" s="238"/>
      <c r="N152" s="238"/>
      <c r="O152" s="238"/>
      <c r="P152" s="238"/>
      <c r="Q152" s="238"/>
      <c r="R152" s="238"/>
      <c r="S152" s="238"/>
      <c r="T152" s="238"/>
      <c r="U152" s="238"/>
      <c r="V152" s="238"/>
      <c r="W152" s="238"/>
      <c r="X152" s="238"/>
      <c r="Y152" s="238"/>
      <c r="Z152" s="238"/>
      <c r="AA152" s="192"/>
      <c r="AB152" s="257"/>
      <c r="AC152" s="257"/>
      <c r="AD152" s="257"/>
      <c r="AE152" s="257"/>
      <c r="AF152" s="257"/>
      <c r="AG152" s="257"/>
      <c r="AH152" s="257"/>
      <c r="AI152" s="257"/>
      <c r="AJ152" s="257"/>
      <c r="AK152" s="257"/>
      <c r="AL152" s="257"/>
      <c r="AM152" s="257"/>
      <c r="AN152" s="257"/>
      <c r="AO152" s="257"/>
      <c r="AP152" s="257"/>
      <c r="AQ152" s="257"/>
      <c r="AR152" s="257"/>
      <c r="AS152" s="257"/>
      <c r="AT152" s="257"/>
      <c r="AU152" s="257"/>
      <c r="AV152" s="257"/>
      <c r="AW152" s="257"/>
      <c r="AX152" s="257"/>
      <c r="AY152" s="257"/>
      <c r="AZ152" s="257"/>
      <c r="BA152" s="257"/>
      <c r="BB152" s="257"/>
      <c r="BC152" s="257"/>
      <c r="BD152" s="257"/>
      <c r="BE152" s="257"/>
      <c r="BF152" s="257"/>
      <c r="BG152" s="257"/>
      <c r="BH152" s="257"/>
      <c r="BI152" s="257"/>
      <c r="BJ152" s="238"/>
      <c r="BK152" s="238"/>
      <c r="BL152" s="238"/>
      <c r="BM152" s="238"/>
      <c r="BN152" s="238"/>
      <c r="BO152" s="238"/>
      <c r="BP152" s="238"/>
      <c r="BQ152" s="238"/>
      <c r="BR152" s="238"/>
      <c r="BS152" s="238"/>
      <c r="BT152" s="238"/>
      <c r="BU152" s="238"/>
      <c r="BV152" s="238"/>
      <c r="BW152" s="238"/>
      <c r="BX152" s="238"/>
      <c r="BY152" s="238"/>
      <c r="BZ152" s="238"/>
      <c r="CA152" s="238"/>
      <c r="CB152" s="238"/>
      <c r="CC152" s="238"/>
      <c r="CD152" s="238"/>
      <c r="CE152" s="257"/>
      <c r="CF152" s="257"/>
      <c r="CG152" s="238"/>
      <c r="CH152" s="238"/>
      <c r="CI152" s="238"/>
      <c r="CJ152" s="238"/>
      <c r="CK152" s="238"/>
      <c r="CL152" s="238"/>
      <c r="CM152" s="238"/>
      <c r="CN152" s="238"/>
      <c r="CO152" s="238"/>
      <c r="CP152" s="238"/>
      <c r="CQ152" s="238"/>
      <c r="CR152" s="238"/>
      <c r="CS152" s="238"/>
      <c r="CT152" s="238"/>
      <c r="CU152" s="238"/>
      <c r="CV152" s="238"/>
      <c r="CW152" s="238"/>
      <c r="CX152" s="238"/>
      <c r="CY152" s="238"/>
      <c r="CZ152" s="238"/>
      <c r="DA152" s="238"/>
      <c r="DB152" s="238"/>
      <c r="DC152" s="238"/>
      <c r="DD152" s="238"/>
      <c r="DE152" s="238"/>
      <c r="DF152" s="238"/>
      <c r="DG152" s="257"/>
      <c r="DH152" s="238"/>
      <c r="DI152" s="238"/>
      <c r="DJ152" s="238"/>
      <c r="DK152" s="238"/>
      <c r="DL152" s="238"/>
      <c r="DM152" s="238"/>
      <c r="DN152" s="238"/>
      <c r="DO152" s="238"/>
      <c r="DP152" s="238"/>
      <c r="DQ152" s="238"/>
      <c r="DR152" s="238"/>
      <c r="DS152" s="238"/>
      <c r="DT152" s="238"/>
      <c r="DU152" s="238"/>
      <c r="DV152" s="238"/>
      <c r="DW152" s="238"/>
      <c r="DX152" s="238"/>
      <c r="DY152" s="238"/>
      <c r="DZ152" s="238"/>
      <c r="EA152" s="238"/>
      <c r="EB152" s="238"/>
      <c r="EC152" s="238"/>
      <c r="ED152" s="238"/>
      <c r="EE152" s="238"/>
      <c r="EF152" s="238"/>
      <c r="EG152" s="238"/>
      <c r="EH152" s="238"/>
      <c r="EI152" s="238"/>
      <c r="EJ152" s="238"/>
      <c r="EK152" s="238"/>
      <c r="EL152" s="238"/>
      <c r="EM152" s="238"/>
      <c r="EN152" s="238"/>
      <c r="EO152" s="238"/>
      <c r="EP152" s="238"/>
      <c r="EQ152" s="238"/>
      <c r="ER152" s="238"/>
      <c r="ES152" s="238"/>
      <c r="ET152" s="238"/>
      <c r="EU152" s="238"/>
      <c r="EV152" s="238"/>
      <c r="EW152" s="238"/>
      <c r="EX152" s="238"/>
      <c r="EY152" s="238"/>
      <c r="EZ152" s="238"/>
      <c r="FA152" s="238"/>
      <c r="FB152" s="238"/>
      <c r="FC152" s="238"/>
      <c r="FD152" s="238"/>
      <c r="FE152" s="238"/>
      <c r="FF152" s="238"/>
      <c r="FG152" s="238"/>
      <c r="FH152" s="257"/>
      <c r="FI152" s="257"/>
      <c r="FJ152" s="257"/>
      <c r="FK152" s="257"/>
      <c r="FL152" s="257"/>
      <c r="FM152" s="257"/>
      <c r="FN152" s="257"/>
      <c r="FO152" s="257"/>
      <c r="FP152" s="257"/>
      <c r="FQ152" s="257"/>
      <c r="FR152" s="257"/>
      <c r="FS152" s="257"/>
      <c r="FT152" s="257"/>
      <c r="FU152" s="257"/>
      <c r="FV152" s="257"/>
      <c r="FW152" s="257"/>
      <c r="FX152" s="257"/>
      <c r="FY152" s="238"/>
      <c r="FZ152" s="238"/>
      <c r="GA152" s="238"/>
      <c r="GB152" s="238"/>
      <c r="GC152" s="238"/>
      <c r="GD152" s="238"/>
      <c r="GE152" s="238"/>
      <c r="GF152" s="238"/>
      <c r="GG152" s="238"/>
      <c r="GH152" s="238"/>
      <c r="GI152" s="238"/>
      <c r="GJ152" s="238"/>
      <c r="GK152" s="238"/>
      <c r="GL152" s="238"/>
      <c r="GM152" s="238"/>
      <c r="GN152" s="238"/>
      <c r="GO152" s="238"/>
      <c r="GP152" s="238"/>
      <c r="GQ152" s="238"/>
      <c r="GR152" s="238"/>
      <c r="GS152" s="238"/>
      <c r="GT152" s="238"/>
      <c r="GU152" s="238"/>
      <c r="GV152" s="238"/>
      <c r="GW152" s="238"/>
      <c r="GX152" s="238"/>
      <c r="GY152" s="238"/>
      <c r="GZ152" s="238"/>
      <c r="HA152" s="238"/>
      <c r="HB152" s="238"/>
      <c r="HC152" s="238"/>
      <c r="HD152" s="238"/>
      <c r="HE152" s="238"/>
      <c r="HF152" s="238"/>
      <c r="HG152" s="238"/>
      <c r="HH152" s="238"/>
      <c r="HI152" s="238"/>
      <c r="HJ152" s="238"/>
      <c r="HK152" s="238"/>
      <c r="HL152" s="238"/>
      <c r="HM152" s="238"/>
      <c r="HN152" s="238"/>
      <c r="HO152" s="238"/>
      <c r="HP152" s="238"/>
      <c r="HQ152" s="238"/>
      <c r="HR152" s="238"/>
      <c r="HS152" s="238"/>
      <c r="HT152" s="238"/>
      <c r="HU152" s="238"/>
      <c r="HV152" s="238"/>
      <c r="HW152" s="238"/>
      <c r="HX152" s="257"/>
      <c r="HY152" s="257"/>
      <c r="HZ152" s="257"/>
      <c r="IA152" s="257"/>
      <c r="IB152" s="257"/>
      <c r="IC152" s="257"/>
      <c r="ID152" s="257"/>
      <c r="IE152" s="257"/>
      <c r="IF152" s="257"/>
      <c r="IG152" s="257"/>
      <c r="IH152" s="257"/>
      <c r="II152" s="257"/>
      <c r="IJ152" s="257"/>
      <c r="IK152" s="257"/>
      <c r="IL152" s="257"/>
      <c r="IM152" s="257"/>
      <c r="IN152" s="257"/>
      <c r="IO152" s="257"/>
      <c r="IP152" s="257"/>
      <c r="IQ152" s="257"/>
      <c r="IR152" s="257"/>
      <c r="IS152" s="257"/>
      <c r="IT152" s="257"/>
      <c r="IU152" s="257"/>
      <c r="IV152" s="257"/>
      <c r="IW152" s="257"/>
      <c r="IX152" s="257"/>
      <c r="IY152" s="257"/>
      <c r="IZ152" s="257"/>
      <c r="JA152" s="257"/>
      <c r="JB152" s="257"/>
      <c r="JC152" s="257"/>
      <c r="JD152" s="257"/>
      <c r="JE152" s="257"/>
      <c r="JF152" s="238"/>
      <c r="JG152" s="238"/>
      <c r="JH152" s="238"/>
      <c r="JI152" s="238"/>
      <c r="JJ152" s="238"/>
      <c r="JK152" s="238"/>
      <c r="JL152" s="238"/>
      <c r="JM152" s="238"/>
      <c r="JN152" s="238"/>
      <c r="JO152" s="238"/>
      <c r="JP152" s="238"/>
      <c r="JQ152" s="238"/>
      <c r="JR152" s="238"/>
      <c r="JS152" s="238"/>
      <c r="JT152" s="238"/>
      <c r="JU152" s="238"/>
      <c r="JV152" s="238"/>
      <c r="JW152" s="238"/>
      <c r="JX152" s="238"/>
      <c r="JY152" s="238"/>
      <c r="JZ152" s="238"/>
      <c r="KA152" s="238"/>
      <c r="KB152" s="238"/>
      <c r="KC152" s="238"/>
      <c r="KD152" s="238"/>
      <c r="KE152" s="238"/>
      <c r="KF152" s="238"/>
      <c r="KG152" s="238"/>
      <c r="KH152" s="238"/>
      <c r="KI152" s="238"/>
      <c r="KJ152" s="238"/>
      <c r="KK152" s="238"/>
      <c r="KL152" s="238"/>
      <c r="KM152" s="238"/>
      <c r="KN152" s="238"/>
      <c r="KO152" s="238"/>
      <c r="KP152" s="238"/>
      <c r="KQ152" s="238"/>
      <c r="KR152" s="238"/>
      <c r="KS152" s="238"/>
      <c r="KT152" s="238"/>
      <c r="KU152" s="238"/>
      <c r="KV152" s="238"/>
      <c r="KW152" s="238"/>
      <c r="KX152" s="238"/>
      <c r="KY152" s="238"/>
      <c r="KZ152" s="238"/>
      <c r="LA152" s="238"/>
      <c r="LB152" s="238"/>
      <c r="LC152" s="238"/>
      <c r="LD152" s="238"/>
      <c r="LE152" s="238"/>
      <c r="LF152" s="238"/>
      <c r="LG152" s="238"/>
      <c r="LH152" s="238"/>
      <c r="LI152" s="238"/>
      <c r="LJ152" s="238"/>
      <c r="LK152" s="238"/>
      <c r="LL152" s="238"/>
      <c r="LM152" s="238"/>
      <c r="LN152" s="238"/>
      <c r="LO152" s="238"/>
      <c r="LP152" s="238"/>
      <c r="LQ152" s="238"/>
      <c r="LR152" s="238"/>
      <c r="LS152" s="238"/>
      <c r="LT152" s="238"/>
      <c r="LU152" s="238"/>
      <c r="LV152" s="238"/>
      <c r="LW152" s="238"/>
      <c r="LX152" s="238"/>
      <c r="LY152" s="238"/>
      <c r="LZ152" s="238"/>
      <c r="MA152" s="238"/>
      <c r="MB152" s="238"/>
      <c r="MC152" s="238"/>
      <c r="MD152" s="238"/>
      <c r="ME152" s="238"/>
      <c r="MF152" s="238"/>
      <c r="MG152" s="238"/>
      <c r="MH152" s="238"/>
      <c r="MI152" s="238"/>
      <c r="MJ152" s="238"/>
      <c r="MK152" s="238"/>
      <c r="ML152" s="238"/>
    </row>
    <row r="153" ht="18.75" customHeight="1">
      <c r="A153" s="283"/>
      <c r="B153" s="234" t="str">
        <f>'Building Bill of Materials_SLIM'!P153</f>
        <v/>
      </c>
      <c r="C153" s="234" t="str">
        <f>'Building Bill of Materials_SLIM'!Q153</f>
        <v/>
      </c>
      <c r="D153" s="234" t="str">
        <f>'Building Bill of Materials_SLIM'!R153</f>
        <v/>
      </c>
      <c r="E153" s="234" t="str">
        <f>'Building Bill of Materials_SLIM'!S153</f>
        <v/>
      </c>
      <c r="F153" s="234" t="str">
        <f>'Building Bill of Materials_SLIM'!U153</f>
        <v/>
      </c>
      <c r="G153" s="234"/>
      <c r="H153" s="234"/>
      <c r="I153" s="234"/>
      <c r="J153" s="234" t="str">
        <f>'Building Bill of Materials_SLIM'!V153</f>
        <v/>
      </c>
      <c r="K153" s="238"/>
      <c r="L153" s="238"/>
      <c r="M153" s="238"/>
      <c r="N153" s="238"/>
      <c r="O153" s="238"/>
      <c r="P153" s="238"/>
      <c r="Q153" s="238"/>
      <c r="R153" s="238"/>
      <c r="S153" s="238"/>
      <c r="T153" s="238"/>
      <c r="U153" s="238"/>
      <c r="V153" s="238"/>
      <c r="W153" s="238"/>
      <c r="X153" s="238"/>
      <c r="Y153" s="238"/>
      <c r="Z153" s="238"/>
      <c r="AA153" s="192"/>
      <c r="AB153" s="257"/>
      <c r="AC153" s="257"/>
      <c r="AD153" s="257"/>
      <c r="AE153" s="257"/>
      <c r="AF153" s="257"/>
      <c r="AG153" s="257"/>
      <c r="AH153" s="257"/>
      <c r="AI153" s="257"/>
      <c r="AJ153" s="257"/>
      <c r="AK153" s="257"/>
      <c r="AL153" s="257"/>
      <c r="AM153" s="257"/>
      <c r="AN153" s="257"/>
      <c r="AO153" s="257"/>
      <c r="AP153" s="257"/>
      <c r="AQ153" s="257"/>
      <c r="AR153" s="257"/>
      <c r="AS153" s="257"/>
      <c r="AT153" s="257"/>
      <c r="AU153" s="257"/>
      <c r="AV153" s="257"/>
      <c r="AW153" s="257"/>
      <c r="AX153" s="257"/>
      <c r="AY153" s="257"/>
      <c r="AZ153" s="257"/>
      <c r="BA153" s="257"/>
      <c r="BB153" s="257"/>
      <c r="BC153" s="257"/>
      <c r="BD153" s="257"/>
      <c r="BE153" s="257"/>
      <c r="BF153" s="257"/>
      <c r="BG153" s="257"/>
      <c r="BH153" s="257"/>
      <c r="BI153" s="257"/>
      <c r="BJ153" s="238"/>
      <c r="BK153" s="238"/>
      <c r="BL153" s="238"/>
      <c r="BM153" s="238"/>
      <c r="BN153" s="238"/>
      <c r="BO153" s="238"/>
      <c r="BP153" s="238"/>
      <c r="BQ153" s="238"/>
      <c r="BR153" s="238"/>
      <c r="BS153" s="238"/>
      <c r="BT153" s="238"/>
      <c r="BU153" s="238"/>
      <c r="BV153" s="238"/>
      <c r="BW153" s="238"/>
      <c r="BX153" s="238"/>
      <c r="BY153" s="238"/>
      <c r="BZ153" s="238"/>
      <c r="CA153" s="238"/>
      <c r="CB153" s="238"/>
      <c r="CC153" s="238"/>
      <c r="CD153" s="238"/>
      <c r="CE153" s="257"/>
      <c r="CF153" s="257"/>
      <c r="CG153" s="238"/>
      <c r="CH153" s="238"/>
      <c r="CI153" s="238"/>
      <c r="CJ153" s="238"/>
      <c r="CK153" s="238"/>
      <c r="CL153" s="238"/>
      <c r="CM153" s="238"/>
      <c r="CN153" s="238"/>
      <c r="CO153" s="238"/>
      <c r="CP153" s="238"/>
      <c r="CQ153" s="238"/>
      <c r="CR153" s="238"/>
      <c r="CS153" s="238"/>
      <c r="CT153" s="238"/>
      <c r="CU153" s="238"/>
      <c r="CV153" s="238"/>
      <c r="CW153" s="238"/>
      <c r="CX153" s="238"/>
      <c r="CY153" s="238"/>
      <c r="CZ153" s="238"/>
      <c r="DA153" s="238"/>
      <c r="DB153" s="238"/>
      <c r="DC153" s="238"/>
      <c r="DD153" s="238"/>
      <c r="DE153" s="238"/>
      <c r="DF153" s="238"/>
      <c r="DG153" s="257"/>
      <c r="DH153" s="238"/>
      <c r="DI153" s="238"/>
      <c r="DJ153" s="238"/>
      <c r="DK153" s="238"/>
      <c r="DL153" s="238"/>
      <c r="DM153" s="238"/>
      <c r="DN153" s="238"/>
      <c r="DO153" s="238"/>
      <c r="DP153" s="238"/>
      <c r="DQ153" s="238"/>
      <c r="DR153" s="238"/>
      <c r="DS153" s="238"/>
      <c r="DT153" s="238"/>
      <c r="DU153" s="238"/>
      <c r="DV153" s="238"/>
      <c r="DW153" s="238"/>
      <c r="DX153" s="238"/>
      <c r="DY153" s="238"/>
      <c r="DZ153" s="238"/>
      <c r="EA153" s="238"/>
      <c r="EB153" s="238"/>
      <c r="EC153" s="238"/>
      <c r="ED153" s="238"/>
      <c r="EE153" s="238"/>
      <c r="EF153" s="238"/>
      <c r="EG153" s="238"/>
      <c r="EH153" s="238"/>
      <c r="EI153" s="238"/>
      <c r="EJ153" s="238"/>
      <c r="EK153" s="238"/>
      <c r="EL153" s="238"/>
      <c r="EM153" s="238"/>
      <c r="EN153" s="238"/>
      <c r="EO153" s="238"/>
      <c r="EP153" s="238"/>
      <c r="EQ153" s="238"/>
      <c r="ER153" s="238"/>
      <c r="ES153" s="238"/>
      <c r="ET153" s="238"/>
      <c r="EU153" s="238"/>
      <c r="EV153" s="238"/>
      <c r="EW153" s="238"/>
      <c r="EX153" s="238"/>
      <c r="EY153" s="238"/>
      <c r="EZ153" s="238"/>
      <c r="FA153" s="238"/>
      <c r="FB153" s="238"/>
      <c r="FC153" s="238"/>
      <c r="FD153" s="238"/>
      <c r="FE153" s="238"/>
      <c r="FF153" s="238"/>
      <c r="FG153" s="238"/>
      <c r="FH153" s="257"/>
      <c r="FI153" s="257"/>
      <c r="FJ153" s="257"/>
      <c r="FK153" s="257"/>
      <c r="FL153" s="257"/>
      <c r="FM153" s="257"/>
      <c r="FN153" s="257"/>
      <c r="FO153" s="257"/>
      <c r="FP153" s="257"/>
      <c r="FQ153" s="257"/>
      <c r="FR153" s="257"/>
      <c r="FS153" s="257"/>
      <c r="FT153" s="257"/>
      <c r="FU153" s="257"/>
      <c r="FV153" s="257"/>
      <c r="FW153" s="257"/>
      <c r="FX153" s="257"/>
      <c r="FY153" s="238"/>
      <c r="FZ153" s="238"/>
      <c r="GA153" s="238"/>
      <c r="GB153" s="238"/>
      <c r="GC153" s="238"/>
      <c r="GD153" s="238"/>
      <c r="GE153" s="238"/>
      <c r="GF153" s="238"/>
      <c r="GG153" s="238"/>
      <c r="GH153" s="238"/>
      <c r="GI153" s="238"/>
      <c r="GJ153" s="238"/>
      <c r="GK153" s="238"/>
      <c r="GL153" s="238"/>
      <c r="GM153" s="238"/>
      <c r="GN153" s="238"/>
      <c r="GO153" s="238"/>
      <c r="GP153" s="238"/>
      <c r="GQ153" s="238"/>
      <c r="GR153" s="238"/>
      <c r="GS153" s="238"/>
      <c r="GT153" s="238"/>
      <c r="GU153" s="238"/>
      <c r="GV153" s="238"/>
      <c r="GW153" s="238"/>
      <c r="GX153" s="238"/>
      <c r="GY153" s="238"/>
      <c r="GZ153" s="238"/>
      <c r="HA153" s="238"/>
      <c r="HB153" s="238"/>
      <c r="HC153" s="238"/>
      <c r="HD153" s="238"/>
      <c r="HE153" s="238"/>
      <c r="HF153" s="238"/>
      <c r="HG153" s="238"/>
      <c r="HH153" s="238"/>
      <c r="HI153" s="238"/>
      <c r="HJ153" s="238"/>
      <c r="HK153" s="238"/>
      <c r="HL153" s="238"/>
      <c r="HM153" s="238"/>
      <c r="HN153" s="238"/>
      <c r="HO153" s="238"/>
      <c r="HP153" s="238"/>
      <c r="HQ153" s="238"/>
      <c r="HR153" s="238"/>
      <c r="HS153" s="238"/>
      <c r="HT153" s="238"/>
      <c r="HU153" s="238"/>
      <c r="HV153" s="238"/>
      <c r="HW153" s="238"/>
      <c r="HX153" s="257"/>
      <c r="HY153" s="257"/>
      <c r="HZ153" s="257"/>
      <c r="IA153" s="257"/>
      <c r="IB153" s="257"/>
      <c r="IC153" s="257"/>
      <c r="ID153" s="257"/>
      <c r="IE153" s="257"/>
      <c r="IF153" s="257"/>
      <c r="IG153" s="257"/>
      <c r="IH153" s="257"/>
      <c r="II153" s="257"/>
      <c r="IJ153" s="257"/>
      <c r="IK153" s="257"/>
      <c r="IL153" s="257"/>
      <c r="IM153" s="257"/>
      <c r="IN153" s="257"/>
      <c r="IO153" s="257"/>
      <c r="IP153" s="257"/>
      <c r="IQ153" s="257"/>
      <c r="IR153" s="257"/>
      <c r="IS153" s="257"/>
      <c r="IT153" s="257"/>
      <c r="IU153" s="257"/>
      <c r="IV153" s="257"/>
      <c r="IW153" s="257"/>
      <c r="IX153" s="257"/>
      <c r="IY153" s="257"/>
      <c r="IZ153" s="257"/>
      <c r="JA153" s="257"/>
      <c r="JB153" s="257"/>
      <c r="JC153" s="257"/>
      <c r="JD153" s="257"/>
      <c r="JE153" s="257"/>
      <c r="JF153" s="238"/>
      <c r="JG153" s="238"/>
      <c r="JH153" s="238"/>
      <c r="JI153" s="238"/>
      <c r="JJ153" s="238"/>
      <c r="JK153" s="238"/>
      <c r="JL153" s="238"/>
      <c r="JM153" s="238"/>
      <c r="JN153" s="238"/>
      <c r="JO153" s="238"/>
      <c r="JP153" s="238"/>
      <c r="JQ153" s="238"/>
      <c r="JR153" s="238"/>
      <c r="JS153" s="238"/>
      <c r="JT153" s="238"/>
      <c r="JU153" s="238"/>
      <c r="JV153" s="238"/>
      <c r="JW153" s="238"/>
      <c r="JX153" s="238"/>
      <c r="JY153" s="238"/>
      <c r="JZ153" s="238"/>
      <c r="KA153" s="238"/>
      <c r="KB153" s="238"/>
      <c r="KC153" s="238"/>
      <c r="KD153" s="238"/>
      <c r="KE153" s="238"/>
      <c r="KF153" s="238"/>
      <c r="KG153" s="238"/>
      <c r="KH153" s="238"/>
      <c r="KI153" s="238"/>
      <c r="KJ153" s="238"/>
      <c r="KK153" s="238"/>
      <c r="KL153" s="238"/>
      <c r="KM153" s="238"/>
      <c r="KN153" s="238"/>
      <c r="KO153" s="238"/>
      <c r="KP153" s="238"/>
      <c r="KQ153" s="238"/>
      <c r="KR153" s="238"/>
      <c r="KS153" s="238"/>
      <c r="KT153" s="238"/>
      <c r="KU153" s="238"/>
      <c r="KV153" s="238"/>
      <c r="KW153" s="238"/>
      <c r="KX153" s="238"/>
      <c r="KY153" s="238"/>
      <c r="KZ153" s="238"/>
      <c r="LA153" s="238"/>
      <c r="LB153" s="238"/>
      <c r="LC153" s="238"/>
      <c r="LD153" s="238"/>
      <c r="LE153" s="238"/>
      <c r="LF153" s="238"/>
      <c r="LG153" s="238"/>
      <c r="LH153" s="238"/>
      <c r="LI153" s="238"/>
      <c r="LJ153" s="238"/>
      <c r="LK153" s="238"/>
      <c r="LL153" s="238"/>
      <c r="LM153" s="238"/>
      <c r="LN153" s="238"/>
      <c r="LO153" s="238"/>
      <c r="LP153" s="238"/>
      <c r="LQ153" s="238"/>
      <c r="LR153" s="238"/>
      <c r="LS153" s="238"/>
      <c r="LT153" s="238"/>
      <c r="LU153" s="238"/>
      <c r="LV153" s="238"/>
      <c r="LW153" s="238"/>
      <c r="LX153" s="238"/>
      <c r="LY153" s="238"/>
      <c r="LZ153" s="238"/>
      <c r="MA153" s="238"/>
      <c r="MB153" s="238"/>
      <c r="MC153" s="238"/>
      <c r="MD153" s="238"/>
      <c r="ME153" s="238"/>
      <c r="MF153" s="238"/>
      <c r="MG153" s="238"/>
      <c r="MH153" s="238"/>
      <c r="MI153" s="238"/>
      <c r="MJ153" s="238"/>
      <c r="MK153" s="238"/>
      <c r="ML153" s="238"/>
    </row>
    <row r="154" ht="18.75" customHeight="1">
      <c r="A154" s="283"/>
      <c r="B154" s="234" t="str">
        <f>'Building Bill of Materials_SLIM'!P154</f>
        <v/>
      </c>
      <c r="C154" s="234" t="str">
        <f>'Building Bill of Materials_SLIM'!Q154</f>
        <v/>
      </c>
      <c r="D154" s="234" t="str">
        <f>'Building Bill of Materials_SLIM'!R154</f>
        <v/>
      </c>
      <c r="E154" s="234" t="str">
        <f>'Building Bill of Materials_SLIM'!S154</f>
        <v/>
      </c>
      <c r="F154" s="234" t="str">
        <f>'Building Bill of Materials_SLIM'!U154</f>
        <v/>
      </c>
      <c r="G154" s="234"/>
      <c r="H154" s="234"/>
      <c r="I154" s="234"/>
      <c r="J154" s="234" t="str">
        <f>'Building Bill of Materials_SLIM'!V154</f>
        <v/>
      </c>
      <c r="K154" s="238"/>
      <c r="L154" s="238"/>
      <c r="M154" s="238"/>
      <c r="N154" s="238"/>
      <c r="O154" s="238"/>
      <c r="P154" s="238"/>
      <c r="Q154" s="238"/>
      <c r="R154" s="238"/>
      <c r="S154" s="238"/>
      <c r="T154" s="238"/>
      <c r="U154" s="238"/>
      <c r="V154" s="238"/>
      <c r="W154" s="238"/>
      <c r="X154" s="238"/>
      <c r="Y154" s="238"/>
      <c r="Z154" s="238"/>
      <c r="AA154" s="192"/>
      <c r="AB154" s="257"/>
      <c r="AC154" s="257"/>
      <c r="AD154" s="257"/>
      <c r="AE154" s="257"/>
      <c r="AF154" s="257"/>
      <c r="AG154" s="257"/>
      <c r="AH154" s="257"/>
      <c r="AI154" s="257"/>
      <c r="AJ154" s="257"/>
      <c r="AK154" s="257"/>
      <c r="AL154" s="257"/>
      <c r="AM154" s="257"/>
      <c r="AN154" s="257"/>
      <c r="AO154" s="257"/>
      <c r="AP154" s="257"/>
      <c r="AQ154" s="257"/>
      <c r="AR154" s="257"/>
      <c r="AS154" s="257"/>
      <c r="AT154" s="257"/>
      <c r="AU154" s="257"/>
      <c r="AV154" s="257"/>
      <c r="AW154" s="257"/>
      <c r="AX154" s="257"/>
      <c r="AY154" s="257"/>
      <c r="AZ154" s="257"/>
      <c r="BA154" s="257"/>
      <c r="BB154" s="257"/>
      <c r="BC154" s="257"/>
      <c r="BD154" s="257"/>
      <c r="BE154" s="257"/>
      <c r="BF154" s="257"/>
      <c r="BG154" s="257"/>
      <c r="BH154" s="257"/>
      <c r="BI154" s="257"/>
      <c r="BJ154" s="238"/>
      <c r="BK154" s="238"/>
      <c r="BL154" s="238"/>
      <c r="BM154" s="238"/>
      <c r="BN154" s="238"/>
      <c r="BO154" s="238"/>
      <c r="BP154" s="238"/>
      <c r="BQ154" s="238"/>
      <c r="BR154" s="238"/>
      <c r="BS154" s="238"/>
      <c r="BT154" s="238"/>
      <c r="BU154" s="238"/>
      <c r="BV154" s="238"/>
      <c r="BW154" s="238"/>
      <c r="BX154" s="238"/>
      <c r="BY154" s="238"/>
      <c r="BZ154" s="238"/>
      <c r="CA154" s="238"/>
      <c r="CB154" s="238"/>
      <c r="CC154" s="238"/>
      <c r="CD154" s="238"/>
      <c r="CE154" s="257"/>
      <c r="CF154" s="257"/>
      <c r="CG154" s="238"/>
      <c r="CH154" s="238"/>
      <c r="CI154" s="238"/>
      <c r="CJ154" s="238"/>
      <c r="CK154" s="238"/>
      <c r="CL154" s="238"/>
      <c r="CM154" s="238"/>
      <c r="CN154" s="238"/>
      <c r="CO154" s="238"/>
      <c r="CP154" s="238"/>
      <c r="CQ154" s="238"/>
      <c r="CR154" s="238"/>
      <c r="CS154" s="238"/>
      <c r="CT154" s="238"/>
      <c r="CU154" s="238"/>
      <c r="CV154" s="238"/>
      <c r="CW154" s="238"/>
      <c r="CX154" s="238"/>
      <c r="CY154" s="238"/>
      <c r="CZ154" s="238"/>
      <c r="DA154" s="238"/>
      <c r="DB154" s="238"/>
      <c r="DC154" s="238"/>
      <c r="DD154" s="238"/>
      <c r="DE154" s="238"/>
      <c r="DF154" s="238"/>
      <c r="DG154" s="257"/>
      <c r="DH154" s="238"/>
      <c r="DI154" s="238"/>
      <c r="DJ154" s="238"/>
      <c r="DK154" s="238"/>
      <c r="DL154" s="238"/>
      <c r="DM154" s="238"/>
      <c r="DN154" s="238"/>
      <c r="DO154" s="238"/>
      <c r="DP154" s="238"/>
      <c r="DQ154" s="238"/>
      <c r="DR154" s="238"/>
      <c r="DS154" s="238"/>
      <c r="DT154" s="238"/>
      <c r="DU154" s="238"/>
      <c r="DV154" s="238"/>
      <c r="DW154" s="238"/>
      <c r="DX154" s="238"/>
      <c r="DY154" s="238"/>
      <c r="DZ154" s="238"/>
      <c r="EA154" s="238"/>
      <c r="EB154" s="238"/>
      <c r="EC154" s="238"/>
      <c r="ED154" s="238"/>
      <c r="EE154" s="238"/>
      <c r="EF154" s="238"/>
      <c r="EG154" s="238"/>
      <c r="EH154" s="238"/>
      <c r="EI154" s="238"/>
      <c r="EJ154" s="238"/>
      <c r="EK154" s="238"/>
      <c r="EL154" s="238"/>
      <c r="EM154" s="238"/>
      <c r="EN154" s="238"/>
      <c r="EO154" s="238"/>
      <c r="EP154" s="238"/>
      <c r="EQ154" s="238"/>
      <c r="ER154" s="238"/>
      <c r="ES154" s="238"/>
      <c r="ET154" s="238"/>
      <c r="EU154" s="238"/>
      <c r="EV154" s="238"/>
      <c r="EW154" s="238"/>
      <c r="EX154" s="238"/>
      <c r="EY154" s="238"/>
      <c r="EZ154" s="238"/>
      <c r="FA154" s="238"/>
      <c r="FB154" s="238"/>
      <c r="FC154" s="238"/>
      <c r="FD154" s="238"/>
      <c r="FE154" s="238"/>
      <c r="FF154" s="238"/>
      <c r="FG154" s="238"/>
      <c r="FH154" s="257"/>
      <c r="FI154" s="257"/>
      <c r="FJ154" s="257"/>
      <c r="FK154" s="257"/>
      <c r="FL154" s="257"/>
      <c r="FM154" s="257"/>
      <c r="FN154" s="257"/>
      <c r="FO154" s="257"/>
      <c r="FP154" s="257"/>
      <c r="FQ154" s="257"/>
      <c r="FR154" s="257"/>
      <c r="FS154" s="257"/>
      <c r="FT154" s="257"/>
      <c r="FU154" s="257"/>
      <c r="FV154" s="257"/>
      <c r="FW154" s="257"/>
      <c r="FX154" s="257"/>
      <c r="FY154" s="238"/>
      <c r="FZ154" s="238"/>
      <c r="GA154" s="238"/>
      <c r="GB154" s="238"/>
      <c r="GC154" s="238"/>
      <c r="GD154" s="238"/>
      <c r="GE154" s="238"/>
      <c r="GF154" s="238"/>
      <c r="GG154" s="238"/>
      <c r="GH154" s="238"/>
      <c r="GI154" s="238"/>
      <c r="GJ154" s="238"/>
      <c r="GK154" s="238"/>
      <c r="GL154" s="238"/>
      <c r="GM154" s="238"/>
      <c r="GN154" s="238"/>
      <c r="GO154" s="238"/>
      <c r="GP154" s="238"/>
      <c r="GQ154" s="238"/>
      <c r="GR154" s="238"/>
      <c r="GS154" s="238"/>
      <c r="GT154" s="238"/>
      <c r="GU154" s="238"/>
      <c r="GV154" s="238"/>
      <c r="GW154" s="238"/>
      <c r="GX154" s="238"/>
      <c r="GY154" s="238"/>
      <c r="GZ154" s="238"/>
      <c r="HA154" s="238"/>
      <c r="HB154" s="238"/>
      <c r="HC154" s="238"/>
      <c r="HD154" s="238"/>
      <c r="HE154" s="238"/>
      <c r="HF154" s="238"/>
      <c r="HG154" s="238"/>
      <c r="HH154" s="238"/>
      <c r="HI154" s="238"/>
      <c r="HJ154" s="238"/>
      <c r="HK154" s="238"/>
      <c r="HL154" s="238"/>
      <c r="HM154" s="238"/>
      <c r="HN154" s="238"/>
      <c r="HO154" s="238"/>
      <c r="HP154" s="238"/>
      <c r="HQ154" s="238"/>
      <c r="HR154" s="238"/>
      <c r="HS154" s="238"/>
      <c r="HT154" s="238"/>
      <c r="HU154" s="238"/>
      <c r="HV154" s="238"/>
      <c r="HW154" s="238"/>
      <c r="HX154" s="257"/>
      <c r="HY154" s="257"/>
      <c r="HZ154" s="257"/>
      <c r="IA154" s="257"/>
      <c r="IB154" s="257"/>
      <c r="IC154" s="257"/>
      <c r="ID154" s="257"/>
      <c r="IE154" s="257"/>
      <c r="IF154" s="257"/>
      <c r="IG154" s="257"/>
      <c r="IH154" s="257"/>
      <c r="II154" s="257"/>
      <c r="IJ154" s="257"/>
      <c r="IK154" s="257"/>
      <c r="IL154" s="257"/>
      <c r="IM154" s="257"/>
      <c r="IN154" s="257"/>
      <c r="IO154" s="257"/>
      <c r="IP154" s="257"/>
      <c r="IQ154" s="257"/>
      <c r="IR154" s="257"/>
      <c r="IS154" s="257"/>
      <c r="IT154" s="257"/>
      <c r="IU154" s="257"/>
      <c r="IV154" s="257"/>
      <c r="IW154" s="257"/>
      <c r="IX154" s="257"/>
      <c r="IY154" s="257"/>
      <c r="IZ154" s="257"/>
      <c r="JA154" s="257"/>
      <c r="JB154" s="257"/>
      <c r="JC154" s="257"/>
      <c r="JD154" s="257"/>
      <c r="JE154" s="257"/>
      <c r="JF154" s="238"/>
      <c r="JG154" s="238"/>
      <c r="JH154" s="238"/>
      <c r="JI154" s="238"/>
      <c r="JJ154" s="238"/>
      <c r="JK154" s="238"/>
      <c r="JL154" s="238"/>
      <c r="JM154" s="238"/>
      <c r="JN154" s="238"/>
      <c r="JO154" s="238"/>
      <c r="JP154" s="238"/>
      <c r="JQ154" s="238"/>
      <c r="JR154" s="238"/>
      <c r="JS154" s="238"/>
      <c r="JT154" s="238"/>
      <c r="JU154" s="238"/>
      <c r="JV154" s="238"/>
      <c r="JW154" s="238"/>
      <c r="JX154" s="238"/>
      <c r="JY154" s="238"/>
      <c r="JZ154" s="238"/>
      <c r="KA154" s="238"/>
      <c r="KB154" s="238"/>
      <c r="KC154" s="238"/>
      <c r="KD154" s="238"/>
      <c r="KE154" s="238"/>
      <c r="KF154" s="238"/>
      <c r="KG154" s="238"/>
      <c r="KH154" s="238"/>
      <c r="KI154" s="238"/>
      <c r="KJ154" s="238"/>
      <c r="KK154" s="238"/>
      <c r="KL154" s="238"/>
      <c r="KM154" s="238"/>
      <c r="KN154" s="238"/>
      <c r="KO154" s="238"/>
      <c r="KP154" s="238"/>
      <c r="KQ154" s="238"/>
      <c r="KR154" s="238"/>
      <c r="KS154" s="238"/>
      <c r="KT154" s="238"/>
      <c r="KU154" s="238"/>
      <c r="KV154" s="238"/>
      <c r="KW154" s="238"/>
      <c r="KX154" s="238"/>
      <c r="KY154" s="238"/>
      <c r="KZ154" s="238"/>
      <c r="LA154" s="238"/>
      <c r="LB154" s="238"/>
      <c r="LC154" s="238"/>
      <c r="LD154" s="238"/>
      <c r="LE154" s="238"/>
      <c r="LF154" s="238"/>
      <c r="LG154" s="238"/>
      <c r="LH154" s="238"/>
      <c r="LI154" s="238"/>
      <c r="LJ154" s="238"/>
      <c r="LK154" s="238"/>
      <c r="LL154" s="238"/>
      <c r="LM154" s="238"/>
      <c r="LN154" s="238"/>
      <c r="LO154" s="238"/>
      <c r="LP154" s="238"/>
      <c r="LQ154" s="238"/>
      <c r="LR154" s="238"/>
      <c r="LS154" s="238"/>
      <c r="LT154" s="238"/>
      <c r="LU154" s="238"/>
      <c r="LV154" s="238"/>
      <c r="LW154" s="238"/>
      <c r="LX154" s="238"/>
      <c r="LY154" s="238"/>
      <c r="LZ154" s="238"/>
      <c r="MA154" s="238"/>
      <c r="MB154" s="238"/>
      <c r="MC154" s="238"/>
      <c r="MD154" s="238"/>
      <c r="ME154" s="238"/>
      <c r="MF154" s="238"/>
      <c r="MG154" s="238"/>
      <c r="MH154" s="238"/>
      <c r="MI154" s="238"/>
      <c r="MJ154" s="238"/>
      <c r="MK154" s="238"/>
      <c r="ML154" s="238"/>
    </row>
    <row r="155" ht="18.75" customHeight="1">
      <c r="A155" s="283"/>
      <c r="B155" s="234" t="str">
        <f>'Building Bill of Materials_SLIM'!P155</f>
        <v/>
      </c>
      <c r="C155" s="234" t="str">
        <f>'Building Bill of Materials_SLIM'!Q155</f>
        <v/>
      </c>
      <c r="D155" s="234" t="str">
        <f>'Building Bill of Materials_SLIM'!R155</f>
        <v/>
      </c>
      <c r="E155" s="234" t="str">
        <f>'Building Bill of Materials_SLIM'!S155</f>
        <v/>
      </c>
      <c r="F155" s="234" t="str">
        <f>'Building Bill of Materials_SLIM'!U155</f>
        <v/>
      </c>
      <c r="G155" s="234"/>
      <c r="H155" s="234"/>
      <c r="I155" s="234"/>
      <c r="J155" s="234" t="str">
        <f>'Building Bill of Materials_SLIM'!V155</f>
        <v/>
      </c>
      <c r="K155" s="238"/>
      <c r="L155" s="238"/>
      <c r="M155" s="238"/>
      <c r="N155" s="238"/>
      <c r="O155" s="238"/>
      <c r="P155" s="238"/>
      <c r="Q155" s="238"/>
      <c r="R155" s="238"/>
      <c r="S155" s="238"/>
      <c r="T155" s="238"/>
      <c r="U155" s="238"/>
      <c r="V155" s="238"/>
      <c r="W155" s="238"/>
      <c r="X155" s="238"/>
      <c r="Y155" s="238"/>
      <c r="Z155" s="238"/>
      <c r="AA155" s="192"/>
      <c r="AB155" s="257"/>
      <c r="AC155" s="257"/>
      <c r="AD155" s="257"/>
      <c r="AE155" s="257"/>
      <c r="AF155" s="257"/>
      <c r="AG155" s="257"/>
      <c r="AH155" s="257"/>
      <c r="AI155" s="257"/>
      <c r="AJ155" s="257"/>
      <c r="AK155" s="257"/>
      <c r="AL155" s="257"/>
      <c r="AM155" s="257"/>
      <c r="AN155" s="257"/>
      <c r="AO155" s="257"/>
      <c r="AP155" s="257"/>
      <c r="AQ155" s="257"/>
      <c r="AR155" s="257"/>
      <c r="AS155" s="257"/>
      <c r="AT155" s="257"/>
      <c r="AU155" s="257"/>
      <c r="AV155" s="257"/>
      <c r="AW155" s="257"/>
      <c r="AX155" s="257"/>
      <c r="AY155" s="257"/>
      <c r="AZ155" s="257"/>
      <c r="BA155" s="257"/>
      <c r="BB155" s="257"/>
      <c r="BC155" s="257"/>
      <c r="BD155" s="257"/>
      <c r="BE155" s="257"/>
      <c r="BF155" s="257"/>
      <c r="BG155" s="257"/>
      <c r="BH155" s="257"/>
      <c r="BI155" s="257"/>
      <c r="BJ155" s="238"/>
      <c r="BK155" s="238"/>
      <c r="BL155" s="238"/>
      <c r="BM155" s="238"/>
      <c r="BN155" s="238"/>
      <c r="BO155" s="238"/>
      <c r="BP155" s="238"/>
      <c r="BQ155" s="238"/>
      <c r="BR155" s="238"/>
      <c r="BS155" s="238"/>
      <c r="BT155" s="238"/>
      <c r="BU155" s="238"/>
      <c r="BV155" s="238"/>
      <c r="BW155" s="238"/>
      <c r="BX155" s="238"/>
      <c r="BY155" s="238"/>
      <c r="BZ155" s="238"/>
      <c r="CA155" s="238"/>
      <c r="CB155" s="238"/>
      <c r="CC155" s="238"/>
      <c r="CD155" s="238"/>
      <c r="CE155" s="257"/>
      <c r="CF155" s="257"/>
      <c r="CG155" s="238"/>
      <c r="CH155" s="238"/>
      <c r="CI155" s="238"/>
      <c r="CJ155" s="238"/>
      <c r="CK155" s="238"/>
      <c r="CL155" s="238"/>
      <c r="CM155" s="238"/>
      <c r="CN155" s="238"/>
      <c r="CO155" s="238"/>
      <c r="CP155" s="238"/>
      <c r="CQ155" s="238"/>
      <c r="CR155" s="238"/>
      <c r="CS155" s="238"/>
      <c r="CT155" s="238"/>
      <c r="CU155" s="238"/>
      <c r="CV155" s="238"/>
      <c r="CW155" s="238"/>
      <c r="CX155" s="238"/>
      <c r="CY155" s="238"/>
      <c r="CZ155" s="238"/>
      <c r="DA155" s="238"/>
      <c r="DB155" s="238"/>
      <c r="DC155" s="238"/>
      <c r="DD155" s="238"/>
      <c r="DE155" s="238"/>
      <c r="DF155" s="238"/>
      <c r="DG155" s="257"/>
      <c r="DH155" s="238"/>
      <c r="DI155" s="238"/>
      <c r="DJ155" s="238"/>
      <c r="DK155" s="238"/>
      <c r="DL155" s="238"/>
      <c r="DM155" s="238"/>
      <c r="DN155" s="238"/>
      <c r="DO155" s="238"/>
      <c r="DP155" s="238"/>
      <c r="DQ155" s="238"/>
      <c r="DR155" s="238"/>
      <c r="DS155" s="238"/>
      <c r="DT155" s="238"/>
      <c r="DU155" s="238"/>
      <c r="DV155" s="238"/>
      <c r="DW155" s="238"/>
      <c r="DX155" s="238"/>
      <c r="DY155" s="238"/>
      <c r="DZ155" s="238"/>
      <c r="EA155" s="238"/>
      <c r="EB155" s="238"/>
      <c r="EC155" s="238"/>
      <c r="ED155" s="238"/>
      <c r="EE155" s="238"/>
      <c r="EF155" s="238"/>
      <c r="EG155" s="238"/>
      <c r="EH155" s="238"/>
      <c r="EI155" s="238"/>
      <c r="EJ155" s="238"/>
      <c r="EK155" s="238"/>
      <c r="EL155" s="238"/>
      <c r="EM155" s="238"/>
      <c r="EN155" s="238"/>
      <c r="EO155" s="238"/>
      <c r="EP155" s="238"/>
      <c r="EQ155" s="238"/>
      <c r="ER155" s="238"/>
      <c r="ES155" s="238"/>
      <c r="ET155" s="238"/>
      <c r="EU155" s="238"/>
      <c r="EV155" s="238"/>
      <c r="EW155" s="238"/>
      <c r="EX155" s="238"/>
      <c r="EY155" s="238"/>
      <c r="EZ155" s="238"/>
      <c r="FA155" s="238"/>
      <c r="FB155" s="238"/>
      <c r="FC155" s="238"/>
      <c r="FD155" s="238"/>
      <c r="FE155" s="238"/>
      <c r="FF155" s="238"/>
      <c r="FG155" s="238"/>
      <c r="FH155" s="257"/>
      <c r="FI155" s="257"/>
      <c r="FJ155" s="257"/>
      <c r="FK155" s="257"/>
      <c r="FL155" s="257"/>
      <c r="FM155" s="257"/>
      <c r="FN155" s="257"/>
      <c r="FO155" s="257"/>
      <c r="FP155" s="257"/>
      <c r="FQ155" s="257"/>
      <c r="FR155" s="257"/>
      <c r="FS155" s="257"/>
      <c r="FT155" s="257"/>
      <c r="FU155" s="257"/>
      <c r="FV155" s="257"/>
      <c r="FW155" s="257"/>
      <c r="FX155" s="257"/>
      <c r="FY155" s="238"/>
      <c r="FZ155" s="238"/>
      <c r="GA155" s="238"/>
      <c r="GB155" s="238"/>
      <c r="GC155" s="238"/>
      <c r="GD155" s="238"/>
      <c r="GE155" s="238"/>
      <c r="GF155" s="238"/>
      <c r="GG155" s="238"/>
      <c r="GH155" s="238"/>
      <c r="GI155" s="238"/>
      <c r="GJ155" s="238"/>
      <c r="GK155" s="238"/>
      <c r="GL155" s="238"/>
      <c r="GM155" s="238"/>
      <c r="GN155" s="238"/>
      <c r="GO155" s="238"/>
      <c r="GP155" s="238"/>
      <c r="GQ155" s="238"/>
      <c r="GR155" s="238"/>
      <c r="GS155" s="238"/>
      <c r="GT155" s="238"/>
      <c r="GU155" s="238"/>
      <c r="GV155" s="238"/>
      <c r="GW155" s="238"/>
      <c r="GX155" s="238"/>
      <c r="GY155" s="238"/>
      <c r="GZ155" s="238"/>
      <c r="HA155" s="238"/>
      <c r="HB155" s="238"/>
      <c r="HC155" s="238"/>
      <c r="HD155" s="238"/>
      <c r="HE155" s="238"/>
      <c r="HF155" s="238"/>
      <c r="HG155" s="238"/>
      <c r="HH155" s="238"/>
      <c r="HI155" s="238"/>
      <c r="HJ155" s="238"/>
      <c r="HK155" s="238"/>
      <c r="HL155" s="238"/>
      <c r="HM155" s="238"/>
      <c r="HN155" s="238"/>
      <c r="HO155" s="238"/>
      <c r="HP155" s="238"/>
      <c r="HQ155" s="238"/>
      <c r="HR155" s="238"/>
      <c r="HS155" s="238"/>
      <c r="HT155" s="238"/>
      <c r="HU155" s="238"/>
      <c r="HV155" s="238"/>
      <c r="HW155" s="238"/>
      <c r="HX155" s="257"/>
      <c r="HY155" s="257"/>
      <c r="HZ155" s="257"/>
      <c r="IA155" s="257"/>
      <c r="IB155" s="257"/>
      <c r="IC155" s="257"/>
      <c r="ID155" s="257"/>
      <c r="IE155" s="257"/>
      <c r="IF155" s="257"/>
      <c r="IG155" s="257"/>
      <c r="IH155" s="257"/>
      <c r="II155" s="257"/>
      <c r="IJ155" s="257"/>
      <c r="IK155" s="257"/>
      <c r="IL155" s="257"/>
      <c r="IM155" s="257"/>
      <c r="IN155" s="257"/>
      <c r="IO155" s="257"/>
      <c r="IP155" s="257"/>
      <c r="IQ155" s="257"/>
      <c r="IR155" s="257"/>
      <c r="IS155" s="257"/>
      <c r="IT155" s="257"/>
      <c r="IU155" s="257"/>
      <c r="IV155" s="257"/>
      <c r="IW155" s="257"/>
      <c r="IX155" s="257"/>
      <c r="IY155" s="257"/>
      <c r="IZ155" s="257"/>
      <c r="JA155" s="257"/>
      <c r="JB155" s="257"/>
      <c r="JC155" s="257"/>
      <c r="JD155" s="257"/>
      <c r="JE155" s="257"/>
      <c r="JF155" s="238"/>
      <c r="JG155" s="238"/>
      <c r="JH155" s="238"/>
      <c r="JI155" s="238"/>
      <c r="JJ155" s="238"/>
      <c r="JK155" s="238"/>
      <c r="JL155" s="238"/>
      <c r="JM155" s="238"/>
      <c r="JN155" s="238"/>
      <c r="JO155" s="238"/>
      <c r="JP155" s="238"/>
      <c r="JQ155" s="238"/>
      <c r="JR155" s="238"/>
      <c r="JS155" s="238"/>
      <c r="JT155" s="238"/>
      <c r="JU155" s="238"/>
      <c r="JV155" s="238"/>
      <c r="JW155" s="238"/>
      <c r="JX155" s="238"/>
      <c r="JY155" s="238"/>
      <c r="JZ155" s="238"/>
      <c r="KA155" s="238"/>
      <c r="KB155" s="238"/>
      <c r="KC155" s="238"/>
      <c r="KD155" s="238"/>
      <c r="KE155" s="238"/>
      <c r="KF155" s="238"/>
      <c r="KG155" s="238"/>
      <c r="KH155" s="238"/>
      <c r="KI155" s="238"/>
      <c r="KJ155" s="238"/>
      <c r="KK155" s="238"/>
      <c r="KL155" s="238"/>
      <c r="KM155" s="238"/>
      <c r="KN155" s="238"/>
      <c r="KO155" s="238"/>
      <c r="KP155" s="238"/>
      <c r="KQ155" s="238"/>
      <c r="KR155" s="238"/>
      <c r="KS155" s="238"/>
      <c r="KT155" s="238"/>
      <c r="KU155" s="238"/>
      <c r="KV155" s="238"/>
      <c r="KW155" s="238"/>
      <c r="KX155" s="238"/>
      <c r="KY155" s="238"/>
      <c r="KZ155" s="238"/>
      <c r="LA155" s="238"/>
      <c r="LB155" s="238"/>
      <c r="LC155" s="238"/>
      <c r="LD155" s="238"/>
      <c r="LE155" s="238"/>
      <c r="LF155" s="238"/>
      <c r="LG155" s="238"/>
      <c r="LH155" s="238"/>
      <c r="LI155" s="238"/>
      <c r="LJ155" s="238"/>
      <c r="LK155" s="238"/>
      <c r="LL155" s="238"/>
      <c r="LM155" s="238"/>
      <c r="LN155" s="238"/>
      <c r="LO155" s="238"/>
      <c r="LP155" s="238"/>
      <c r="LQ155" s="238"/>
      <c r="LR155" s="238"/>
      <c r="LS155" s="238"/>
      <c r="LT155" s="238"/>
      <c r="LU155" s="238"/>
      <c r="LV155" s="238"/>
      <c r="LW155" s="238"/>
      <c r="LX155" s="238"/>
      <c r="LY155" s="238"/>
      <c r="LZ155" s="238"/>
      <c r="MA155" s="238"/>
      <c r="MB155" s="238"/>
      <c r="MC155" s="238"/>
      <c r="MD155" s="238"/>
      <c r="ME155" s="238"/>
      <c r="MF155" s="238"/>
      <c r="MG155" s="238"/>
      <c r="MH155" s="238"/>
      <c r="MI155" s="238"/>
      <c r="MJ155" s="238"/>
      <c r="MK155" s="238"/>
      <c r="ML155" s="238"/>
    </row>
    <row r="156" ht="18.75" customHeight="1">
      <c r="A156" s="283"/>
      <c r="B156" s="234" t="str">
        <f>'Building Bill of Materials_SLIM'!P156</f>
        <v/>
      </c>
      <c r="C156" s="234" t="str">
        <f>'Building Bill of Materials_SLIM'!Q156</f>
        <v/>
      </c>
      <c r="D156" s="234" t="str">
        <f>'Building Bill of Materials_SLIM'!R156</f>
        <v/>
      </c>
      <c r="E156" s="234" t="str">
        <f>'Building Bill of Materials_SLIM'!S156</f>
        <v/>
      </c>
      <c r="F156" s="234" t="str">
        <f>'Building Bill of Materials_SLIM'!U156</f>
        <v/>
      </c>
      <c r="G156" s="234"/>
      <c r="H156" s="234"/>
      <c r="I156" s="234"/>
      <c r="J156" s="234" t="str">
        <f>'Building Bill of Materials_SLIM'!V156</f>
        <v/>
      </c>
      <c r="K156" s="238"/>
      <c r="L156" s="238"/>
      <c r="M156" s="238"/>
      <c r="N156" s="238"/>
      <c r="O156" s="238"/>
      <c r="P156" s="238"/>
      <c r="Q156" s="238"/>
      <c r="R156" s="238"/>
      <c r="S156" s="238"/>
      <c r="T156" s="238"/>
      <c r="U156" s="238"/>
      <c r="V156" s="238"/>
      <c r="W156" s="238"/>
      <c r="X156" s="238"/>
      <c r="Y156" s="238"/>
      <c r="Z156" s="238"/>
      <c r="AA156" s="192"/>
      <c r="AB156" s="257"/>
      <c r="AC156" s="257"/>
      <c r="AD156" s="257"/>
      <c r="AE156" s="257"/>
      <c r="AF156" s="257"/>
      <c r="AG156" s="257"/>
      <c r="AH156" s="257"/>
      <c r="AI156" s="257"/>
      <c r="AJ156" s="257"/>
      <c r="AK156" s="257"/>
      <c r="AL156" s="257"/>
      <c r="AM156" s="257"/>
      <c r="AN156" s="257"/>
      <c r="AO156" s="257"/>
      <c r="AP156" s="257"/>
      <c r="AQ156" s="257"/>
      <c r="AR156" s="257"/>
      <c r="AS156" s="257"/>
      <c r="AT156" s="257"/>
      <c r="AU156" s="257"/>
      <c r="AV156" s="257"/>
      <c r="AW156" s="257"/>
      <c r="AX156" s="257"/>
      <c r="AY156" s="257"/>
      <c r="AZ156" s="257"/>
      <c r="BA156" s="257"/>
      <c r="BB156" s="257"/>
      <c r="BC156" s="257"/>
      <c r="BD156" s="257"/>
      <c r="BE156" s="257"/>
      <c r="BF156" s="257"/>
      <c r="BG156" s="257"/>
      <c r="BH156" s="257"/>
      <c r="BI156" s="257"/>
      <c r="BJ156" s="238"/>
      <c r="BK156" s="238"/>
      <c r="BL156" s="238"/>
      <c r="BM156" s="238"/>
      <c r="BN156" s="238"/>
      <c r="BO156" s="238"/>
      <c r="BP156" s="238"/>
      <c r="BQ156" s="238"/>
      <c r="BR156" s="238"/>
      <c r="BS156" s="238"/>
      <c r="BT156" s="238"/>
      <c r="BU156" s="238"/>
      <c r="BV156" s="238"/>
      <c r="BW156" s="238"/>
      <c r="BX156" s="238"/>
      <c r="BY156" s="238"/>
      <c r="BZ156" s="238"/>
      <c r="CA156" s="238"/>
      <c r="CB156" s="238"/>
      <c r="CC156" s="238"/>
      <c r="CD156" s="238"/>
      <c r="CE156" s="257"/>
      <c r="CF156" s="257"/>
      <c r="CG156" s="238"/>
      <c r="CH156" s="238"/>
      <c r="CI156" s="238"/>
      <c r="CJ156" s="238"/>
      <c r="CK156" s="238"/>
      <c r="CL156" s="238"/>
      <c r="CM156" s="238"/>
      <c r="CN156" s="238"/>
      <c r="CO156" s="238"/>
      <c r="CP156" s="238"/>
      <c r="CQ156" s="238"/>
      <c r="CR156" s="238"/>
      <c r="CS156" s="238"/>
      <c r="CT156" s="238"/>
      <c r="CU156" s="238"/>
      <c r="CV156" s="238"/>
      <c r="CW156" s="238"/>
      <c r="CX156" s="238"/>
      <c r="CY156" s="238"/>
      <c r="CZ156" s="238"/>
      <c r="DA156" s="238"/>
      <c r="DB156" s="238"/>
      <c r="DC156" s="238"/>
      <c r="DD156" s="238"/>
      <c r="DE156" s="238"/>
      <c r="DF156" s="238"/>
      <c r="DG156" s="257"/>
      <c r="DH156" s="238"/>
      <c r="DI156" s="238"/>
      <c r="DJ156" s="238"/>
      <c r="DK156" s="238"/>
      <c r="DL156" s="238"/>
      <c r="DM156" s="238"/>
      <c r="DN156" s="238"/>
      <c r="DO156" s="238"/>
      <c r="DP156" s="238"/>
      <c r="DQ156" s="238"/>
      <c r="DR156" s="238"/>
      <c r="DS156" s="238"/>
      <c r="DT156" s="238"/>
      <c r="DU156" s="238"/>
      <c r="DV156" s="238"/>
      <c r="DW156" s="238"/>
      <c r="DX156" s="238"/>
      <c r="DY156" s="238"/>
      <c r="DZ156" s="238"/>
      <c r="EA156" s="238"/>
      <c r="EB156" s="238"/>
      <c r="EC156" s="238"/>
      <c r="ED156" s="238"/>
      <c r="EE156" s="238"/>
      <c r="EF156" s="238"/>
      <c r="EG156" s="238"/>
      <c r="EH156" s="238"/>
      <c r="EI156" s="238"/>
      <c r="EJ156" s="238"/>
      <c r="EK156" s="238"/>
      <c r="EL156" s="238"/>
      <c r="EM156" s="238"/>
      <c r="EN156" s="238"/>
      <c r="EO156" s="238"/>
      <c r="EP156" s="238"/>
      <c r="EQ156" s="238"/>
      <c r="ER156" s="238"/>
      <c r="ES156" s="238"/>
      <c r="ET156" s="238"/>
      <c r="EU156" s="238"/>
      <c r="EV156" s="238"/>
      <c r="EW156" s="238"/>
      <c r="EX156" s="238"/>
      <c r="EY156" s="238"/>
      <c r="EZ156" s="238"/>
      <c r="FA156" s="238"/>
      <c r="FB156" s="238"/>
      <c r="FC156" s="238"/>
      <c r="FD156" s="238"/>
      <c r="FE156" s="238"/>
      <c r="FF156" s="238"/>
      <c r="FG156" s="238"/>
      <c r="FH156" s="257"/>
      <c r="FI156" s="257"/>
      <c r="FJ156" s="257"/>
      <c r="FK156" s="257"/>
      <c r="FL156" s="257"/>
      <c r="FM156" s="257"/>
      <c r="FN156" s="257"/>
      <c r="FO156" s="257"/>
      <c r="FP156" s="257"/>
      <c r="FQ156" s="257"/>
      <c r="FR156" s="257"/>
      <c r="FS156" s="257"/>
      <c r="FT156" s="257"/>
      <c r="FU156" s="257"/>
      <c r="FV156" s="257"/>
      <c r="FW156" s="257"/>
      <c r="FX156" s="257"/>
      <c r="FY156" s="238"/>
      <c r="FZ156" s="238"/>
      <c r="GA156" s="238"/>
      <c r="GB156" s="238"/>
      <c r="GC156" s="238"/>
      <c r="GD156" s="238"/>
      <c r="GE156" s="238"/>
      <c r="GF156" s="238"/>
      <c r="GG156" s="238"/>
      <c r="GH156" s="238"/>
      <c r="GI156" s="238"/>
      <c r="GJ156" s="238"/>
      <c r="GK156" s="238"/>
      <c r="GL156" s="238"/>
      <c r="GM156" s="238"/>
      <c r="GN156" s="238"/>
      <c r="GO156" s="238"/>
      <c r="GP156" s="238"/>
      <c r="GQ156" s="238"/>
      <c r="GR156" s="238"/>
      <c r="GS156" s="238"/>
      <c r="GT156" s="238"/>
      <c r="GU156" s="238"/>
      <c r="GV156" s="238"/>
      <c r="GW156" s="238"/>
      <c r="GX156" s="238"/>
      <c r="GY156" s="238"/>
      <c r="GZ156" s="238"/>
      <c r="HA156" s="238"/>
      <c r="HB156" s="238"/>
      <c r="HC156" s="238"/>
      <c r="HD156" s="238"/>
      <c r="HE156" s="238"/>
      <c r="HF156" s="238"/>
      <c r="HG156" s="238"/>
      <c r="HH156" s="238"/>
      <c r="HI156" s="238"/>
      <c r="HJ156" s="238"/>
      <c r="HK156" s="238"/>
      <c r="HL156" s="238"/>
      <c r="HM156" s="238"/>
      <c r="HN156" s="238"/>
      <c r="HO156" s="238"/>
      <c r="HP156" s="238"/>
      <c r="HQ156" s="238"/>
      <c r="HR156" s="238"/>
      <c r="HS156" s="238"/>
      <c r="HT156" s="238"/>
      <c r="HU156" s="238"/>
      <c r="HV156" s="238"/>
      <c r="HW156" s="238"/>
      <c r="HX156" s="257"/>
      <c r="HY156" s="257"/>
      <c r="HZ156" s="257"/>
      <c r="IA156" s="257"/>
      <c r="IB156" s="257"/>
      <c r="IC156" s="257"/>
      <c r="ID156" s="257"/>
      <c r="IE156" s="257"/>
      <c r="IF156" s="257"/>
      <c r="IG156" s="257"/>
      <c r="IH156" s="257"/>
      <c r="II156" s="257"/>
      <c r="IJ156" s="257"/>
      <c r="IK156" s="257"/>
      <c r="IL156" s="257"/>
      <c r="IM156" s="257"/>
      <c r="IN156" s="257"/>
      <c r="IO156" s="257"/>
      <c r="IP156" s="257"/>
      <c r="IQ156" s="257"/>
      <c r="IR156" s="257"/>
      <c r="IS156" s="257"/>
      <c r="IT156" s="257"/>
      <c r="IU156" s="257"/>
      <c r="IV156" s="257"/>
      <c r="IW156" s="257"/>
      <c r="IX156" s="257"/>
      <c r="IY156" s="257"/>
      <c r="IZ156" s="257"/>
      <c r="JA156" s="257"/>
      <c r="JB156" s="257"/>
      <c r="JC156" s="257"/>
      <c r="JD156" s="257"/>
      <c r="JE156" s="257"/>
      <c r="JF156" s="238"/>
      <c r="JG156" s="238"/>
      <c r="JH156" s="238"/>
      <c r="JI156" s="238"/>
      <c r="JJ156" s="238"/>
      <c r="JK156" s="238"/>
      <c r="JL156" s="238"/>
      <c r="JM156" s="238"/>
      <c r="JN156" s="238"/>
      <c r="JO156" s="238"/>
      <c r="JP156" s="238"/>
      <c r="JQ156" s="238"/>
      <c r="JR156" s="238"/>
      <c r="JS156" s="238"/>
      <c r="JT156" s="238"/>
      <c r="JU156" s="238"/>
      <c r="JV156" s="238"/>
      <c r="JW156" s="238"/>
      <c r="JX156" s="238"/>
      <c r="JY156" s="238"/>
      <c r="JZ156" s="238"/>
      <c r="KA156" s="238"/>
      <c r="KB156" s="238"/>
      <c r="KC156" s="238"/>
      <c r="KD156" s="238"/>
      <c r="KE156" s="238"/>
      <c r="KF156" s="238"/>
      <c r="KG156" s="238"/>
      <c r="KH156" s="238"/>
      <c r="KI156" s="238"/>
      <c r="KJ156" s="238"/>
      <c r="KK156" s="238"/>
      <c r="KL156" s="238"/>
      <c r="KM156" s="238"/>
      <c r="KN156" s="238"/>
      <c r="KO156" s="238"/>
      <c r="KP156" s="238"/>
      <c r="KQ156" s="238"/>
      <c r="KR156" s="238"/>
      <c r="KS156" s="238"/>
      <c r="KT156" s="238"/>
      <c r="KU156" s="238"/>
      <c r="KV156" s="238"/>
      <c r="KW156" s="238"/>
      <c r="KX156" s="238"/>
      <c r="KY156" s="238"/>
      <c r="KZ156" s="238"/>
      <c r="LA156" s="238"/>
      <c r="LB156" s="238"/>
      <c r="LC156" s="238"/>
      <c r="LD156" s="238"/>
      <c r="LE156" s="238"/>
      <c r="LF156" s="238"/>
      <c r="LG156" s="238"/>
      <c r="LH156" s="238"/>
      <c r="LI156" s="238"/>
      <c r="LJ156" s="238"/>
      <c r="LK156" s="238"/>
      <c r="LL156" s="238"/>
      <c r="LM156" s="238"/>
      <c r="LN156" s="238"/>
      <c r="LO156" s="238"/>
      <c r="LP156" s="238"/>
      <c r="LQ156" s="238"/>
      <c r="LR156" s="238"/>
      <c r="LS156" s="238"/>
      <c r="LT156" s="238"/>
      <c r="LU156" s="238"/>
      <c r="LV156" s="238"/>
      <c r="LW156" s="238"/>
      <c r="LX156" s="238"/>
      <c r="LY156" s="238"/>
      <c r="LZ156" s="238"/>
      <c r="MA156" s="238"/>
      <c r="MB156" s="238"/>
      <c r="MC156" s="238"/>
      <c r="MD156" s="238"/>
      <c r="ME156" s="238"/>
      <c r="MF156" s="238"/>
      <c r="MG156" s="238"/>
      <c r="MH156" s="238"/>
      <c r="MI156" s="238"/>
      <c r="MJ156" s="238"/>
      <c r="MK156" s="238"/>
      <c r="ML156" s="238"/>
    </row>
    <row r="157" ht="18.75" customHeight="1">
      <c r="A157" s="283"/>
      <c r="B157" s="234" t="str">
        <f>'Building Bill of Materials_SLIM'!P157</f>
        <v/>
      </c>
      <c r="C157" s="234" t="str">
        <f>'Building Bill of Materials_SLIM'!Q157</f>
        <v/>
      </c>
      <c r="D157" s="234" t="str">
        <f>'Building Bill of Materials_SLIM'!R157</f>
        <v/>
      </c>
      <c r="E157" s="234" t="str">
        <f>'Building Bill of Materials_SLIM'!S157</f>
        <v/>
      </c>
      <c r="F157" s="234" t="str">
        <f>'Building Bill of Materials_SLIM'!U157</f>
        <v/>
      </c>
      <c r="G157" s="234"/>
      <c r="H157" s="234"/>
      <c r="I157" s="234"/>
      <c r="J157" s="234" t="str">
        <f>'Building Bill of Materials_SLIM'!V157</f>
        <v/>
      </c>
      <c r="K157" s="238"/>
      <c r="L157" s="238"/>
      <c r="M157" s="238"/>
      <c r="N157" s="238"/>
      <c r="O157" s="238"/>
      <c r="P157" s="238"/>
      <c r="Q157" s="238"/>
      <c r="R157" s="238"/>
      <c r="S157" s="238"/>
      <c r="T157" s="238"/>
      <c r="U157" s="238"/>
      <c r="V157" s="238"/>
      <c r="W157" s="238"/>
      <c r="X157" s="238"/>
      <c r="Y157" s="238"/>
      <c r="Z157" s="238"/>
      <c r="AA157" s="192"/>
      <c r="AB157" s="257"/>
      <c r="AC157" s="257"/>
      <c r="AD157" s="257"/>
      <c r="AE157" s="257"/>
      <c r="AF157" s="257"/>
      <c r="AG157" s="257"/>
      <c r="AH157" s="257"/>
      <c r="AI157" s="257"/>
      <c r="AJ157" s="257"/>
      <c r="AK157" s="257"/>
      <c r="AL157" s="257"/>
      <c r="AM157" s="257"/>
      <c r="AN157" s="257"/>
      <c r="AO157" s="257"/>
      <c r="AP157" s="257"/>
      <c r="AQ157" s="257"/>
      <c r="AR157" s="257"/>
      <c r="AS157" s="257"/>
      <c r="AT157" s="257"/>
      <c r="AU157" s="257"/>
      <c r="AV157" s="257"/>
      <c r="AW157" s="257"/>
      <c r="AX157" s="257"/>
      <c r="AY157" s="257"/>
      <c r="AZ157" s="257"/>
      <c r="BA157" s="257"/>
      <c r="BB157" s="257"/>
      <c r="BC157" s="257"/>
      <c r="BD157" s="257"/>
      <c r="BE157" s="257"/>
      <c r="BF157" s="257"/>
      <c r="BG157" s="257"/>
      <c r="BH157" s="257"/>
      <c r="BI157" s="257"/>
      <c r="BJ157" s="238"/>
      <c r="BK157" s="238"/>
      <c r="BL157" s="238"/>
      <c r="BM157" s="238"/>
      <c r="BN157" s="238"/>
      <c r="BO157" s="238"/>
      <c r="BP157" s="238"/>
      <c r="BQ157" s="238"/>
      <c r="BR157" s="238"/>
      <c r="BS157" s="238"/>
      <c r="BT157" s="238"/>
      <c r="BU157" s="238"/>
      <c r="BV157" s="238"/>
      <c r="BW157" s="238"/>
      <c r="BX157" s="238"/>
      <c r="BY157" s="238"/>
      <c r="BZ157" s="238"/>
      <c r="CA157" s="238"/>
      <c r="CB157" s="238"/>
      <c r="CC157" s="238"/>
      <c r="CD157" s="238"/>
      <c r="CE157" s="257"/>
      <c r="CF157" s="257"/>
      <c r="CG157" s="238"/>
      <c r="CH157" s="238"/>
      <c r="CI157" s="238"/>
      <c r="CJ157" s="238"/>
      <c r="CK157" s="238"/>
      <c r="CL157" s="238"/>
      <c r="CM157" s="238"/>
      <c r="CN157" s="238"/>
      <c r="CO157" s="238"/>
      <c r="CP157" s="238"/>
      <c r="CQ157" s="238"/>
      <c r="CR157" s="238"/>
      <c r="CS157" s="238"/>
      <c r="CT157" s="238"/>
      <c r="CU157" s="238"/>
      <c r="CV157" s="238"/>
      <c r="CW157" s="238"/>
      <c r="CX157" s="238"/>
      <c r="CY157" s="238"/>
      <c r="CZ157" s="238"/>
      <c r="DA157" s="238"/>
      <c r="DB157" s="238"/>
      <c r="DC157" s="238"/>
      <c r="DD157" s="238"/>
      <c r="DE157" s="238"/>
      <c r="DF157" s="238"/>
      <c r="DG157" s="257"/>
      <c r="DH157" s="238"/>
      <c r="DI157" s="238"/>
      <c r="DJ157" s="238"/>
      <c r="DK157" s="238"/>
      <c r="DL157" s="238"/>
      <c r="DM157" s="238"/>
      <c r="DN157" s="238"/>
      <c r="DO157" s="238"/>
      <c r="DP157" s="238"/>
      <c r="DQ157" s="238"/>
      <c r="DR157" s="238"/>
      <c r="DS157" s="238"/>
      <c r="DT157" s="238"/>
      <c r="DU157" s="238"/>
      <c r="DV157" s="238"/>
      <c r="DW157" s="238"/>
      <c r="DX157" s="238"/>
      <c r="DY157" s="238"/>
      <c r="DZ157" s="238"/>
      <c r="EA157" s="238"/>
      <c r="EB157" s="238"/>
      <c r="EC157" s="238"/>
      <c r="ED157" s="238"/>
      <c r="EE157" s="238"/>
      <c r="EF157" s="238"/>
      <c r="EG157" s="238"/>
      <c r="EH157" s="238"/>
      <c r="EI157" s="238"/>
      <c r="EJ157" s="238"/>
      <c r="EK157" s="238"/>
      <c r="EL157" s="238"/>
      <c r="EM157" s="238"/>
      <c r="EN157" s="238"/>
      <c r="EO157" s="238"/>
      <c r="EP157" s="238"/>
      <c r="EQ157" s="238"/>
      <c r="ER157" s="238"/>
      <c r="ES157" s="238"/>
      <c r="ET157" s="238"/>
      <c r="EU157" s="238"/>
      <c r="EV157" s="238"/>
      <c r="EW157" s="238"/>
      <c r="EX157" s="238"/>
      <c r="EY157" s="238"/>
      <c r="EZ157" s="238"/>
      <c r="FA157" s="238"/>
      <c r="FB157" s="238"/>
      <c r="FC157" s="238"/>
      <c r="FD157" s="238"/>
      <c r="FE157" s="238"/>
      <c r="FF157" s="238"/>
      <c r="FG157" s="238"/>
      <c r="FH157" s="257"/>
      <c r="FI157" s="257"/>
      <c r="FJ157" s="257"/>
      <c r="FK157" s="257"/>
      <c r="FL157" s="257"/>
      <c r="FM157" s="257"/>
      <c r="FN157" s="257"/>
      <c r="FO157" s="257"/>
      <c r="FP157" s="257"/>
      <c r="FQ157" s="257"/>
      <c r="FR157" s="257"/>
      <c r="FS157" s="257"/>
      <c r="FT157" s="257"/>
      <c r="FU157" s="257"/>
      <c r="FV157" s="257"/>
      <c r="FW157" s="257"/>
      <c r="FX157" s="257"/>
      <c r="FY157" s="238"/>
      <c r="FZ157" s="238"/>
      <c r="GA157" s="238"/>
      <c r="GB157" s="238"/>
      <c r="GC157" s="238"/>
      <c r="GD157" s="238"/>
      <c r="GE157" s="238"/>
      <c r="GF157" s="238"/>
      <c r="GG157" s="238"/>
      <c r="GH157" s="238"/>
      <c r="GI157" s="238"/>
      <c r="GJ157" s="238"/>
      <c r="GK157" s="238"/>
      <c r="GL157" s="238"/>
      <c r="GM157" s="238"/>
      <c r="GN157" s="238"/>
      <c r="GO157" s="238"/>
      <c r="GP157" s="238"/>
      <c r="GQ157" s="238"/>
      <c r="GR157" s="238"/>
      <c r="GS157" s="238"/>
      <c r="GT157" s="238"/>
      <c r="GU157" s="238"/>
      <c r="GV157" s="238"/>
      <c r="GW157" s="238"/>
      <c r="GX157" s="238"/>
      <c r="GY157" s="238"/>
      <c r="GZ157" s="238"/>
      <c r="HA157" s="238"/>
      <c r="HB157" s="238"/>
      <c r="HC157" s="238"/>
      <c r="HD157" s="238"/>
      <c r="HE157" s="238"/>
      <c r="HF157" s="238"/>
      <c r="HG157" s="238"/>
      <c r="HH157" s="238"/>
      <c r="HI157" s="238"/>
      <c r="HJ157" s="238"/>
      <c r="HK157" s="238"/>
      <c r="HL157" s="238"/>
      <c r="HM157" s="238"/>
      <c r="HN157" s="238"/>
      <c r="HO157" s="238"/>
      <c r="HP157" s="238"/>
      <c r="HQ157" s="238"/>
      <c r="HR157" s="238"/>
      <c r="HS157" s="238"/>
      <c r="HT157" s="238"/>
      <c r="HU157" s="238"/>
      <c r="HV157" s="238"/>
      <c r="HW157" s="238"/>
      <c r="HX157" s="257"/>
      <c r="HY157" s="257"/>
      <c r="HZ157" s="257"/>
      <c r="IA157" s="257"/>
      <c r="IB157" s="257"/>
      <c r="IC157" s="257"/>
      <c r="ID157" s="257"/>
      <c r="IE157" s="257"/>
      <c r="IF157" s="257"/>
      <c r="IG157" s="257"/>
      <c r="IH157" s="257"/>
      <c r="II157" s="257"/>
      <c r="IJ157" s="257"/>
      <c r="IK157" s="257"/>
      <c r="IL157" s="257"/>
      <c r="IM157" s="257"/>
      <c r="IN157" s="257"/>
      <c r="IO157" s="257"/>
      <c r="IP157" s="257"/>
      <c r="IQ157" s="257"/>
      <c r="IR157" s="257"/>
      <c r="IS157" s="257"/>
      <c r="IT157" s="257"/>
      <c r="IU157" s="257"/>
      <c r="IV157" s="257"/>
      <c r="IW157" s="257"/>
      <c r="IX157" s="257"/>
      <c r="IY157" s="257"/>
      <c r="IZ157" s="257"/>
      <c r="JA157" s="257"/>
      <c r="JB157" s="257"/>
      <c r="JC157" s="257"/>
      <c r="JD157" s="257"/>
      <c r="JE157" s="257"/>
      <c r="JF157" s="238"/>
      <c r="JG157" s="238"/>
      <c r="JH157" s="238"/>
      <c r="JI157" s="238"/>
      <c r="JJ157" s="238"/>
      <c r="JK157" s="238"/>
      <c r="JL157" s="238"/>
      <c r="JM157" s="238"/>
      <c r="JN157" s="238"/>
      <c r="JO157" s="238"/>
      <c r="JP157" s="238"/>
      <c r="JQ157" s="238"/>
      <c r="JR157" s="238"/>
      <c r="JS157" s="238"/>
      <c r="JT157" s="238"/>
      <c r="JU157" s="238"/>
      <c r="JV157" s="238"/>
      <c r="JW157" s="238"/>
      <c r="JX157" s="238"/>
      <c r="JY157" s="238"/>
      <c r="JZ157" s="238"/>
      <c r="KA157" s="238"/>
      <c r="KB157" s="238"/>
      <c r="KC157" s="238"/>
      <c r="KD157" s="238"/>
      <c r="KE157" s="238"/>
      <c r="KF157" s="238"/>
      <c r="KG157" s="238"/>
      <c r="KH157" s="238"/>
      <c r="KI157" s="238"/>
      <c r="KJ157" s="238"/>
      <c r="KK157" s="238"/>
      <c r="KL157" s="238"/>
      <c r="KM157" s="238"/>
      <c r="KN157" s="238"/>
      <c r="KO157" s="238"/>
      <c r="KP157" s="238"/>
      <c r="KQ157" s="238"/>
      <c r="KR157" s="238"/>
      <c r="KS157" s="238"/>
      <c r="KT157" s="238"/>
      <c r="KU157" s="238"/>
      <c r="KV157" s="238"/>
      <c r="KW157" s="238"/>
      <c r="KX157" s="238"/>
      <c r="KY157" s="238"/>
      <c r="KZ157" s="238"/>
      <c r="LA157" s="238"/>
      <c r="LB157" s="238"/>
      <c r="LC157" s="238"/>
      <c r="LD157" s="238"/>
      <c r="LE157" s="238"/>
      <c r="LF157" s="238"/>
      <c r="LG157" s="238"/>
      <c r="LH157" s="238"/>
      <c r="LI157" s="238"/>
      <c r="LJ157" s="238"/>
      <c r="LK157" s="238"/>
      <c r="LL157" s="238"/>
      <c r="LM157" s="238"/>
      <c r="LN157" s="238"/>
      <c r="LO157" s="238"/>
      <c r="LP157" s="238"/>
      <c r="LQ157" s="238"/>
      <c r="LR157" s="238"/>
      <c r="LS157" s="238"/>
      <c r="LT157" s="238"/>
      <c r="LU157" s="238"/>
      <c r="LV157" s="238"/>
      <c r="LW157" s="238"/>
      <c r="LX157" s="238"/>
      <c r="LY157" s="238"/>
      <c r="LZ157" s="238"/>
      <c r="MA157" s="238"/>
      <c r="MB157" s="238"/>
      <c r="MC157" s="238"/>
      <c r="MD157" s="238"/>
      <c r="ME157" s="238"/>
      <c r="MF157" s="238"/>
      <c r="MG157" s="238"/>
      <c r="MH157" s="238"/>
      <c r="MI157" s="238"/>
      <c r="MJ157" s="238"/>
      <c r="MK157" s="238"/>
      <c r="ML157" s="238"/>
    </row>
    <row r="158" ht="18.75" customHeight="1">
      <c r="A158" s="283"/>
      <c r="B158" s="234" t="str">
        <f>'Building Bill of Materials_SLIM'!P158</f>
        <v/>
      </c>
      <c r="C158" s="234" t="str">
        <f>'Building Bill of Materials_SLIM'!Q158</f>
        <v/>
      </c>
      <c r="D158" s="234" t="str">
        <f>'Building Bill of Materials_SLIM'!R158</f>
        <v/>
      </c>
      <c r="E158" s="234" t="str">
        <f>'Building Bill of Materials_SLIM'!S158</f>
        <v/>
      </c>
      <c r="F158" s="234" t="str">
        <f>'Building Bill of Materials_SLIM'!U158</f>
        <v/>
      </c>
      <c r="G158" s="234"/>
      <c r="H158" s="234"/>
      <c r="I158" s="234"/>
      <c r="J158" s="234" t="str">
        <f>'Building Bill of Materials_SLIM'!V158</f>
        <v/>
      </c>
      <c r="K158" s="238"/>
      <c r="L158" s="238"/>
      <c r="M158" s="238"/>
      <c r="N158" s="238"/>
      <c r="O158" s="238"/>
      <c r="P158" s="238"/>
      <c r="Q158" s="238"/>
      <c r="R158" s="238"/>
      <c r="S158" s="238"/>
      <c r="T158" s="238"/>
      <c r="U158" s="238"/>
      <c r="V158" s="238"/>
      <c r="W158" s="238"/>
      <c r="X158" s="238"/>
      <c r="Y158" s="238"/>
      <c r="Z158" s="238"/>
      <c r="AA158" s="192"/>
      <c r="AB158" s="257"/>
      <c r="AC158" s="257"/>
      <c r="AD158" s="257"/>
      <c r="AE158" s="257"/>
      <c r="AF158" s="257"/>
      <c r="AG158" s="257"/>
      <c r="AH158" s="257"/>
      <c r="AI158" s="257"/>
      <c r="AJ158" s="257"/>
      <c r="AK158" s="257"/>
      <c r="AL158" s="257"/>
      <c r="AM158" s="257"/>
      <c r="AN158" s="257"/>
      <c r="AO158" s="257"/>
      <c r="AP158" s="257"/>
      <c r="AQ158" s="257"/>
      <c r="AR158" s="257"/>
      <c r="AS158" s="257"/>
      <c r="AT158" s="257"/>
      <c r="AU158" s="257"/>
      <c r="AV158" s="257"/>
      <c r="AW158" s="257"/>
      <c r="AX158" s="257"/>
      <c r="AY158" s="257"/>
      <c r="AZ158" s="257"/>
      <c r="BA158" s="257"/>
      <c r="BB158" s="257"/>
      <c r="BC158" s="257"/>
      <c r="BD158" s="257"/>
      <c r="BE158" s="257"/>
      <c r="BF158" s="257"/>
      <c r="BG158" s="257"/>
      <c r="BH158" s="257"/>
      <c r="BI158" s="257"/>
      <c r="BJ158" s="238"/>
      <c r="BK158" s="238"/>
      <c r="BL158" s="238"/>
      <c r="BM158" s="238"/>
      <c r="BN158" s="238"/>
      <c r="BO158" s="238"/>
      <c r="BP158" s="238"/>
      <c r="BQ158" s="238"/>
      <c r="BR158" s="238"/>
      <c r="BS158" s="238"/>
      <c r="BT158" s="238"/>
      <c r="BU158" s="238"/>
      <c r="BV158" s="238"/>
      <c r="BW158" s="238"/>
      <c r="BX158" s="238"/>
      <c r="BY158" s="238"/>
      <c r="BZ158" s="238"/>
      <c r="CA158" s="238"/>
      <c r="CB158" s="238"/>
      <c r="CC158" s="238"/>
      <c r="CD158" s="238"/>
      <c r="CE158" s="257"/>
      <c r="CF158" s="257"/>
      <c r="CG158" s="238"/>
      <c r="CH158" s="238"/>
      <c r="CI158" s="238"/>
      <c r="CJ158" s="238"/>
      <c r="CK158" s="238"/>
      <c r="CL158" s="238"/>
      <c r="CM158" s="238"/>
      <c r="CN158" s="238"/>
      <c r="CO158" s="238"/>
      <c r="CP158" s="238"/>
      <c r="CQ158" s="238"/>
      <c r="CR158" s="238"/>
      <c r="CS158" s="238"/>
      <c r="CT158" s="238"/>
      <c r="CU158" s="238"/>
      <c r="CV158" s="238"/>
      <c r="CW158" s="238"/>
      <c r="CX158" s="238"/>
      <c r="CY158" s="238"/>
      <c r="CZ158" s="238"/>
      <c r="DA158" s="238"/>
      <c r="DB158" s="238"/>
      <c r="DC158" s="238"/>
      <c r="DD158" s="238"/>
      <c r="DE158" s="238"/>
      <c r="DF158" s="238"/>
      <c r="DG158" s="257"/>
      <c r="DH158" s="238"/>
      <c r="DI158" s="238"/>
      <c r="DJ158" s="238"/>
      <c r="DK158" s="238"/>
      <c r="DL158" s="238"/>
      <c r="DM158" s="238"/>
      <c r="DN158" s="238"/>
      <c r="DO158" s="238"/>
      <c r="DP158" s="238"/>
      <c r="DQ158" s="238"/>
      <c r="DR158" s="238"/>
      <c r="DS158" s="238"/>
      <c r="DT158" s="238"/>
      <c r="DU158" s="238"/>
      <c r="DV158" s="238"/>
      <c r="DW158" s="238"/>
      <c r="DX158" s="238"/>
      <c r="DY158" s="238"/>
      <c r="DZ158" s="238"/>
      <c r="EA158" s="238"/>
      <c r="EB158" s="238"/>
      <c r="EC158" s="238"/>
      <c r="ED158" s="238"/>
      <c r="EE158" s="238"/>
      <c r="EF158" s="238"/>
      <c r="EG158" s="238"/>
      <c r="EH158" s="238"/>
      <c r="EI158" s="238"/>
      <c r="EJ158" s="238"/>
      <c r="EK158" s="238"/>
      <c r="EL158" s="238"/>
      <c r="EM158" s="238"/>
      <c r="EN158" s="238"/>
      <c r="EO158" s="238"/>
      <c r="EP158" s="238"/>
      <c r="EQ158" s="238"/>
      <c r="ER158" s="238"/>
      <c r="ES158" s="238"/>
      <c r="ET158" s="238"/>
      <c r="EU158" s="238"/>
      <c r="EV158" s="238"/>
      <c r="EW158" s="238"/>
      <c r="EX158" s="238"/>
      <c r="EY158" s="238"/>
      <c r="EZ158" s="238"/>
      <c r="FA158" s="238"/>
      <c r="FB158" s="238"/>
      <c r="FC158" s="238"/>
      <c r="FD158" s="238"/>
      <c r="FE158" s="238"/>
      <c r="FF158" s="238"/>
      <c r="FG158" s="238"/>
      <c r="FH158" s="257"/>
      <c r="FI158" s="257"/>
      <c r="FJ158" s="257"/>
      <c r="FK158" s="257"/>
      <c r="FL158" s="257"/>
      <c r="FM158" s="257"/>
      <c r="FN158" s="257"/>
      <c r="FO158" s="257"/>
      <c r="FP158" s="257"/>
      <c r="FQ158" s="257"/>
      <c r="FR158" s="257"/>
      <c r="FS158" s="257"/>
      <c r="FT158" s="257"/>
      <c r="FU158" s="257"/>
      <c r="FV158" s="257"/>
      <c r="FW158" s="257"/>
      <c r="FX158" s="257"/>
      <c r="FY158" s="238"/>
      <c r="FZ158" s="238"/>
      <c r="GA158" s="238"/>
      <c r="GB158" s="238"/>
      <c r="GC158" s="238"/>
      <c r="GD158" s="238"/>
      <c r="GE158" s="238"/>
      <c r="GF158" s="238"/>
      <c r="GG158" s="238"/>
      <c r="GH158" s="238"/>
      <c r="GI158" s="238"/>
      <c r="GJ158" s="238"/>
      <c r="GK158" s="238"/>
      <c r="GL158" s="238"/>
      <c r="GM158" s="238"/>
      <c r="GN158" s="238"/>
      <c r="GO158" s="238"/>
      <c r="GP158" s="238"/>
      <c r="GQ158" s="238"/>
      <c r="GR158" s="238"/>
      <c r="GS158" s="238"/>
      <c r="GT158" s="238"/>
      <c r="GU158" s="238"/>
      <c r="GV158" s="238"/>
      <c r="GW158" s="238"/>
      <c r="GX158" s="238"/>
      <c r="GY158" s="238"/>
      <c r="GZ158" s="238"/>
      <c r="HA158" s="238"/>
      <c r="HB158" s="238"/>
      <c r="HC158" s="238"/>
      <c r="HD158" s="238"/>
      <c r="HE158" s="238"/>
      <c r="HF158" s="238"/>
      <c r="HG158" s="238"/>
      <c r="HH158" s="238"/>
      <c r="HI158" s="238"/>
      <c r="HJ158" s="238"/>
      <c r="HK158" s="238"/>
      <c r="HL158" s="238"/>
      <c r="HM158" s="238"/>
      <c r="HN158" s="238"/>
      <c r="HO158" s="238"/>
      <c r="HP158" s="238"/>
      <c r="HQ158" s="238"/>
      <c r="HR158" s="238"/>
      <c r="HS158" s="238"/>
      <c r="HT158" s="238"/>
      <c r="HU158" s="238"/>
      <c r="HV158" s="238"/>
      <c r="HW158" s="238"/>
      <c r="HX158" s="257"/>
      <c r="HY158" s="257"/>
      <c r="HZ158" s="257"/>
      <c r="IA158" s="257"/>
      <c r="IB158" s="257"/>
      <c r="IC158" s="257"/>
      <c r="ID158" s="257"/>
      <c r="IE158" s="257"/>
      <c r="IF158" s="257"/>
      <c r="IG158" s="257"/>
      <c r="IH158" s="257"/>
      <c r="II158" s="257"/>
      <c r="IJ158" s="257"/>
      <c r="IK158" s="257"/>
      <c r="IL158" s="257"/>
      <c r="IM158" s="257"/>
      <c r="IN158" s="257"/>
      <c r="IO158" s="257"/>
      <c r="IP158" s="257"/>
      <c r="IQ158" s="257"/>
      <c r="IR158" s="257"/>
      <c r="IS158" s="257"/>
      <c r="IT158" s="257"/>
      <c r="IU158" s="257"/>
      <c r="IV158" s="257"/>
      <c r="IW158" s="257"/>
      <c r="IX158" s="257"/>
      <c r="IY158" s="257"/>
      <c r="IZ158" s="257"/>
      <c r="JA158" s="257"/>
      <c r="JB158" s="257"/>
      <c r="JC158" s="257"/>
      <c r="JD158" s="257"/>
      <c r="JE158" s="257"/>
      <c r="JF158" s="238"/>
      <c r="JG158" s="238"/>
      <c r="JH158" s="238"/>
      <c r="JI158" s="238"/>
      <c r="JJ158" s="238"/>
      <c r="JK158" s="238"/>
      <c r="JL158" s="238"/>
      <c r="JM158" s="238"/>
      <c r="JN158" s="238"/>
      <c r="JO158" s="238"/>
      <c r="JP158" s="238"/>
      <c r="JQ158" s="238"/>
      <c r="JR158" s="238"/>
      <c r="JS158" s="238"/>
      <c r="JT158" s="238"/>
      <c r="JU158" s="238"/>
      <c r="JV158" s="238"/>
      <c r="JW158" s="238"/>
      <c r="JX158" s="238"/>
      <c r="JY158" s="238"/>
      <c r="JZ158" s="238"/>
      <c r="KA158" s="238"/>
      <c r="KB158" s="238"/>
      <c r="KC158" s="238"/>
      <c r="KD158" s="238"/>
      <c r="KE158" s="238"/>
      <c r="KF158" s="238"/>
      <c r="KG158" s="238"/>
      <c r="KH158" s="238"/>
      <c r="KI158" s="238"/>
      <c r="KJ158" s="238"/>
      <c r="KK158" s="238"/>
      <c r="KL158" s="238"/>
      <c r="KM158" s="238"/>
      <c r="KN158" s="238"/>
      <c r="KO158" s="238"/>
      <c r="KP158" s="238"/>
      <c r="KQ158" s="238"/>
      <c r="KR158" s="238"/>
      <c r="KS158" s="238"/>
      <c r="KT158" s="238"/>
      <c r="KU158" s="238"/>
      <c r="KV158" s="238"/>
      <c r="KW158" s="238"/>
      <c r="KX158" s="238"/>
      <c r="KY158" s="238"/>
      <c r="KZ158" s="238"/>
      <c r="LA158" s="238"/>
      <c r="LB158" s="238"/>
      <c r="LC158" s="238"/>
      <c r="LD158" s="238"/>
      <c r="LE158" s="238"/>
      <c r="LF158" s="238"/>
      <c r="LG158" s="238"/>
      <c r="LH158" s="238"/>
      <c r="LI158" s="238"/>
      <c r="LJ158" s="238"/>
      <c r="LK158" s="238"/>
      <c r="LL158" s="238"/>
      <c r="LM158" s="238"/>
      <c r="LN158" s="238"/>
      <c r="LO158" s="238"/>
      <c r="LP158" s="238"/>
      <c r="LQ158" s="238"/>
      <c r="LR158" s="238"/>
      <c r="LS158" s="238"/>
      <c r="LT158" s="238"/>
      <c r="LU158" s="238"/>
      <c r="LV158" s="238"/>
      <c r="LW158" s="238"/>
      <c r="LX158" s="238"/>
      <c r="LY158" s="238"/>
      <c r="LZ158" s="238"/>
      <c r="MA158" s="238"/>
      <c r="MB158" s="238"/>
      <c r="MC158" s="238"/>
      <c r="MD158" s="238"/>
      <c r="ME158" s="238"/>
      <c r="MF158" s="238"/>
      <c r="MG158" s="238"/>
      <c r="MH158" s="238"/>
      <c r="MI158" s="238"/>
      <c r="MJ158" s="238"/>
      <c r="MK158" s="238"/>
      <c r="ML158" s="238"/>
    </row>
    <row r="159" ht="18.75" customHeight="1">
      <c r="A159" s="283"/>
      <c r="B159" s="234" t="str">
        <f>'Building Bill of Materials_SLIM'!P159</f>
        <v/>
      </c>
      <c r="C159" s="234" t="str">
        <f>'Building Bill of Materials_SLIM'!Q159</f>
        <v/>
      </c>
      <c r="D159" s="234" t="str">
        <f>'Building Bill of Materials_SLIM'!R159</f>
        <v/>
      </c>
      <c r="E159" s="234" t="str">
        <f>'Building Bill of Materials_SLIM'!S159</f>
        <v/>
      </c>
      <c r="F159" s="234" t="str">
        <f>'Building Bill of Materials_SLIM'!U159</f>
        <v/>
      </c>
      <c r="G159" s="234"/>
      <c r="H159" s="234"/>
      <c r="I159" s="234"/>
      <c r="J159" s="234" t="str">
        <f>'Building Bill of Materials_SLIM'!V159</f>
        <v/>
      </c>
      <c r="K159" s="238"/>
      <c r="L159" s="238"/>
      <c r="M159" s="238"/>
      <c r="N159" s="238"/>
      <c r="O159" s="238"/>
      <c r="P159" s="238"/>
      <c r="Q159" s="238"/>
      <c r="R159" s="238"/>
      <c r="S159" s="238"/>
      <c r="T159" s="238"/>
      <c r="U159" s="238"/>
      <c r="V159" s="238"/>
      <c r="W159" s="238"/>
      <c r="X159" s="238"/>
      <c r="Y159" s="238"/>
      <c r="Z159" s="238"/>
      <c r="AA159" s="192"/>
      <c r="AB159" s="257"/>
      <c r="AC159" s="257"/>
      <c r="AD159" s="257"/>
      <c r="AE159" s="257"/>
      <c r="AF159" s="257"/>
      <c r="AG159" s="257"/>
      <c r="AH159" s="257"/>
      <c r="AI159" s="257"/>
      <c r="AJ159" s="257"/>
      <c r="AK159" s="257"/>
      <c r="AL159" s="257"/>
      <c r="AM159" s="257"/>
      <c r="AN159" s="257"/>
      <c r="AO159" s="257"/>
      <c r="AP159" s="257"/>
      <c r="AQ159" s="257"/>
      <c r="AR159" s="257"/>
      <c r="AS159" s="257"/>
      <c r="AT159" s="257"/>
      <c r="AU159" s="257"/>
      <c r="AV159" s="257"/>
      <c r="AW159" s="257"/>
      <c r="AX159" s="257"/>
      <c r="AY159" s="257"/>
      <c r="AZ159" s="257"/>
      <c r="BA159" s="257"/>
      <c r="BB159" s="257"/>
      <c r="BC159" s="257"/>
      <c r="BD159" s="257"/>
      <c r="BE159" s="257"/>
      <c r="BF159" s="257"/>
      <c r="BG159" s="257"/>
      <c r="BH159" s="257"/>
      <c r="BI159" s="257"/>
      <c r="BJ159" s="238"/>
      <c r="BK159" s="238"/>
      <c r="BL159" s="238"/>
      <c r="BM159" s="238"/>
      <c r="BN159" s="238"/>
      <c r="BO159" s="238"/>
      <c r="BP159" s="238"/>
      <c r="BQ159" s="238"/>
      <c r="BR159" s="238"/>
      <c r="BS159" s="238"/>
      <c r="BT159" s="238"/>
      <c r="BU159" s="238"/>
      <c r="BV159" s="238"/>
      <c r="BW159" s="238"/>
      <c r="BX159" s="238"/>
      <c r="BY159" s="238"/>
      <c r="BZ159" s="238"/>
      <c r="CA159" s="238"/>
      <c r="CB159" s="238"/>
      <c r="CC159" s="238"/>
      <c r="CD159" s="238"/>
      <c r="CE159" s="257"/>
      <c r="CF159" s="257"/>
      <c r="CG159" s="238"/>
      <c r="CH159" s="238"/>
      <c r="CI159" s="238"/>
      <c r="CJ159" s="238"/>
      <c r="CK159" s="238"/>
      <c r="CL159" s="238"/>
      <c r="CM159" s="238"/>
      <c r="CN159" s="238"/>
      <c r="CO159" s="238"/>
      <c r="CP159" s="238"/>
      <c r="CQ159" s="238"/>
      <c r="CR159" s="238"/>
      <c r="CS159" s="238"/>
      <c r="CT159" s="238"/>
      <c r="CU159" s="238"/>
      <c r="CV159" s="238"/>
      <c r="CW159" s="238"/>
      <c r="CX159" s="238"/>
      <c r="CY159" s="238"/>
      <c r="CZ159" s="238"/>
      <c r="DA159" s="238"/>
      <c r="DB159" s="238"/>
      <c r="DC159" s="238"/>
      <c r="DD159" s="238"/>
      <c r="DE159" s="238"/>
      <c r="DF159" s="238"/>
      <c r="DG159" s="257"/>
      <c r="DH159" s="238"/>
      <c r="DI159" s="238"/>
      <c r="DJ159" s="238"/>
      <c r="DK159" s="238"/>
      <c r="DL159" s="238"/>
      <c r="DM159" s="238"/>
      <c r="DN159" s="238"/>
      <c r="DO159" s="238"/>
      <c r="DP159" s="238"/>
      <c r="DQ159" s="238"/>
      <c r="DR159" s="238"/>
      <c r="DS159" s="238"/>
      <c r="DT159" s="238"/>
      <c r="DU159" s="238"/>
      <c r="DV159" s="238"/>
      <c r="DW159" s="238"/>
      <c r="DX159" s="238"/>
      <c r="DY159" s="238"/>
      <c r="DZ159" s="238"/>
      <c r="EA159" s="238"/>
      <c r="EB159" s="238"/>
      <c r="EC159" s="238"/>
      <c r="ED159" s="238"/>
      <c r="EE159" s="238"/>
      <c r="EF159" s="238"/>
      <c r="EG159" s="238"/>
      <c r="EH159" s="238"/>
      <c r="EI159" s="238"/>
      <c r="EJ159" s="238"/>
      <c r="EK159" s="238"/>
      <c r="EL159" s="238"/>
      <c r="EM159" s="238"/>
      <c r="EN159" s="238"/>
      <c r="EO159" s="238"/>
      <c r="EP159" s="238"/>
      <c r="EQ159" s="238"/>
      <c r="ER159" s="238"/>
      <c r="ES159" s="238"/>
      <c r="ET159" s="238"/>
      <c r="EU159" s="238"/>
      <c r="EV159" s="238"/>
      <c r="EW159" s="238"/>
      <c r="EX159" s="238"/>
      <c r="EY159" s="238"/>
      <c r="EZ159" s="238"/>
      <c r="FA159" s="238"/>
      <c r="FB159" s="238"/>
      <c r="FC159" s="238"/>
      <c r="FD159" s="238"/>
      <c r="FE159" s="238"/>
      <c r="FF159" s="238"/>
      <c r="FG159" s="238"/>
      <c r="FH159" s="257"/>
      <c r="FI159" s="257"/>
      <c r="FJ159" s="257"/>
      <c r="FK159" s="257"/>
      <c r="FL159" s="257"/>
      <c r="FM159" s="257"/>
      <c r="FN159" s="257"/>
      <c r="FO159" s="257"/>
      <c r="FP159" s="257"/>
      <c r="FQ159" s="257"/>
      <c r="FR159" s="257"/>
      <c r="FS159" s="257"/>
      <c r="FT159" s="257"/>
      <c r="FU159" s="257"/>
      <c r="FV159" s="257"/>
      <c r="FW159" s="257"/>
      <c r="FX159" s="257"/>
      <c r="FY159" s="238"/>
      <c r="FZ159" s="238"/>
      <c r="GA159" s="238"/>
      <c r="GB159" s="238"/>
      <c r="GC159" s="238"/>
      <c r="GD159" s="238"/>
      <c r="GE159" s="238"/>
      <c r="GF159" s="238"/>
      <c r="GG159" s="238"/>
      <c r="GH159" s="238"/>
      <c r="GI159" s="238"/>
      <c r="GJ159" s="238"/>
      <c r="GK159" s="238"/>
      <c r="GL159" s="238"/>
      <c r="GM159" s="238"/>
      <c r="GN159" s="238"/>
      <c r="GO159" s="238"/>
      <c r="GP159" s="238"/>
      <c r="GQ159" s="238"/>
      <c r="GR159" s="238"/>
      <c r="GS159" s="238"/>
      <c r="GT159" s="238"/>
      <c r="GU159" s="238"/>
      <c r="GV159" s="238"/>
      <c r="GW159" s="238"/>
      <c r="GX159" s="238"/>
      <c r="GY159" s="238"/>
      <c r="GZ159" s="238"/>
      <c r="HA159" s="238"/>
      <c r="HB159" s="238"/>
      <c r="HC159" s="238"/>
      <c r="HD159" s="238"/>
      <c r="HE159" s="238"/>
      <c r="HF159" s="238"/>
      <c r="HG159" s="238"/>
      <c r="HH159" s="238"/>
      <c r="HI159" s="238"/>
      <c r="HJ159" s="238"/>
      <c r="HK159" s="238"/>
      <c r="HL159" s="238"/>
      <c r="HM159" s="238"/>
      <c r="HN159" s="238"/>
      <c r="HO159" s="238"/>
      <c r="HP159" s="238"/>
      <c r="HQ159" s="238"/>
      <c r="HR159" s="238"/>
      <c r="HS159" s="238"/>
      <c r="HT159" s="238"/>
      <c r="HU159" s="238"/>
      <c r="HV159" s="238"/>
      <c r="HW159" s="238"/>
      <c r="HX159" s="257"/>
      <c r="HY159" s="257"/>
      <c r="HZ159" s="257"/>
      <c r="IA159" s="257"/>
      <c r="IB159" s="257"/>
      <c r="IC159" s="257"/>
      <c r="ID159" s="257"/>
      <c r="IE159" s="257"/>
      <c r="IF159" s="257"/>
      <c r="IG159" s="257"/>
      <c r="IH159" s="257"/>
      <c r="II159" s="257"/>
      <c r="IJ159" s="257"/>
      <c r="IK159" s="257"/>
      <c r="IL159" s="257"/>
      <c r="IM159" s="257"/>
      <c r="IN159" s="257"/>
      <c r="IO159" s="257"/>
      <c r="IP159" s="257"/>
      <c r="IQ159" s="257"/>
      <c r="IR159" s="257"/>
      <c r="IS159" s="257"/>
      <c r="IT159" s="257"/>
      <c r="IU159" s="257"/>
      <c r="IV159" s="257"/>
      <c r="IW159" s="257"/>
      <c r="IX159" s="257"/>
      <c r="IY159" s="257"/>
      <c r="IZ159" s="257"/>
      <c r="JA159" s="257"/>
      <c r="JB159" s="257"/>
      <c r="JC159" s="257"/>
      <c r="JD159" s="257"/>
      <c r="JE159" s="257"/>
      <c r="JF159" s="238"/>
      <c r="JG159" s="238"/>
      <c r="JH159" s="238"/>
      <c r="JI159" s="238"/>
      <c r="JJ159" s="238"/>
      <c r="JK159" s="238"/>
      <c r="JL159" s="238"/>
      <c r="JM159" s="238"/>
      <c r="JN159" s="238"/>
      <c r="JO159" s="238"/>
      <c r="JP159" s="238"/>
      <c r="JQ159" s="238"/>
      <c r="JR159" s="238"/>
      <c r="JS159" s="238"/>
      <c r="JT159" s="238"/>
      <c r="JU159" s="238"/>
      <c r="JV159" s="238"/>
      <c r="JW159" s="238"/>
      <c r="JX159" s="238"/>
      <c r="JY159" s="238"/>
      <c r="JZ159" s="238"/>
      <c r="KA159" s="238"/>
      <c r="KB159" s="238"/>
      <c r="KC159" s="238"/>
      <c r="KD159" s="238"/>
      <c r="KE159" s="238"/>
      <c r="KF159" s="238"/>
      <c r="KG159" s="238"/>
      <c r="KH159" s="238"/>
      <c r="KI159" s="238"/>
      <c r="KJ159" s="238"/>
      <c r="KK159" s="238"/>
      <c r="KL159" s="238"/>
      <c r="KM159" s="238"/>
      <c r="KN159" s="238"/>
      <c r="KO159" s="238"/>
      <c r="KP159" s="238"/>
      <c r="KQ159" s="238"/>
      <c r="KR159" s="238"/>
      <c r="KS159" s="238"/>
      <c r="KT159" s="238"/>
      <c r="KU159" s="238"/>
      <c r="KV159" s="238"/>
      <c r="KW159" s="238"/>
      <c r="KX159" s="238"/>
      <c r="KY159" s="238"/>
      <c r="KZ159" s="238"/>
      <c r="LA159" s="238"/>
      <c r="LB159" s="238"/>
      <c r="LC159" s="238"/>
      <c r="LD159" s="238"/>
      <c r="LE159" s="238"/>
      <c r="LF159" s="238"/>
      <c r="LG159" s="238"/>
      <c r="LH159" s="238"/>
      <c r="LI159" s="238"/>
      <c r="LJ159" s="238"/>
      <c r="LK159" s="238"/>
      <c r="LL159" s="238"/>
      <c r="LM159" s="238"/>
      <c r="LN159" s="238"/>
      <c r="LO159" s="238"/>
      <c r="LP159" s="238"/>
      <c r="LQ159" s="238"/>
      <c r="LR159" s="238"/>
      <c r="LS159" s="238"/>
      <c r="LT159" s="238"/>
      <c r="LU159" s="238"/>
      <c r="LV159" s="238"/>
      <c r="LW159" s="238"/>
      <c r="LX159" s="238"/>
      <c r="LY159" s="238"/>
      <c r="LZ159" s="238"/>
      <c r="MA159" s="238"/>
      <c r="MB159" s="238"/>
      <c r="MC159" s="238"/>
      <c r="MD159" s="238"/>
      <c r="ME159" s="238"/>
      <c r="MF159" s="238"/>
      <c r="MG159" s="238"/>
      <c r="MH159" s="238"/>
      <c r="MI159" s="238"/>
      <c r="MJ159" s="238"/>
      <c r="MK159" s="238"/>
      <c r="ML159" s="238"/>
    </row>
    <row r="160" ht="18.75" customHeight="1">
      <c r="A160" s="283"/>
      <c r="B160" s="234" t="str">
        <f>'Building Bill of Materials_SLIM'!P160</f>
        <v/>
      </c>
      <c r="C160" s="234" t="str">
        <f>'Building Bill of Materials_SLIM'!Q160</f>
        <v/>
      </c>
      <c r="D160" s="234" t="str">
        <f>'Building Bill of Materials_SLIM'!R160</f>
        <v/>
      </c>
      <c r="E160" s="234" t="str">
        <f>'Building Bill of Materials_SLIM'!S160</f>
        <v/>
      </c>
      <c r="F160" s="234" t="str">
        <f>'Building Bill of Materials_SLIM'!U160</f>
        <v/>
      </c>
      <c r="G160" s="234"/>
      <c r="H160" s="234"/>
      <c r="I160" s="234"/>
      <c r="J160" s="234" t="str">
        <f>'Building Bill of Materials_SLIM'!V160</f>
        <v/>
      </c>
      <c r="K160" s="238"/>
      <c r="L160" s="238"/>
      <c r="M160" s="238"/>
      <c r="N160" s="238"/>
      <c r="O160" s="238"/>
      <c r="P160" s="238"/>
      <c r="Q160" s="238"/>
      <c r="R160" s="238"/>
      <c r="S160" s="238"/>
      <c r="T160" s="238"/>
      <c r="U160" s="238"/>
      <c r="V160" s="238"/>
      <c r="W160" s="238"/>
      <c r="X160" s="238"/>
      <c r="Y160" s="238"/>
      <c r="Z160" s="238"/>
      <c r="AA160" s="192"/>
      <c r="AB160" s="257"/>
      <c r="AC160" s="257"/>
      <c r="AD160" s="257"/>
      <c r="AE160" s="257"/>
      <c r="AF160" s="257"/>
      <c r="AG160" s="257"/>
      <c r="AH160" s="257"/>
      <c r="AI160" s="257"/>
      <c r="AJ160" s="257"/>
      <c r="AK160" s="257"/>
      <c r="AL160" s="257"/>
      <c r="AM160" s="257"/>
      <c r="AN160" s="257"/>
      <c r="AO160" s="257"/>
      <c r="AP160" s="257"/>
      <c r="AQ160" s="257"/>
      <c r="AR160" s="257"/>
      <c r="AS160" s="257"/>
      <c r="AT160" s="257"/>
      <c r="AU160" s="257"/>
      <c r="AV160" s="257"/>
      <c r="AW160" s="257"/>
      <c r="AX160" s="257"/>
      <c r="AY160" s="257"/>
      <c r="AZ160" s="257"/>
      <c r="BA160" s="257"/>
      <c r="BB160" s="257"/>
      <c r="BC160" s="257"/>
      <c r="BD160" s="257"/>
      <c r="BE160" s="257"/>
      <c r="BF160" s="257"/>
      <c r="BG160" s="257"/>
      <c r="BH160" s="257"/>
      <c r="BI160" s="257"/>
      <c r="BJ160" s="238"/>
      <c r="BK160" s="238"/>
      <c r="BL160" s="238"/>
      <c r="BM160" s="238"/>
      <c r="BN160" s="238"/>
      <c r="BO160" s="238"/>
      <c r="BP160" s="238"/>
      <c r="BQ160" s="238"/>
      <c r="BR160" s="238"/>
      <c r="BS160" s="238"/>
      <c r="BT160" s="238"/>
      <c r="BU160" s="238"/>
      <c r="BV160" s="238"/>
      <c r="BW160" s="238"/>
      <c r="BX160" s="238"/>
      <c r="BY160" s="238"/>
      <c r="BZ160" s="238"/>
      <c r="CA160" s="238"/>
      <c r="CB160" s="238"/>
      <c r="CC160" s="238"/>
      <c r="CD160" s="238"/>
      <c r="CE160" s="257"/>
      <c r="CF160" s="257"/>
      <c r="CG160" s="238"/>
      <c r="CH160" s="238"/>
      <c r="CI160" s="238"/>
      <c r="CJ160" s="238"/>
      <c r="CK160" s="238"/>
      <c r="CL160" s="238"/>
      <c r="CM160" s="238"/>
      <c r="CN160" s="238"/>
      <c r="CO160" s="238"/>
      <c r="CP160" s="238"/>
      <c r="CQ160" s="238"/>
      <c r="CR160" s="238"/>
      <c r="CS160" s="238"/>
      <c r="CT160" s="238"/>
      <c r="CU160" s="238"/>
      <c r="CV160" s="238"/>
      <c r="CW160" s="238"/>
      <c r="CX160" s="238"/>
      <c r="CY160" s="238"/>
      <c r="CZ160" s="238"/>
      <c r="DA160" s="238"/>
      <c r="DB160" s="238"/>
      <c r="DC160" s="238"/>
      <c r="DD160" s="238"/>
      <c r="DE160" s="238"/>
      <c r="DF160" s="238"/>
      <c r="DG160" s="257"/>
      <c r="DH160" s="238"/>
      <c r="DI160" s="238"/>
      <c r="DJ160" s="238"/>
      <c r="DK160" s="238"/>
      <c r="DL160" s="238"/>
      <c r="DM160" s="238"/>
      <c r="DN160" s="238"/>
      <c r="DO160" s="238"/>
      <c r="DP160" s="238"/>
      <c r="DQ160" s="238"/>
      <c r="DR160" s="238"/>
      <c r="DS160" s="238"/>
      <c r="DT160" s="238"/>
      <c r="DU160" s="238"/>
      <c r="DV160" s="238"/>
      <c r="DW160" s="238"/>
      <c r="DX160" s="238"/>
      <c r="DY160" s="238"/>
      <c r="DZ160" s="238"/>
      <c r="EA160" s="238"/>
      <c r="EB160" s="238"/>
      <c r="EC160" s="238"/>
      <c r="ED160" s="238"/>
      <c r="EE160" s="238"/>
      <c r="EF160" s="238"/>
      <c r="EG160" s="238"/>
      <c r="EH160" s="238"/>
      <c r="EI160" s="238"/>
      <c r="EJ160" s="238"/>
      <c r="EK160" s="238"/>
      <c r="EL160" s="238"/>
      <c r="EM160" s="238"/>
      <c r="EN160" s="238"/>
      <c r="EO160" s="238"/>
      <c r="EP160" s="238"/>
      <c r="EQ160" s="238"/>
      <c r="ER160" s="238"/>
      <c r="ES160" s="238"/>
      <c r="ET160" s="238"/>
      <c r="EU160" s="238"/>
      <c r="EV160" s="238"/>
      <c r="EW160" s="238"/>
      <c r="EX160" s="238"/>
      <c r="EY160" s="238"/>
      <c r="EZ160" s="238"/>
      <c r="FA160" s="238"/>
      <c r="FB160" s="238"/>
      <c r="FC160" s="238"/>
      <c r="FD160" s="238"/>
      <c r="FE160" s="238"/>
      <c r="FF160" s="238"/>
      <c r="FG160" s="238"/>
      <c r="FH160" s="257"/>
      <c r="FI160" s="257"/>
      <c r="FJ160" s="257"/>
      <c r="FK160" s="257"/>
      <c r="FL160" s="257"/>
      <c r="FM160" s="257"/>
      <c r="FN160" s="257"/>
      <c r="FO160" s="257"/>
      <c r="FP160" s="257"/>
      <c r="FQ160" s="257"/>
      <c r="FR160" s="257"/>
      <c r="FS160" s="257"/>
      <c r="FT160" s="257"/>
      <c r="FU160" s="257"/>
      <c r="FV160" s="257"/>
      <c r="FW160" s="257"/>
      <c r="FX160" s="257"/>
      <c r="FY160" s="238"/>
      <c r="FZ160" s="238"/>
      <c r="GA160" s="238"/>
      <c r="GB160" s="238"/>
      <c r="GC160" s="238"/>
      <c r="GD160" s="238"/>
      <c r="GE160" s="238"/>
      <c r="GF160" s="238"/>
      <c r="GG160" s="238"/>
      <c r="GH160" s="238"/>
      <c r="GI160" s="238"/>
      <c r="GJ160" s="238"/>
      <c r="GK160" s="238"/>
      <c r="GL160" s="238"/>
      <c r="GM160" s="238"/>
      <c r="GN160" s="238"/>
      <c r="GO160" s="238"/>
      <c r="GP160" s="238"/>
      <c r="GQ160" s="238"/>
      <c r="GR160" s="238"/>
      <c r="GS160" s="238"/>
      <c r="GT160" s="238"/>
      <c r="GU160" s="238"/>
      <c r="GV160" s="238"/>
      <c r="GW160" s="238"/>
      <c r="GX160" s="238"/>
      <c r="GY160" s="238"/>
      <c r="GZ160" s="238"/>
      <c r="HA160" s="238"/>
      <c r="HB160" s="238"/>
      <c r="HC160" s="238"/>
      <c r="HD160" s="238"/>
      <c r="HE160" s="238"/>
      <c r="HF160" s="238"/>
      <c r="HG160" s="238"/>
      <c r="HH160" s="238"/>
      <c r="HI160" s="238"/>
      <c r="HJ160" s="238"/>
      <c r="HK160" s="238"/>
      <c r="HL160" s="238"/>
      <c r="HM160" s="238"/>
      <c r="HN160" s="238"/>
      <c r="HO160" s="238"/>
      <c r="HP160" s="238"/>
      <c r="HQ160" s="238"/>
      <c r="HR160" s="238"/>
      <c r="HS160" s="238"/>
      <c r="HT160" s="238"/>
      <c r="HU160" s="238"/>
      <c r="HV160" s="238"/>
      <c r="HW160" s="238"/>
      <c r="HX160" s="257"/>
      <c r="HY160" s="257"/>
      <c r="HZ160" s="257"/>
      <c r="IA160" s="257"/>
      <c r="IB160" s="257"/>
      <c r="IC160" s="257"/>
      <c r="ID160" s="257"/>
      <c r="IE160" s="257"/>
      <c r="IF160" s="257"/>
      <c r="IG160" s="257"/>
      <c r="IH160" s="257"/>
      <c r="II160" s="257"/>
      <c r="IJ160" s="257"/>
      <c r="IK160" s="257"/>
      <c r="IL160" s="257"/>
      <c r="IM160" s="257"/>
      <c r="IN160" s="257"/>
      <c r="IO160" s="257"/>
      <c r="IP160" s="257"/>
      <c r="IQ160" s="257"/>
      <c r="IR160" s="257"/>
      <c r="IS160" s="257"/>
      <c r="IT160" s="257"/>
      <c r="IU160" s="257"/>
      <c r="IV160" s="257"/>
      <c r="IW160" s="257"/>
      <c r="IX160" s="257"/>
      <c r="IY160" s="257"/>
      <c r="IZ160" s="257"/>
      <c r="JA160" s="257"/>
      <c r="JB160" s="257"/>
      <c r="JC160" s="257"/>
      <c r="JD160" s="257"/>
      <c r="JE160" s="257"/>
      <c r="JF160" s="238"/>
      <c r="JG160" s="238"/>
      <c r="JH160" s="238"/>
      <c r="JI160" s="238"/>
      <c r="JJ160" s="238"/>
      <c r="JK160" s="238"/>
      <c r="JL160" s="238"/>
      <c r="JM160" s="238"/>
      <c r="JN160" s="238"/>
      <c r="JO160" s="238"/>
      <c r="JP160" s="238"/>
      <c r="JQ160" s="238"/>
      <c r="JR160" s="238"/>
      <c r="JS160" s="238"/>
      <c r="JT160" s="238"/>
      <c r="JU160" s="238"/>
      <c r="JV160" s="238"/>
      <c r="JW160" s="238"/>
      <c r="JX160" s="238"/>
      <c r="JY160" s="238"/>
      <c r="JZ160" s="238"/>
      <c r="KA160" s="238"/>
      <c r="KB160" s="238"/>
      <c r="KC160" s="238"/>
      <c r="KD160" s="238"/>
      <c r="KE160" s="238"/>
      <c r="KF160" s="238"/>
      <c r="KG160" s="238"/>
      <c r="KH160" s="238"/>
      <c r="KI160" s="238"/>
      <c r="KJ160" s="238"/>
      <c r="KK160" s="238"/>
      <c r="KL160" s="238"/>
      <c r="KM160" s="238"/>
      <c r="KN160" s="238"/>
      <c r="KO160" s="238"/>
      <c r="KP160" s="238"/>
      <c r="KQ160" s="238"/>
      <c r="KR160" s="238"/>
      <c r="KS160" s="238"/>
      <c r="KT160" s="238"/>
      <c r="KU160" s="238"/>
      <c r="KV160" s="238"/>
      <c r="KW160" s="238"/>
      <c r="KX160" s="238"/>
      <c r="KY160" s="238"/>
      <c r="KZ160" s="238"/>
      <c r="LA160" s="238"/>
      <c r="LB160" s="238"/>
      <c r="LC160" s="238"/>
      <c r="LD160" s="238"/>
      <c r="LE160" s="238"/>
      <c r="LF160" s="238"/>
      <c r="LG160" s="238"/>
      <c r="LH160" s="238"/>
      <c r="LI160" s="238"/>
      <c r="LJ160" s="238"/>
      <c r="LK160" s="238"/>
      <c r="LL160" s="238"/>
      <c r="LM160" s="238"/>
      <c r="LN160" s="238"/>
      <c r="LO160" s="238"/>
      <c r="LP160" s="238"/>
      <c r="LQ160" s="238"/>
      <c r="LR160" s="238"/>
      <c r="LS160" s="238"/>
      <c r="LT160" s="238"/>
      <c r="LU160" s="238"/>
      <c r="LV160" s="238"/>
      <c r="LW160" s="238"/>
      <c r="LX160" s="238"/>
      <c r="LY160" s="238"/>
      <c r="LZ160" s="238"/>
      <c r="MA160" s="238"/>
      <c r="MB160" s="238"/>
      <c r="MC160" s="238"/>
      <c r="MD160" s="238"/>
      <c r="ME160" s="238"/>
      <c r="MF160" s="238"/>
      <c r="MG160" s="238"/>
      <c r="MH160" s="238"/>
      <c r="MI160" s="238"/>
      <c r="MJ160" s="238"/>
      <c r="MK160" s="238"/>
      <c r="ML160" s="238"/>
    </row>
    <row r="161" ht="18.75" customHeight="1">
      <c r="A161" s="283"/>
      <c r="B161" s="234" t="str">
        <f>'Building Bill of Materials_SLIM'!P161</f>
        <v/>
      </c>
      <c r="C161" s="234" t="str">
        <f>'Building Bill of Materials_SLIM'!Q161</f>
        <v/>
      </c>
      <c r="D161" s="234" t="str">
        <f>'Building Bill of Materials_SLIM'!R161</f>
        <v/>
      </c>
      <c r="E161" s="234" t="str">
        <f>'Building Bill of Materials_SLIM'!S161</f>
        <v/>
      </c>
      <c r="F161" s="234" t="str">
        <f>'Building Bill of Materials_SLIM'!U161</f>
        <v/>
      </c>
      <c r="G161" s="234"/>
      <c r="H161" s="234"/>
      <c r="I161" s="234"/>
      <c r="J161" s="234" t="str">
        <f>'Building Bill of Materials_SLIM'!V161</f>
        <v/>
      </c>
      <c r="K161" s="238"/>
      <c r="L161" s="238"/>
      <c r="M161" s="238"/>
      <c r="N161" s="238"/>
      <c r="O161" s="238"/>
      <c r="P161" s="238"/>
      <c r="Q161" s="238"/>
      <c r="R161" s="238"/>
      <c r="S161" s="238"/>
      <c r="T161" s="238"/>
      <c r="U161" s="238"/>
      <c r="V161" s="238"/>
      <c r="W161" s="238"/>
      <c r="X161" s="238"/>
      <c r="Y161" s="238"/>
      <c r="Z161" s="238"/>
      <c r="AA161" s="192"/>
      <c r="AB161" s="257"/>
      <c r="AC161" s="257"/>
      <c r="AD161" s="257"/>
      <c r="AE161" s="257"/>
      <c r="AF161" s="257"/>
      <c r="AG161" s="257"/>
      <c r="AH161" s="257"/>
      <c r="AI161" s="257"/>
      <c r="AJ161" s="257"/>
      <c r="AK161" s="257"/>
      <c r="AL161" s="257"/>
      <c r="AM161" s="257"/>
      <c r="AN161" s="257"/>
      <c r="AO161" s="257"/>
      <c r="AP161" s="257"/>
      <c r="AQ161" s="257"/>
      <c r="AR161" s="257"/>
      <c r="AS161" s="257"/>
      <c r="AT161" s="257"/>
      <c r="AU161" s="257"/>
      <c r="AV161" s="257"/>
      <c r="AW161" s="257"/>
      <c r="AX161" s="257"/>
      <c r="AY161" s="257"/>
      <c r="AZ161" s="257"/>
      <c r="BA161" s="257"/>
      <c r="BB161" s="257"/>
      <c r="BC161" s="257"/>
      <c r="BD161" s="257"/>
      <c r="BE161" s="257"/>
      <c r="BF161" s="257"/>
      <c r="BG161" s="257"/>
      <c r="BH161" s="257"/>
      <c r="BI161" s="257"/>
      <c r="BJ161" s="238"/>
      <c r="BK161" s="238"/>
      <c r="BL161" s="238"/>
      <c r="BM161" s="238"/>
      <c r="BN161" s="238"/>
      <c r="BO161" s="238"/>
      <c r="BP161" s="238"/>
      <c r="BQ161" s="238"/>
      <c r="BR161" s="238"/>
      <c r="BS161" s="238"/>
      <c r="BT161" s="238"/>
      <c r="BU161" s="238"/>
      <c r="BV161" s="238"/>
      <c r="BW161" s="238"/>
      <c r="BX161" s="238"/>
      <c r="BY161" s="238"/>
      <c r="BZ161" s="238"/>
      <c r="CA161" s="238"/>
      <c r="CB161" s="238"/>
      <c r="CC161" s="238"/>
      <c r="CD161" s="238"/>
      <c r="CE161" s="257"/>
      <c r="CF161" s="257"/>
      <c r="CG161" s="238"/>
      <c r="CH161" s="238"/>
      <c r="CI161" s="238"/>
      <c r="CJ161" s="238"/>
      <c r="CK161" s="238"/>
      <c r="CL161" s="238"/>
      <c r="CM161" s="238"/>
      <c r="CN161" s="238"/>
      <c r="CO161" s="238"/>
      <c r="CP161" s="238"/>
      <c r="CQ161" s="238"/>
      <c r="CR161" s="238"/>
      <c r="CS161" s="238"/>
      <c r="CT161" s="238"/>
      <c r="CU161" s="238"/>
      <c r="CV161" s="238"/>
      <c r="CW161" s="238"/>
      <c r="CX161" s="238"/>
      <c r="CY161" s="238"/>
      <c r="CZ161" s="238"/>
      <c r="DA161" s="238"/>
      <c r="DB161" s="238"/>
      <c r="DC161" s="238"/>
      <c r="DD161" s="238"/>
      <c r="DE161" s="238"/>
      <c r="DF161" s="238"/>
      <c r="DG161" s="257"/>
      <c r="DH161" s="238"/>
      <c r="DI161" s="238"/>
      <c r="DJ161" s="238"/>
      <c r="DK161" s="238"/>
      <c r="DL161" s="238"/>
      <c r="DM161" s="238"/>
      <c r="DN161" s="238"/>
      <c r="DO161" s="238"/>
      <c r="DP161" s="238"/>
      <c r="DQ161" s="238"/>
      <c r="DR161" s="238"/>
      <c r="DS161" s="238"/>
      <c r="DT161" s="238"/>
      <c r="DU161" s="238"/>
      <c r="DV161" s="238"/>
      <c r="DW161" s="238"/>
      <c r="DX161" s="238"/>
      <c r="DY161" s="238"/>
      <c r="DZ161" s="238"/>
      <c r="EA161" s="238"/>
      <c r="EB161" s="238"/>
      <c r="EC161" s="238"/>
      <c r="ED161" s="238"/>
      <c r="EE161" s="238"/>
      <c r="EF161" s="238"/>
      <c r="EG161" s="238"/>
      <c r="EH161" s="238"/>
      <c r="EI161" s="238"/>
      <c r="EJ161" s="238"/>
      <c r="EK161" s="238"/>
      <c r="EL161" s="238"/>
      <c r="EM161" s="238"/>
      <c r="EN161" s="238"/>
      <c r="EO161" s="238"/>
      <c r="EP161" s="238"/>
      <c r="EQ161" s="238"/>
      <c r="ER161" s="238"/>
      <c r="ES161" s="238"/>
      <c r="ET161" s="238"/>
      <c r="EU161" s="238"/>
      <c r="EV161" s="238"/>
      <c r="EW161" s="238"/>
      <c r="EX161" s="238"/>
      <c r="EY161" s="238"/>
      <c r="EZ161" s="238"/>
      <c r="FA161" s="238"/>
      <c r="FB161" s="238"/>
      <c r="FC161" s="238"/>
      <c r="FD161" s="238"/>
      <c r="FE161" s="238"/>
      <c r="FF161" s="238"/>
      <c r="FG161" s="238"/>
      <c r="FH161" s="257"/>
      <c r="FI161" s="257"/>
      <c r="FJ161" s="257"/>
      <c r="FK161" s="257"/>
      <c r="FL161" s="257"/>
      <c r="FM161" s="257"/>
      <c r="FN161" s="257"/>
      <c r="FO161" s="257"/>
      <c r="FP161" s="257"/>
      <c r="FQ161" s="257"/>
      <c r="FR161" s="257"/>
      <c r="FS161" s="257"/>
      <c r="FT161" s="257"/>
      <c r="FU161" s="257"/>
      <c r="FV161" s="257"/>
      <c r="FW161" s="257"/>
      <c r="FX161" s="257"/>
      <c r="FY161" s="238"/>
      <c r="FZ161" s="238"/>
      <c r="GA161" s="238"/>
      <c r="GB161" s="238"/>
      <c r="GC161" s="238"/>
      <c r="GD161" s="238"/>
      <c r="GE161" s="238"/>
      <c r="GF161" s="238"/>
      <c r="GG161" s="238"/>
      <c r="GH161" s="238"/>
      <c r="GI161" s="238"/>
      <c r="GJ161" s="238"/>
      <c r="GK161" s="238"/>
      <c r="GL161" s="238"/>
      <c r="GM161" s="238"/>
      <c r="GN161" s="238"/>
      <c r="GO161" s="238"/>
      <c r="GP161" s="238"/>
      <c r="GQ161" s="238"/>
      <c r="GR161" s="238"/>
      <c r="GS161" s="238"/>
      <c r="GT161" s="238"/>
      <c r="GU161" s="238"/>
      <c r="GV161" s="238"/>
      <c r="GW161" s="238"/>
      <c r="GX161" s="238"/>
      <c r="GY161" s="238"/>
      <c r="GZ161" s="238"/>
      <c r="HA161" s="238"/>
      <c r="HB161" s="238"/>
      <c r="HC161" s="238"/>
      <c r="HD161" s="238"/>
      <c r="HE161" s="238"/>
      <c r="HF161" s="238"/>
      <c r="HG161" s="238"/>
      <c r="HH161" s="238"/>
      <c r="HI161" s="238"/>
      <c r="HJ161" s="238"/>
      <c r="HK161" s="238"/>
      <c r="HL161" s="238"/>
      <c r="HM161" s="238"/>
      <c r="HN161" s="238"/>
      <c r="HO161" s="238"/>
      <c r="HP161" s="238"/>
      <c r="HQ161" s="238"/>
      <c r="HR161" s="238"/>
      <c r="HS161" s="238"/>
      <c r="HT161" s="238"/>
      <c r="HU161" s="238"/>
      <c r="HV161" s="238"/>
      <c r="HW161" s="238"/>
      <c r="HX161" s="257"/>
      <c r="HY161" s="257"/>
      <c r="HZ161" s="257"/>
      <c r="IA161" s="257"/>
      <c r="IB161" s="257"/>
      <c r="IC161" s="257"/>
      <c r="ID161" s="257"/>
      <c r="IE161" s="257"/>
      <c r="IF161" s="257"/>
      <c r="IG161" s="257"/>
      <c r="IH161" s="257"/>
      <c r="II161" s="257"/>
      <c r="IJ161" s="257"/>
      <c r="IK161" s="257"/>
      <c r="IL161" s="257"/>
      <c r="IM161" s="257"/>
      <c r="IN161" s="257"/>
      <c r="IO161" s="257"/>
      <c r="IP161" s="257"/>
      <c r="IQ161" s="257"/>
      <c r="IR161" s="257"/>
      <c r="IS161" s="257"/>
      <c r="IT161" s="257"/>
      <c r="IU161" s="257"/>
      <c r="IV161" s="257"/>
      <c r="IW161" s="257"/>
      <c r="IX161" s="257"/>
      <c r="IY161" s="257"/>
      <c r="IZ161" s="257"/>
      <c r="JA161" s="257"/>
      <c r="JB161" s="257"/>
      <c r="JC161" s="257"/>
      <c r="JD161" s="257"/>
      <c r="JE161" s="257"/>
      <c r="JF161" s="238"/>
      <c r="JG161" s="238"/>
      <c r="JH161" s="238"/>
      <c r="JI161" s="238"/>
      <c r="JJ161" s="238"/>
      <c r="JK161" s="238"/>
      <c r="JL161" s="238"/>
      <c r="JM161" s="238"/>
      <c r="JN161" s="238"/>
      <c r="JO161" s="238"/>
      <c r="JP161" s="238"/>
      <c r="JQ161" s="238"/>
      <c r="JR161" s="238"/>
      <c r="JS161" s="238"/>
      <c r="JT161" s="238"/>
      <c r="JU161" s="238"/>
      <c r="JV161" s="238"/>
      <c r="JW161" s="238"/>
      <c r="JX161" s="238"/>
      <c r="JY161" s="238"/>
      <c r="JZ161" s="238"/>
      <c r="KA161" s="238"/>
      <c r="KB161" s="238"/>
      <c r="KC161" s="238"/>
      <c r="KD161" s="238"/>
      <c r="KE161" s="238"/>
      <c r="KF161" s="238"/>
      <c r="KG161" s="238"/>
      <c r="KH161" s="238"/>
      <c r="KI161" s="238"/>
      <c r="KJ161" s="238"/>
      <c r="KK161" s="238"/>
      <c r="KL161" s="238"/>
      <c r="KM161" s="238"/>
      <c r="KN161" s="238"/>
      <c r="KO161" s="238"/>
      <c r="KP161" s="238"/>
      <c r="KQ161" s="238"/>
      <c r="KR161" s="238"/>
      <c r="KS161" s="238"/>
      <c r="KT161" s="238"/>
      <c r="KU161" s="238"/>
      <c r="KV161" s="238"/>
      <c r="KW161" s="238"/>
      <c r="KX161" s="238"/>
      <c r="KY161" s="238"/>
      <c r="KZ161" s="238"/>
      <c r="LA161" s="238"/>
      <c r="LB161" s="238"/>
      <c r="LC161" s="238"/>
      <c r="LD161" s="238"/>
      <c r="LE161" s="238"/>
      <c r="LF161" s="238"/>
      <c r="LG161" s="238"/>
      <c r="LH161" s="238"/>
      <c r="LI161" s="238"/>
      <c r="LJ161" s="238"/>
      <c r="LK161" s="238"/>
      <c r="LL161" s="238"/>
      <c r="LM161" s="238"/>
      <c r="LN161" s="238"/>
      <c r="LO161" s="238"/>
      <c r="LP161" s="238"/>
      <c r="LQ161" s="238"/>
      <c r="LR161" s="238"/>
      <c r="LS161" s="238"/>
      <c r="LT161" s="238"/>
      <c r="LU161" s="238"/>
      <c r="LV161" s="238"/>
      <c r="LW161" s="238"/>
      <c r="LX161" s="238"/>
      <c r="LY161" s="238"/>
      <c r="LZ161" s="238"/>
      <c r="MA161" s="238"/>
      <c r="MB161" s="238"/>
      <c r="MC161" s="238"/>
      <c r="MD161" s="238"/>
      <c r="ME161" s="238"/>
      <c r="MF161" s="238"/>
      <c r="MG161" s="238"/>
      <c r="MH161" s="238"/>
      <c r="MI161" s="238"/>
      <c r="MJ161" s="238"/>
      <c r="MK161" s="238"/>
      <c r="ML161" s="238"/>
    </row>
    <row r="162" ht="18.75" customHeight="1">
      <c r="A162" s="283"/>
      <c r="B162" s="234" t="str">
        <f>'Building Bill of Materials_SLIM'!P162</f>
        <v/>
      </c>
      <c r="C162" s="234" t="str">
        <f>'Building Bill of Materials_SLIM'!Q162</f>
        <v/>
      </c>
      <c r="D162" s="234" t="str">
        <f>'Building Bill of Materials_SLIM'!R162</f>
        <v/>
      </c>
      <c r="E162" s="234" t="str">
        <f>'Building Bill of Materials_SLIM'!S162</f>
        <v/>
      </c>
      <c r="F162" s="234" t="str">
        <f>'Building Bill of Materials_SLIM'!U162</f>
        <v/>
      </c>
      <c r="G162" s="234"/>
      <c r="H162" s="234"/>
      <c r="I162" s="234"/>
      <c r="J162" s="234" t="str">
        <f>'Building Bill of Materials_SLIM'!V162</f>
        <v/>
      </c>
      <c r="K162" s="238"/>
      <c r="L162" s="238"/>
      <c r="M162" s="238"/>
      <c r="N162" s="238"/>
      <c r="O162" s="238"/>
      <c r="P162" s="238"/>
      <c r="Q162" s="238"/>
      <c r="R162" s="238"/>
      <c r="S162" s="238"/>
      <c r="T162" s="238"/>
      <c r="U162" s="238"/>
      <c r="V162" s="238"/>
      <c r="W162" s="238"/>
      <c r="X162" s="238"/>
      <c r="Y162" s="238"/>
      <c r="Z162" s="238"/>
      <c r="AA162" s="192"/>
      <c r="AB162" s="257"/>
      <c r="AC162" s="257"/>
      <c r="AD162" s="257"/>
      <c r="AE162" s="257"/>
      <c r="AF162" s="257"/>
      <c r="AG162" s="257"/>
      <c r="AH162" s="257"/>
      <c r="AI162" s="257"/>
      <c r="AJ162" s="257"/>
      <c r="AK162" s="257"/>
      <c r="AL162" s="257"/>
      <c r="AM162" s="257"/>
      <c r="AN162" s="257"/>
      <c r="AO162" s="257"/>
      <c r="AP162" s="257"/>
      <c r="AQ162" s="257"/>
      <c r="AR162" s="257"/>
      <c r="AS162" s="257"/>
      <c r="AT162" s="257"/>
      <c r="AU162" s="257"/>
      <c r="AV162" s="257"/>
      <c r="AW162" s="257"/>
      <c r="AX162" s="257"/>
      <c r="AY162" s="257"/>
      <c r="AZ162" s="257"/>
      <c r="BA162" s="257"/>
      <c r="BB162" s="257"/>
      <c r="BC162" s="257"/>
      <c r="BD162" s="257"/>
      <c r="BE162" s="257"/>
      <c r="BF162" s="257"/>
      <c r="BG162" s="257"/>
      <c r="BH162" s="257"/>
      <c r="BI162" s="257"/>
      <c r="BJ162" s="238"/>
      <c r="BK162" s="238"/>
      <c r="BL162" s="238"/>
      <c r="BM162" s="238"/>
      <c r="BN162" s="238"/>
      <c r="BO162" s="238"/>
      <c r="BP162" s="238"/>
      <c r="BQ162" s="238"/>
      <c r="BR162" s="238"/>
      <c r="BS162" s="238"/>
      <c r="BT162" s="238"/>
      <c r="BU162" s="238"/>
      <c r="BV162" s="238"/>
      <c r="BW162" s="238"/>
      <c r="BX162" s="238"/>
      <c r="BY162" s="238"/>
      <c r="BZ162" s="238"/>
      <c r="CA162" s="238"/>
      <c r="CB162" s="238"/>
      <c r="CC162" s="238"/>
      <c r="CD162" s="238"/>
      <c r="CE162" s="257"/>
      <c r="CF162" s="257"/>
      <c r="CG162" s="238"/>
      <c r="CH162" s="238"/>
      <c r="CI162" s="238"/>
      <c r="CJ162" s="238"/>
      <c r="CK162" s="238"/>
      <c r="CL162" s="238"/>
      <c r="CM162" s="238"/>
      <c r="CN162" s="238"/>
      <c r="CO162" s="238"/>
      <c r="CP162" s="238"/>
      <c r="CQ162" s="238"/>
      <c r="CR162" s="238"/>
      <c r="CS162" s="238"/>
      <c r="CT162" s="238"/>
      <c r="CU162" s="238"/>
      <c r="CV162" s="238"/>
      <c r="CW162" s="238"/>
      <c r="CX162" s="238"/>
      <c r="CY162" s="238"/>
      <c r="CZ162" s="238"/>
      <c r="DA162" s="238"/>
      <c r="DB162" s="238"/>
      <c r="DC162" s="238"/>
      <c r="DD162" s="238"/>
      <c r="DE162" s="238"/>
      <c r="DF162" s="238"/>
      <c r="DG162" s="257"/>
      <c r="DH162" s="238"/>
      <c r="DI162" s="238"/>
      <c r="DJ162" s="238"/>
      <c r="DK162" s="238"/>
      <c r="DL162" s="238"/>
      <c r="DM162" s="238"/>
      <c r="DN162" s="238"/>
      <c r="DO162" s="238"/>
      <c r="DP162" s="238"/>
      <c r="DQ162" s="238"/>
      <c r="DR162" s="238"/>
      <c r="DS162" s="238"/>
      <c r="DT162" s="238"/>
      <c r="DU162" s="238"/>
      <c r="DV162" s="238"/>
      <c r="DW162" s="238"/>
      <c r="DX162" s="238"/>
      <c r="DY162" s="238"/>
      <c r="DZ162" s="238"/>
      <c r="EA162" s="238"/>
      <c r="EB162" s="238"/>
      <c r="EC162" s="238"/>
      <c r="ED162" s="238"/>
      <c r="EE162" s="238"/>
      <c r="EF162" s="238"/>
      <c r="EG162" s="238"/>
      <c r="EH162" s="238"/>
      <c r="EI162" s="238"/>
      <c r="EJ162" s="238"/>
      <c r="EK162" s="238"/>
      <c r="EL162" s="238"/>
      <c r="EM162" s="238"/>
      <c r="EN162" s="238"/>
      <c r="EO162" s="238"/>
      <c r="EP162" s="238"/>
      <c r="EQ162" s="238"/>
      <c r="ER162" s="238"/>
      <c r="ES162" s="238"/>
      <c r="ET162" s="238"/>
      <c r="EU162" s="238"/>
      <c r="EV162" s="238"/>
      <c r="EW162" s="238"/>
      <c r="EX162" s="238"/>
      <c r="EY162" s="238"/>
      <c r="EZ162" s="238"/>
      <c r="FA162" s="238"/>
      <c r="FB162" s="238"/>
      <c r="FC162" s="238"/>
      <c r="FD162" s="238"/>
      <c r="FE162" s="238"/>
      <c r="FF162" s="238"/>
      <c r="FG162" s="238"/>
      <c r="FH162" s="257"/>
      <c r="FI162" s="257"/>
      <c r="FJ162" s="257"/>
      <c r="FK162" s="257"/>
      <c r="FL162" s="257"/>
      <c r="FM162" s="257"/>
      <c r="FN162" s="257"/>
      <c r="FO162" s="257"/>
      <c r="FP162" s="257"/>
      <c r="FQ162" s="257"/>
      <c r="FR162" s="257"/>
      <c r="FS162" s="257"/>
      <c r="FT162" s="257"/>
      <c r="FU162" s="257"/>
      <c r="FV162" s="257"/>
      <c r="FW162" s="257"/>
      <c r="FX162" s="257"/>
      <c r="FY162" s="238"/>
      <c r="FZ162" s="238"/>
      <c r="GA162" s="238"/>
      <c r="GB162" s="238"/>
      <c r="GC162" s="238"/>
      <c r="GD162" s="238"/>
      <c r="GE162" s="238"/>
      <c r="GF162" s="238"/>
      <c r="GG162" s="238"/>
      <c r="GH162" s="238"/>
      <c r="GI162" s="238"/>
      <c r="GJ162" s="238"/>
      <c r="GK162" s="238"/>
      <c r="GL162" s="238"/>
      <c r="GM162" s="238"/>
      <c r="GN162" s="238"/>
      <c r="GO162" s="238"/>
      <c r="GP162" s="238"/>
      <c r="GQ162" s="238"/>
      <c r="GR162" s="238"/>
      <c r="GS162" s="238"/>
      <c r="GT162" s="238"/>
      <c r="GU162" s="238"/>
      <c r="GV162" s="238"/>
      <c r="GW162" s="238"/>
      <c r="GX162" s="238"/>
      <c r="GY162" s="238"/>
      <c r="GZ162" s="238"/>
      <c r="HA162" s="238"/>
      <c r="HB162" s="238"/>
      <c r="HC162" s="238"/>
      <c r="HD162" s="238"/>
      <c r="HE162" s="238"/>
      <c r="HF162" s="238"/>
      <c r="HG162" s="238"/>
      <c r="HH162" s="238"/>
      <c r="HI162" s="238"/>
      <c r="HJ162" s="238"/>
      <c r="HK162" s="238"/>
      <c r="HL162" s="238"/>
      <c r="HM162" s="238"/>
      <c r="HN162" s="238"/>
      <c r="HO162" s="238"/>
      <c r="HP162" s="238"/>
      <c r="HQ162" s="238"/>
      <c r="HR162" s="238"/>
      <c r="HS162" s="238"/>
      <c r="HT162" s="238"/>
      <c r="HU162" s="238"/>
      <c r="HV162" s="238"/>
      <c r="HW162" s="238"/>
      <c r="HX162" s="257"/>
      <c r="HY162" s="257"/>
      <c r="HZ162" s="257"/>
      <c r="IA162" s="257"/>
      <c r="IB162" s="257"/>
      <c r="IC162" s="257"/>
      <c r="ID162" s="257"/>
      <c r="IE162" s="257"/>
      <c r="IF162" s="257"/>
      <c r="IG162" s="257"/>
      <c r="IH162" s="257"/>
      <c r="II162" s="257"/>
      <c r="IJ162" s="257"/>
      <c r="IK162" s="257"/>
      <c r="IL162" s="257"/>
      <c r="IM162" s="257"/>
      <c r="IN162" s="257"/>
      <c r="IO162" s="257"/>
      <c r="IP162" s="257"/>
      <c r="IQ162" s="257"/>
      <c r="IR162" s="257"/>
      <c r="IS162" s="257"/>
      <c r="IT162" s="257"/>
      <c r="IU162" s="257"/>
      <c r="IV162" s="257"/>
      <c r="IW162" s="257"/>
      <c r="IX162" s="257"/>
      <c r="IY162" s="257"/>
      <c r="IZ162" s="257"/>
      <c r="JA162" s="257"/>
      <c r="JB162" s="257"/>
      <c r="JC162" s="257"/>
      <c r="JD162" s="257"/>
      <c r="JE162" s="257"/>
      <c r="JF162" s="238"/>
      <c r="JG162" s="238"/>
      <c r="JH162" s="238"/>
      <c r="JI162" s="238"/>
      <c r="JJ162" s="238"/>
      <c r="JK162" s="238"/>
      <c r="JL162" s="238"/>
      <c r="JM162" s="238"/>
      <c r="JN162" s="238"/>
      <c r="JO162" s="238"/>
      <c r="JP162" s="238"/>
      <c r="JQ162" s="238"/>
      <c r="JR162" s="238"/>
      <c r="JS162" s="238"/>
      <c r="JT162" s="238"/>
      <c r="JU162" s="238"/>
      <c r="JV162" s="238"/>
      <c r="JW162" s="238"/>
      <c r="JX162" s="238"/>
      <c r="JY162" s="238"/>
      <c r="JZ162" s="238"/>
      <c r="KA162" s="238"/>
      <c r="KB162" s="238"/>
      <c r="KC162" s="238"/>
      <c r="KD162" s="238"/>
      <c r="KE162" s="238"/>
      <c r="KF162" s="238"/>
      <c r="KG162" s="238"/>
      <c r="KH162" s="238"/>
      <c r="KI162" s="238"/>
      <c r="KJ162" s="238"/>
      <c r="KK162" s="238"/>
      <c r="KL162" s="238"/>
      <c r="KM162" s="238"/>
      <c r="KN162" s="238"/>
      <c r="KO162" s="238"/>
      <c r="KP162" s="238"/>
      <c r="KQ162" s="238"/>
      <c r="KR162" s="238"/>
      <c r="KS162" s="238"/>
      <c r="KT162" s="238"/>
      <c r="KU162" s="238"/>
      <c r="KV162" s="238"/>
      <c r="KW162" s="238"/>
      <c r="KX162" s="238"/>
      <c r="KY162" s="238"/>
      <c r="KZ162" s="238"/>
      <c r="LA162" s="238"/>
      <c r="LB162" s="238"/>
      <c r="LC162" s="238"/>
      <c r="LD162" s="238"/>
      <c r="LE162" s="238"/>
      <c r="LF162" s="238"/>
      <c r="LG162" s="238"/>
      <c r="LH162" s="238"/>
      <c r="LI162" s="238"/>
      <c r="LJ162" s="238"/>
      <c r="LK162" s="238"/>
      <c r="LL162" s="238"/>
      <c r="LM162" s="238"/>
      <c r="LN162" s="238"/>
      <c r="LO162" s="238"/>
      <c r="LP162" s="238"/>
      <c r="LQ162" s="238"/>
      <c r="LR162" s="238"/>
      <c r="LS162" s="238"/>
      <c r="LT162" s="238"/>
      <c r="LU162" s="238"/>
      <c r="LV162" s="238"/>
      <c r="LW162" s="238"/>
      <c r="LX162" s="238"/>
      <c r="LY162" s="238"/>
      <c r="LZ162" s="238"/>
      <c r="MA162" s="238"/>
      <c r="MB162" s="238"/>
      <c r="MC162" s="238"/>
      <c r="MD162" s="238"/>
      <c r="ME162" s="238"/>
      <c r="MF162" s="238"/>
      <c r="MG162" s="238"/>
      <c r="MH162" s="238"/>
      <c r="MI162" s="238"/>
      <c r="MJ162" s="238"/>
      <c r="MK162" s="238"/>
      <c r="ML162" s="238"/>
    </row>
    <row r="163" ht="18.75" customHeight="1">
      <c r="A163" s="283"/>
      <c r="B163" s="234" t="str">
        <f>'Building Bill of Materials_SLIM'!P163</f>
        <v/>
      </c>
      <c r="C163" s="234" t="str">
        <f>'Building Bill of Materials_SLIM'!Q163</f>
        <v/>
      </c>
      <c r="D163" s="234" t="str">
        <f>'Building Bill of Materials_SLIM'!R163</f>
        <v/>
      </c>
      <c r="E163" s="234" t="str">
        <f>'Building Bill of Materials_SLIM'!S163</f>
        <v/>
      </c>
      <c r="F163" s="234" t="str">
        <f>'Building Bill of Materials_SLIM'!U163</f>
        <v/>
      </c>
      <c r="G163" s="234"/>
      <c r="H163" s="234"/>
      <c r="I163" s="234"/>
      <c r="J163" s="234" t="str">
        <f>'Building Bill of Materials_SLIM'!V163</f>
        <v/>
      </c>
      <c r="K163" s="238"/>
      <c r="L163" s="238"/>
      <c r="M163" s="238"/>
      <c r="N163" s="238"/>
      <c r="O163" s="238"/>
      <c r="P163" s="238"/>
      <c r="Q163" s="238"/>
      <c r="R163" s="238"/>
      <c r="S163" s="238"/>
      <c r="T163" s="238"/>
      <c r="U163" s="238"/>
      <c r="V163" s="238"/>
      <c r="W163" s="238"/>
      <c r="X163" s="238"/>
      <c r="Y163" s="238"/>
      <c r="Z163" s="238"/>
      <c r="AA163" s="192"/>
      <c r="AB163" s="257"/>
      <c r="AC163" s="257"/>
      <c r="AD163" s="257"/>
      <c r="AE163" s="257"/>
      <c r="AF163" s="257"/>
      <c r="AG163" s="257"/>
      <c r="AH163" s="257"/>
      <c r="AI163" s="257"/>
      <c r="AJ163" s="257"/>
      <c r="AK163" s="257"/>
      <c r="AL163" s="257"/>
      <c r="AM163" s="257"/>
      <c r="AN163" s="257"/>
      <c r="AO163" s="257"/>
      <c r="AP163" s="257"/>
      <c r="AQ163" s="257"/>
      <c r="AR163" s="257"/>
      <c r="AS163" s="257"/>
      <c r="AT163" s="257"/>
      <c r="AU163" s="257"/>
      <c r="AV163" s="257"/>
      <c r="AW163" s="257"/>
      <c r="AX163" s="257"/>
      <c r="AY163" s="257"/>
      <c r="AZ163" s="257"/>
      <c r="BA163" s="257"/>
      <c r="BB163" s="257"/>
      <c r="BC163" s="257"/>
      <c r="BD163" s="257"/>
      <c r="BE163" s="257"/>
      <c r="BF163" s="257"/>
      <c r="BG163" s="257"/>
      <c r="BH163" s="257"/>
      <c r="BI163" s="257"/>
      <c r="BJ163" s="238"/>
      <c r="BK163" s="238"/>
      <c r="BL163" s="238"/>
      <c r="BM163" s="238"/>
      <c r="BN163" s="238"/>
      <c r="BO163" s="238"/>
      <c r="BP163" s="238"/>
      <c r="BQ163" s="238"/>
      <c r="BR163" s="238"/>
      <c r="BS163" s="238"/>
      <c r="BT163" s="238"/>
      <c r="BU163" s="238"/>
      <c r="BV163" s="238"/>
      <c r="BW163" s="238"/>
      <c r="BX163" s="238"/>
      <c r="BY163" s="238"/>
      <c r="BZ163" s="238"/>
      <c r="CA163" s="238"/>
      <c r="CB163" s="238"/>
      <c r="CC163" s="238"/>
      <c r="CD163" s="238"/>
      <c r="CE163" s="257"/>
      <c r="CF163" s="257"/>
      <c r="CG163" s="238"/>
      <c r="CH163" s="238"/>
      <c r="CI163" s="238"/>
      <c r="CJ163" s="238"/>
      <c r="CK163" s="238"/>
      <c r="CL163" s="238"/>
      <c r="CM163" s="238"/>
      <c r="CN163" s="238"/>
      <c r="CO163" s="238"/>
      <c r="CP163" s="238"/>
      <c r="CQ163" s="238"/>
      <c r="CR163" s="238"/>
      <c r="CS163" s="238"/>
      <c r="CT163" s="238"/>
      <c r="CU163" s="238"/>
      <c r="CV163" s="238"/>
      <c r="CW163" s="238"/>
      <c r="CX163" s="238"/>
      <c r="CY163" s="238"/>
      <c r="CZ163" s="238"/>
      <c r="DA163" s="238"/>
      <c r="DB163" s="238"/>
      <c r="DC163" s="238"/>
      <c r="DD163" s="238"/>
      <c r="DE163" s="238"/>
      <c r="DF163" s="238"/>
      <c r="DG163" s="257"/>
      <c r="DH163" s="238"/>
      <c r="DI163" s="238"/>
      <c r="DJ163" s="238"/>
      <c r="DK163" s="238"/>
      <c r="DL163" s="238"/>
      <c r="DM163" s="238"/>
      <c r="DN163" s="238"/>
      <c r="DO163" s="238"/>
      <c r="DP163" s="238"/>
      <c r="DQ163" s="238"/>
      <c r="DR163" s="238"/>
      <c r="DS163" s="238"/>
      <c r="DT163" s="238"/>
      <c r="DU163" s="238"/>
      <c r="DV163" s="238"/>
      <c r="DW163" s="238"/>
      <c r="DX163" s="238"/>
      <c r="DY163" s="238"/>
      <c r="DZ163" s="238"/>
      <c r="EA163" s="238"/>
      <c r="EB163" s="238"/>
      <c r="EC163" s="238"/>
      <c r="ED163" s="238"/>
      <c r="EE163" s="238"/>
      <c r="EF163" s="238"/>
      <c r="EG163" s="238"/>
      <c r="EH163" s="238"/>
      <c r="EI163" s="238"/>
      <c r="EJ163" s="238"/>
      <c r="EK163" s="238"/>
      <c r="EL163" s="238"/>
      <c r="EM163" s="238"/>
      <c r="EN163" s="238"/>
      <c r="EO163" s="238"/>
      <c r="EP163" s="238"/>
      <c r="EQ163" s="238"/>
      <c r="ER163" s="238"/>
      <c r="ES163" s="238"/>
      <c r="ET163" s="238"/>
      <c r="EU163" s="238"/>
      <c r="EV163" s="238"/>
      <c r="EW163" s="238"/>
      <c r="EX163" s="238"/>
      <c r="EY163" s="238"/>
      <c r="EZ163" s="238"/>
      <c r="FA163" s="238"/>
      <c r="FB163" s="238"/>
      <c r="FC163" s="238"/>
      <c r="FD163" s="238"/>
      <c r="FE163" s="238"/>
      <c r="FF163" s="238"/>
      <c r="FG163" s="238"/>
      <c r="FH163" s="257"/>
      <c r="FI163" s="257"/>
      <c r="FJ163" s="257"/>
      <c r="FK163" s="257"/>
      <c r="FL163" s="257"/>
      <c r="FM163" s="257"/>
      <c r="FN163" s="257"/>
      <c r="FO163" s="257"/>
      <c r="FP163" s="257"/>
      <c r="FQ163" s="257"/>
      <c r="FR163" s="257"/>
      <c r="FS163" s="257"/>
      <c r="FT163" s="257"/>
      <c r="FU163" s="257"/>
      <c r="FV163" s="257"/>
      <c r="FW163" s="257"/>
      <c r="FX163" s="257"/>
      <c r="FY163" s="238"/>
      <c r="FZ163" s="238"/>
      <c r="GA163" s="238"/>
      <c r="GB163" s="238"/>
      <c r="GC163" s="238"/>
      <c r="GD163" s="238"/>
      <c r="GE163" s="238"/>
      <c r="GF163" s="238"/>
      <c r="GG163" s="238"/>
      <c r="GH163" s="238"/>
      <c r="GI163" s="238"/>
      <c r="GJ163" s="238"/>
      <c r="GK163" s="238"/>
      <c r="GL163" s="238"/>
      <c r="GM163" s="238"/>
      <c r="GN163" s="238"/>
      <c r="GO163" s="238"/>
      <c r="GP163" s="238"/>
      <c r="GQ163" s="238"/>
      <c r="GR163" s="238"/>
      <c r="GS163" s="238"/>
      <c r="GT163" s="238"/>
      <c r="GU163" s="238"/>
      <c r="GV163" s="238"/>
      <c r="GW163" s="238"/>
      <c r="GX163" s="238"/>
      <c r="GY163" s="238"/>
      <c r="GZ163" s="238"/>
      <c r="HA163" s="238"/>
      <c r="HB163" s="238"/>
      <c r="HC163" s="238"/>
      <c r="HD163" s="238"/>
      <c r="HE163" s="238"/>
      <c r="HF163" s="238"/>
      <c r="HG163" s="238"/>
      <c r="HH163" s="238"/>
      <c r="HI163" s="238"/>
      <c r="HJ163" s="238"/>
      <c r="HK163" s="238"/>
      <c r="HL163" s="238"/>
      <c r="HM163" s="238"/>
      <c r="HN163" s="238"/>
      <c r="HO163" s="238"/>
      <c r="HP163" s="238"/>
      <c r="HQ163" s="238"/>
      <c r="HR163" s="238"/>
      <c r="HS163" s="238"/>
      <c r="HT163" s="238"/>
      <c r="HU163" s="238"/>
      <c r="HV163" s="238"/>
      <c r="HW163" s="238"/>
      <c r="HX163" s="257"/>
      <c r="HY163" s="257"/>
      <c r="HZ163" s="257"/>
      <c r="IA163" s="257"/>
      <c r="IB163" s="257"/>
      <c r="IC163" s="257"/>
      <c r="ID163" s="257"/>
      <c r="IE163" s="257"/>
      <c r="IF163" s="257"/>
      <c r="IG163" s="257"/>
      <c r="IH163" s="257"/>
      <c r="II163" s="257"/>
      <c r="IJ163" s="257"/>
      <c r="IK163" s="257"/>
      <c r="IL163" s="257"/>
      <c r="IM163" s="257"/>
      <c r="IN163" s="257"/>
      <c r="IO163" s="257"/>
      <c r="IP163" s="257"/>
      <c r="IQ163" s="257"/>
      <c r="IR163" s="257"/>
      <c r="IS163" s="257"/>
      <c r="IT163" s="257"/>
      <c r="IU163" s="257"/>
      <c r="IV163" s="257"/>
      <c r="IW163" s="257"/>
      <c r="IX163" s="257"/>
      <c r="IY163" s="257"/>
      <c r="IZ163" s="257"/>
      <c r="JA163" s="257"/>
      <c r="JB163" s="257"/>
      <c r="JC163" s="257"/>
      <c r="JD163" s="257"/>
      <c r="JE163" s="257"/>
      <c r="JF163" s="238"/>
      <c r="JG163" s="238"/>
      <c r="JH163" s="238"/>
      <c r="JI163" s="238"/>
      <c r="JJ163" s="238"/>
      <c r="JK163" s="238"/>
      <c r="JL163" s="238"/>
      <c r="JM163" s="238"/>
      <c r="JN163" s="238"/>
      <c r="JO163" s="238"/>
      <c r="JP163" s="238"/>
      <c r="JQ163" s="238"/>
      <c r="JR163" s="238"/>
      <c r="JS163" s="238"/>
      <c r="JT163" s="238"/>
      <c r="JU163" s="238"/>
      <c r="JV163" s="238"/>
      <c r="JW163" s="238"/>
      <c r="JX163" s="238"/>
      <c r="JY163" s="238"/>
      <c r="JZ163" s="238"/>
      <c r="KA163" s="238"/>
      <c r="KB163" s="238"/>
      <c r="KC163" s="238"/>
      <c r="KD163" s="238"/>
      <c r="KE163" s="238"/>
      <c r="KF163" s="238"/>
      <c r="KG163" s="238"/>
      <c r="KH163" s="238"/>
      <c r="KI163" s="238"/>
      <c r="KJ163" s="238"/>
      <c r="KK163" s="238"/>
      <c r="KL163" s="238"/>
      <c r="KM163" s="238"/>
      <c r="KN163" s="238"/>
      <c r="KO163" s="238"/>
      <c r="KP163" s="238"/>
      <c r="KQ163" s="238"/>
      <c r="KR163" s="238"/>
      <c r="KS163" s="238"/>
      <c r="KT163" s="238"/>
      <c r="KU163" s="238"/>
      <c r="KV163" s="238"/>
      <c r="KW163" s="238"/>
      <c r="KX163" s="238"/>
      <c r="KY163" s="238"/>
      <c r="KZ163" s="238"/>
      <c r="LA163" s="238"/>
      <c r="LB163" s="238"/>
      <c r="LC163" s="238"/>
      <c r="LD163" s="238"/>
      <c r="LE163" s="238"/>
      <c r="LF163" s="238"/>
      <c r="LG163" s="238"/>
      <c r="LH163" s="238"/>
      <c r="LI163" s="238"/>
      <c r="LJ163" s="238"/>
      <c r="LK163" s="238"/>
      <c r="LL163" s="238"/>
      <c r="LM163" s="238"/>
      <c r="LN163" s="238"/>
      <c r="LO163" s="238"/>
      <c r="LP163" s="238"/>
      <c r="LQ163" s="238"/>
      <c r="LR163" s="238"/>
      <c r="LS163" s="238"/>
      <c r="LT163" s="238"/>
      <c r="LU163" s="238"/>
      <c r="LV163" s="238"/>
      <c r="LW163" s="238"/>
      <c r="LX163" s="238"/>
      <c r="LY163" s="238"/>
      <c r="LZ163" s="238"/>
      <c r="MA163" s="238"/>
      <c r="MB163" s="238"/>
      <c r="MC163" s="238"/>
      <c r="MD163" s="238"/>
      <c r="ME163" s="238"/>
      <c r="MF163" s="238"/>
      <c r="MG163" s="238"/>
      <c r="MH163" s="238"/>
      <c r="MI163" s="238"/>
      <c r="MJ163" s="238"/>
      <c r="MK163" s="238"/>
      <c r="ML163" s="238"/>
    </row>
    <row r="164" ht="18.75" customHeight="1">
      <c r="A164" s="283"/>
      <c r="B164" s="234" t="str">
        <f>'Building Bill of Materials_SLIM'!P164</f>
        <v/>
      </c>
      <c r="C164" s="234" t="str">
        <f>'Building Bill of Materials_SLIM'!Q164</f>
        <v/>
      </c>
      <c r="D164" s="234" t="str">
        <f>'Building Bill of Materials_SLIM'!R164</f>
        <v/>
      </c>
      <c r="E164" s="234" t="str">
        <f>'Building Bill of Materials_SLIM'!S164</f>
        <v/>
      </c>
      <c r="F164" s="234" t="str">
        <f>'Building Bill of Materials_SLIM'!U164</f>
        <v/>
      </c>
      <c r="G164" s="234"/>
      <c r="H164" s="234"/>
      <c r="I164" s="234"/>
      <c r="J164" s="234" t="str">
        <f>'Building Bill of Materials_SLIM'!V164</f>
        <v/>
      </c>
      <c r="K164" s="238"/>
      <c r="L164" s="238"/>
      <c r="M164" s="238"/>
      <c r="N164" s="238"/>
      <c r="O164" s="238"/>
      <c r="P164" s="238"/>
      <c r="Q164" s="238"/>
      <c r="R164" s="238"/>
      <c r="S164" s="238"/>
      <c r="T164" s="238"/>
      <c r="U164" s="238"/>
      <c r="V164" s="238"/>
      <c r="W164" s="238"/>
      <c r="X164" s="238"/>
      <c r="Y164" s="238"/>
      <c r="Z164" s="238"/>
      <c r="AA164" s="192"/>
      <c r="AB164" s="257"/>
      <c r="AC164" s="257"/>
      <c r="AD164" s="257"/>
      <c r="AE164" s="257"/>
      <c r="AF164" s="257"/>
      <c r="AG164" s="257"/>
      <c r="AH164" s="257"/>
      <c r="AI164" s="257"/>
      <c r="AJ164" s="257"/>
      <c r="AK164" s="257"/>
      <c r="AL164" s="257"/>
      <c r="AM164" s="257"/>
      <c r="AN164" s="257"/>
      <c r="AO164" s="257"/>
      <c r="AP164" s="257"/>
      <c r="AQ164" s="257"/>
      <c r="AR164" s="257"/>
      <c r="AS164" s="257"/>
      <c r="AT164" s="257"/>
      <c r="AU164" s="257"/>
      <c r="AV164" s="257"/>
      <c r="AW164" s="257"/>
      <c r="AX164" s="257"/>
      <c r="AY164" s="257"/>
      <c r="AZ164" s="257"/>
      <c r="BA164" s="257"/>
      <c r="BB164" s="257"/>
      <c r="BC164" s="257"/>
      <c r="BD164" s="257"/>
      <c r="BE164" s="257"/>
      <c r="BF164" s="257"/>
      <c r="BG164" s="257"/>
      <c r="BH164" s="257"/>
      <c r="BI164" s="257"/>
      <c r="BJ164" s="238"/>
      <c r="BK164" s="238"/>
      <c r="BL164" s="238"/>
      <c r="BM164" s="238"/>
      <c r="BN164" s="238"/>
      <c r="BO164" s="238"/>
      <c r="BP164" s="238"/>
      <c r="BQ164" s="238"/>
      <c r="BR164" s="238"/>
      <c r="BS164" s="238"/>
      <c r="BT164" s="238"/>
      <c r="BU164" s="238"/>
      <c r="BV164" s="238"/>
      <c r="BW164" s="238"/>
      <c r="BX164" s="238"/>
      <c r="BY164" s="238"/>
      <c r="BZ164" s="238"/>
      <c r="CA164" s="238"/>
      <c r="CB164" s="238"/>
      <c r="CC164" s="238"/>
      <c r="CD164" s="238"/>
      <c r="CE164" s="257"/>
      <c r="CF164" s="257"/>
      <c r="CG164" s="238"/>
      <c r="CH164" s="238"/>
      <c r="CI164" s="238"/>
      <c r="CJ164" s="238"/>
      <c r="CK164" s="238"/>
      <c r="CL164" s="238"/>
      <c r="CM164" s="238"/>
      <c r="CN164" s="238"/>
      <c r="CO164" s="238"/>
      <c r="CP164" s="238"/>
      <c r="CQ164" s="238"/>
      <c r="CR164" s="238"/>
      <c r="CS164" s="238"/>
      <c r="CT164" s="238"/>
      <c r="CU164" s="238"/>
      <c r="CV164" s="238"/>
      <c r="CW164" s="238"/>
      <c r="CX164" s="238"/>
      <c r="CY164" s="238"/>
      <c r="CZ164" s="238"/>
      <c r="DA164" s="238"/>
      <c r="DB164" s="238"/>
      <c r="DC164" s="238"/>
      <c r="DD164" s="238"/>
      <c r="DE164" s="238"/>
      <c r="DF164" s="238"/>
      <c r="DG164" s="257"/>
      <c r="DH164" s="238"/>
      <c r="DI164" s="238"/>
      <c r="DJ164" s="238"/>
      <c r="DK164" s="238"/>
      <c r="DL164" s="238"/>
      <c r="DM164" s="238"/>
      <c r="DN164" s="238"/>
      <c r="DO164" s="238"/>
      <c r="DP164" s="238"/>
      <c r="DQ164" s="238"/>
      <c r="DR164" s="238"/>
      <c r="DS164" s="238"/>
      <c r="DT164" s="238"/>
      <c r="DU164" s="238"/>
      <c r="DV164" s="238"/>
      <c r="DW164" s="238"/>
      <c r="DX164" s="238"/>
      <c r="DY164" s="238"/>
      <c r="DZ164" s="238"/>
      <c r="EA164" s="238"/>
      <c r="EB164" s="238"/>
      <c r="EC164" s="238"/>
      <c r="ED164" s="238"/>
      <c r="EE164" s="238"/>
      <c r="EF164" s="238"/>
      <c r="EG164" s="238"/>
      <c r="EH164" s="238"/>
      <c r="EI164" s="238"/>
      <c r="EJ164" s="238"/>
      <c r="EK164" s="238"/>
      <c r="EL164" s="238"/>
      <c r="EM164" s="238"/>
      <c r="EN164" s="238"/>
      <c r="EO164" s="238"/>
      <c r="EP164" s="238"/>
      <c r="EQ164" s="238"/>
      <c r="ER164" s="238"/>
      <c r="ES164" s="238"/>
      <c r="ET164" s="238"/>
      <c r="EU164" s="238"/>
      <c r="EV164" s="238"/>
      <c r="EW164" s="238"/>
      <c r="EX164" s="238"/>
      <c r="EY164" s="238"/>
      <c r="EZ164" s="238"/>
      <c r="FA164" s="238"/>
      <c r="FB164" s="238"/>
      <c r="FC164" s="238"/>
      <c r="FD164" s="238"/>
      <c r="FE164" s="238"/>
      <c r="FF164" s="238"/>
      <c r="FG164" s="238"/>
      <c r="FH164" s="257"/>
      <c r="FI164" s="257"/>
      <c r="FJ164" s="257"/>
      <c r="FK164" s="257"/>
      <c r="FL164" s="257"/>
      <c r="FM164" s="257"/>
      <c r="FN164" s="257"/>
      <c r="FO164" s="257"/>
      <c r="FP164" s="257"/>
      <c r="FQ164" s="257"/>
      <c r="FR164" s="257"/>
      <c r="FS164" s="257"/>
      <c r="FT164" s="257"/>
      <c r="FU164" s="257"/>
      <c r="FV164" s="257"/>
      <c r="FW164" s="257"/>
      <c r="FX164" s="257"/>
      <c r="FY164" s="238"/>
      <c r="FZ164" s="238"/>
      <c r="GA164" s="238"/>
      <c r="GB164" s="238"/>
      <c r="GC164" s="238"/>
      <c r="GD164" s="238"/>
      <c r="GE164" s="238"/>
      <c r="GF164" s="238"/>
      <c r="GG164" s="238"/>
      <c r="GH164" s="238"/>
      <c r="GI164" s="238"/>
      <c r="GJ164" s="238"/>
      <c r="GK164" s="238"/>
      <c r="GL164" s="238"/>
      <c r="GM164" s="238"/>
      <c r="GN164" s="238"/>
      <c r="GO164" s="238"/>
      <c r="GP164" s="238"/>
      <c r="GQ164" s="238"/>
      <c r="GR164" s="238"/>
      <c r="GS164" s="238"/>
      <c r="GT164" s="238"/>
      <c r="GU164" s="238"/>
      <c r="GV164" s="238"/>
      <c r="GW164" s="238"/>
      <c r="GX164" s="238"/>
      <c r="GY164" s="238"/>
      <c r="GZ164" s="238"/>
      <c r="HA164" s="238"/>
      <c r="HB164" s="238"/>
      <c r="HC164" s="238"/>
      <c r="HD164" s="238"/>
      <c r="HE164" s="238"/>
      <c r="HF164" s="238"/>
      <c r="HG164" s="238"/>
      <c r="HH164" s="238"/>
      <c r="HI164" s="238"/>
      <c r="HJ164" s="238"/>
      <c r="HK164" s="238"/>
      <c r="HL164" s="238"/>
      <c r="HM164" s="238"/>
      <c r="HN164" s="238"/>
      <c r="HO164" s="238"/>
      <c r="HP164" s="238"/>
      <c r="HQ164" s="238"/>
      <c r="HR164" s="238"/>
      <c r="HS164" s="238"/>
      <c r="HT164" s="238"/>
      <c r="HU164" s="238"/>
      <c r="HV164" s="238"/>
      <c r="HW164" s="238"/>
      <c r="HX164" s="257"/>
      <c r="HY164" s="257"/>
      <c r="HZ164" s="257"/>
      <c r="IA164" s="257"/>
      <c r="IB164" s="257"/>
      <c r="IC164" s="257"/>
      <c r="ID164" s="257"/>
      <c r="IE164" s="257"/>
      <c r="IF164" s="257"/>
      <c r="IG164" s="257"/>
      <c r="IH164" s="257"/>
      <c r="II164" s="257"/>
      <c r="IJ164" s="257"/>
      <c r="IK164" s="257"/>
      <c r="IL164" s="257"/>
      <c r="IM164" s="257"/>
      <c r="IN164" s="257"/>
      <c r="IO164" s="257"/>
      <c r="IP164" s="257"/>
      <c r="IQ164" s="257"/>
      <c r="IR164" s="257"/>
      <c r="IS164" s="257"/>
      <c r="IT164" s="257"/>
      <c r="IU164" s="257"/>
      <c r="IV164" s="257"/>
      <c r="IW164" s="257"/>
      <c r="IX164" s="257"/>
      <c r="IY164" s="257"/>
      <c r="IZ164" s="257"/>
      <c r="JA164" s="257"/>
      <c r="JB164" s="257"/>
      <c r="JC164" s="257"/>
      <c r="JD164" s="257"/>
      <c r="JE164" s="257"/>
      <c r="JF164" s="238"/>
      <c r="JG164" s="238"/>
      <c r="JH164" s="238"/>
      <c r="JI164" s="238"/>
      <c r="JJ164" s="238"/>
      <c r="JK164" s="238"/>
      <c r="JL164" s="238"/>
      <c r="JM164" s="238"/>
      <c r="JN164" s="238"/>
      <c r="JO164" s="238"/>
      <c r="JP164" s="238"/>
      <c r="JQ164" s="238"/>
      <c r="JR164" s="238"/>
      <c r="JS164" s="238"/>
      <c r="JT164" s="238"/>
      <c r="JU164" s="238"/>
      <c r="JV164" s="238"/>
      <c r="JW164" s="238"/>
      <c r="JX164" s="238"/>
      <c r="JY164" s="238"/>
      <c r="JZ164" s="238"/>
      <c r="KA164" s="238"/>
      <c r="KB164" s="238"/>
      <c r="KC164" s="238"/>
      <c r="KD164" s="238"/>
      <c r="KE164" s="238"/>
      <c r="KF164" s="238"/>
      <c r="KG164" s="238"/>
      <c r="KH164" s="238"/>
      <c r="KI164" s="238"/>
      <c r="KJ164" s="238"/>
      <c r="KK164" s="238"/>
      <c r="KL164" s="238"/>
      <c r="KM164" s="238"/>
      <c r="KN164" s="238"/>
      <c r="KO164" s="238"/>
      <c r="KP164" s="238"/>
      <c r="KQ164" s="238"/>
      <c r="KR164" s="238"/>
      <c r="KS164" s="238"/>
      <c r="KT164" s="238"/>
      <c r="KU164" s="238"/>
      <c r="KV164" s="238"/>
      <c r="KW164" s="238"/>
      <c r="KX164" s="238"/>
      <c r="KY164" s="238"/>
      <c r="KZ164" s="238"/>
      <c r="LA164" s="238"/>
      <c r="LB164" s="238"/>
      <c r="LC164" s="238"/>
      <c r="LD164" s="238"/>
      <c r="LE164" s="238"/>
      <c r="LF164" s="238"/>
      <c r="LG164" s="238"/>
      <c r="LH164" s="238"/>
      <c r="LI164" s="238"/>
      <c r="LJ164" s="238"/>
      <c r="LK164" s="238"/>
      <c r="LL164" s="238"/>
      <c r="LM164" s="238"/>
      <c r="LN164" s="238"/>
      <c r="LO164" s="238"/>
      <c r="LP164" s="238"/>
      <c r="LQ164" s="238"/>
      <c r="LR164" s="238"/>
      <c r="LS164" s="238"/>
      <c r="LT164" s="238"/>
      <c r="LU164" s="238"/>
      <c r="LV164" s="238"/>
      <c r="LW164" s="238"/>
      <c r="LX164" s="238"/>
      <c r="LY164" s="238"/>
      <c r="LZ164" s="238"/>
      <c r="MA164" s="238"/>
      <c r="MB164" s="238"/>
      <c r="MC164" s="238"/>
      <c r="MD164" s="238"/>
      <c r="ME164" s="238"/>
      <c r="MF164" s="238"/>
      <c r="MG164" s="238"/>
      <c r="MH164" s="238"/>
      <c r="MI164" s="238"/>
      <c r="MJ164" s="238"/>
      <c r="MK164" s="238"/>
      <c r="ML164" s="238"/>
    </row>
    <row r="165" ht="18.75" customHeight="1">
      <c r="A165" s="283"/>
      <c r="B165" s="234" t="str">
        <f>'Building Bill of Materials_SLIM'!P165</f>
        <v/>
      </c>
      <c r="C165" s="234" t="str">
        <f>'Building Bill of Materials_SLIM'!Q165</f>
        <v/>
      </c>
      <c r="D165" s="234" t="str">
        <f>'Building Bill of Materials_SLIM'!R165</f>
        <v/>
      </c>
      <c r="E165" s="234" t="str">
        <f>'Building Bill of Materials_SLIM'!S165</f>
        <v/>
      </c>
      <c r="F165" s="234" t="str">
        <f>'Building Bill of Materials_SLIM'!U165</f>
        <v/>
      </c>
      <c r="G165" s="234"/>
      <c r="H165" s="234"/>
      <c r="I165" s="234"/>
      <c r="J165" s="234" t="str">
        <f>'Building Bill of Materials_SLIM'!V165</f>
        <v/>
      </c>
      <c r="K165" s="238"/>
      <c r="L165" s="238"/>
      <c r="M165" s="238"/>
      <c r="N165" s="238"/>
      <c r="O165" s="238"/>
      <c r="P165" s="238"/>
      <c r="Q165" s="238"/>
      <c r="R165" s="238"/>
      <c r="S165" s="238"/>
      <c r="T165" s="238"/>
      <c r="U165" s="238"/>
      <c r="V165" s="238"/>
      <c r="W165" s="238"/>
      <c r="X165" s="238"/>
      <c r="Y165" s="238"/>
      <c r="Z165" s="238"/>
      <c r="AA165" s="192"/>
      <c r="AB165" s="257"/>
      <c r="AC165" s="257"/>
      <c r="AD165" s="257"/>
      <c r="AE165" s="257"/>
      <c r="AF165" s="257"/>
      <c r="AG165" s="257"/>
      <c r="AH165" s="257"/>
      <c r="AI165" s="257"/>
      <c r="AJ165" s="257"/>
      <c r="AK165" s="257"/>
      <c r="AL165" s="257"/>
      <c r="AM165" s="257"/>
      <c r="AN165" s="257"/>
      <c r="AO165" s="257"/>
      <c r="AP165" s="257"/>
      <c r="AQ165" s="257"/>
      <c r="AR165" s="257"/>
      <c r="AS165" s="257"/>
      <c r="AT165" s="257"/>
      <c r="AU165" s="257"/>
      <c r="AV165" s="257"/>
      <c r="AW165" s="257"/>
      <c r="AX165" s="257"/>
      <c r="AY165" s="257"/>
      <c r="AZ165" s="257"/>
      <c r="BA165" s="257"/>
      <c r="BB165" s="257"/>
      <c r="BC165" s="257"/>
      <c r="BD165" s="257"/>
      <c r="BE165" s="257"/>
      <c r="BF165" s="257"/>
      <c r="BG165" s="257"/>
      <c r="BH165" s="257"/>
      <c r="BI165" s="257"/>
      <c r="BJ165" s="238"/>
      <c r="BK165" s="238"/>
      <c r="BL165" s="238"/>
      <c r="BM165" s="238"/>
      <c r="BN165" s="238"/>
      <c r="BO165" s="238"/>
      <c r="BP165" s="238"/>
      <c r="BQ165" s="238"/>
      <c r="BR165" s="238"/>
      <c r="BS165" s="238"/>
      <c r="BT165" s="238"/>
      <c r="BU165" s="238"/>
      <c r="BV165" s="238"/>
      <c r="BW165" s="238"/>
      <c r="BX165" s="238"/>
      <c r="BY165" s="238"/>
      <c r="BZ165" s="238"/>
      <c r="CA165" s="238"/>
      <c r="CB165" s="238"/>
      <c r="CC165" s="238"/>
      <c r="CD165" s="238"/>
      <c r="CE165" s="257"/>
      <c r="CF165" s="257"/>
      <c r="CG165" s="238"/>
      <c r="CH165" s="238"/>
      <c r="CI165" s="238"/>
      <c r="CJ165" s="238"/>
      <c r="CK165" s="238"/>
      <c r="CL165" s="238"/>
      <c r="CM165" s="238"/>
      <c r="CN165" s="238"/>
      <c r="CO165" s="238"/>
      <c r="CP165" s="238"/>
      <c r="CQ165" s="238"/>
      <c r="CR165" s="238"/>
      <c r="CS165" s="238"/>
      <c r="CT165" s="238"/>
      <c r="CU165" s="238"/>
      <c r="CV165" s="238"/>
      <c r="CW165" s="238"/>
      <c r="CX165" s="238"/>
      <c r="CY165" s="238"/>
      <c r="CZ165" s="238"/>
      <c r="DA165" s="238"/>
      <c r="DB165" s="238"/>
      <c r="DC165" s="238"/>
      <c r="DD165" s="238"/>
      <c r="DE165" s="238"/>
      <c r="DF165" s="238"/>
      <c r="DG165" s="257"/>
      <c r="DH165" s="238"/>
      <c r="DI165" s="238"/>
      <c r="DJ165" s="238"/>
      <c r="DK165" s="238"/>
      <c r="DL165" s="238"/>
      <c r="DM165" s="238"/>
      <c r="DN165" s="238"/>
      <c r="DO165" s="238"/>
      <c r="DP165" s="238"/>
      <c r="DQ165" s="238"/>
      <c r="DR165" s="238"/>
      <c r="DS165" s="238"/>
      <c r="DT165" s="238"/>
      <c r="DU165" s="238"/>
      <c r="DV165" s="238"/>
      <c r="DW165" s="238"/>
      <c r="DX165" s="238"/>
      <c r="DY165" s="238"/>
      <c r="DZ165" s="238"/>
      <c r="EA165" s="238"/>
      <c r="EB165" s="238"/>
      <c r="EC165" s="238"/>
      <c r="ED165" s="238"/>
      <c r="EE165" s="238"/>
      <c r="EF165" s="238"/>
      <c r="EG165" s="238"/>
      <c r="EH165" s="238"/>
      <c r="EI165" s="238"/>
      <c r="EJ165" s="238"/>
      <c r="EK165" s="238"/>
      <c r="EL165" s="238"/>
      <c r="EM165" s="238"/>
      <c r="EN165" s="238"/>
      <c r="EO165" s="238"/>
      <c r="EP165" s="238"/>
      <c r="EQ165" s="238"/>
      <c r="ER165" s="238"/>
      <c r="ES165" s="238"/>
      <c r="ET165" s="238"/>
      <c r="EU165" s="238"/>
      <c r="EV165" s="238"/>
      <c r="EW165" s="238"/>
      <c r="EX165" s="238"/>
      <c r="EY165" s="238"/>
      <c r="EZ165" s="238"/>
      <c r="FA165" s="238"/>
      <c r="FB165" s="238"/>
      <c r="FC165" s="238"/>
      <c r="FD165" s="238"/>
      <c r="FE165" s="238"/>
      <c r="FF165" s="238"/>
      <c r="FG165" s="238"/>
      <c r="FH165" s="257"/>
      <c r="FI165" s="257"/>
      <c r="FJ165" s="257"/>
      <c r="FK165" s="257"/>
      <c r="FL165" s="257"/>
      <c r="FM165" s="257"/>
      <c r="FN165" s="257"/>
      <c r="FO165" s="257"/>
      <c r="FP165" s="257"/>
      <c r="FQ165" s="257"/>
      <c r="FR165" s="257"/>
      <c r="FS165" s="257"/>
      <c r="FT165" s="257"/>
      <c r="FU165" s="257"/>
      <c r="FV165" s="257"/>
      <c r="FW165" s="257"/>
      <c r="FX165" s="257"/>
      <c r="FY165" s="238"/>
      <c r="FZ165" s="238"/>
      <c r="GA165" s="238"/>
      <c r="GB165" s="238"/>
      <c r="GC165" s="238"/>
      <c r="GD165" s="238"/>
      <c r="GE165" s="238"/>
      <c r="GF165" s="238"/>
      <c r="GG165" s="238"/>
      <c r="GH165" s="238"/>
      <c r="GI165" s="238"/>
      <c r="GJ165" s="238"/>
      <c r="GK165" s="238"/>
      <c r="GL165" s="238"/>
      <c r="GM165" s="238"/>
      <c r="GN165" s="238"/>
      <c r="GO165" s="238"/>
      <c r="GP165" s="238"/>
      <c r="GQ165" s="238"/>
      <c r="GR165" s="238"/>
      <c r="GS165" s="238"/>
      <c r="GT165" s="238"/>
      <c r="GU165" s="238"/>
      <c r="GV165" s="238"/>
      <c r="GW165" s="238"/>
      <c r="GX165" s="238"/>
      <c r="GY165" s="238"/>
      <c r="GZ165" s="238"/>
      <c r="HA165" s="238"/>
      <c r="HB165" s="238"/>
      <c r="HC165" s="238"/>
      <c r="HD165" s="238"/>
      <c r="HE165" s="238"/>
      <c r="HF165" s="238"/>
      <c r="HG165" s="238"/>
      <c r="HH165" s="238"/>
      <c r="HI165" s="238"/>
      <c r="HJ165" s="238"/>
      <c r="HK165" s="238"/>
      <c r="HL165" s="238"/>
      <c r="HM165" s="238"/>
      <c r="HN165" s="238"/>
      <c r="HO165" s="238"/>
      <c r="HP165" s="238"/>
      <c r="HQ165" s="238"/>
      <c r="HR165" s="238"/>
      <c r="HS165" s="238"/>
      <c r="HT165" s="238"/>
      <c r="HU165" s="238"/>
      <c r="HV165" s="238"/>
      <c r="HW165" s="238"/>
      <c r="HX165" s="257"/>
      <c r="HY165" s="257"/>
      <c r="HZ165" s="257"/>
      <c r="IA165" s="257"/>
      <c r="IB165" s="257"/>
      <c r="IC165" s="257"/>
      <c r="ID165" s="257"/>
      <c r="IE165" s="257"/>
      <c r="IF165" s="257"/>
      <c r="IG165" s="257"/>
      <c r="IH165" s="257"/>
      <c r="II165" s="257"/>
      <c r="IJ165" s="257"/>
      <c r="IK165" s="257"/>
      <c r="IL165" s="257"/>
      <c r="IM165" s="257"/>
      <c r="IN165" s="257"/>
      <c r="IO165" s="257"/>
      <c r="IP165" s="257"/>
      <c r="IQ165" s="257"/>
      <c r="IR165" s="257"/>
      <c r="IS165" s="257"/>
      <c r="IT165" s="257"/>
      <c r="IU165" s="257"/>
      <c r="IV165" s="257"/>
      <c r="IW165" s="257"/>
      <c r="IX165" s="257"/>
      <c r="IY165" s="257"/>
      <c r="IZ165" s="257"/>
      <c r="JA165" s="257"/>
      <c r="JB165" s="257"/>
      <c r="JC165" s="257"/>
      <c r="JD165" s="257"/>
      <c r="JE165" s="257"/>
      <c r="JF165" s="238"/>
      <c r="JG165" s="238"/>
      <c r="JH165" s="238"/>
      <c r="JI165" s="238"/>
      <c r="JJ165" s="238"/>
      <c r="JK165" s="238"/>
      <c r="JL165" s="238"/>
      <c r="JM165" s="238"/>
      <c r="JN165" s="238"/>
      <c r="JO165" s="238"/>
      <c r="JP165" s="238"/>
      <c r="JQ165" s="238"/>
      <c r="JR165" s="238"/>
      <c r="JS165" s="238"/>
      <c r="JT165" s="238"/>
      <c r="JU165" s="238"/>
      <c r="JV165" s="238"/>
      <c r="JW165" s="238"/>
      <c r="JX165" s="238"/>
      <c r="JY165" s="238"/>
      <c r="JZ165" s="238"/>
      <c r="KA165" s="238"/>
      <c r="KB165" s="238"/>
      <c r="KC165" s="238"/>
      <c r="KD165" s="238"/>
      <c r="KE165" s="238"/>
      <c r="KF165" s="238"/>
      <c r="KG165" s="238"/>
      <c r="KH165" s="238"/>
      <c r="KI165" s="238"/>
      <c r="KJ165" s="238"/>
      <c r="KK165" s="238"/>
      <c r="KL165" s="238"/>
      <c r="KM165" s="238"/>
      <c r="KN165" s="238"/>
      <c r="KO165" s="238"/>
      <c r="KP165" s="238"/>
      <c r="KQ165" s="238"/>
      <c r="KR165" s="238"/>
      <c r="KS165" s="238"/>
      <c r="KT165" s="238"/>
      <c r="KU165" s="238"/>
      <c r="KV165" s="238"/>
      <c r="KW165" s="238"/>
      <c r="KX165" s="238"/>
      <c r="KY165" s="238"/>
      <c r="KZ165" s="238"/>
      <c r="LA165" s="238"/>
      <c r="LB165" s="238"/>
      <c r="LC165" s="238"/>
      <c r="LD165" s="238"/>
      <c r="LE165" s="238"/>
      <c r="LF165" s="238"/>
      <c r="LG165" s="238"/>
      <c r="LH165" s="238"/>
      <c r="LI165" s="238"/>
      <c r="LJ165" s="238"/>
      <c r="LK165" s="238"/>
      <c r="LL165" s="238"/>
      <c r="LM165" s="238"/>
      <c r="LN165" s="238"/>
      <c r="LO165" s="238"/>
      <c r="LP165" s="238"/>
      <c r="LQ165" s="238"/>
      <c r="LR165" s="238"/>
      <c r="LS165" s="238"/>
      <c r="LT165" s="238"/>
      <c r="LU165" s="238"/>
      <c r="LV165" s="238"/>
      <c r="LW165" s="238"/>
      <c r="LX165" s="238"/>
      <c r="LY165" s="238"/>
      <c r="LZ165" s="238"/>
      <c r="MA165" s="238"/>
      <c r="MB165" s="238"/>
      <c r="MC165" s="238"/>
      <c r="MD165" s="238"/>
      <c r="ME165" s="238"/>
      <c r="MF165" s="238"/>
      <c r="MG165" s="238"/>
      <c r="MH165" s="238"/>
      <c r="MI165" s="238"/>
      <c r="MJ165" s="238"/>
      <c r="MK165" s="238"/>
      <c r="ML165" s="238"/>
    </row>
    <row r="166" ht="18.75" customHeight="1">
      <c r="A166" s="283"/>
      <c r="B166" s="234" t="str">
        <f>'Building Bill of Materials_SLIM'!P166</f>
        <v/>
      </c>
      <c r="C166" s="234" t="str">
        <f>'Building Bill of Materials_SLIM'!Q166</f>
        <v/>
      </c>
      <c r="D166" s="234" t="str">
        <f>'Building Bill of Materials_SLIM'!R166</f>
        <v/>
      </c>
      <c r="E166" s="234" t="str">
        <f>'Building Bill of Materials_SLIM'!S166</f>
        <v/>
      </c>
      <c r="F166" s="234" t="str">
        <f>'Building Bill of Materials_SLIM'!U166</f>
        <v/>
      </c>
      <c r="G166" s="234"/>
      <c r="H166" s="234"/>
      <c r="I166" s="234"/>
      <c r="J166" s="234" t="str">
        <f>'Building Bill of Materials_SLIM'!V166</f>
        <v/>
      </c>
      <c r="K166" s="238"/>
      <c r="L166" s="238"/>
      <c r="M166" s="238"/>
      <c r="N166" s="238"/>
      <c r="O166" s="238"/>
      <c r="P166" s="238"/>
      <c r="Q166" s="238"/>
      <c r="R166" s="238"/>
      <c r="S166" s="238"/>
      <c r="T166" s="238"/>
      <c r="U166" s="238"/>
      <c r="V166" s="238"/>
      <c r="W166" s="238"/>
      <c r="X166" s="238"/>
      <c r="Y166" s="238"/>
      <c r="Z166" s="238"/>
      <c r="AA166" s="192"/>
      <c r="AB166" s="257"/>
      <c r="AC166" s="257"/>
      <c r="AD166" s="257"/>
      <c r="AE166" s="257"/>
      <c r="AF166" s="257"/>
      <c r="AG166" s="257"/>
      <c r="AH166" s="257"/>
      <c r="AI166" s="257"/>
      <c r="AJ166" s="257"/>
      <c r="AK166" s="257"/>
      <c r="AL166" s="257"/>
      <c r="AM166" s="257"/>
      <c r="AN166" s="257"/>
      <c r="AO166" s="257"/>
      <c r="AP166" s="257"/>
      <c r="AQ166" s="257"/>
      <c r="AR166" s="257"/>
      <c r="AS166" s="257"/>
      <c r="AT166" s="257"/>
      <c r="AU166" s="257"/>
      <c r="AV166" s="257"/>
      <c r="AW166" s="257"/>
      <c r="AX166" s="257"/>
      <c r="AY166" s="257"/>
      <c r="AZ166" s="257"/>
      <c r="BA166" s="257"/>
      <c r="BB166" s="257"/>
      <c r="BC166" s="257"/>
      <c r="BD166" s="257"/>
      <c r="BE166" s="257"/>
      <c r="BF166" s="257"/>
      <c r="BG166" s="257"/>
      <c r="BH166" s="257"/>
      <c r="BI166" s="257"/>
      <c r="BJ166" s="238"/>
      <c r="BK166" s="238"/>
      <c r="BL166" s="238"/>
      <c r="BM166" s="238"/>
      <c r="BN166" s="238"/>
      <c r="BO166" s="238"/>
      <c r="BP166" s="238"/>
      <c r="BQ166" s="238"/>
      <c r="BR166" s="238"/>
      <c r="BS166" s="238"/>
      <c r="BT166" s="238"/>
      <c r="BU166" s="238"/>
      <c r="BV166" s="238"/>
      <c r="BW166" s="238"/>
      <c r="BX166" s="238"/>
      <c r="BY166" s="238"/>
      <c r="BZ166" s="238"/>
      <c r="CA166" s="238"/>
      <c r="CB166" s="238"/>
      <c r="CC166" s="238"/>
      <c r="CD166" s="238"/>
      <c r="CE166" s="257"/>
      <c r="CF166" s="257"/>
      <c r="CG166" s="238"/>
      <c r="CH166" s="238"/>
      <c r="CI166" s="238"/>
      <c r="CJ166" s="238"/>
      <c r="CK166" s="238"/>
      <c r="CL166" s="238"/>
      <c r="CM166" s="238"/>
      <c r="CN166" s="238"/>
      <c r="CO166" s="238"/>
      <c r="CP166" s="238"/>
      <c r="CQ166" s="238"/>
      <c r="CR166" s="238"/>
      <c r="CS166" s="238"/>
      <c r="CT166" s="238"/>
      <c r="CU166" s="238"/>
      <c r="CV166" s="238"/>
      <c r="CW166" s="238"/>
      <c r="CX166" s="238"/>
      <c r="CY166" s="238"/>
      <c r="CZ166" s="238"/>
      <c r="DA166" s="238"/>
      <c r="DB166" s="238"/>
      <c r="DC166" s="238"/>
      <c r="DD166" s="238"/>
      <c r="DE166" s="238"/>
      <c r="DF166" s="238"/>
      <c r="DG166" s="257"/>
      <c r="DH166" s="238"/>
      <c r="DI166" s="238"/>
      <c r="DJ166" s="238"/>
      <c r="DK166" s="238"/>
      <c r="DL166" s="238"/>
      <c r="DM166" s="238"/>
      <c r="DN166" s="238"/>
      <c r="DO166" s="238"/>
      <c r="DP166" s="238"/>
      <c r="DQ166" s="238"/>
      <c r="DR166" s="238"/>
      <c r="DS166" s="238"/>
      <c r="DT166" s="238"/>
      <c r="DU166" s="238"/>
      <c r="DV166" s="238"/>
      <c r="DW166" s="238"/>
      <c r="DX166" s="238"/>
      <c r="DY166" s="238"/>
      <c r="DZ166" s="238"/>
      <c r="EA166" s="238"/>
      <c r="EB166" s="238"/>
      <c r="EC166" s="238"/>
      <c r="ED166" s="238"/>
      <c r="EE166" s="238"/>
      <c r="EF166" s="238"/>
      <c r="EG166" s="238"/>
      <c r="EH166" s="238"/>
      <c r="EI166" s="238"/>
      <c r="EJ166" s="238"/>
      <c r="EK166" s="238"/>
      <c r="EL166" s="238"/>
      <c r="EM166" s="238"/>
      <c r="EN166" s="238"/>
      <c r="EO166" s="238"/>
      <c r="EP166" s="238"/>
      <c r="EQ166" s="238"/>
      <c r="ER166" s="238"/>
      <c r="ES166" s="238"/>
      <c r="ET166" s="238"/>
      <c r="EU166" s="238"/>
      <c r="EV166" s="238"/>
      <c r="EW166" s="238"/>
      <c r="EX166" s="238"/>
      <c r="EY166" s="238"/>
      <c r="EZ166" s="238"/>
      <c r="FA166" s="238"/>
      <c r="FB166" s="238"/>
      <c r="FC166" s="238"/>
      <c r="FD166" s="238"/>
      <c r="FE166" s="238"/>
      <c r="FF166" s="238"/>
      <c r="FG166" s="238"/>
      <c r="FH166" s="257"/>
      <c r="FI166" s="257"/>
      <c r="FJ166" s="257"/>
      <c r="FK166" s="257"/>
      <c r="FL166" s="257"/>
      <c r="FM166" s="257"/>
      <c r="FN166" s="257"/>
      <c r="FO166" s="257"/>
      <c r="FP166" s="257"/>
      <c r="FQ166" s="257"/>
      <c r="FR166" s="257"/>
      <c r="FS166" s="257"/>
      <c r="FT166" s="257"/>
      <c r="FU166" s="257"/>
      <c r="FV166" s="257"/>
      <c r="FW166" s="257"/>
      <c r="FX166" s="257"/>
      <c r="FY166" s="238"/>
      <c r="FZ166" s="238"/>
      <c r="GA166" s="238"/>
      <c r="GB166" s="238"/>
      <c r="GC166" s="238"/>
      <c r="GD166" s="238"/>
      <c r="GE166" s="238"/>
      <c r="GF166" s="238"/>
      <c r="GG166" s="238"/>
      <c r="GH166" s="238"/>
      <c r="GI166" s="238"/>
      <c r="GJ166" s="238"/>
      <c r="GK166" s="238"/>
      <c r="GL166" s="238"/>
      <c r="GM166" s="238"/>
      <c r="GN166" s="238"/>
      <c r="GO166" s="238"/>
      <c r="GP166" s="238"/>
      <c r="GQ166" s="238"/>
      <c r="GR166" s="238"/>
      <c r="GS166" s="238"/>
      <c r="GT166" s="238"/>
      <c r="GU166" s="238"/>
      <c r="GV166" s="238"/>
      <c r="GW166" s="238"/>
      <c r="GX166" s="238"/>
      <c r="GY166" s="238"/>
      <c r="GZ166" s="238"/>
      <c r="HA166" s="238"/>
      <c r="HB166" s="238"/>
      <c r="HC166" s="238"/>
      <c r="HD166" s="238"/>
      <c r="HE166" s="238"/>
      <c r="HF166" s="238"/>
      <c r="HG166" s="238"/>
      <c r="HH166" s="238"/>
      <c r="HI166" s="238"/>
      <c r="HJ166" s="238"/>
      <c r="HK166" s="238"/>
      <c r="HL166" s="238"/>
      <c r="HM166" s="238"/>
      <c r="HN166" s="238"/>
      <c r="HO166" s="238"/>
      <c r="HP166" s="238"/>
      <c r="HQ166" s="238"/>
      <c r="HR166" s="238"/>
      <c r="HS166" s="238"/>
      <c r="HT166" s="238"/>
      <c r="HU166" s="238"/>
      <c r="HV166" s="238"/>
      <c r="HW166" s="238"/>
      <c r="HX166" s="257"/>
      <c r="HY166" s="257"/>
      <c r="HZ166" s="257"/>
      <c r="IA166" s="257"/>
      <c r="IB166" s="257"/>
      <c r="IC166" s="257"/>
      <c r="ID166" s="257"/>
      <c r="IE166" s="257"/>
      <c r="IF166" s="257"/>
      <c r="IG166" s="257"/>
      <c r="IH166" s="257"/>
      <c r="II166" s="257"/>
      <c r="IJ166" s="257"/>
      <c r="IK166" s="257"/>
      <c r="IL166" s="257"/>
      <c r="IM166" s="257"/>
      <c r="IN166" s="257"/>
      <c r="IO166" s="257"/>
      <c r="IP166" s="257"/>
      <c r="IQ166" s="257"/>
      <c r="IR166" s="257"/>
      <c r="IS166" s="257"/>
      <c r="IT166" s="257"/>
      <c r="IU166" s="257"/>
      <c r="IV166" s="257"/>
      <c r="IW166" s="257"/>
      <c r="IX166" s="257"/>
      <c r="IY166" s="257"/>
      <c r="IZ166" s="257"/>
      <c r="JA166" s="257"/>
      <c r="JB166" s="257"/>
      <c r="JC166" s="257"/>
      <c r="JD166" s="257"/>
      <c r="JE166" s="257"/>
      <c r="JF166" s="238"/>
      <c r="JG166" s="238"/>
      <c r="JH166" s="238"/>
      <c r="JI166" s="238"/>
      <c r="JJ166" s="238"/>
      <c r="JK166" s="238"/>
      <c r="JL166" s="238"/>
      <c r="JM166" s="238"/>
      <c r="JN166" s="238"/>
      <c r="JO166" s="238"/>
      <c r="JP166" s="238"/>
      <c r="JQ166" s="238"/>
      <c r="JR166" s="238"/>
      <c r="JS166" s="238"/>
      <c r="JT166" s="238"/>
      <c r="JU166" s="238"/>
      <c r="JV166" s="238"/>
      <c r="JW166" s="238"/>
      <c r="JX166" s="238"/>
      <c r="JY166" s="238"/>
      <c r="JZ166" s="238"/>
      <c r="KA166" s="238"/>
      <c r="KB166" s="238"/>
      <c r="KC166" s="238"/>
      <c r="KD166" s="238"/>
      <c r="KE166" s="238"/>
      <c r="KF166" s="238"/>
      <c r="KG166" s="238"/>
      <c r="KH166" s="238"/>
      <c r="KI166" s="238"/>
      <c r="KJ166" s="238"/>
      <c r="KK166" s="238"/>
      <c r="KL166" s="238"/>
      <c r="KM166" s="238"/>
      <c r="KN166" s="238"/>
      <c r="KO166" s="238"/>
      <c r="KP166" s="238"/>
      <c r="KQ166" s="238"/>
      <c r="KR166" s="238"/>
      <c r="KS166" s="238"/>
      <c r="KT166" s="238"/>
      <c r="KU166" s="238"/>
      <c r="KV166" s="238"/>
      <c r="KW166" s="238"/>
      <c r="KX166" s="238"/>
      <c r="KY166" s="238"/>
      <c r="KZ166" s="238"/>
      <c r="LA166" s="238"/>
      <c r="LB166" s="238"/>
      <c r="LC166" s="238"/>
      <c r="LD166" s="238"/>
      <c r="LE166" s="238"/>
      <c r="LF166" s="238"/>
      <c r="LG166" s="238"/>
      <c r="LH166" s="238"/>
      <c r="LI166" s="238"/>
      <c r="LJ166" s="238"/>
      <c r="LK166" s="238"/>
      <c r="LL166" s="238"/>
      <c r="LM166" s="238"/>
      <c r="LN166" s="238"/>
      <c r="LO166" s="238"/>
      <c r="LP166" s="238"/>
      <c r="LQ166" s="238"/>
      <c r="LR166" s="238"/>
      <c r="LS166" s="238"/>
      <c r="LT166" s="238"/>
      <c r="LU166" s="238"/>
      <c r="LV166" s="238"/>
      <c r="LW166" s="238"/>
      <c r="LX166" s="238"/>
      <c r="LY166" s="238"/>
      <c r="LZ166" s="238"/>
      <c r="MA166" s="238"/>
      <c r="MB166" s="238"/>
      <c r="MC166" s="238"/>
      <c r="MD166" s="238"/>
      <c r="ME166" s="238"/>
      <c r="MF166" s="238"/>
      <c r="MG166" s="238"/>
      <c r="MH166" s="238"/>
      <c r="MI166" s="238"/>
      <c r="MJ166" s="238"/>
      <c r="MK166" s="238"/>
      <c r="ML166" s="238"/>
    </row>
    <row r="167" ht="18.75" customHeight="1">
      <c r="A167" s="283"/>
      <c r="B167" s="234" t="str">
        <f>'Building Bill of Materials_SLIM'!P167</f>
        <v/>
      </c>
      <c r="C167" s="234" t="str">
        <f>'Building Bill of Materials_SLIM'!Q167</f>
        <v/>
      </c>
      <c r="D167" s="234" t="str">
        <f>'Building Bill of Materials_SLIM'!R167</f>
        <v/>
      </c>
      <c r="E167" s="234" t="str">
        <f>'Building Bill of Materials_SLIM'!S167</f>
        <v/>
      </c>
      <c r="F167" s="234" t="str">
        <f>'Building Bill of Materials_SLIM'!U167</f>
        <v/>
      </c>
      <c r="G167" s="234"/>
      <c r="H167" s="234"/>
      <c r="I167" s="234"/>
      <c r="J167" s="234" t="str">
        <f>'Building Bill of Materials_SLIM'!V167</f>
        <v/>
      </c>
      <c r="K167" s="238"/>
      <c r="L167" s="238"/>
      <c r="M167" s="238"/>
      <c r="N167" s="238"/>
      <c r="O167" s="238"/>
      <c r="P167" s="238"/>
      <c r="Q167" s="238"/>
      <c r="R167" s="238"/>
      <c r="S167" s="238"/>
      <c r="T167" s="238"/>
      <c r="U167" s="238"/>
      <c r="V167" s="238"/>
      <c r="W167" s="238"/>
      <c r="X167" s="238"/>
      <c r="Y167" s="238"/>
      <c r="Z167" s="238"/>
      <c r="AA167" s="192"/>
      <c r="AB167" s="257"/>
      <c r="AC167" s="257"/>
      <c r="AD167" s="257"/>
      <c r="AE167" s="257"/>
      <c r="AF167" s="257"/>
      <c r="AG167" s="257"/>
      <c r="AH167" s="257"/>
      <c r="AI167" s="257"/>
      <c r="AJ167" s="257"/>
      <c r="AK167" s="257"/>
      <c r="AL167" s="257"/>
      <c r="AM167" s="257"/>
      <c r="AN167" s="257"/>
      <c r="AO167" s="257"/>
      <c r="AP167" s="257"/>
      <c r="AQ167" s="257"/>
      <c r="AR167" s="257"/>
      <c r="AS167" s="257"/>
      <c r="AT167" s="257"/>
      <c r="AU167" s="257"/>
      <c r="AV167" s="257"/>
      <c r="AW167" s="257"/>
      <c r="AX167" s="257"/>
      <c r="AY167" s="257"/>
      <c r="AZ167" s="257"/>
      <c r="BA167" s="257"/>
      <c r="BB167" s="257"/>
      <c r="BC167" s="257"/>
      <c r="BD167" s="257"/>
      <c r="BE167" s="257"/>
      <c r="BF167" s="257"/>
      <c r="BG167" s="257"/>
      <c r="BH167" s="257"/>
      <c r="BI167" s="257"/>
      <c r="BJ167" s="238"/>
      <c r="BK167" s="238"/>
      <c r="BL167" s="238"/>
      <c r="BM167" s="238"/>
      <c r="BN167" s="238"/>
      <c r="BO167" s="238"/>
      <c r="BP167" s="238"/>
      <c r="BQ167" s="238"/>
      <c r="BR167" s="238"/>
      <c r="BS167" s="238"/>
      <c r="BT167" s="238"/>
      <c r="BU167" s="238"/>
      <c r="BV167" s="238"/>
      <c r="BW167" s="238"/>
      <c r="BX167" s="238"/>
      <c r="BY167" s="238"/>
      <c r="BZ167" s="238"/>
      <c r="CA167" s="238"/>
      <c r="CB167" s="238"/>
      <c r="CC167" s="238"/>
      <c r="CD167" s="238"/>
      <c r="CE167" s="257"/>
      <c r="CF167" s="257"/>
      <c r="CG167" s="238"/>
      <c r="CH167" s="238"/>
      <c r="CI167" s="238"/>
      <c r="CJ167" s="238"/>
      <c r="CK167" s="238"/>
      <c r="CL167" s="238"/>
      <c r="CM167" s="238"/>
      <c r="CN167" s="238"/>
      <c r="CO167" s="238"/>
      <c r="CP167" s="238"/>
      <c r="CQ167" s="238"/>
      <c r="CR167" s="238"/>
      <c r="CS167" s="238"/>
      <c r="CT167" s="238"/>
      <c r="CU167" s="238"/>
      <c r="CV167" s="238"/>
      <c r="CW167" s="238"/>
      <c r="CX167" s="238"/>
      <c r="CY167" s="238"/>
      <c r="CZ167" s="238"/>
      <c r="DA167" s="238"/>
      <c r="DB167" s="238"/>
      <c r="DC167" s="238"/>
      <c r="DD167" s="238"/>
      <c r="DE167" s="238"/>
      <c r="DF167" s="238"/>
      <c r="DG167" s="257"/>
      <c r="DH167" s="238"/>
      <c r="DI167" s="238"/>
      <c r="DJ167" s="238"/>
      <c r="DK167" s="238"/>
      <c r="DL167" s="238"/>
      <c r="DM167" s="238"/>
      <c r="DN167" s="238"/>
      <c r="DO167" s="238"/>
      <c r="DP167" s="238"/>
      <c r="DQ167" s="238"/>
      <c r="DR167" s="238"/>
      <c r="DS167" s="238"/>
      <c r="DT167" s="238"/>
      <c r="DU167" s="238"/>
      <c r="DV167" s="238"/>
      <c r="DW167" s="238"/>
      <c r="DX167" s="238"/>
      <c r="DY167" s="238"/>
      <c r="DZ167" s="238"/>
      <c r="EA167" s="238"/>
      <c r="EB167" s="238"/>
      <c r="EC167" s="238"/>
      <c r="ED167" s="238"/>
      <c r="EE167" s="238"/>
      <c r="EF167" s="238"/>
      <c r="EG167" s="238"/>
      <c r="EH167" s="238"/>
      <c r="EI167" s="238"/>
      <c r="EJ167" s="238"/>
      <c r="EK167" s="238"/>
      <c r="EL167" s="238"/>
      <c r="EM167" s="238"/>
      <c r="EN167" s="238"/>
      <c r="EO167" s="238"/>
      <c r="EP167" s="238"/>
      <c r="EQ167" s="238"/>
      <c r="ER167" s="238"/>
      <c r="ES167" s="238"/>
      <c r="ET167" s="238"/>
      <c r="EU167" s="238"/>
      <c r="EV167" s="238"/>
      <c r="EW167" s="238"/>
      <c r="EX167" s="238"/>
      <c r="EY167" s="238"/>
      <c r="EZ167" s="238"/>
      <c r="FA167" s="238"/>
      <c r="FB167" s="238"/>
      <c r="FC167" s="238"/>
      <c r="FD167" s="238"/>
      <c r="FE167" s="238"/>
      <c r="FF167" s="238"/>
      <c r="FG167" s="238"/>
      <c r="FH167" s="257"/>
      <c r="FI167" s="257"/>
      <c r="FJ167" s="257"/>
      <c r="FK167" s="257"/>
      <c r="FL167" s="257"/>
      <c r="FM167" s="257"/>
      <c r="FN167" s="257"/>
      <c r="FO167" s="257"/>
      <c r="FP167" s="257"/>
      <c r="FQ167" s="257"/>
      <c r="FR167" s="257"/>
      <c r="FS167" s="257"/>
      <c r="FT167" s="257"/>
      <c r="FU167" s="257"/>
      <c r="FV167" s="257"/>
      <c r="FW167" s="257"/>
      <c r="FX167" s="257"/>
      <c r="FY167" s="238"/>
      <c r="FZ167" s="238"/>
      <c r="GA167" s="238"/>
      <c r="GB167" s="238"/>
      <c r="GC167" s="238"/>
      <c r="GD167" s="238"/>
      <c r="GE167" s="238"/>
      <c r="GF167" s="238"/>
      <c r="GG167" s="238"/>
      <c r="GH167" s="238"/>
      <c r="GI167" s="238"/>
      <c r="GJ167" s="238"/>
      <c r="GK167" s="238"/>
      <c r="GL167" s="238"/>
      <c r="GM167" s="238"/>
      <c r="GN167" s="238"/>
      <c r="GO167" s="238"/>
      <c r="GP167" s="238"/>
      <c r="GQ167" s="238"/>
      <c r="GR167" s="238"/>
      <c r="GS167" s="238"/>
      <c r="GT167" s="238"/>
      <c r="GU167" s="238"/>
      <c r="GV167" s="238"/>
      <c r="GW167" s="238"/>
      <c r="GX167" s="238"/>
      <c r="GY167" s="238"/>
      <c r="GZ167" s="238"/>
      <c r="HA167" s="238"/>
      <c r="HB167" s="238"/>
      <c r="HC167" s="238"/>
      <c r="HD167" s="238"/>
      <c r="HE167" s="238"/>
      <c r="HF167" s="238"/>
      <c r="HG167" s="238"/>
      <c r="HH167" s="238"/>
      <c r="HI167" s="238"/>
      <c r="HJ167" s="238"/>
      <c r="HK167" s="238"/>
      <c r="HL167" s="238"/>
      <c r="HM167" s="238"/>
      <c r="HN167" s="238"/>
      <c r="HO167" s="238"/>
      <c r="HP167" s="238"/>
      <c r="HQ167" s="238"/>
      <c r="HR167" s="238"/>
      <c r="HS167" s="238"/>
      <c r="HT167" s="238"/>
      <c r="HU167" s="238"/>
      <c r="HV167" s="238"/>
      <c r="HW167" s="238"/>
      <c r="HX167" s="257"/>
      <c r="HY167" s="257"/>
      <c r="HZ167" s="257"/>
      <c r="IA167" s="257"/>
      <c r="IB167" s="257"/>
      <c r="IC167" s="257"/>
      <c r="ID167" s="257"/>
      <c r="IE167" s="257"/>
      <c r="IF167" s="257"/>
      <c r="IG167" s="257"/>
      <c r="IH167" s="257"/>
      <c r="II167" s="257"/>
      <c r="IJ167" s="257"/>
      <c r="IK167" s="257"/>
      <c r="IL167" s="257"/>
      <c r="IM167" s="257"/>
      <c r="IN167" s="257"/>
      <c r="IO167" s="257"/>
      <c r="IP167" s="257"/>
      <c r="IQ167" s="257"/>
      <c r="IR167" s="257"/>
      <c r="IS167" s="257"/>
      <c r="IT167" s="257"/>
      <c r="IU167" s="257"/>
      <c r="IV167" s="257"/>
      <c r="IW167" s="257"/>
      <c r="IX167" s="257"/>
      <c r="IY167" s="257"/>
      <c r="IZ167" s="257"/>
      <c r="JA167" s="257"/>
      <c r="JB167" s="257"/>
      <c r="JC167" s="257"/>
      <c r="JD167" s="257"/>
      <c r="JE167" s="257"/>
      <c r="JF167" s="238"/>
      <c r="JG167" s="238"/>
      <c r="JH167" s="238"/>
      <c r="JI167" s="238"/>
      <c r="JJ167" s="238"/>
      <c r="JK167" s="238"/>
      <c r="JL167" s="238"/>
      <c r="JM167" s="238"/>
      <c r="JN167" s="238"/>
      <c r="JO167" s="238"/>
      <c r="JP167" s="238"/>
      <c r="JQ167" s="238"/>
      <c r="JR167" s="238"/>
      <c r="JS167" s="238"/>
      <c r="JT167" s="238"/>
      <c r="JU167" s="238"/>
      <c r="JV167" s="238"/>
      <c r="JW167" s="238"/>
      <c r="JX167" s="238"/>
      <c r="JY167" s="238"/>
      <c r="JZ167" s="238"/>
      <c r="KA167" s="238"/>
      <c r="KB167" s="238"/>
      <c r="KC167" s="238"/>
      <c r="KD167" s="238"/>
      <c r="KE167" s="238"/>
      <c r="KF167" s="238"/>
      <c r="KG167" s="238"/>
      <c r="KH167" s="238"/>
      <c r="KI167" s="238"/>
      <c r="KJ167" s="238"/>
      <c r="KK167" s="238"/>
      <c r="KL167" s="238"/>
      <c r="KM167" s="238"/>
      <c r="KN167" s="238"/>
      <c r="KO167" s="238"/>
      <c r="KP167" s="238"/>
      <c r="KQ167" s="238"/>
      <c r="KR167" s="238"/>
      <c r="KS167" s="238"/>
      <c r="KT167" s="238"/>
      <c r="KU167" s="238"/>
      <c r="KV167" s="238"/>
      <c r="KW167" s="238"/>
      <c r="KX167" s="238"/>
      <c r="KY167" s="238"/>
      <c r="KZ167" s="238"/>
      <c r="LA167" s="238"/>
      <c r="LB167" s="238"/>
      <c r="LC167" s="238"/>
      <c r="LD167" s="238"/>
      <c r="LE167" s="238"/>
      <c r="LF167" s="238"/>
      <c r="LG167" s="238"/>
      <c r="LH167" s="238"/>
      <c r="LI167" s="238"/>
      <c r="LJ167" s="238"/>
      <c r="LK167" s="238"/>
      <c r="LL167" s="238"/>
      <c r="LM167" s="238"/>
      <c r="LN167" s="238"/>
      <c r="LO167" s="238"/>
      <c r="LP167" s="238"/>
      <c r="LQ167" s="238"/>
      <c r="LR167" s="238"/>
      <c r="LS167" s="238"/>
      <c r="LT167" s="238"/>
      <c r="LU167" s="238"/>
      <c r="LV167" s="238"/>
      <c r="LW167" s="238"/>
      <c r="LX167" s="238"/>
      <c r="LY167" s="238"/>
      <c r="LZ167" s="238"/>
      <c r="MA167" s="238"/>
      <c r="MB167" s="238"/>
      <c r="MC167" s="238"/>
      <c r="MD167" s="238"/>
      <c r="ME167" s="238"/>
      <c r="MF167" s="238"/>
      <c r="MG167" s="238"/>
      <c r="MH167" s="238"/>
      <c r="MI167" s="238"/>
      <c r="MJ167" s="238"/>
      <c r="MK167" s="238"/>
      <c r="ML167" s="238"/>
    </row>
    <row r="168" ht="18.75" customHeight="1">
      <c r="A168" s="283"/>
      <c r="B168" s="234" t="str">
        <f>'Building Bill of Materials_SLIM'!P168</f>
        <v/>
      </c>
      <c r="C168" s="234" t="str">
        <f>'Building Bill of Materials_SLIM'!Q168</f>
        <v/>
      </c>
      <c r="D168" s="234" t="str">
        <f>'Building Bill of Materials_SLIM'!R168</f>
        <v/>
      </c>
      <c r="E168" s="234" t="str">
        <f>'Building Bill of Materials_SLIM'!S168</f>
        <v/>
      </c>
      <c r="F168" s="234" t="str">
        <f>'Building Bill of Materials_SLIM'!U168</f>
        <v/>
      </c>
      <c r="G168" s="234"/>
      <c r="H168" s="234"/>
      <c r="I168" s="234"/>
      <c r="J168" s="234" t="str">
        <f>'Building Bill of Materials_SLIM'!V168</f>
        <v/>
      </c>
      <c r="K168" s="238"/>
      <c r="L168" s="238"/>
      <c r="M168" s="238"/>
      <c r="N168" s="238"/>
      <c r="O168" s="238"/>
      <c r="P168" s="238"/>
      <c r="Q168" s="238"/>
      <c r="R168" s="238"/>
      <c r="S168" s="238"/>
      <c r="T168" s="238"/>
      <c r="U168" s="238"/>
      <c r="V168" s="238"/>
      <c r="W168" s="238"/>
      <c r="X168" s="238"/>
      <c r="Y168" s="238"/>
      <c r="Z168" s="238"/>
      <c r="AA168" s="192"/>
      <c r="AB168" s="257"/>
      <c r="AC168" s="257"/>
      <c r="AD168" s="257"/>
      <c r="AE168" s="257"/>
      <c r="AF168" s="257"/>
      <c r="AG168" s="257"/>
      <c r="AH168" s="257"/>
      <c r="AI168" s="257"/>
      <c r="AJ168" s="257"/>
      <c r="AK168" s="257"/>
      <c r="AL168" s="257"/>
      <c r="AM168" s="257"/>
      <c r="AN168" s="257"/>
      <c r="AO168" s="257"/>
      <c r="AP168" s="257"/>
      <c r="AQ168" s="257"/>
      <c r="AR168" s="257"/>
      <c r="AS168" s="257"/>
      <c r="AT168" s="257"/>
      <c r="AU168" s="257"/>
      <c r="AV168" s="257"/>
      <c r="AW168" s="257"/>
      <c r="AX168" s="257"/>
      <c r="AY168" s="257"/>
      <c r="AZ168" s="257"/>
      <c r="BA168" s="257"/>
      <c r="BB168" s="257"/>
      <c r="BC168" s="257"/>
      <c r="BD168" s="257"/>
      <c r="BE168" s="257"/>
      <c r="BF168" s="257"/>
      <c r="BG168" s="257"/>
      <c r="BH168" s="257"/>
      <c r="BI168" s="257"/>
      <c r="BJ168" s="238"/>
      <c r="BK168" s="238"/>
      <c r="BL168" s="238"/>
      <c r="BM168" s="238"/>
      <c r="BN168" s="238"/>
      <c r="BO168" s="238"/>
      <c r="BP168" s="238"/>
      <c r="BQ168" s="238"/>
      <c r="BR168" s="238"/>
      <c r="BS168" s="238"/>
      <c r="BT168" s="238"/>
      <c r="BU168" s="238"/>
      <c r="BV168" s="238"/>
      <c r="BW168" s="238"/>
      <c r="BX168" s="238"/>
      <c r="BY168" s="238"/>
      <c r="BZ168" s="238"/>
      <c r="CA168" s="238"/>
      <c r="CB168" s="238"/>
      <c r="CC168" s="238"/>
      <c r="CD168" s="238"/>
      <c r="CE168" s="257"/>
      <c r="CF168" s="257"/>
      <c r="CG168" s="238"/>
      <c r="CH168" s="238"/>
      <c r="CI168" s="238"/>
      <c r="CJ168" s="238"/>
      <c r="CK168" s="238"/>
      <c r="CL168" s="238"/>
      <c r="CM168" s="238"/>
      <c r="CN168" s="238"/>
      <c r="CO168" s="238"/>
      <c r="CP168" s="238"/>
      <c r="CQ168" s="238"/>
      <c r="CR168" s="238"/>
      <c r="CS168" s="238"/>
      <c r="CT168" s="238"/>
      <c r="CU168" s="238"/>
      <c r="CV168" s="238"/>
      <c r="CW168" s="238"/>
      <c r="CX168" s="238"/>
      <c r="CY168" s="238"/>
      <c r="CZ168" s="238"/>
      <c r="DA168" s="238"/>
      <c r="DB168" s="238"/>
      <c r="DC168" s="238"/>
      <c r="DD168" s="238"/>
      <c r="DE168" s="238"/>
      <c r="DF168" s="238"/>
      <c r="DG168" s="257"/>
      <c r="DH168" s="238"/>
      <c r="DI168" s="238"/>
      <c r="DJ168" s="238"/>
      <c r="DK168" s="238"/>
      <c r="DL168" s="238"/>
      <c r="DM168" s="238"/>
      <c r="DN168" s="238"/>
      <c r="DO168" s="238"/>
      <c r="DP168" s="238"/>
      <c r="DQ168" s="238"/>
      <c r="DR168" s="238"/>
      <c r="DS168" s="238"/>
      <c r="DT168" s="238"/>
      <c r="DU168" s="238"/>
      <c r="DV168" s="238"/>
      <c r="DW168" s="238"/>
      <c r="DX168" s="238"/>
      <c r="DY168" s="238"/>
      <c r="DZ168" s="238"/>
      <c r="EA168" s="238"/>
      <c r="EB168" s="238"/>
      <c r="EC168" s="238"/>
      <c r="ED168" s="238"/>
      <c r="EE168" s="238"/>
      <c r="EF168" s="238"/>
      <c r="EG168" s="238"/>
      <c r="EH168" s="238"/>
      <c r="EI168" s="238"/>
      <c r="EJ168" s="238"/>
      <c r="EK168" s="238"/>
      <c r="EL168" s="238"/>
      <c r="EM168" s="238"/>
      <c r="EN168" s="238"/>
      <c r="EO168" s="238"/>
      <c r="EP168" s="238"/>
      <c r="EQ168" s="238"/>
      <c r="ER168" s="238"/>
      <c r="ES168" s="238"/>
      <c r="ET168" s="238"/>
      <c r="EU168" s="238"/>
      <c r="EV168" s="238"/>
      <c r="EW168" s="238"/>
      <c r="EX168" s="238"/>
      <c r="EY168" s="238"/>
      <c r="EZ168" s="238"/>
      <c r="FA168" s="238"/>
      <c r="FB168" s="238"/>
      <c r="FC168" s="238"/>
      <c r="FD168" s="238"/>
      <c r="FE168" s="238"/>
      <c r="FF168" s="238"/>
      <c r="FG168" s="238"/>
      <c r="FH168" s="257"/>
      <c r="FI168" s="257"/>
      <c r="FJ168" s="257"/>
      <c r="FK168" s="257"/>
      <c r="FL168" s="257"/>
      <c r="FM168" s="257"/>
      <c r="FN168" s="257"/>
      <c r="FO168" s="257"/>
      <c r="FP168" s="257"/>
      <c r="FQ168" s="257"/>
      <c r="FR168" s="257"/>
      <c r="FS168" s="257"/>
      <c r="FT168" s="257"/>
      <c r="FU168" s="257"/>
      <c r="FV168" s="257"/>
      <c r="FW168" s="257"/>
      <c r="FX168" s="257"/>
      <c r="FY168" s="238"/>
      <c r="FZ168" s="238"/>
      <c r="GA168" s="238"/>
      <c r="GB168" s="238"/>
      <c r="GC168" s="238"/>
      <c r="GD168" s="238"/>
      <c r="GE168" s="238"/>
      <c r="GF168" s="238"/>
      <c r="GG168" s="238"/>
      <c r="GH168" s="238"/>
      <c r="GI168" s="238"/>
      <c r="GJ168" s="238"/>
      <c r="GK168" s="238"/>
      <c r="GL168" s="238"/>
      <c r="GM168" s="238"/>
      <c r="GN168" s="238"/>
      <c r="GO168" s="238"/>
      <c r="GP168" s="238"/>
      <c r="GQ168" s="238"/>
      <c r="GR168" s="238"/>
      <c r="GS168" s="238"/>
      <c r="GT168" s="238"/>
      <c r="GU168" s="238"/>
      <c r="GV168" s="238"/>
      <c r="GW168" s="238"/>
      <c r="GX168" s="238"/>
      <c r="GY168" s="238"/>
      <c r="GZ168" s="238"/>
      <c r="HA168" s="238"/>
      <c r="HB168" s="238"/>
      <c r="HC168" s="238"/>
      <c r="HD168" s="238"/>
      <c r="HE168" s="238"/>
      <c r="HF168" s="238"/>
      <c r="HG168" s="238"/>
      <c r="HH168" s="238"/>
      <c r="HI168" s="238"/>
      <c r="HJ168" s="238"/>
      <c r="HK168" s="238"/>
      <c r="HL168" s="238"/>
      <c r="HM168" s="238"/>
      <c r="HN168" s="238"/>
      <c r="HO168" s="238"/>
      <c r="HP168" s="238"/>
      <c r="HQ168" s="238"/>
      <c r="HR168" s="238"/>
      <c r="HS168" s="238"/>
      <c r="HT168" s="238"/>
      <c r="HU168" s="238"/>
      <c r="HV168" s="238"/>
      <c r="HW168" s="238"/>
      <c r="HX168" s="257"/>
      <c r="HY168" s="257"/>
      <c r="HZ168" s="257"/>
      <c r="IA168" s="257"/>
      <c r="IB168" s="257"/>
      <c r="IC168" s="257"/>
      <c r="ID168" s="257"/>
      <c r="IE168" s="257"/>
      <c r="IF168" s="257"/>
      <c r="IG168" s="257"/>
      <c r="IH168" s="257"/>
      <c r="II168" s="257"/>
      <c r="IJ168" s="257"/>
      <c r="IK168" s="257"/>
      <c r="IL168" s="257"/>
      <c r="IM168" s="257"/>
      <c r="IN168" s="257"/>
      <c r="IO168" s="257"/>
      <c r="IP168" s="257"/>
      <c r="IQ168" s="257"/>
      <c r="IR168" s="257"/>
      <c r="IS168" s="257"/>
      <c r="IT168" s="257"/>
      <c r="IU168" s="257"/>
      <c r="IV168" s="257"/>
      <c r="IW168" s="257"/>
      <c r="IX168" s="257"/>
      <c r="IY168" s="257"/>
      <c r="IZ168" s="257"/>
      <c r="JA168" s="257"/>
      <c r="JB168" s="257"/>
      <c r="JC168" s="257"/>
      <c r="JD168" s="257"/>
      <c r="JE168" s="257"/>
      <c r="JF168" s="238"/>
      <c r="JG168" s="238"/>
      <c r="JH168" s="238"/>
      <c r="JI168" s="238"/>
      <c r="JJ168" s="238"/>
      <c r="JK168" s="238"/>
      <c r="JL168" s="238"/>
      <c r="JM168" s="238"/>
      <c r="JN168" s="238"/>
      <c r="JO168" s="238"/>
      <c r="JP168" s="238"/>
      <c r="JQ168" s="238"/>
      <c r="JR168" s="238"/>
      <c r="JS168" s="238"/>
      <c r="JT168" s="238"/>
      <c r="JU168" s="238"/>
      <c r="JV168" s="238"/>
      <c r="JW168" s="238"/>
      <c r="JX168" s="238"/>
      <c r="JY168" s="238"/>
      <c r="JZ168" s="238"/>
      <c r="KA168" s="238"/>
      <c r="KB168" s="238"/>
      <c r="KC168" s="238"/>
      <c r="KD168" s="238"/>
      <c r="KE168" s="238"/>
      <c r="KF168" s="238"/>
      <c r="KG168" s="238"/>
      <c r="KH168" s="238"/>
      <c r="KI168" s="238"/>
      <c r="KJ168" s="238"/>
      <c r="KK168" s="238"/>
      <c r="KL168" s="238"/>
      <c r="KM168" s="238"/>
      <c r="KN168" s="238"/>
      <c r="KO168" s="238"/>
      <c r="KP168" s="238"/>
      <c r="KQ168" s="238"/>
      <c r="KR168" s="238"/>
      <c r="KS168" s="238"/>
      <c r="KT168" s="238"/>
      <c r="KU168" s="238"/>
      <c r="KV168" s="238"/>
      <c r="KW168" s="238"/>
      <c r="KX168" s="238"/>
      <c r="KY168" s="238"/>
      <c r="KZ168" s="238"/>
      <c r="LA168" s="238"/>
      <c r="LB168" s="238"/>
      <c r="LC168" s="238"/>
      <c r="LD168" s="238"/>
      <c r="LE168" s="238"/>
      <c r="LF168" s="238"/>
      <c r="LG168" s="238"/>
      <c r="LH168" s="238"/>
      <c r="LI168" s="238"/>
      <c r="LJ168" s="238"/>
      <c r="LK168" s="238"/>
      <c r="LL168" s="238"/>
      <c r="LM168" s="238"/>
      <c r="LN168" s="238"/>
      <c r="LO168" s="238"/>
      <c r="LP168" s="238"/>
      <c r="LQ168" s="238"/>
      <c r="LR168" s="238"/>
      <c r="LS168" s="238"/>
      <c r="LT168" s="238"/>
      <c r="LU168" s="238"/>
      <c r="LV168" s="238"/>
      <c r="LW168" s="238"/>
      <c r="LX168" s="238"/>
      <c r="LY168" s="238"/>
      <c r="LZ168" s="238"/>
      <c r="MA168" s="238"/>
      <c r="MB168" s="238"/>
      <c r="MC168" s="238"/>
      <c r="MD168" s="238"/>
      <c r="ME168" s="238"/>
      <c r="MF168" s="238"/>
      <c r="MG168" s="238"/>
      <c r="MH168" s="238"/>
      <c r="MI168" s="238"/>
      <c r="MJ168" s="238"/>
      <c r="MK168" s="238"/>
      <c r="ML168" s="238"/>
    </row>
    <row r="169" ht="18.75" customHeight="1">
      <c r="A169" s="283"/>
      <c r="B169" s="234" t="str">
        <f>'Building Bill of Materials_SLIM'!P169</f>
        <v/>
      </c>
      <c r="C169" s="234" t="str">
        <f>'Building Bill of Materials_SLIM'!Q169</f>
        <v/>
      </c>
      <c r="D169" s="234" t="str">
        <f>'Building Bill of Materials_SLIM'!R169</f>
        <v/>
      </c>
      <c r="E169" s="234" t="str">
        <f>'Building Bill of Materials_SLIM'!S169</f>
        <v/>
      </c>
      <c r="F169" s="234" t="str">
        <f>'Building Bill of Materials_SLIM'!U169</f>
        <v/>
      </c>
      <c r="G169" s="234"/>
      <c r="H169" s="234"/>
      <c r="I169" s="234"/>
      <c r="J169" s="234" t="str">
        <f>'Building Bill of Materials_SLIM'!V169</f>
        <v/>
      </c>
      <c r="K169" s="238"/>
      <c r="L169" s="238"/>
      <c r="M169" s="238"/>
      <c r="N169" s="238"/>
      <c r="O169" s="238"/>
      <c r="P169" s="238"/>
      <c r="Q169" s="238"/>
      <c r="R169" s="238"/>
      <c r="S169" s="238"/>
      <c r="T169" s="238"/>
      <c r="U169" s="238"/>
      <c r="V169" s="238"/>
      <c r="W169" s="238"/>
      <c r="X169" s="238"/>
      <c r="Y169" s="238"/>
      <c r="Z169" s="238"/>
      <c r="AA169" s="192"/>
      <c r="AB169" s="257"/>
      <c r="AC169" s="257"/>
      <c r="AD169" s="257"/>
      <c r="AE169" s="257"/>
      <c r="AF169" s="257"/>
      <c r="AG169" s="257"/>
      <c r="AH169" s="257"/>
      <c r="AI169" s="257"/>
      <c r="AJ169" s="257"/>
      <c r="AK169" s="257"/>
      <c r="AL169" s="257"/>
      <c r="AM169" s="257"/>
      <c r="AN169" s="257"/>
      <c r="AO169" s="257"/>
      <c r="AP169" s="257"/>
      <c r="AQ169" s="257"/>
      <c r="AR169" s="257"/>
      <c r="AS169" s="257"/>
      <c r="AT169" s="257"/>
      <c r="AU169" s="257"/>
      <c r="AV169" s="257"/>
      <c r="AW169" s="257"/>
      <c r="AX169" s="257"/>
      <c r="AY169" s="257"/>
      <c r="AZ169" s="257"/>
      <c r="BA169" s="257"/>
      <c r="BB169" s="257"/>
      <c r="BC169" s="257"/>
      <c r="BD169" s="257"/>
      <c r="BE169" s="257"/>
      <c r="BF169" s="257"/>
      <c r="BG169" s="257"/>
      <c r="BH169" s="257"/>
      <c r="BI169" s="257"/>
      <c r="BJ169" s="238"/>
      <c r="BK169" s="238"/>
      <c r="BL169" s="238"/>
      <c r="BM169" s="238"/>
      <c r="BN169" s="238"/>
      <c r="BO169" s="238"/>
      <c r="BP169" s="238"/>
      <c r="BQ169" s="238"/>
      <c r="BR169" s="238"/>
      <c r="BS169" s="238"/>
      <c r="BT169" s="238"/>
      <c r="BU169" s="238"/>
      <c r="BV169" s="238"/>
      <c r="BW169" s="238"/>
      <c r="BX169" s="238"/>
      <c r="BY169" s="238"/>
      <c r="BZ169" s="238"/>
      <c r="CA169" s="238"/>
      <c r="CB169" s="238"/>
      <c r="CC169" s="238"/>
      <c r="CD169" s="238"/>
      <c r="CE169" s="257"/>
      <c r="CF169" s="257"/>
      <c r="CG169" s="238"/>
      <c r="CH169" s="238"/>
      <c r="CI169" s="238"/>
      <c r="CJ169" s="238"/>
      <c r="CK169" s="238"/>
      <c r="CL169" s="238"/>
      <c r="CM169" s="238"/>
      <c r="CN169" s="238"/>
      <c r="CO169" s="238"/>
      <c r="CP169" s="238"/>
      <c r="CQ169" s="238"/>
      <c r="CR169" s="238"/>
      <c r="CS169" s="238"/>
      <c r="CT169" s="238"/>
      <c r="CU169" s="238"/>
      <c r="CV169" s="238"/>
      <c r="CW169" s="238"/>
      <c r="CX169" s="238"/>
      <c r="CY169" s="238"/>
      <c r="CZ169" s="238"/>
      <c r="DA169" s="238"/>
      <c r="DB169" s="238"/>
      <c r="DC169" s="238"/>
      <c r="DD169" s="238"/>
      <c r="DE169" s="238"/>
      <c r="DF169" s="238"/>
      <c r="DG169" s="257"/>
      <c r="DH169" s="238"/>
      <c r="DI169" s="238"/>
      <c r="DJ169" s="238"/>
      <c r="DK169" s="238"/>
      <c r="DL169" s="238"/>
      <c r="DM169" s="238"/>
      <c r="DN169" s="238"/>
      <c r="DO169" s="238"/>
      <c r="DP169" s="238"/>
      <c r="DQ169" s="238"/>
      <c r="DR169" s="238"/>
      <c r="DS169" s="238"/>
      <c r="DT169" s="238"/>
      <c r="DU169" s="238"/>
      <c r="DV169" s="238"/>
      <c r="DW169" s="238"/>
      <c r="DX169" s="238"/>
      <c r="DY169" s="238"/>
      <c r="DZ169" s="238"/>
      <c r="EA169" s="238"/>
      <c r="EB169" s="238"/>
      <c r="EC169" s="238"/>
      <c r="ED169" s="238"/>
      <c r="EE169" s="238"/>
      <c r="EF169" s="238"/>
      <c r="EG169" s="238"/>
      <c r="EH169" s="238"/>
      <c r="EI169" s="238"/>
      <c r="EJ169" s="238"/>
      <c r="EK169" s="238"/>
      <c r="EL169" s="238"/>
      <c r="EM169" s="238"/>
      <c r="EN169" s="238"/>
      <c r="EO169" s="238"/>
      <c r="EP169" s="238"/>
      <c r="EQ169" s="238"/>
      <c r="ER169" s="238"/>
      <c r="ES169" s="238"/>
      <c r="ET169" s="238"/>
      <c r="EU169" s="238"/>
      <c r="EV169" s="238"/>
      <c r="EW169" s="238"/>
      <c r="EX169" s="238"/>
      <c r="EY169" s="238"/>
      <c r="EZ169" s="238"/>
      <c r="FA169" s="238"/>
      <c r="FB169" s="238"/>
      <c r="FC169" s="238"/>
      <c r="FD169" s="238"/>
      <c r="FE169" s="238"/>
      <c r="FF169" s="238"/>
      <c r="FG169" s="238"/>
      <c r="FH169" s="257"/>
      <c r="FI169" s="257"/>
      <c r="FJ169" s="257"/>
      <c r="FK169" s="257"/>
      <c r="FL169" s="257"/>
      <c r="FM169" s="257"/>
      <c r="FN169" s="257"/>
      <c r="FO169" s="257"/>
      <c r="FP169" s="257"/>
      <c r="FQ169" s="257"/>
      <c r="FR169" s="257"/>
      <c r="FS169" s="257"/>
      <c r="FT169" s="257"/>
      <c r="FU169" s="257"/>
      <c r="FV169" s="257"/>
      <c r="FW169" s="257"/>
      <c r="FX169" s="257"/>
      <c r="FY169" s="238"/>
      <c r="FZ169" s="238"/>
      <c r="GA169" s="238"/>
      <c r="GB169" s="238"/>
      <c r="GC169" s="238"/>
      <c r="GD169" s="238"/>
      <c r="GE169" s="238"/>
      <c r="GF169" s="238"/>
      <c r="GG169" s="238"/>
      <c r="GH169" s="238"/>
      <c r="GI169" s="238"/>
      <c r="GJ169" s="238"/>
      <c r="GK169" s="238"/>
      <c r="GL169" s="238"/>
      <c r="GM169" s="238"/>
      <c r="GN169" s="238"/>
      <c r="GO169" s="238"/>
      <c r="GP169" s="238"/>
      <c r="GQ169" s="238"/>
      <c r="GR169" s="238"/>
      <c r="GS169" s="238"/>
      <c r="GT169" s="238"/>
      <c r="GU169" s="238"/>
      <c r="GV169" s="238"/>
      <c r="GW169" s="238"/>
      <c r="GX169" s="238"/>
      <c r="GY169" s="238"/>
      <c r="GZ169" s="238"/>
      <c r="HA169" s="238"/>
      <c r="HB169" s="238"/>
      <c r="HC169" s="238"/>
      <c r="HD169" s="238"/>
      <c r="HE169" s="238"/>
      <c r="HF169" s="238"/>
      <c r="HG169" s="238"/>
      <c r="HH169" s="238"/>
      <c r="HI169" s="238"/>
      <c r="HJ169" s="238"/>
      <c r="HK169" s="238"/>
      <c r="HL169" s="238"/>
      <c r="HM169" s="238"/>
      <c r="HN169" s="238"/>
      <c r="HO169" s="238"/>
      <c r="HP169" s="238"/>
      <c r="HQ169" s="238"/>
      <c r="HR169" s="238"/>
      <c r="HS169" s="238"/>
      <c r="HT169" s="238"/>
      <c r="HU169" s="238"/>
      <c r="HV169" s="238"/>
      <c r="HW169" s="238"/>
      <c r="HX169" s="257"/>
      <c r="HY169" s="257"/>
      <c r="HZ169" s="257"/>
      <c r="IA169" s="257"/>
      <c r="IB169" s="257"/>
      <c r="IC169" s="257"/>
      <c r="ID169" s="257"/>
      <c r="IE169" s="257"/>
      <c r="IF169" s="257"/>
      <c r="IG169" s="257"/>
      <c r="IH169" s="257"/>
      <c r="II169" s="257"/>
      <c r="IJ169" s="257"/>
      <c r="IK169" s="257"/>
      <c r="IL169" s="257"/>
      <c r="IM169" s="257"/>
      <c r="IN169" s="257"/>
      <c r="IO169" s="257"/>
      <c r="IP169" s="257"/>
      <c r="IQ169" s="257"/>
      <c r="IR169" s="257"/>
      <c r="IS169" s="257"/>
      <c r="IT169" s="257"/>
      <c r="IU169" s="257"/>
      <c r="IV169" s="257"/>
      <c r="IW169" s="257"/>
      <c r="IX169" s="257"/>
      <c r="IY169" s="257"/>
      <c r="IZ169" s="257"/>
      <c r="JA169" s="257"/>
      <c r="JB169" s="257"/>
      <c r="JC169" s="257"/>
      <c r="JD169" s="257"/>
      <c r="JE169" s="257"/>
      <c r="JF169" s="238"/>
      <c r="JG169" s="238"/>
      <c r="JH169" s="238"/>
      <c r="JI169" s="238"/>
      <c r="JJ169" s="238"/>
      <c r="JK169" s="238"/>
      <c r="JL169" s="238"/>
      <c r="JM169" s="238"/>
      <c r="JN169" s="238"/>
      <c r="JO169" s="238"/>
      <c r="JP169" s="238"/>
      <c r="JQ169" s="238"/>
      <c r="JR169" s="238"/>
      <c r="JS169" s="238"/>
      <c r="JT169" s="238"/>
      <c r="JU169" s="238"/>
      <c r="JV169" s="238"/>
      <c r="JW169" s="238"/>
      <c r="JX169" s="238"/>
      <c r="JY169" s="238"/>
      <c r="JZ169" s="238"/>
      <c r="KA169" s="238"/>
      <c r="KB169" s="238"/>
      <c r="KC169" s="238"/>
      <c r="KD169" s="238"/>
      <c r="KE169" s="238"/>
      <c r="KF169" s="238"/>
      <c r="KG169" s="238"/>
      <c r="KH169" s="238"/>
      <c r="KI169" s="238"/>
      <c r="KJ169" s="238"/>
      <c r="KK169" s="238"/>
      <c r="KL169" s="238"/>
      <c r="KM169" s="238"/>
      <c r="KN169" s="238"/>
      <c r="KO169" s="238"/>
      <c r="KP169" s="238"/>
      <c r="KQ169" s="238"/>
      <c r="KR169" s="238"/>
      <c r="KS169" s="238"/>
      <c r="KT169" s="238"/>
      <c r="KU169" s="238"/>
      <c r="KV169" s="238"/>
      <c r="KW169" s="238"/>
      <c r="KX169" s="238"/>
      <c r="KY169" s="238"/>
      <c r="KZ169" s="238"/>
      <c r="LA169" s="238"/>
      <c r="LB169" s="238"/>
      <c r="LC169" s="238"/>
      <c r="LD169" s="238"/>
      <c r="LE169" s="238"/>
      <c r="LF169" s="238"/>
      <c r="LG169" s="238"/>
      <c r="LH169" s="238"/>
      <c r="LI169" s="238"/>
      <c r="LJ169" s="238"/>
      <c r="LK169" s="238"/>
      <c r="LL169" s="238"/>
      <c r="LM169" s="238"/>
      <c r="LN169" s="238"/>
      <c r="LO169" s="238"/>
      <c r="LP169" s="238"/>
      <c r="LQ169" s="238"/>
      <c r="LR169" s="238"/>
      <c r="LS169" s="238"/>
      <c r="LT169" s="238"/>
      <c r="LU169" s="238"/>
      <c r="LV169" s="238"/>
      <c r="LW169" s="238"/>
      <c r="LX169" s="238"/>
      <c r="LY169" s="238"/>
      <c r="LZ169" s="238"/>
      <c r="MA169" s="238"/>
      <c r="MB169" s="238"/>
      <c r="MC169" s="238"/>
      <c r="MD169" s="238"/>
      <c r="ME169" s="238"/>
      <c r="MF169" s="238"/>
      <c r="MG169" s="238"/>
      <c r="MH169" s="238"/>
      <c r="MI169" s="238"/>
      <c r="MJ169" s="238"/>
      <c r="MK169" s="238"/>
      <c r="ML169" s="238"/>
    </row>
    <row r="170" ht="18.75" customHeight="1">
      <c r="A170" s="283"/>
      <c r="B170" s="234" t="str">
        <f>'Building Bill of Materials_SLIM'!P170</f>
        <v/>
      </c>
      <c r="C170" s="234" t="str">
        <f>'Building Bill of Materials_SLIM'!Q170</f>
        <v/>
      </c>
      <c r="D170" s="234" t="str">
        <f>'Building Bill of Materials_SLIM'!R170</f>
        <v/>
      </c>
      <c r="E170" s="234" t="str">
        <f>'Building Bill of Materials_SLIM'!S170</f>
        <v/>
      </c>
      <c r="F170" s="234" t="str">
        <f>'Building Bill of Materials_SLIM'!U170</f>
        <v/>
      </c>
      <c r="G170" s="234"/>
      <c r="H170" s="234"/>
      <c r="I170" s="234"/>
      <c r="J170" s="234" t="str">
        <f>'Building Bill of Materials_SLIM'!V170</f>
        <v/>
      </c>
      <c r="K170" s="238"/>
      <c r="L170" s="238"/>
      <c r="M170" s="238"/>
      <c r="N170" s="238"/>
      <c r="O170" s="238"/>
      <c r="P170" s="238"/>
      <c r="Q170" s="238"/>
      <c r="R170" s="238"/>
      <c r="S170" s="238"/>
      <c r="T170" s="238"/>
      <c r="U170" s="238"/>
      <c r="V170" s="238"/>
      <c r="W170" s="238"/>
      <c r="X170" s="238"/>
      <c r="Y170" s="238"/>
      <c r="Z170" s="238"/>
      <c r="AA170" s="192"/>
      <c r="AB170" s="257"/>
      <c r="AC170" s="257"/>
      <c r="AD170" s="257"/>
      <c r="AE170" s="257"/>
      <c r="AF170" s="257"/>
      <c r="AG170" s="257"/>
      <c r="AH170" s="257"/>
      <c r="AI170" s="257"/>
      <c r="AJ170" s="257"/>
      <c r="AK170" s="257"/>
      <c r="AL170" s="257"/>
      <c r="AM170" s="257"/>
      <c r="AN170" s="257"/>
      <c r="AO170" s="257"/>
      <c r="AP170" s="257"/>
      <c r="AQ170" s="257"/>
      <c r="AR170" s="257"/>
      <c r="AS170" s="257"/>
      <c r="AT170" s="257"/>
      <c r="AU170" s="257"/>
      <c r="AV170" s="257"/>
      <c r="AW170" s="257"/>
      <c r="AX170" s="257"/>
      <c r="AY170" s="257"/>
      <c r="AZ170" s="257"/>
      <c r="BA170" s="257"/>
      <c r="BB170" s="257"/>
      <c r="BC170" s="257"/>
      <c r="BD170" s="257"/>
      <c r="BE170" s="257"/>
      <c r="BF170" s="257"/>
      <c r="BG170" s="257"/>
      <c r="BH170" s="257"/>
      <c r="BI170" s="257"/>
      <c r="BJ170" s="238"/>
      <c r="BK170" s="238"/>
      <c r="BL170" s="238"/>
      <c r="BM170" s="238"/>
      <c r="BN170" s="238"/>
      <c r="BO170" s="238"/>
      <c r="BP170" s="238"/>
      <c r="BQ170" s="238"/>
      <c r="BR170" s="238"/>
      <c r="BS170" s="238"/>
      <c r="BT170" s="238"/>
      <c r="BU170" s="238"/>
      <c r="BV170" s="238"/>
      <c r="BW170" s="238"/>
      <c r="BX170" s="238"/>
      <c r="BY170" s="238"/>
      <c r="BZ170" s="238"/>
      <c r="CA170" s="238"/>
      <c r="CB170" s="238"/>
      <c r="CC170" s="238"/>
      <c r="CD170" s="238"/>
      <c r="CE170" s="257"/>
      <c r="CF170" s="257"/>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57"/>
      <c r="DH170" s="238"/>
      <c r="DI170" s="238"/>
      <c r="DJ170" s="238"/>
      <c r="DK170" s="238"/>
      <c r="DL170" s="238"/>
      <c r="DM170" s="238"/>
      <c r="DN170" s="238"/>
      <c r="DO170" s="238"/>
      <c r="DP170" s="238"/>
      <c r="DQ170" s="238"/>
      <c r="DR170" s="238"/>
      <c r="DS170" s="238"/>
      <c r="DT170" s="238"/>
      <c r="DU170" s="238"/>
      <c r="DV170" s="238"/>
      <c r="DW170" s="238"/>
      <c r="DX170" s="238"/>
      <c r="DY170" s="238"/>
      <c r="DZ170" s="238"/>
      <c r="EA170" s="238"/>
      <c r="EB170" s="238"/>
      <c r="EC170" s="238"/>
      <c r="ED170" s="238"/>
      <c r="EE170" s="238"/>
      <c r="EF170" s="238"/>
      <c r="EG170" s="238"/>
      <c r="EH170" s="238"/>
      <c r="EI170" s="238"/>
      <c r="EJ170" s="238"/>
      <c r="EK170" s="238"/>
      <c r="EL170" s="238"/>
      <c r="EM170" s="238"/>
      <c r="EN170" s="238"/>
      <c r="EO170" s="238"/>
      <c r="EP170" s="238"/>
      <c r="EQ170" s="238"/>
      <c r="ER170" s="238"/>
      <c r="ES170" s="238"/>
      <c r="ET170" s="238"/>
      <c r="EU170" s="238"/>
      <c r="EV170" s="238"/>
      <c r="EW170" s="238"/>
      <c r="EX170" s="238"/>
      <c r="EY170" s="238"/>
      <c r="EZ170" s="238"/>
      <c r="FA170" s="238"/>
      <c r="FB170" s="238"/>
      <c r="FC170" s="238"/>
      <c r="FD170" s="238"/>
      <c r="FE170" s="238"/>
      <c r="FF170" s="238"/>
      <c r="FG170" s="238"/>
      <c r="FH170" s="257"/>
      <c r="FI170" s="257"/>
      <c r="FJ170" s="257"/>
      <c r="FK170" s="257"/>
      <c r="FL170" s="257"/>
      <c r="FM170" s="257"/>
      <c r="FN170" s="257"/>
      <c r="FO170" s="257"/>
      <c r="FP170" s="257"/>
      <c r="FQ170" s="257"/>
      <c r="FR170" s="257"/>
      <c r="FS170" s="257"/>
      <c r="FT170" s="257"/>
      <c r="FU170" s="257"/>
      <c r="FV170" s="257"/>
      <c r="FW170" s="257"/>
      <c r="FX170" s="257"/>
      <c r="FY170" s="238"/>
      <c r="FZ170" s="238"/>
      <c r="GA170" s="238"/>
      <c r="GB170" s="238"/>
      <c r="GC170" s="238"/>
      <c r="GD170" s="238"/>
      <c r="GE170" s="238"/>
      <c r="GF170" s="238"/>
      <c r="GG170" s="238"/>
      <c r="GH170" s="238"/>
      <c r="GI170" s="238"/>
      <c r="GJ170" s="238"/>
      <c r="GK170" s="238"/>
      <c r="GL170" s="238"/>
      <c r="GM170" s="238"/>
      <c r="GN170" s="238"/>
      <c r="GO170" s="238"/>
      <c r="GP170" s="238"/>
      <c r="GQ170" s="238"/>
      <c r="GR170" s="238"/>
      <c r="GS170" s="238"/>
      <c r="GT170" s="238"/>
      <c r="GU170" s="238"/>
      <c r="GV170" s="238"/>
      <c r="GW170" s="238"/>
      <c r="GX170" s="238"/>
      <c r="GY170" s="238"/>
      <c r="GZ170" s="238"/>
      <c r="HA170" s="238"/>
      <c r="HB170" s="238"/>
      <c r="HC170" s="238"/>
      <c r="HD170" s="238"/>
      <c r="HE170" s="238"/>
      <c r="HF170" s="238"/>
      <c r="HG170" s="238"/>
      <c r="HH170" s="238"/>
      <c r="HI170" s="238"/>
      <c r="HJ170" s="238"/>
      <c r="HK170" s="238"/>
      <c r="HL170" s="238"/>
      <c r="HM170" s="238"/>
      <c r="HN170" s="238"/>
      <c r="HO170" s="238"/>
      <c r="HP170" s="238"/>
      <c r="HQ170" s="238"/>
      <c r="HR170" s="238"/>
      <c r="HS170" s="238"/>
      <c r="HT170" s="238"/>
      <c r="HU170" s="238"/>
      <c r="HV170" s="238"/>
      <c r="HW170" s="238"/>
      <c r="HX170" s="257"/>
      <c r="HY170" s="257"/>
      <c r="HZ170" s="257"/>
      <c r="IA170" s="257"/>
      <c r="IB170" s="257"/>
      <c r="IC170" s="257"/>
      <c r="ID170" s="257"/>
      <c r="IE170" s="257"/>
      <c r="IF170" s="257"/>
      <c r="IG170" s="257"/>
      <c r="IH170" s="257"/>
      <c r="II170" s="257"/>
      <c r="IJ170" s="257"/>
      <c r="IK170" s="257"/>
      <c r="IL170" s="257"/>
      <c r="IM170" s="257"/>
      <c r="IN170" s="257"/>
      <c r="IO170" s="257"/>
      <c r="IP170" s="257"/>
      <c r="IQ170" s="257"/>
      <c r="IR170" s="257"/>
      <c r="IS170" s="257"/>
      <c r="IT170" s="257"/>
      <c r="IU170" s="257"/>
      <c r="IV170" s="257"/>
      <c r="IW170" s="257"/>
      <c r="IX170" s="257"/>
      <c r="IY170" s="257"/>
      <c r="IZ170" s="257"/>
      <c r="JA170" s="257"/>
      <c r="JB170" s="257"/>
      <c r="JC170" s="257"/>
      <c r="JD170" s="257"/>
      <c r="JE170" s="257"/>
      <c r="JF170" s="238"/>
      <c r="JG170" s="238"/>
      <c r="JH170" s="238"/>
      <c r="JI170" s="238"/>
      <c r="JJ170" s="238"/>
      <c r="JK170" s="238"/>
      <c r="JL170" s="238"/>
      <c r="JM170" s="238"/>
      <c r="JN170" s="238"/>
      <c r="JO170" s="238"/>
      <c r="JP170" s="238"/>
      <c r="JQ170" s="238"/>
      <c r="JR170" s="238"/>
      <c r="JS170" s="238"/>
      <c r="JT170" s="238"/>
      <c r="JU170" s="238"/>
      <c r="JV170" s="238"/>
      <c r="JW170" s="238"/>
      <c r="JX170" s="238"/>
      <c r="JY170" s="238"/>
      <c r="JZ170" s="238"/>
      <c r="KA170" s="238"/>
      <c r="KB170" s="238"/>
      <c r="KC170" s="238"/>
      <c r="KD170" s="238"/>
      <c r="KE170" s="238"/>
      <c r="KF170" s="238"/>
      <c r="KG170" s="238"/>
      <c r="KH170" s="238"/>
      <c r="KI170" s="238"/>
      <c r="KJ170" s="238"/>
      <c r="KK170" s="238"/>
      <c r="KL170" s="238"/>
      <c r="KM170" s="238"/>
      <c r="KN170" s="238"/>
      <c r="KO170" s="238"/>
      <c r="KP170" s="238"/>
      <c r="KQ170" s="238"/>
      <c r="KR170" s="238"/>
      <c r="KS170" s="238"/>
      <c r="KT170" s="238"/>
      <c r="KU170" s="238"/>
      <c r="KV170" s="238"/>
      <c r="KW170" s="238"/>
      <c r="KX170" s="238"/>
      <c r="KY170" s="238"/>
      <c r="KZ170" s="238"/>
      <c r="LA170" s="238"/>
      <c r="LB170" s="238"/>
      <c r="LC170" s="238"/>
      <c r="LD170" s="238"/>
      <c r="LE170" s="238"/>
      <c r="LF170" s="238"/>
      <c r="LG170" s="238"/>
      <c r="LH170" s="238"/>
      <c r="LI170" s="238"/>
      <c r="LJ170" s="238"/>
      <c r="LK170" s="238"/>
      <c r="LL170" s="238"/>
      <c r="LM170" s="238"/>
      <c r="LN170" s="238"/>
      <c r="LO170" s="238"/>
      <c r="LP170" s="238"/>
      <c r="LQ170" s="238"/>
      <c r="LR170" s="238"/>
      <c r="LS170" s="238"/>
      <c r="LT170" s="238"/>
      <c r="LU170" s="238"/>
      <c r="LV170" s="238"/>
      <c r="LW170" s="238"/>
      <c r="LX170" s="238"/>
      <c r="LY170" s="238"/>
      <c r="LZ170" s="238"/>
      <c r="MA170" s="238"/>
      <c r="MB170" s="238"/>
      <c r="MC170" s="238"/>
      <c r="MD170" s="238"/>
      <c r="ME170" s="238"/>
      <c r="MF170" s="238"/>
      <c r="MG170" s="238"/>
      <c r="MH170" s="238"/>
      <c r="MI170" s="238"/>
      <c r="MJ170" s="238"/>
      <c r="MK170" s="238"/>
      <c r="ML170" s="238"/>
    </row>
    <row r="171" ht="18.75" customHeight="1">
      <c r="A171" s="283"/>
      <c r="B171" s="234" t="str">
        <f>'Building Bill of Materials_SLIM'!P171</f>
        <v/>
      </c>
      <c r="C171" s="234" t="str">
        <f>'Building Bill of Materials_SLIM'!Q171</f>
        <v/>
      </c>
      <c r="D171" s="234" t="str">
        <f>'Building Bill of Materials_SLIM'!R171</f>
        <v/>
      </c>
      <c r="E171" s="234" t="str">
        <f>'Building Bill of Materials_SLIM'!S171</f>
        <v/>
      </c>
      <c r="F171" s="234" t="str">
        <f>'Building Bill of Materials_SLIM'!U171</f>
        <v/>
      </c>
      <c r="G171" s="234"/>
      <c r="H171" s="234"/>
      <c r="I171" s="234"/>
      <c r="J171" s="234" t="str">
        <f>'Building Bill of Materials_SLIM'!V171</f>
        <v/>
      </c>
      <c r="K171" s="238"/>
      <c r="L171" s="238"/>
      <c r="M171" s="238"/>
      <c r="N171" s="238"/>
      <c r="O171" s="238"/>
      <c r="P171" s="238"/>
      <c r="Q171" s="238"/>
      <c r="R171" s="238"/>
      <c r="S171" s="238"/>
      <c r="T171" s="238"/>
      <c r="U171" s="238"/>
      <c r="V171" s="238"/>
      <c r="W171" s="238"/>
      <c r="X171" s="238"/>
      <c r="Y171" s="238"/>
      <c r="Z171" s="238"/>
      <c r="AA171" s="192"/>
      <c r="AB171" s="257"/>
      <c r="AC171" s="257"/>
      <c r="AD171" s="257"/>
      <c r="AE171" s="257"/>
      <c r="AF171" s="257"/>
      <c r="AG171" s="257"/>
      <c r="AH171" s="257"/>
      <c r="AI171" s="257"/>
      <c r="AJ171" s="257"/>
      <c r="AK171" s="257"/>
      <c r="AL171" s="257"/>
      <c r="AM171" s="257"/>
      <c r="AN171" s="257"/>
      <c r="AO171" s="257"/>
      <c r="AP171" s="257"/>
      <c r="AQ171" s="257"/>
      <c r="AR171" s="257"/>
      <c r="AS171" s="257"/>
      <c r="AT171" s="257"/>
      <c r="AU171" s="257"/>
      <c r="AV171" s="257"/>
      <c r="AW171" s="257"/>
      <c r="AX171" s="257"/>
      <c r="AY171" s="257"/>
      <c r="AZ171" s="257"/>
      <c r="BA171" s="257"/>
      <c r="BB171" s="257"/>
      <c r="BC171" s="257"/>
      <c r="BD171" s="257"/>
      <c r="BE171" s="257"/>
      <c r="BF171" s="257"/>
      <c r="BG171" s="257"/>
      <c r="BH171" s="257"/>
      <c r="BI171" s="257"/>
      <c r="BJ171" s="238"/>
      <c r="BK171" s="238"/>
      <c r="BL171" s="238"/>
      <c r="BM171" s="238"/>
      <c r="BN171" s="238"/>
      <c r="BO171" s="238"/>
      <c r="BP171" s="238"/>
      <c r="BQ171" s="238"/>
      <c r="BR171" s="238"/>
      <c r="BS171" s="238"/>
      <c r="BT171" s="238"/>
      <c r="BU171" s="238"/>
      <c r="BV171" s="238"/>
      <c r="BW171" s="238"/>
      <c r="BX171" s="238"/>
      <c r="BY171" s="238"/>
      <c r="BZ171" s="238"/>
      <c r="CA171" s="238"/>
      <c r="CB171" s="238"/>
      <c r="CC171" s="238"/>
      <c r="CD171" s="238"/>
      <c r="CE171" s="257"/>
      <c r="CF171" s="257"/>
      <c r="CG171" s="238"/>
      <c r="CH171" s="238"/>
      <c r="CI171" s="238"/>
      <c r="CJ171" s="238"/>
      <c r="CK171" s="238"/>
      <c r="CL171" s="238"/>
      <c r="CM171" s="238"/>
      <c r="CN171" s="238"/>
      <c r="CO171" s="238"/>
      <c r="CP171" s="238"/>
      <c r="CQ171" s="238"/>
      <c r="CR171" s="238"/>
      <c r="CS171" s="238"/>
      <c r="CT171" s="238"/>
      <c r="CU171" s="238"/>
      <c r="CV171" s="238"/>
      <c r="CW171" s="238"/>
      <c r="CX171" s="238"/>
      <c r="CY171" s="238"/>
      <c r="CZ171" s="238"/>
      <c r="DA171" s="238"/>
      <c r="DB171" s="238"/>
      <c r="DC171" s="238"/>
      <c r="DD171" s="238"/>
      <c r="DE171" s="238"/>
      <c r="DF171" s="238"/>
      <c r="DG171" s="257"/>
      <c r="DH171" s="238"/>
      <c r="DI171" s="238"/>
      <c r="DJ171" s="238"/>
      <c r="DK171" s="238"/>
      <c r="DL171" s="238"/>
      <c r="DM171" s="238"/>
      <c r="DN171" s="238"/>
      <c r="DO171" s="238"/>
      <c r="DP171" s="238"/>
      <c r="DQ171" s="238"/>
      <c r="DR171" s="238"/>
      <c r="DS171" s="238"/>
      <c r="DT171" s="238"/>
      <c r="DU171" s="238"/>
      <c r="DV171" s="238"/>
      <c r="DW171" s="238"/>
      <c r="DX171" s="238"/>
      <c r="DY171" s="238"/>
      <c r="DZ171" s="238"/>
      <c r="EA171" s="238"/>
      <c r="EB171" s="238"/>
      <c r="EC171" s="238"/>
      <c r="ED171" s="238"/>
      <c r="EE171" s="238"/>
      <c r="EF171" s="238"/>
      <c r="EG171" s="238"/>
      <c r="EH171" s="238"/>
      <c r="EI171" s="238"/>
      <c r="EJ171" s="238"/>
      <c r="EK171" s="238"/>
      <c r="EL171" s="238"/>
      <c r="EM171" s="238"/>
      <c r="EN171" s="238"/>
      <c r="EO171" s="238"/>
      <c r="EP171" s="238"/>
      <c r="EQ171" s="238"/>
      <c r="ER171" s="238"/>
      <c r="ES171" s="238"/>
      <c r="ET171" s="238"/>
      <c r="EU171" s="238"/>
      <c r="EV171" s="238"/>
      <c r="EW171" s="238"/>
      <c r="EX171" s="238"/>
      <c r="EY171" s="238"/>
      <c r="EZ171" s="238"/>
      <c r="FA171" s="238"/>
      <c r="FB171" s="238"/>
      <c r="FC171" s="238"/>
      <c r="FD171" s="238"/>
      <c r="FE171" s="238"/>
      <c r="FF171" s="238"/>
      <c r="FG171" s="238"/>
      <c r="FH171" s="257"/>
      <c r="FI171" s="257"/>
      <c r="FJ171" s="257"/>
      <c r="FK171" s="257"/>
      <c r="FL171" s="257"/>
      <c r="FM171" s="257"/>
      <c r="FN171" s="257"/>
      <c r="FO171" s="257"/>
      <c r="FP171" s="257"/>
      <c r="FQ171" s="257"/>
      <c r="FR171" s="257"/>
      <c r="FS171" s="257"/>
      <c r="FT171" s="257"/>
      <c r="FU171" s="257"/>
      <c r="FV171" s="257"/>
      <c r="FW171" s="257"/>
      <c r="FX171" s="257"/>
      <c r="FY171" s="238"/>
      <c r="FZ171" s="238"/>
      <c r="GA171" s="238"/>
      <c r="GB171" s="238"/>
      <c r="GC171" s="238"/>
      <c r="GD171" s="238"/>
      <c r="GE171" s="238"/>
      <c r="GF171" s="238"/>
      <c r="GG171" s="238"/>
      <c r="GH171" s="238"/>
      <c r="GI171" s="238"/>
      <c r="GJ171" s="238"/>
      <c r="GK171" s="238"/>
      <c r="GL171" s="238"/>
      <c r="GM171" s="238"/>
      <c r="GN171" s="238"/>
      <c r="GO171" s="238"/>
      <c r="GP171" s="238"/>
      <c r="GQ171" s="238"/>
      <c r="GR171" s="238"/>
      <c r="GS171" s="238"/>
      <c r="GT171" s="238"/>
      <c r="GU171" s="238"/>
      <c r="GV171" s="238"/>
      <c r="GW171" s="238"/>
      <c r="GX171" s="238"/>
      <c r="GY171" s="238"/>
      <c r="GZ171" s="238"/>
      <c r="HA171" s="238"/>
      <c r="HB171" s="238"/>
      <c r="HC171" s="238"/>
      <c r="HD171" s="238"/>
      <c r="HE171" s="238"/>
      <c r="HF171" s="238"/>
      <c r="HG171" s="238"/>
      <c r="HH171" s="238"/>
      <c r="HI171" s="238"/>
      <c r="HJ171" s="238"/>
      <c r="HK171" s="238"/>
      <c r="HL171" s="238"/>
      <c r="HM171" s="238"/>
      <c r="HN171" s="238"/>
      <c r="HO171" s="238"/>
      <c r="HP171" s="238"/>
      <c r="HQ171" s="238"/>
      <c r="HR171" s="238"/>
      <c r="HS171" s="238"/>
      <c r="HT171" s="238"/>
      <c r="HU171" s="238"/>
      <c r="HV171" s="238"/>
      <c r="HW171" s="238"/>
      <c r="HX171" s="257"/>
      <c r="HY171" s="257"/>
      <c r="HZ171" s="257"/>
      <c r="IA171" s="257"/>
      <c r="IB171" s="257"/>
      <c r="IC171" s="257"/>
      <c r="ID171" s="257"/>
      <c r="IE171" s="257"/>
      <c r="IF171" s="257"/>
      <c r="IG171" s="257"/>
      <c r="IH171" s="257"/>
      <c r="II171" s="257"/>
      <c r="IJ171" s="257"/>
      <c r="IK171" s="257"/>
      <c r="IL171" s="257"/>
      <c r="IM171" s="257"/>
      <c r="IN171" s="257"/>
      <c r="IO171" s="257"/>
      <c r="IP171" s="257"/>
      <c r="IQ171" s="257"/>
      <c r="IR171" s="257"/>
      <c r="IS171" s="257"/>
      <c r="IT171" s="257"/>
      <c r="IU171" s="257"/>
      <c r="IV171" s="257"/>
      <c r="IW171" s="257"/>
      <c r="IX171" s="257"/>
      <c r="IY171" s="257"/>
      <c r="IZ171" s="257"/>
      <c r="JA171" s="257"/>
      <c r="JB171" s="257"/>
      <c r="JC171" s="257"/>
      <c r="JD171" s="257"/>
      <c r="JE171" s="257"/>
      <c r="JF171" s="238"/>
      <c r="JG171" s="238"/>
      <c r="JH171" s="238"/>
      <c r="JI171" s="238"/>
      <c r="JJ171" s="238"/>
      <c r="JK171" s="238"/>
      <c r="JL171" s="238"/>
      <c r="JM171" s="238"/>
      <c r="JN171" s="238"/>
      <c r="JO171" s="238"/>
      <c r="JP171" s="238"/>
      <c r="JQ171" s="238"/>
      <c r="JR171" s="238"/>
      <c r="JS171" s="238"/>
      <c r="JT171" s="238"/>
      <c r="JU171" s="238"/>
      <c r="JV171" s="238"/>
      <c r="JW171" s="238"/>
      <c r="JX171" s="238"/>
      <c r="JY171" s="238"/>
      <c r="JZ171" s="238"/>
      <c r="KA171" s="238"/>
      <c r="KB171" s="238"/>
      <c r="KC171" s="238"/>
      <c r="KD171" s="238"/>
      <c r="KE171" s="238"/>
      <c r="KF171" s="238"/>
      <c r="KG171" s="238"/>
      <c r="KH171" s="238"/>
      <c r="KI171" s="238"/>
      <c r="KJ171" s="238"/>
      <c r="KK171" s="238"/>
      <c r="KL171" s="238"/>
      <c r="KM171" s="238"/>
      <c r="KN171" s="238"/>
      <c r="KO171" s="238"/>
      <c r="KP171" s="238"/>
      <c r="KQ171" s="238"/>
      <c r="KR171" s="238"/>
      <c r="KS171" s="238"/>
      <c r="KT171" s="238"/>
      <c r="KU171" s="238"/>
      <c r="KV171" s="238"/>
      <c r="KW171" s="238"/>
      <c r="KX171" s="238"/>
      <c r="KY171" s="238"/>
      <c r="KZ171" s="238"/>
      <c r="LA171" s="238"/>
      <c r="LB171" s="238"/>
      <c r="LC171" s="238"/>
      <c r="LD171" s="238"/>
      <c r="LE171" s="238"/>
      <c r="LF171" s="238"/>
      <c r="LG171" s="238"/>
      <c r="LH171" s="238"/>
      <c r="LI171" s="238"/>
      <c r="LJ171" s="238"/>
      <c r="LK171" s="238"/>
      <c r="LL171" s="238"/>
      <c r="LM171" s="238"/>
      <c r="LN171" s="238"/>
      <c r="LO171" s="238"/>
      <c r="LP171" s="238"/>
      <c r="LQ171" s="238"/>
      <c r="LR171" s="238"/>
      <c r="LS171" s="238"/>
      <c r="LT171" s="238"/>
      <c r="LU171" s="238"/>
      <c r="LV171" s="238"/>
      <c r="LW171" s="238"/>
      <c r="LX171" s="238"/>
      <c r="LY171" s="238"/>
      <c r="LZ171" s="238"/>
      <c r="MA171" s="238"/>
      <c r="MB171" s="238"/>
      <c r="MC171" s="238"/>
      <c r="MD171" s="238"/>
      <c r="ME171" s="238"/>
      <c r="MF171" s="238"/>
      <c r="MG171" s="238"/>
      <c r="MH171" s="238"/>
      <c r="MI171" s="238"/>
      <c r="MJ171" s="238"/>
      <c r="MK171" s="238"/>
      <c r="ML171" s="238"/>
    </row>
    <row r="172" ht="18.75" customHeight="1">
      <c r="A172" s="283"/>
      <c r="B172" s="234" t="str">
        <f>'Building Bill of Materials_SLIM'!P172</f>
        <v/>
      </c>
      <c r="C172" s="234" t="str">
        <f>'Building Bill of Materials_SLIM'!Q172</f>
        <v/>
      </c>
      <c r="D172" s="234" t="str">
        <f>'Building Bill of Materials_SLIM'!R172</f>
        <v/>
      </c>
      <c r="E172" s="234" t="str">
        <f>'Building Bill of Materials_SLIM'!S172</f>
        <v/>
      </c>
      <c r="F172" s="234" t="str">
        <f>'Building Bill of Materials_SLIM'!U172</f>
        <v/>
      </c>
      <c r="G172" s="234"/>
      <c r="H172" s="234"/>
      <c r="I172" s="234"/>
      <c r="J172" s="234" t="str">
        <f>'Building Bill of Materials_SLIM'!V172</f>
        <v/>
      </c>
      <c r="K172" s="238"/>
      <c r="L172" s="238"/>
      <c r="M172" s="238"/>
      <c r="N172" s="238"/>
      <c r="O172" s="238"/>
      <c r="P172" s="238"/>
      <c r="Q172" s="238"/>
      <c r="R172" s="238"/>
      <c r="S172" s="238"/>
      <c r="T172" s="238"/>
      <c r="U172" s="238"/>
      <c r="V172" s="238"/>
      <c r="W172" s="238"/>
      <c r="X172" s="238"/>
      <c r="Y172" s="238"/>
      <c r="Z172" s="238"/>
      <c r="AA172" s="192"/>
      <c r="AB172" s="257"/>
      <c r="AC172" s="257"/>
      <c r="AD172" s="257"/>
      <c r="AE172" s="257"/>
      <c r="AF172" s="257"/>
      <c r="AG172" s="257"/>
      <c r="AH172" s="257"/>
      <c r="AI172" s="257"/>
      <c r="AJ172" s="257"/>
      <c r="AK172" s="257"/>
      <c r="AL172" s="257"/>
      <c r="AM172" s="257"/>
      <c r="AN172" s="257"/>
      <c r="AO172" s="257"/>
      <c r="AP172" s="257"/>
      <c r="AQ172" s="257"/>
      <c r="AR172" s="257"/>
      <c r="AS172" s="257"/>
      <c r="AT172" s="257"/>
      <c r="AU172" s="257"/>
      <c r="AV172" s="257"/>
      <c r="AW172" s="257"/>
      <c r="AX172" s="257"/>
      <c r="AY172" s="257"/>
      <c r="AZ172" s="257"/>
      <c r="BA172" s="257"/>
      <c r="BB172" s="257"/>
      <c r="BC172" s="257"/>
      <c r="BD172" s="257"/>
      <c r="BE172" s="257"/>
      <c r="BF172" s="257"/>
      <c r="BG172" s="257"/>
      <c r="BH172" s="257"/>
      <c r="BI172" s="257"/>
      <c r="BJ172" s="238"/>
      <c r="BK172" s="238"/>
      <c r="BL172" s="238"/>
      <c r="BM172" s="238"/>
      <c r="BN172" s="238"/>
      <c r="BO172" s="238"/>
      <c r="BP172" s="238"/>
      <c r="BQ172" s="238"/>
      <c r="BR172" s="238"/>
      <c r="BS172" s="238"/>
      <c r="BT172" s="238"/>
      <c r="BU172" s="238"/>
      <c r="BV172" s="238"/>
      <c r="BW172" s="238"/>
      <c r="BX172" s="238"/>
      <c r="BY172" s="238"/>
      <c r="BZ172" s="238"/>
      <c r="CA172" s="238"/>
      <c r="CB172" s="238"/>
      <c r="CC172" s="238"/>
      <c r="CD172" s="238"/>
      <c r="CE172" s="257"/>
      <c r="CF172" s="257"/>
      <c r="CG172" s="238"/>
      <c r="CH172" s="238"/>
      <c r="CI172" s="238"/>
      <c r="CJ172" s="238"/>
      <c r="CK172" s="238"/>
      <c r="CL172" s="238"/>
      <c r="CM172" s="238"/>
      <c r="CN172" s="238"/>
      <c r="CO172" s="238"/>
      <c r="CP172" s="238"/>
      <c r="CQ172" s="238"/>
      <c r="CR172" s="238"/>
      <c r="CS172" s="238"/>
      <c r="CT172" s="238"/>
      <c r="CU172" s="238"/>
      <c r="CV172" s="238"/>
      <c r="CW172" s="238"/>
      <c r="CX172" s="238"/>
      <c r="CY172" s="238"/>
      <c r="CZ172" s="238"/>
      <c r="DA172" s="238"/>
      <c r="DB172" s="238"/>
      <c r="DC172" s="238"/>
      <c r="DD172" s="238"/>
      <c r="DE172" s="238"/>
      <c r="DF172" s="238"/>
      <c r="DG172" s="257"/>
      <c r="DH172" s="238"/>
      <c r="DI172" s="238"/>
      <c r="DJ172" s="238"/>
      <c r="DK172" s="238"/>
      <c r="DL172" s="238"/>
      <c r="DM172" s="238"/>
      <c r="DN172" s="238"/>
      <c r="DO172" s="238"/>
      <c r="DP172" s="238"/>
      <c r="DQ172" s="238"/>
      <c r="DR172" s="238"/>
      <c r="DS172" s="238"/>
      <c r="DT172" s="238"/>
      <c r="DU172" s="238"/>
      <c r="DV172" s="238"/>
      <c r="DW172" s="238"/>
      <c r="DX172" s="238"/>
      <c r="DY172" s="238"/>
      <c r="DZ172" s="238"/>
      <c r="EA172" s="238"/>
      <c r="EB172" s="238"/>
      <c r="EC172" s="238"/>
      <c r="ED172" s="238"/>
      <c r="EE172" s="238"/>
      <c r="EF172" s="238"/>
      <c r="EG172" s="238"/>
      <c r="EH172" s="238"/>
      <c r="EI172" s="238"/>
      <c r="EJ172" s="238"/>
      <c r="EK172" s="238"/>
      <c r="EL172" s="238"/>
      <c r="EM172" s="238"/>
      <c r="EN172" s="238"/>
      <c r="EO172" s="238"/>
      <c r="EP172" s="238"/>
      <c r="EQ172" s="238"/>
      <c r="ER172" s="238"/>
      <c r="ES172" s="238"/>
      <c r="ET172" s="238"/>
      <c r="EU172" s="238"/>
      <c r="EV172" s="238"/>
      <c r="EW172" s="238"/>
      <c r="EX172" s="238"/>
      <c r="EY172" s="238"/>
      <c r="EZ172" s="238"/>
      <c r="FA172" s="238"/>
      <c r="FB172" s="238"/>
      <c r="FC172" s="238"/>
      <c r="FD172" s="238"/>
      <c r="FE172" s="238"/>
      <c r="FF172" s="238"/>
      <c r="FG172" s="238"/>
      <c r="FH172" s="257"/>
      <c r="FI172" s="257"/>
      <c r="FJ172" s="257"/>
      <c r="FK172" s="257"/>
      <c r="FL172" s="257"/>
      <c r="FM172" s="257"/>
      <c r="FN172" s="257"/>
      <c r="FO172" s="257"/>
      <c r="FP172" s="257"/>
      <c r="FQ172" s="257"/>
      <c r="FR172" s="257"/>
      <c r="FS172" s="257"/>
      <c r="FT172" s="257"/>
      <c r="FU172" s="257"/>
      <c r="FV172" s="257"/>
      <c r="FW172" s="257"/>
      <c r="FX172" s="257"/>
      <c r="FY172" s="238"/>
      <c r="FZ172" s="238"/>
      <c r="GA172" s="238"/>
      <c r="GB172" s="238"/>
      <c r="GC172" s="238"/>
      <c r="GD172" s="238"/>
      <c r="GE172" s="238"/>
      <c r="GF172" s="238"/>
      <c r="GG172" s="238"/>
      <c r="GH172" s="238"/>
      <c r="GI172" s="238"/>
      <c r="GJ172" s="238"/>
      <c r="GK172" s="238"/>
      <c r="GL172" s="238"/>
      <c r="GM172" s="238"/>
      <c r="GN172" s="238"/>
      <c r="GO172" s="238"/>
      <c r="GP172" s="238"/>
      <c r="GQ172" s="238"/>
      <c r="GR172" s="238"/>
      <c r="GS172" s="238"/>
      <c r="GT172" s="238"/>
      <c r="GU172" s="238"/>
      <c r="GV172" s="238"/>
      <c r="GW172" s="238"/>
      <c r="GX172" s="238"/>
      <c r="GY172" s="238"/>
      <c r="GZ172" s="238"/>
      <c r="HA172" s="238"/>
      <c r="HB172" s="238"/>
      <c r="HC172" s="238"/>
      <c r="HD172" s="238"/>
      <c r="HE172" s="238"/>
      <c r="HF172" s="238"/>
      <c r="HG172" s="238"/>
      <c r="HH172" s="238"/>
      <c r="HI172" s="238"/>
      <c r="HJ172" s="238"/>
      <c r="HK172" s="238"/>
      <c r="HL172" s="238"/>
      <c r="HM172" s="238"/>
      <c r="HN172" s="238"/>
      <c r="HO172" s="238"/>
      <c r="HP172" s="238"/>
      <c r="HQ172" s="238"/>
      <c r="HR172" s="238"/>
      <c r="HS172" s="238"/>
      <c r="HT172" s="238"/>
      <c r="HU172" s="238"/>
      <c r="HV172" s="238"/>
      <c r="HW172" s="238"/>
      <c r="HX172" s="257"/>
      <c r="HY172" s="257"/>
      <c r="HZ172" s="257"/>
      <c r="IA172" s="257"/>
      <c r="IB172" s="257"/>
      <c r="IC172" s="257"/>
      <c r="ID172" s="257"/>
      <c r="IE172" s="257"/>
      <c r="IF172" s="257"/>
      <c r="IG172" s="257"/>
      <c r="IH172" s="257"/>
      <c r="II172" s="257"/>
      <c r="IJ172" s="257"/>
      <c r="IK172" s="257"/>
      <c r="IL172" s="257"/>
      <c r="IM172" s="257"/>
      <c r="IN172" s="257"/>
      <c r="IO172" s="257"/>
      <c r="IP172" s="257"/>
      <c r="IQ172" s="257"/>
      <c r="IR172" s="257"/>
      <c r="IS172" s="257"/>
      <c r="IT172" s="257"/>
      <c r="IU172" s="257"/>
      <c r="IV172" s="257"/>
      <c r="IW172" s="257"/>
      <c r="IX172" s="257"/>
      <c r="IY172" s="257"/>
      <c r="IZ172" s="257"/>
      <c r="JA172" s="257"/>
      <c r="JB172" s="257"/>
      <c r="JC172" s="257"/>
      <c r="JD172" s="257"/>
      <c r="JE172" s="257"/>
      <c r="JF172" s="238"/>
      <c r="JG172" s="238"/>
      <c r="JH172" s="238"/>
      <c r="JI172" s="238"/>
      <c r="JJ172" s="238"/>
      <c r="JK172" s="238"/>
      <c r="JL172" s="238"/>
      <c r="JM172" s="238"/>
      <c r="JN172" s="238"/>
      <c r="JO172" s="238"/>
      <c r="JP172" s="238"/>
      <c r="JQ172" s="238"/>
      <c r="JR172" s="238"/>
      <c r="JS172" s="238"/>
      <c r="JT172" s="238"/>
      <c r="JU172" s="238"/>
      <c r="JV172" s="238"/>
      <c r="JW172" s="238"/>
      <c r="JX172" s="238"/>
      <c r="JY172" s="238"/>
      <c r="JZ172" s="238"/>
      <c r="KA172" s="238"/>
      <c r="KB172" s="238"/>
      <c r="KC172" s="238"/>
      <c r="KD172" s="238"/>
      <c r="KE172" s="238"/>
      <c r="KF172" s="238"/>
      <c r="KG172" s="238"/>
      <c r="KH172" s="238"/>
      <c r="KI172" s="238"/>
      <c r="KJ172" s="238"/>
      <c r="KK172" s="238"/>
      <c r="KL172" s="238"/>
      <c r="KM172" s="238"/>
      <c r="KN172" s="238"/>
      <c r="KO172" s="238"/>
      <c r="KP172" s="238"/>
      <c r="KQ172" s="238"/>
      <c r="KR172" s="238"/>
      <c r="KS172" s="238"/>
      <c r="KT172" s="238"/>
      <c r="KU172" s="238"/>
      <c r="KV172" s="238"/>
      <c r="KW172" s="238"/>
      <c r="KX172" s="238"/>
      <c r="KY172" s="238"/>
      <c r="KZ172" s="238"/>
      <c r="LA172" s="238"/>
      <c r="LB172" s="238"/>
      <c r="LC172" s="238"/>
      <c r="LD172" s="238"/>
      <c r="LE172" s="238"/>
      <c r="LF172" s="238"/>
      <c r="LG172" s="238"/>
      <c r="LH172" s="238"/>
      <c r="LI172" s="238"/>
      <c r="LJ172" s="238"/>
      <c r="LK172" s="238"/>
      <c r="LL172" s="238"/>
      <c r="LM172" s="238"/>
      <c r="LN172" s="238"/>
      <c r="LO172" s="238"/>
      <c r="LP172" s="238"/>
      <c r="LQ172" s="238"/>
      <c r="LR172" s="238"/>
      <c r="LS172" s="238"/>
      <c r="LT172" s="238"/>
      <c r="LU172" s="238"/>
      <c r="LV172" s="238"/>
      <c r="LW172" s="238"/>
      <c r="LX172" s="238"/>
      <c r="LY172" s="238"/>
      <c r="LZ172" s="238"/>
      <c r="MA172" s="238"/>
      <c r="MB172" s="238"/>
      <c r="MC172" s="238"/>
      <c r="MD172" s="238"/>
      <c r="ME172" s="238"/>
      <c r="MF172" s="238"/>
      <c r="MG172" s="238"/>
      <c r="MH172" s="238"/>
      <c r="MI172" s="238"/>
      <c r="MJ172" s="238"/>
      <c r="MK172" s="238"/>
      <c r="ML172" s="238"/>
    </row>
    <row r="173" ht="18.75" customHeight="1">
      <c r="A173" s="283"/>
      <c r="B173" s="234" t="str">
        <f>'Building Bill of Materials_SLIM'!P173</f>
        <v/>
      </c>
      <c r="C173" s="234" t="str">
        <f>'Building Bill of Materials_SLIM'!Q173</f>
        <v/>
      </c>
      <c r="D173" s="234" t="str">
        <f>'Building Bill of Materials_SLIM'!R173</f>
        <v/>
      </c>
      <c r="E173" s="234" t="str">
        <f>'Building Bill of Materials_SLIM'!S173</f>
        <v/>
      </c>
      <c r="F173" s="234" t="str">
        <f>'Building Bill of Materials_SLIM'!U173</f>
        <v/>
      </c>
      <c r="G173" s="234"/>
      <c r="H173" s="234"/>
      <c r="I173" s="234"/>
      <c r="J173" s="234" t="str">
        <f>'Building Bill of Materials_SLIM'!V173</f>
        <v/>
      </c>
      <c r="K173" s="238"/>
      <c r="L173" s="238"/>
      <c r="M173" s="238"/>
      <c r="N173" s="238"/>
      <c r="O173" s="238"/>
      <c r="P173" s="238"/>
      <c r="Q173" s="238"/>
      <c r="R173" s="238"/>
      <c r="S173" s="238"/>
      <c r="T173" s="238"/>
      <c r="U173" s="238"/>
      <c r="V173" s="238"/>
      <c r="W173" s="238"/>
      <c r="X173" s="238"/>
      <c r="Y173" s="238"/>
      <c r="Z173" s="238"/>
      <c r="AA173" s="192"/>
      <c r="AB173" s="257"/>
      <c r="AC173" s="257"/>
      <c r="AD173" s="257"/>
      <c r="AE173" s="257"/>
      <c r="AF173" s="257"/>
      <c r="AG173" s="257"/>
      <c r="AH173" s="257"/>
      <c r="AI173" s="257"/>
      <c r="AJ173" s="257"/>
      <c r="AK173" s="257"/>
      <c r="AL173" s="257"/>
      <c r="AM173" s="257"/>
      <c r="AN173" s="257"/>
      <c r="AO173" s="257"/>
      <c r="AP173" s="257"/>
      <c r="AQ173" s="257"/>
      <c r="AR173" s="257"/>
      <c r="AS173" s="257"/>
      <c r="AT173" s="257"/>
      <c r="AU173" s="257"/>
      <c r="AV173" s="257"/>
      <c r="AW173" s="257"/>
      <c r="AX173" s="257"/>
      <c r="AY173" s="257"/>
      <c r="AZ173" s="257"/>
      <c r="BA173" s="257"/>
      <c r="BB173" s="257"/>
      <c r="BC173" s="257"/>
      <c r="BD173" s="257"/>
      <c r="BE173" s="257"/>
      <c r="BF173" s="257"/>
      <c r="BG173" s="257"/>
      <c r="BH173" s="257"/>
      <c r="BI173" s="257"/>
      <c r="BJ173" s="238"/>
      <c r="BK173" s="238"/>
      <c r="BL173" s="238"/>
      <c r="BM173" s="238"/>
      <c r="BN173" s="238"/>
      <c r="BO173" s="238"/>
      <c r="BP173" s="238"/>
      <c r="BQ173" s="238"/>
      <c r="BR173" s="238"/>
      <c r="BS173" s="238"/>
      <c r="BT173" s="238"/>
      <c r="BU173" s="238"/>
      <c r="BV173" s="238"/>
      <c r="BW173" s="238"/>
      <c r="BX173" s="238"/>
      <c r="BY173" s="238"/>
      <c r="BZ173" s="238"/>
      <c r="CA173" s="238"/>
      <c r="CB173" s="238"/>
      <c r="CC173" s="238"/>
      <c r="CD173" s="238"/>
      <c r="CE173" s="257"/>
      <c r="CF173" s="257"/>
      <c r="CG173" s="238"/>
      <c r="CH173" s="238"/>
      <c r="CI173" s="238"/>
      <c r="CJ173" s="238"/>
      <c r="CK173" s="238"/>
      <c r="CL173" s="238"/>
      <c r="CM173" s="238"/>
      <c r="CN173" s="238"/>
      <c r="CO173" s="238"/>
      <c r="CP173" s="238"/>
      <c r="CQ173" s="238"/>
      <c r="CR173" s="238"/>
      <c r="CS173" s="238"/>
      <c r="CT173" s="238"/>
      <c r="CU173" s="238"/>
      <c r="CV173" s="238"/>
      <c r="CW173" s="238"/>
      <c r="CX173" s="238"/>
      <c r="CY173" s="238"/>
      <c r="CZ173" s="238"/>
      <c r="DA173" s="238"/>
      <c r="DB173" s="238"/>
      <c r="DC173" s="238"/>
      <c r="DD173" s="238"/>
      <c r="DE173" s="238"/>
      <c r="DF173" s="238"/>
      <c r="DG173" s="257"/>
      <c r="DH173" s="238"/>
      <c r="DI173" s="238"/>
      <c r="DJ173" s="238"/>
      <c r="DK173" s="238"/>
      <c r="DL173" s="238"/>
      <c r="DM173" s="238"/>
      <c r="DN173" s="238"/>
      <c r="DO173" s="238"/>
      <c r="DP173" s="238"/>
      <c r="DQ173" s="238"/>
      <c r="DR173" s="238"/>
      <c r="DS173" s="238"/>
      <c r="DT173" s="238"/>
      <c r="DU173" s="238"/>
      <c r="DV173" s="238"/>
      <c r="DW173" s="238"/>
      <c r="DX173" s="238"/>
      <c r="DY173" s="238"/>
      <c r="DZ173" s="238"/>
      <c r="EA173" s="238"/>
      <c r="EB173" s="238"/>
      <c r="EC173" s="238"/>
      <c r="ED173" s="238"/>
      <c r="EE173" s="238"/>
      <c r="EF173" s="238"/>
      <c r="EG173" s="238"/>
      <c r="EH173" s="238"/>
      <c r="EI173" s="238"/>
      <c r="EJ173" s="238"/>
      <c r="EK173" s="238"/>
      <c r="EL173" s="238"/>
      <c r="EM173" s="238"/>
      <c r="EN173" s="238"/>
      <c r="EO173" s="238"/>
      <c r="EP173" s="238"/>
      <c r="EQ173" s="238"/>
      <c r="ER173" s="238"/>
      <c r="ES173" s="238"/>
      <c r="ET173" s="238"/>
      <c r="EU173" s="238"/>
      <c r="EV173" s="238"/>
      <c r="EW173" s="238"/>
      <c r="EX173" s="238"/>
      <c r="EY173" s="238"/>
      <c r="EZ173" s="238"/>
      <c r="FA173" s="238"/>
      <c r="FB173" s="238"/>
      <c r="FC173" s="238"/>
      <c r="FD173" s="238"/>
      <c r="FE173" s="238"/>
      <c r="FF173" s="238"/>
      <c r="FG173" s="238"/>
      <c r="FH173" s="257"/>
      <c r="FI173" s="257"/>
      <c r="FJ173" s="257"/>
      <c r="FK173" s="257"/>
      <c r="FL173" s="257"/>
      <c r="FM173" s="257"/>
      <c r="FN173" s="257"/>
      <c r="FO173" s="257"/>
      <c r="FP173" s="257"/>
      <c r="FQ173" s="257"/>
      <c r="FR173" s="257"/>
      <c r="FS173" s="257"/>
      <c r="FT173" s="257"/>
      <c r="FU173" s="257"/>
      <c r="FV173" s="257"/>
      <c r="FW173" s="257"/>
      <c r="FX173" s="257"/>
      <c r="FY173" s="238"/>
      <c r="FZ173" s="238"/>
      <c r="GA173" s="238"/>
      <c r="GB173" s="238"/>
      <c r="GC173" s="238"/>
      <c r="GD173" s="238"/>
      <c r="GE173" s="238"/>
      <c r="GF173" s="238"/>
      <c r="GG173" s="238"/>
      <c r="GH173" s="238"/>
      <c r="GI173" s="238"/>
      <c r="GJ173" s="238"/>
      <c r="GK173" s="238"/>
      <c r="GL173" s="238"/>
      <c r="GM173" s="238"/>
      <c r="GN173" s="238"/>
      <c r="GO173" s="238"/>
      <c r="GP173" s="238"/>
      <c r="GQ173" s="238"/>
      <c r="GR173" s="238"/>
      <c r="GS173" s="238"/>
      <c r="GT173" s="238"/>
      <c r="GU173" s="238"/>
      <c r="GV173" s="238"/>
      <c r="GW173" s="238"/>
      <c r="GX173" s="238"/>
      <c r="GY173" s="238"/>
      <c r="GZ173" s="238"/>
      <c r="HA173" s="238"/>
      <c r="HB173" s="238"/>
      <c r="HC173" s="238"/>
      <c r="HD173" s="238"/>
      <c r="HE173" s="238"/>
      <c r="HF173" s="238"/>
      <c r="HG173" s="238"/>
      <c r="HH173" s="238"/>
      <c r="HI173" s="238"/>
      <c r="HJ173" s="238"/>
      <c r="HK173" s="238"/>
      <c r="HL173" s="238"/>
      <c r="HM173" s="238"/>
      <c r="HN173" s="238"/>
      <c r="HO173" s="238"/>
      <c r="HP173" s="238"/>
      <c r="HQ173" s="238"/>
      <c r="HR173" s="238"/>
      <c r="HS173" s="238"/>
      <c r="HT173" s="238"/>
      <c r="HU173" s="238"/>
      <c r="HV173" s="238"/>
      <c r="HW173" s="238"/>
      <c r="HX173" s="257"/>
      <c r="HY173" s="257"/>
      <c r="HZ173" s="257"/>
      <c r="IA173" s="257"/>
      <c r="IB173" s="257"/>
      <c r="IC173" s="257"/>
      <c r="ID173" s="257"/>
      <c r="IE173" s="257"/>
      <c r="IF173" s="257"/>
      <c r="IG173" s="257"/>
      <c r="IH173" s="257"/>
      <c r="II173" s="257"/>
      <c r="IJ173" s="257"/>
      <c r="IK173" s="257"/>
      <c r="IL173" s="257"/>
      <c r="IM173" s="257"/>
      <c r="IN173" s="257"/>
      <c r="IO173" s="257"/>
      <c r="IP173" s="257"/>
      <c r="IQ173" s="257"/>
      <c r="IR173" s="257"/>
      <c r="IS173" s="257"/>
      <c r="IT173" s="257"/>
      <c r="IU173" s="257"/>
      <c r="IV173" s="257"/>
      <c r="IW173" s="257"/>
      <c r="IX173" s="257"/>
      <c r="IY173" s="257"/>
      <c r="IZ173" s="257"/>
      <c r="JA173" s="257"/>
      <c r="JB173" s="257"/>
      <c r="JC173" s="257"/>
      <c r="JD173" s="257"/>
      <c r="JE173" s="257"/>
      <c r="JF173" s="238"/>
      <c r="JG173" s="238"/>
      <c r="JH173" s="238"/>
      <c r="JI173" s="238"/>
      <c r="JJ173" s="238"/>
      <c r="JK173" s="238"/>
      <c r="JL173" s="238"/>
      <c r="JM173" s="238"/>
      <c r="JN173" s="238"/>
      <c r="JO173" s="238"/>
      <c r="JP173" s="238"/>
      <c r="JQ173" s="238"/>
      <c r="JR173" s="238"/>
      <c r="JS173" s="238"/>
      <c r="JT173" s="238"/>
      <c r="JU173" s="238"/>
      <c r="JV173" s="238"/>
      <c r="JW173" s="238"/>
      <c r="JX173" s="238"/>
      <c r="JY173" s="238"/>
      <c r="JZ173" s="238"/>
      <c r="KA173" s="238"/>
      <c r="KB173" s="238"/>
      <c r="KC173" s="238"/>
      <c r="KD173" s="238"/>
      <c r="KE173" s="238"/>
      <c r="KF173" s="238"/>
      <c r="KG173" s="238"/>
      <c r="KH173" s="238"/>
      <c r="KI173" s="238"/>
      <c r="KJ173" s="238"/>
      <c r="KK173" s="238"/>
      <c r="KL173" s="238"/>
      <c r="KM173" s="238"/>
      <c r="KN173" s="238"/>
      <c r="KO173" s="238"/>
      <c r="KP173" s="238"/>
      <c r="KQ173" s="238"/>
      <c r="KR173" s="238"/>
      <c r="KS173" s="238"/>
      <c r="KT173" s="238"/>
      <c r="KU173" s="238"/>
      <c r="KV173" s="238"/>
      <c r="KW173" s="238"/>
      <c r="KX173" s="238"/>
      <c r="KY173" s="238"/>
      <c r="KZ173" s="238"/>
      <c r="LA173" s="238"/>
      <c r="LB173" s="238"/>
      <c r="LC173" s="238"/>
      <c r="LD173" s="238"/>
      <c r="LE173" s="238"/>
      <c r="LF173" s="238"/>
      <c r="LG173" s="238"/>
      <c r="LH173" s="238"/>
      <c r="LI173" s="238"/>
      <c r="LJ173" s="238"/>
      <c r="LK173" s="238"/>
      <c r="LL173" s="238"/>
      <c r="LM173" s="238"/>
      <c r="LN173" s="238"/>
      <c r="LO173" s="238"/>
      <c r="LP173" s="238"/>
      <c r="LQ173" s="238"/>
      <c r="LR173" s="238"/>
      <c r="LS173" s="238"/>
      <c r="LT173" s="238"/>
      <c r="LU173" s="238"/>
      <c r="LV173" s="238"/>
      <c r="LW173" s="238"/>
      <c r="LX173" s="238"/>
      <c r="LY173" s="238"/>
      <c r="LZ173" s="238"/>
      <c r="MA173" s="238"/>
      <c r="MB173" s="238"/>
      <c r="MC173" s="238"/>
      <c r="MD173" s="238"/>
      <c r="ME173" s="238"/>
      <c r="MF173" s="238"/>
      <c r="MG173" s="238"/>
      <c r="MH173" s="238"/>
      <c r="MI173" s="238"/>
      <c r="MJ173" s="238"/>
      <c r="MK173" s="238"/>
      <c r="ML173" s="238"/>
    </row>
    <row r="174" ht="18.75" customHeight="1">
      <c r="A174" s="283"/>
      <c r="B174" s="234" t="str">
        <f>'Building Bill of Materials_SLIM'!P174</f>
        <v/>
      </c>
      <c r="C174" s="234" t="str">
        <f>'Building Bill of Materials_SLIM'!Q174</f>
        <v/>
      </c>
      <c r="D174" s="234" t="str">
        <f>'Building Bill of Materials_SLIM'!R174</f>
        <v/>
      </c>
      <c r="E174" s="234" t="str">
        <f>'Building Bill of Materials_SLIM'!S174</f>
        <v/>
      </c>
      <c r="F174" s="234" t="str">
        <f>'Building Bill of Materials_SLIM'!U174</f>
        <v/>
      </c>
      <c r="G174" s="234"/>
      <c r="H174" s="234"/>
      <c r="I174" s="234"/>
      <c r="J174" s="234" t="str">
        <f>'Building Bill of Materials_SLIM'!V174</f>
        <v/>
      </c>
      <c r="K174" s="238"/>
      <c r="L174" s="238"/>
      <c r="M174" s="238"/>
      <c r="N174" s="238"/>
      <c r="O174" s="238"/>
      <c r="P174" s="238"/>
      <c r="Q174" s="238"/>
      <c r="R174" s="238"/>
      <c r="S174" s="238"/>
      <c r="T174" s="238"/>
      <c r="U174" s="238"/>
      <c r="V174" s="238"/>
      <c r="W174" s="238"/>
      <c r="X174" s="238"/>
      <c r="Y174" s="238"/>
      <c r="Z174" s="238"/>
      <c r="AA174" s="192"/>
      <c r="AB174" s="257"/>
      <c r="AC174" s="257"/>
      <c r="AD174" s="257"/>
      <c r="AE174" s="257"/>
      <c r="AF174" s="257"/>
      <c r="AG174" s="257"/>
      <c r="AH174" s="257"/>
      <c r="AI174" s="257"/>
      <c r="AJ174" s="257"/>
      <c r="AK174" s="257"/>
      <c r="AL174" s="257"/>
      <c r="AM174" s="257"/>
      <c r="AN174" s="257"/>
      <c r="AO174" s="257"/>
      <c r="AP174" s="257"/>
      <c r="AQ174" s="257"/>
      <c r="AR174" s="257"/>
      <c r="AS174" s="257"/>
      <c r="AT174" s="257"/>
      <c r="AU174" s="257"/>
      <c r="AV174" s="257"/>
      <c r="AW174" s="257"/>
      <c r="AX174" s="257"/>
      <c r="AY174" s="257"/>
      <c r="AZ174" s="257"/>
      <c r="BA174" s="257"/>
      <c r="BB174" s="257"/>
      <c r="BC174" s="257"/>
      <c r="BD174" s="257"/>
      <c r="BE174" s="257"/>
      <c r="BF174" s="257"/>
      <c r="BG174" s="257"/>
      <c r="BH174" s="257"/>
      <c r="BI174" s="257"/>
      <c r="BJ174" s="238"/>
      <c r="BK174" s="238"/>
      <c r="BL174" s="238"/>
      <c r="BM174" s="238"/>
      <c r="BN174" s="238"/>
      <c r="BO174" s="238"/>
      <c r="BP174" s="238"/>
      <c r="BQ174" s="238"/>
      <c r="BR174" s="238"/>
      <c r="BS174" s="238"/>
      <c r="BT174" s="238"/>
      <c r="BU174" s="238"/>
      <c r="BV174" s="238"/>
      <c r="BW174" s="238"/>
      <c r="BX174" s="238"/>
      <c r="BY174" s="238"/>
      <c r="BZ174" s="238"/>
      <c r="CA174" s="238"/>
      <c r="CB174" s="238"/>
      <c r="CC174" s="238"/>
      <c r="CD174" s="238"/>
      <c r="CE174" s="257"/>
      <c r="CF174" s="257"/>
      <c r="CG174" s="238"/>
      <c r="CH174" s="238"/>
      <c r="CI174" s="238"/>
      <c r="CJ174" s="238"/>
      <c r="CK174" s="238"/>
      <c r="CL174" s="238"/>
      <c r="CM174" s="238"/>
      <c r="CN174" s="238"/>
      <c r="CO174" s="238"/>
      <c r="CP174" s="238"/>
      <c r="CQ174" s="238"/>
      <c r="CR174" s="238"/>
      <c r="CS174" s="238"/>
      <c r="CT174" s="238"/>
      <c r="CU174" s="238"/>
      <c r="CV174" s="238"/>
      <c r="CW174" s="238"/>
      <c r="CX174" s="238"/>
      <c r="CY174" s="238"/>
      <c r="CZ174" s="238"/>
      <c r="DA174" s="238"/>
      <c r="DB174" s="238"/>
      <c r="DC174" s="238"/>
      <c r="DD174" s="238"/>
      <c r="DE174" s="238"/>
      <c r="DF174" s="238"/>
      <c r="DG174" s="257"/>
      <c r="DH174" s="238"/>
      <c r="DI174" s="238"/>
      <c r="DJ174" s="238"/>
      <c r="DK174" s="238"/>
      <c r="DL174" s="238"/>
      <c r="DM174" s="238"/>
      <c r="DN174" s="238"/>
      <c r="DO174" s="238"/>
      <c r="DP174" s="238"/>
      <c r="DQ174" s="238"/>
      <c r="DR174" s="238"/>
      <c r="DS174" s="238"/>
      <c r="DT174" s="238"/>
      <c r="DU174" s="238"/>
      <c r="DV174" s="238"/>
      <c r="DW174" s="238"/>
      <c r="DX174" s="238"/>
      <c r="DY174" s="238"/>
      <c r="DZ174" s="238"/>
      <c r="EA174" s="238"/>
      <c r="EB174" s="238"/>
      <c r="EC174" s="238"/>
      <c r="ED174" s="238"/>
      <c r="EE174" s="238"/>
      <c r="EF174" s="238"/>
      <c r="EG174" s="238"/>
      <c r="EH174" s="238"/>
      <c r="EI174" s="238"/>
      <c r="EJ174" s="238"/>
      <c r="EK174" s="238"/>
      <c r="EL174" s="238"/>
      <c r="EM174" s="238"/>
      <c r="EN174" s="238"/>
      <c r="EO174" s="238"/>
      <c r="EP174" s="238"/>
      <c r="EQ174" s="238"/>
      <c r="ER174" s="238"/>
      <c r="ES174" s="238"/>
      <c r="ET174" s="238"/>
      <c r="EU174" s="238"/>
      <c r="EV174" s="238"/>
      <c r="EW174" s="238"/>
      <c r="EX174" s="238"/>
      <c r="EY174" s="238"/>
      <c r="EZ174" s="238"/>
      <c r="FA174" s="238"/>
      <c r="FB174" s="238"/>
      <c r="FC174" s="238"/>
      <c r="FD174" s="238"/>
      <c r="FE174" s="238"/>
      <c r="FF174" s="238"/>
      <c r="FG174" s="238"/>
      <c r="FH174" s="257"/>
      <c r="FI174" s="257"/>
      <c r="FJ174" s="257"/>
      <c r="FK174" s="257"/>
      <c r="FL174" s="257"/>
      <c r="FM174" s="257"/>
      <c r="FN174" s="257"/>
      <c r="FO174" s="257"/>
      <c r="FP174" s="257"/>
      <c r="FQ174" s="257"/>
      <c r="FR174" s="257"/>
      <c r="FS174" s="257"/>
      <c r="FT174" s="257"/>
      <c r="FU174" s="257"/>
      <c r="FV174" s="257"/>
      <c r="FW174" s="257"/>
      <c r="FX174" s="257"/>
      <c r="FY174" s="238"/>
      <c r="FZ174" s="238"/>
      <c r="GA174" s="238"/>
      <c r="GB174" s="238"/>
      <c r="GC174" s="238"/>
      <c r="GD174" s="238"/>
      <c r="GE174" s="238"/>
      <c r="GF174" s="238"/>
      <c r="GG174" s="238"/>
      <c r="GH174" s="238"/>
      <c r="GI174" s="238"/>
      <c r="GJ174" s="238"/>
      <c r="GK174" s="238"/>
      <c r="GL174" s="238"/>
      <c r="GM174" s="238"/>
      <c r="GN174" s="238"/>
      <c r="GO174" s="238"/>
      <c r="GP174" s="238"/>
      <c r="GQ174" s="238"/>
      <c r="GR174" s="238"/>
      <c r="GS174" s="238"/>
      <c r="GT174" s="238"/>
      <c r="GU174" s="238"/>
      <c r="GV174" s="238"/>
      <c r="GW174" s="238"/>
      <c r="GX174" s="238"/>
      <c r="GY174" s="238"/>
      <c r="GZ174" s="238"/>
      <c r="HA174" s="238"/>
      <c r="HB174" s="238"/>
      <c r="HC174" s="238"/>
      <c r="HD174" s="238"/>
      <c r="HE174" s="238"/>
      <c r="HF174" s="238"/>
      <c r="HG174" s="238"/>
      <c r="HH174" s="238"/>
      <c r="HI174" s="238"/>
      <c r="HJ174" s="238"/>
      <c r="HK174" s="238"/>
      <c r="HL174" s="238"/>
      <c r="HM174" s="238"/>
      <c r="HN174" s="238"/>
      <c r="HO174" s="238"/>
      <c r="HP174" s="238"/>
      <c r="HQ174" s="238"/>
      <c r="HR174" s="238"/>
      <c r="HS174" s="238"/>
      <c r="HT174" s="238"/>
      <c r="HU174" s="238"/>
      <c r="HV174" s="238"/>
      <c r="HW174" s="238"/>
      <c r="HX174" s="257"/>
      <c r="HY174" s="257"/>
      <c r="HZ174" s="257"/>
      <c r="IA174" s="257"/>
      <c r="IB174" s="257"/>
      <c r="IC174" s="257"/>
      <c r="ID174" s="257"/>
      <c r="IE174" s="257"/>
      <c r="IF174" s="257"/>
      <c r="IG174" s="257"/>
      <c r="IH174" s="257"/>
      <c r="II174" s="257"/>
      <c r="IJ174" s="257"/>
      <c r="IK174" s="257"/>
      <c r="IL174" s="257"/>
      <c r="IM174" s="257"/>
      <c r="IN174" s="257"/>
      <c r="IO174" s="257"/>
      <c r="IP174" s="257"/>
      <c r="IQ174" s="257"/>
      <c r="IR174" s="257"/>
      <c r="IS174" s="257"/>
      <c r="IT174" s="257"/>
      <c r="IU174" s="257"/>
      <c r="IV174" s="257"/>
      <c r="IW174" s="257"/>
      <c r="IX174" s="257"/>
      <c r="IY174" s="257"/>
      <c r="IZ174" s="257"/>
      <c r="JA174" s="257"/>
      <c r="JB174" s="257"/>
      <c r="JC174" s="257"/>
      <c r="JD174" s="257"/>
      <c r="JE174" s="257"/>
      <c r="JF174" s="238"/>
      <c r="JG174" s="238"/>
      <c r="JH174" s="238"/>
      <c r="JI174" s="238"/>
      <c r="JJ174" s="238"/>
      <c r="JK174" s="238"/>
      <c r="JL174" s="238"/>
      <c r="JM174" s="238"/>
      <c r="JN174" s="238"/>
      <c r="JO174" s="238"/>
      <c r="JP174" s="238"/>
      <c r="JQ174" s="238"/>
      <c r="JR174" s="238"/>
      <c r="JS174" s="238"/>
      <c r="JT174" s="238"/>
      <c r="JU174" s="238"/>
      <c r="JV174" s="238"/>
      <c r="JW174" s="238"/>
      <c r="JX174" s="238"/>
      <c r="JY174" s="238"/>
      <c r="JZ174" s="238"/>
      <c r="KA174" s="238"/>
      <c r="KB174" s="238"/>
      <c r="KC174" s="238"/>
      <c r="KD174" s="238"/>
      <c r="KE174" s="238"/>
      <c r="KF174" s="238"/>
      <c r="KG174" s="238"/>
      <c r="KH174" s="238"/>
      <c r="KI174" s="238"/>
      <c r="KJ174" s="238"/>
      <c r="KK174" s="238"/>
      <c r="KL174" s="238"/>
      <c r="KM174" s="238"/>
      <c r="KN174" s="238"/>
      <c r="KO174" s="238"/>
      <c r="KP174" s="238"/>
      <c r="KQ174" s="238"/>
      <c r="KR174" s="238"/>
      <c r="KS174" s="238"/>
      <c r="KT174" s="238"/>
      <c r="KU174" s="238"/>
      <c r="KV174" s="238"/>
      <c r="KW174" s="238"/>
      <c r="KX174" s="238"/>
      <c r="KY174" s="238"/>
      <c r="KZ174" s="238"/>
      <c r="LA174" s="238"/>
      <c r="LB174" s="238"/>
      <c r="LC174" s="238"/>
      <c r="LD174" s="238"/>
      <c r="LE174" s="238"/>
      <c r="LF174" s="238"/>
      <c r="LG174" s="238"/>
      <c r="LH174" s="238"/>
      <c r="LI174" s="238"/>
      <c r="LJ174" s="238"/>
      <c r="LK174" s="238"/>
      <c r="LL174" s="238"/>
      <c r="LM174" s="238"/>
      <c r="LN174" s="238"/>
      <c r="LO174" s="238"/>
      <c r="LP174" s="238"/>
      <c r="LQ174" s="238"/>
      <c r="LR174" s="238"/>
      <c r="LS174" s="238"/>
      <c r="LT174" s="238"/>
      <c r="LU174" s="238"/>
      <c r="LV174" s="238"/>
      <c r="LW174" s="238"/>
      <c r="LX174" s="238"/>
      <c r="LY174" s="238"/>
      <c r="LZ174" s="238"/>
      <c r="MA174" s="238"/>
      <c r="MB174" s="238"/>
      <c r="MC174" s="238"/>
      <c r="MD174" s="238"/>
      <c r="ME174" s="238"/>
      <c r="MF174" s="238"/>
      <c r="MG174" s="238"/>
      <c r="MH174" s="238"/>
      <c r="MI174" s="238"/>
      <c r="MJ174" s="238"/>
      <c r="MK174" s="238"/>
      <c r="ML174" s="238"/>
    </row>
    <row r="175" ht="18.75" customHeight="1">
      <c r="A175" s="283"/>
      <c r="B175" s="234" t="str">
        <f>'Building Bill of Materials_SLIM'!P175</f>
        <v/>
      </c>
      <c r="C175" s="234" t="str">
        <f>'Building Bill of Materials_SLIM'!Q175</f>
        <v/>
      </c>
      <c r="D175" s="234" t="str">
        <f>'Building Bill of Materials_SLIM'!R175</f>
        <v/>
      </c>
      <c r="E175" s="234" t="str">
        <f>'Building Bill of Materials_SLIM'!S175</f>
        <v/>
      </c>
      <c r="F175" s="234" t="str">
        <f>'Building Bill of Materials_SLIM'!U175</f>
        <v/>
      </c>
      <c r="G175" s="234"/>
      <c r="H175" s="234"/>
      <c r="I175" s="234"/>
      <c r="J175" s="234" t="str">
        <f>'Building Bill of Materials_SLIM'!V175</f>
        <v/>
      </c>
      <c r="K175" s="238"/>
      <c r="L175" s="238"/>
      <c r="M175" s="238"/>
      <c r="N175" s="238"/>
      <c r="O175" s="238"/>
      <c r="P175" s="238"/>
      <c r="Q175" s="238"/>
      <c r="R175" s="238"/>
      <c r="S175" s="238"/>
      <c r="T175" s="238"/>
      <c r="U175" s="238"/>
      <c r="V175" s="238"/>
      <c r="W175" s="238"/>
      <c r="X175" s="238"/>
      <c r="Y175" s="238"/>
      <c r="Z175" s="238"/>
      <c r="AA175" s="192"/>
      <c r="AB175" s="257"/>
      <c r="AC175" s="257"/>
      <c r="AD175" s="257"/>
      <c r="AE175" s="257"/>
      <c r="AF175" s="257"/>
      <c r="AG175" s="257"/>
      <c r="AH175" s="257"/>
      <c r="AI175" s="257"/>
      <c r="AJ175" s="257"/>
      <c r="AK175" s="257"/>
      <c r="AL175" s="257"/>
      <c r="AM175" s="257"/>
      <c r="AN175" s="257"/>
      <c r="AO175" s="257"/>
      <c r="AP175" s="257"/>
      <c r="AQ175" s="257"/>
      <c r="AR175" s="257"/>
      <c r="AS175" s="257"/>
      <c r="AT175" s="257"/>
      <c r="AU175" s="257"/>
      <c r="AV175" s="257"/>
      <c r="AW175" s="257"/>
      <c r="AX175" s="257"/>
      <c r="AY175" s="257"/>
      <c r="AZ175" s="257"/>
      <c r="BA175" s="257"/>
      <c r="BB175" s="257"/>
      <c r="BC175" s="257"/>
      <c r="BD175" s="257"/>
      <c r="BE175" s="257"/>
      <c r="BF175" s="257"/>
      <c r="BG175" s="257"/>
      <c r="BH175" s="257"/>
      <c r="BI175" s="257"/>
      <c r="BJ175" s="238"/>
      <c r="BK175" s="238"/>
      <c r="BL175" s="238"/>
      <c r="BM175" s="238"/>
      <c r="BN175" s="238"/>
      <c r="BO175" s="238"/>
      <c r="BP175" s="238"/>
      <c r="BQ175" s="238"/>
      <c r="BR175" s="238"/>
      <c r="BS175" s="238"/>
      <c r="BT175" s="238"/>
      <c r="BU175" s="238"/>
      <c r="BV175" s="238"/>
      <c r="BW175" s="238"/>
      <c r="BX175" s="238"/>
      <c r="BY175" s="238"/>
      <c r="BZ175" s="238"/>
      <c r="CA175" s="238"/>
      <c r="CB175" s="238"/>
      <c r="CC175" s="238"/>
      <c r="CD175" s="238"/>
      <c r="CE175" s="257"/>
      <c r="CF175" s="257"/>
      <c r="CG175" s="238"/>
      <c r="CH175" s="238"/>
      <c r="CI175" s="238"/>
      <c r="CJ175" s="238"/>
      <c r="CK175" s="238"/>
      <c r="CL175" s="238"/>
      <c r="CM175" s="238"/>
      <c r="CN175" s="238"/>
      <c r="CO175" s="238"/>
      <c r="CP175" s="238"/>
      <c r="CQ175" s="238"/>
      <c r="CR175" s="238"/>
      <c r="CS175" s="238"/>
      <c r="CT175" s="238"/>
      <c r="CU175" s="238"/>
      <c r="CV175" s="238"/>
      <c r="CW175" s="238"/>
      <c r="CX175" s="238"/>
      <c r="CY175" s="238"/>
      <c r="CZ175" s="238"/>
      <c r="DA175" s="238"/>
      <c r="DB175" s="238"/>
      <c r="DC175" s="238"/>
      <c r="DD175" s="238"/>
      <c r="DE175" s="238"/>
      <c r="DF175" s="238"/>
      <c r="DG175" s="257"/>
      <c r="DH175" s="238"/>
      <c r="DI175" s="238"/>
      <c r="DJ175" s="238"/>
      <c r="DK175" s="238"/>
      <c r="DL175" s="238"/>
      <c r="DM175" s="238"/>
      <c r="DN175" s="238"/>
      <c r="DO175" s="238"/>
      <c r="DP175" s="238"/>
      <c r="DQ175" s="238"/>
      <c r="DR175" s="238"/>
      <c r="DS175" s="238"/>
      <c r="DT175" s="238"/>
      <c r="DU175" s="238"/>
      <c r="DV175" s="238"/>
      <c r="DW175" s="238"/>
      <c r="DX175" s="238"/>
      <c r="DY175" s="238"/>
      <c r="DZ175" s="238"/>
      <c r="EA175" s="238"/>
      <c r="EB175" s="238"/>
      <c r="EC175" s="238"/>
      <c r="ED175" s="238"/>
      <c r="EE175" s="238"/>
      <c r="EF175" s="238"/>
      <c r="EG175" s="238"/>
      <c r="EH175" s="238"/>
      <c r="EI175" s="238"/>
      <c r="EJ175" s="238"/>
      <c r="EK175" s="238"/>
      <c r="EL175" s="238"/>
      <c r="EM175" s="238"/>
      <c r="EN175" s="238"/>
      <c r="EO175" s="238"/>
      <c r="EP175" s="238"/>
      <c r="EQ175" s="238"/>
      <c r="ER175" s="238"/>
      <c r="ES175" s="238"/>
      <c r="ET175" s="238"/>
      <c r="EU175" s="238"/>
      <c r="EV175" s="238"/>
      <c r="EW175" s="238"/>
      <c r="EX175" s="238"/>
      <c r="EY175" s="238"/>
      <c r="EZ175" s="238"/>
      <c r="FA175" s="238"/>
      <c r="FB175" s="238"/>
      <c r="FC175" s="238"/>
      <c r="FD175" s="238"/>
      <c r="FE175" s="238"/>
      <c r="FF175" s="238"/>
      <c r="FG175" s="238"/>
      <c r="FH175" s="257"/>
      <c r="FI175" s="257"/>
      <c r="FJ175" s="257"/>
      <c r="FK175" s="257"/>
      <c r="FL175" s="257"/>
      <c r="FM175" s="257"/>
      <c r="FN175" s="257"/>
      <c r="FO175" s="257"/>
      <c r="FP175" s="257"/>
      <c r="FQ175" s="257"/>
      <c r="FR175" s="257"/>
      <c r="FS175" s="257"/>
      <c r="FT175" s="257"/>
      <c r="FU175" s="257"/>
      <c r="FV175" s="257"/>
      <c r="FW175" s="257"/>
      <c r="FX175" s="257"/>
      <c r="FY175" s="238"/>
      <c r="FZ175" s="238"/>
      <c r="GA175" s="238"/>
      <c r="GB175" s="238"/>
      <c r="GC175" s="238"/>
      <c r="GD175" s="238"/>
      <c r="GE175" s="238"/>
      <c r="GF175" s="238"/>
      <c r="GG175" s="238"/>
      <c r="GH175" s="238"/>
      <c r="GI175" s="238"/>
      <c r="GJ175" s="238"/>
      <c r="GK175" s="238"/>
      <c r="GL175" s="238"/>
      <c r="GM175" s="238"/>
      <c r="GN175" s="238"/>
      <c r="GO175" s="238"/>
      <c r="GP175" s="238"/>
      <c r="GQ175" s="238"/>
      <c r="GR175" s="238"/>
      <c r="GS175" s="238"/>
      <c r="GT175" s="238"/>
      <c r="GU175" s="238"/>
      <c r="GV175" s="238"/>
      <c r="GW175" s="238"/>
      <c r="GX175" s="238"/>
      <c r="GY175" s="238"/>
      <c r="GZ175" s="238"/>
      <c r="HA175" s="238"/>
      <c r="HB175" s="238"/>
      <c r="HC175" s="238"/>
      <c r="HD175" s="238"/>
      <c r="HE175" s="238"/>
      <c r="HF175" s="238"/>
      <c r="HG175" s="238"/>
      <c r="HH175" s="238"/>
      <c r="HI175" s="238"/>
      <c r="HJ175" s="238"/>
      <c r="HK175" s="238"/>
      <c r="HL175" s="238"/>
      <c r="HM175" s="238"/>
      <c r="HN175" s="238"/>
      <c r="HO175" s="238"/>
      <c r="HP175" s="238"/>
      <c r="HQ175" s="238"/>
      <c r="HR175" s="238"/>
      <c r="HS175" s="238"/>
      <c r="HT175" s="238"/>
      <c r="HU175" s="238"/>
      <c r="HV175" s="238"/>
      <c r="HW175" s="238"/>
      <c r="HX175" s="257"/>
      <c r="HY175" s="257"/>
      <c r="HZ175" s="257"/>
      <c r="IA175" s="257"/>
      <c r="IB175" s="257"/>
      <c r="IC175" s="257"/>
      <c r="ID175" s="257"/>
      <c r="IE175" s="257"/>
      <c r="IF175" s="257"/>
      <c r="IG175" s="257"/>
      <c r="IH175" s="257"/>
      <c r="II175" s="257"/>
      <c r="IJ175" s="257"/>
      <c r="IK175" s="257"/>
      <c r="IL175" s="257"/>
      <c r="IM175" s="257"/>
      <c r="IN175" s="257"/>
      <c r="IO175" s="257"/>
      <c r="IP175" s="257"/>
      <c r="IQ175" s="257"/>
      <c r="IR175" s="257"/>
      <c r="IS175" s="257"/>
      <c r="IT175" s="257"/>
      <c r="IU175" s="257"/>
      <c r="IV175" s="257"/>
      <c r="IW175" s="257"/>
      <c r="IX175" s="257"/>
      <c r="IY175" s="257"/>
      <c r="IZ175" s="257"/>
      <c r="JA175" s="257"/>
      <c r="JB175" s="257"/>
      <c r="JC175" s="257"/>
      <c r="JD175" s="257"/>
      <c r="JE175" s="257"/>
      <c r="JF175" s="238"/>
      <c r="JG175" s="238"/>
      <c r="JH175" s="238"/>
      <c r="JI175" s="238"/>
      <c r="JJ175" s="238"/>
      <c r="JK175" s="238"/>
      <c r="JL175" s="238"/>
      <c r="JM175" s="238"/>
      <c r="JN175" s="238"/>
      <c r="JO175" s="238"/>
      <c r="JP175" s="238"/>
      <c r="JQ175" s="238"/>
      <c r="JR175" s="238"/>
      <c r="JS175" s="238"/>
      <c r="JT175" s="238"/>
      <c r="JU175" s="238"/>
      <c r="JV175" s="238"/>
      <c r="JW175" s="238"/>
      <c r="JX175" s="238"/>
      <c r="JY175" s="238"/>
      <c r="JZ175" s="238"/>
      <c r="KA175" s="238"/>
      <c r="KB175" s="238"/>
      <c r="KC175" s="238"/>
      <c r="KD175" s="238"/>
      <c r="KE175" s="238"/>
      <c r="KF175" s="238"/>
      <c r="KG175" s="238"/>
      <c r="KH175" s="238"/>
      <c r="KI175" s="238"/>
      <c r="KJ175" s="238"/>
      <c r="KK175" s="238"/>
      <c r="KL175" s="238"/>
      <c r="KM175" s="238"/>
      <c r="KN175" s="238"/>
      <c r="KO175" s="238"/>
      <c r="KP175" s="238"/>
      <c r="KQ175" s="238"/>
      <c r="KR175" s="238"/>
      <c r="KS175" s="238"/>
      <c r="KT175" s="238"/>
      <c r="KU175" s="238"/>
      <c r="KV175" s="238"/>
      <c r="KW175" s="238"/>
      <c r="KX175" s="238"/>
      <c r="KY175" s="238"/>
      <c r="KZ175" s="238"/>
      <c r="LA175" s="238"/>
      <c r="LB175" s="238"/>
      <c r="LC175" s="238"/>
      <c r="LD175" s="238"/>
      <c r="LE175" s="238"/>
      <c r="LF175" s="238"/>
      <c r="LG175" s="238"/>
      <c r="LH175" s="238"/>
      <c r="LI175" s="238"/>
      <c r="LJ175" s="238"/>
      <c r="LK175" s="238"/>
      <c r="LL175" s="238"/>
      <c r="LM175" s="238"/>
      <c r="LN175" s="238"/>
      <c r="LO175" s="238"/>
      <c r="LP175" s="238"/>
      <c r="LQ175" s="238"/>
      <c r="LR175" s="238"/>
      <c r="LS175" s="238"/>
      <c r="LT175" s="238"/>
      <c r="LU175" s="238"/>
      <c r="LV175" s="238"/>
      <c r="LW175" s="238"/>
      <c r="LX175" s="238"/>
      <c r="LY175" s="238"/>
      <c r="LZ175" s="238"/>
      <c r="MA175" s="238"/>
      <c r="MB175" s="238"/>
      <c r="MC175" s="238"/>
      <c r="MD175" s="238"/>
      <c r="ME175" s="238"/>
      <c r="MF175" s="238"/>
      <c r="MG175" s="238"/>
      <c r="MH175" s="238"/>
      <c r="MI175" s="238"/>
      <c r="MJ175" s="238"/>
      <c r="MK175" s="238"/>
      <c r="ML175" s="238"/>
    </row>
    <row r="176" ht="18.75" customHeight="1">
      <c r="A176" s="283"/>
      <c r="B176" s="234" t="str">
        <f>'Building Bill of Materials_SLIM'!P176</f>
        <v/>
      </c>
      <c r="C176" s="234" t="str">
        <f>'Building Bill of Materials_SLIM'!Q176</f>
        <v/>
      </c>
      <c r="D176" s="234" t="str">
        <f>'Building Bill of Materials_SLIM'!R176</f>
        <v/>
      </c>
      <c r="E176" s="234" t="str">
        <f>'Building Bill of Materials_SLIM'!S176</f>
        <v/>
      </c>
      <c r="F176" s="234" t="str">
        <f>'Building Bill of Materials_SLIM'!U176</f>
        <v/>
      </c>
      <c r="G176" s="234"/>
      <c r="H176" s="234"/>
      <c r="I176" s="234"/>
      <c r="J176" s="234" t="str">
        <f>'Building Bill of Materials_SLIM'!V176</f>
        <v/>
      </c>
      <c r="K176" s="238"/>
      <c r="L176" s="238"/>
      <c r="M176" s="238"/>
      <c r="N176" s="238"/>
      <c r="O176" s="238"/>
      <c r="P176" s="238"/>
      <c r="Q176" s="238"/>
      <c r="R176" s="238"/>
      <c r="S176" s="238"/>
      <c r="T176" s="238"/>
      <c r="U176" s="238"/>
      <c r="V176" s="238"/>
      <c r="W176" s="238"/>
      <c r="X176" s="238"/>
      <c r="Y176" s="238"/>
      <c r="Z176" s="238"/>
      <c r="AA176" s="192"/>
      <c r="AB176" s="257"/>
      <c r="AC176" s="257"/>
      <c r="AD176" s="257"/>
      <c r="AE176" s="257"/>
      <c r="AF176" s="257"/>
      <c r="AG176" s="257"/>
      <c r="AH176" s="257"/>
      <c r="AI176" s="257"/>
      <c r="AJ176" s="257"/>
      <c r="AK176" s="257"/>
      <c r="AL176" s="257"/>
      <c r="AM176" s="257"/>
      <c r="AN176" s="257"/>
      <c r="AO176" s="257"/>
      <c r="AP176" s="257"/>
      <c r="AQ176" s="257"/>
      <c r="AR176" s="257"/>
      <c r="AS176" s="257"/>
      <c r="AT176" s="257"/>
      <c r="AU176" s="257"/>
      <c r="AV176" s="257"/>
      <c r="AW176" s="257"/>
      <c r="AX176" s="257"/>
      <c r="AY176" s="257"/>
      <c r="AZ176" s="257"/>
      <c r="BA176" s="257"/>
      <c r="BB176" s="257"/>
      <c r="BC176" s="257"/>
      <c r="BD176" s="257"/>
      <c r="BE176" s="257"/>
      <c r="BF176" s="257"/>
      <c r="BG176" s="257"/>
      <c r="BH176" s="257"/>
      <c r="BI176" s="257"/>
      <c r="BJ176" s="238"/>
      <c r="BK176" s="238"/>
      <c r="BL176" s="238"/>
      <c r="BM176" s="238"/>
      <c r="BN176" s="238"/>
      <c r="BO176" s="238"/>
      <c r="BP176" s="238"/>
      <c r="BQ176" s="238"/>
      <c r="BR176" s="238"/>
      <c r="BS176" s="238"/>
      <c r="BT176" s="238"/>
      <c r="BU176" s="238"/>
      <c r="BV176" s="238"/>
      <c r="BW176" s="238"/>
      <c r="BX176" s="238"/>
      <c r="BY176" s="238"/>
      <c r="BZ176" s="238"/>
      <c r="CA176" s="238"/>
      <c r="CB176" s="238"/>
      <c r="CC176" s="238"/>
      <c r="CD176" s="238"/>
      <c r="CE176" s="257"/>
      <c r="CF176" s="257"/>
      <c r="CG176" s="238"/>
      <c r="CH176" s="238"/>
      <c r="CI176" s="238"/>
      <c r="CJ176" s="238"/>
      <c r="CK176" s="238"/>
      <c r="CL176" s="238"/>
      <c r="CM176" s="238"/>
      <c r="CN176" s="238"/>
      <c r="CO176" s="238"/>
      <c r="CP176" s="238"/>
      <c r="CQ176" s="238"/>
      <c r="CR176" s="238"/>
      <c r="CS176" s="238"/>
      <c r="CT176" s="238"/>
      <c r="CU176" s="238"/>
      <c r="CV176" s="238"/>
      <c r="CW176" s="238"/>
      <c r="CX176" s="238"/>
      <c r="CY176" s="238"/>
      <c r="CZ176" s="238"/>
      <c r="DA176" s="238"/>
      <c r="DB176" s="238"/>
      <c r="DC176" s="238"/>
      <c r="DD176" s="238"/>
      <c r="DE176" s="238"/>
      <c r="DF176" s="238"/>
      <c r="DG176" s="257"/>
      <c r="DH176" s="238"/>
      <c r="DI176" s="238"/>
      <c r="DJ176" s="238"/>
      <c r="DK176" s="238"/>
      <c r="DL176" s="238"/>
      <c r="DM176" s="238"/>
      <c r="DN176" s="238"/>
      <c r="DO176" s="238"/>
      <c r="DP176" s="238"/>
      <c r="DQ176" s="238"/>
      <c r="DR176" s="238"/>
      <c r="DS176" s="238"/>
      <c r="DT176" s="238"/>
      <c r="DU176" s="238"/>
      <c r="DV176" s="238"/>
      <c r="DW176" s="238"/>
      <c r="DX176" s="238"/>
      <c r="DY176" s="238"/>
      <c r="DZ176" s="238"/>
      <c r="EA176" s="238"/>
      <c r="EB176" s="238"/>
      <c r="EC176" s="238"/>
      <c r="ED176" s="238"/>
      <c r="EE176" s="238"/>
      <c r="EF176" s="238"/>
      <c r="EG176" s="238"/>
      <c r="EH176" s="238"/>
      <c r="EI176" s="238"/>
      <c r="EJ176" s="238"/>
      <c r="EK176" s="238"/>
      <c r="EL176" s="238"/>
      <c r="EM176" s="238"/>
      <c r="EN176" s="238"/>
      <c r="EO176" s="238"/>
      <c r="EP176" s="238"/>
      <c r="EQ176" s="238"/>
      <c r="ER176" s="238"/>
      <c r="ES176" s="238"/>
      <c r="ET176" s="238"/>
      <c r="EU176" s="238"/>
      <c r="EV176" s="238"/>
      <c r="EW176" s="238"/>
      <c r="EX176" s="238"/>
      <c r="EY176" s="238"/>
      <c r="EZ176" s="238"/>
      <c r="FA176" s="238"/>
      <c r="FB176" s="238"/>
      <c r="FC176" s="238"/>
      <c r="FD176" s="238"/>
      <c r="FE176" s="238"/>
      <c r="FF176" s="238"/>
      <c r="FG176" s="238"/>
      <c r="FH176" s="257"/>
      <c r="FI176" s="257"/>
      <c r="FJ176" s="257"/>
      <c r="FK176" s="257"/>
      <c r="FL176" s="257"/>
      <c r="FM176" s="257"/>
      <c r="FN176" s="257"/>
      <c r="FO176" s="257"/>
      <c r="FP176" s="257"/>
      <c r="FQ176" s="257"/>
      <c r="FR176" s="257"/>
      <c r="FS176" s="257"/>
      <c r="FT176" s="257"/>
      <c r="FU176" s="257"/>
      <c r="FV176" s="257"/>
      <c r="FW176" s="257"/>
      <c r="FX176" s="257"/>
      <c r="FY176" s="238"/>
      <c r="FZ176" s="238"/>
      <c r="GA176" s="238"/>
      <c r="GB176" s="238"/>
      <c r="GC176" s="238"/>
      <c r="GD176" s="238"/>
      <c r="GE176" s="238"/>
      <c r="GF176" s="238"/>
      <c r="GG176" s="238"/>
      <c r="GH176" s="238"/>
      <c r="GI176" s="238"/>
      <c r="GJ176" s="238"/>
      <c r="GK176" s="238"/>
      <c r="GL176" s="238"/>
      <c r="GM176" s="238"/>
      <c r="GN176" s="238"/>
      <c r="GO176" s="238"/>
      <c r="GP176" s="238"/>
      <c r="GQ176" s="238"/>
      <c r="GR176" s="238"/>
      <c r="GS176" s="238"/>
      <c r="GT176" s="238"/>
      <c r="GU176" s="238"/>
      <c r="GV176" s="238"/>
      <c r="GW176" s="238"/>
      <c r="GX176" s="238"/>
      <c r="GY176" s="238"/>
      <c r="GZ176" s="238"/>
      <c r="HA176" s="238"/>
      <c r="HB176" s="238"/>
      <c r="HC176" s="238"/>
      <c r="HD176" s="238"/>
      <c r="HE176" s="238"/>
      <c r="HF176" s="238"/>
      <c r="HG176" s="238"/>
      <c r="HH176" s="238"/>
      <c r="HI176" s="238"/>
      <c r="HJ176" s="238"/>
      <c r="HK176" s="238"/>
      <c r="HL176" s="238"/>
      <c r="HM176" s="238"/>
      <c r="HN176" s="238"/>
      <c r="HO176" s="238"/>
      <c r="HP176" s="238"/>
      <c r="HQ176" s="238"/>
      <c r="HR176" s="238"/>
      <c r="HS176" s="238"/>
      <c r="HT176" s="238"/>
      <c r="HU176" s="238"/>
      <c r="HV176" s="238"/>
      <c r="HW176" s="238"/>
      <c r="HX176" s="257"/>
      <c r="HY176" s="257"/>
      <c r="HZ176" s="257"/>
      <c r="IA176" s="257"/>
      <c r="IB176" s="257"/>
      <c r="IC176" s="257"/>
      <c r="ID176" s="257"/>
      <c r="IE176" s="257"/>
      <c r="IF176" s="257"/>
      <c r="IG176" s="257"/>
      <c r="IH176" s="257"/>
      <c r="II176" s="257"/>
      <c r="IJ176" s="257"/>
      <c r="IK176" s="257"/>
      <c r="IL176" s="257"/>
      <c r="IM176" s="257"/>
      <c r="IN176" s="257"/>
      <c r="IO176" s="257"/>
      <c r="IP176" s="257"/>
      <c r="IQ176" s="257"/>
      <c r="IR176" s="257"/>
      <c r="IS176" s="257"/>
      <c r="IT176" s="257"/>
      <c r="IU176" s="257"/>
      <c r="IV176" s="257"/>
      <c r="IW176" s="257"/>
      <c r="IX176" s="257"/>
      <c r="IY176" s="257"/>
      <c r="IZ176" s="257"/>
      <c r="JA176" s="257"/>
      <c r="JB176" s="257"/>
      <c r="JC176" s="257"/>
      <c r="JD176" s="257"/>
      <c r="JE176" s="257"/>
      <c r="JF176" s="238"/>
      <c r="JG176" s="238"/>
      <c r="JH176" s="238"/>
      <c r="JI176" s="238"/>
      <c r="JJ176" s="238"/>
      <c r="JK176" s="238"/>
      <c r="JL176" s="238"/>
      <c r="JM176" s="238"/>
      <c r="JN176" s="238"/>
      <c r="JO176" s="238"/>
      <c r="JP176" s="238"/>
      <c r="JQ176" s="238"/>
      <c r="JR176" s="238"/>
      <c r="JS176" s="238"/>
      <c r="JT176" s="238"/>
      <c r="JU176" s="238"/>
      <c r="JV176" s="238"/>
      <c r="JW176" s="238"/>
      <c r="JX176" s="238"/>
      <c r="JY176" s="238"/>
      <c r="JZ176" s="238"/>
      <c r="KA176" s="238"/>
      <c r="KB176" s="238"/>
      <c r="KC176" s="238"/>
      <c r="KD176" s="238"/>
      <c r="KE176" s="238"/>
      <c r="KF176" s="238"/>
      <c r="KG176" s="238"/>
      <c r="KH176" s="238"/>
      <c r="KI176" s="238"/>
      <c r="KJ176" s="238"/>
      <c r="KK176" s="238"/>
      <c r="KL176" s="238"/>
      <c r="KM176" s="238"/>
      <c r="KN176" s="238"/>
      <c r="KO176" s="238"/>
      <c r="KP176" s="238"/>
      <c r="KQ176" s="238"/>
      <c r="KR176" s="238"/>
      <c r="KS176" s="238"/>
      <c r="KT176" s="238"/>
      <c r="KU176" s="238"/>
      <c r="KV176" s="238"/>
      <c r="KW176" s="238"/>
      <c r="KX176" s="238"/>
      <c r="KY176" s="238"/>
      <c r="KZ176" s="238"/>
      <c r="LA176" s="238"/>
      <c r="LB176" s="238"/>
      <c r="LC176" s="238"/>
      <c r="LD176" s="238"/>
      <c r="LE176" s="238"/>
      <c r="LF176" s="238"/>
      <c r="LG176" s="238"/>
      <c r="LH176" s="238"/>
      <c r="LI176" s="238"/>
      <c r="LJ176" s="238"/>
      <c r="LK176" s="238"/>
      <c r="LL176" s="238"/>
      <c r="LM176" s="238"/>
      <c r="LN176" s="238"/>
      <c r="LO176" s="238"/>
      <c r="LP176" s="238"/>
      <c r="LQ176" s="238"/>
      <c r="LR176" s="238"/>
      <c r="LS176" s="238"/>
      <c r="LT176" s="238"/>
      <c r="LU176" s="238"/>
      <c r="LV176" s="238"/>
      <c r="LW176" s="238"/>
      <c r="LX176" s="238"/>
      <c r="LY176" s="238"/>
      <c r="LZ176" s="238"/>
      <c r="MA176" s="238"/>
      <c r="MB176" s="238"/>
      <c r="MC176" s="238"/>
      <c r="MD176" s="238"/>
      <c r="ME176" s="238"/>
      <c r="MF176" s="238"/>
      <c r="MG176" s="238"/>
      <c r="MH176" s="238"/>
      <c r="MI176" s="238"/>
      <c r="MJ176" s="238"/>
      <c r="MK176" s="238"/>
      <c r="ML176" s="238"/>
    </row>
    <row r="177" ht="18.75" customHeight="1">
      <c r="A177" s="283"/>
      <c r="B177" s="234" t="str">
        <f>'Building Bill of Materials_SLIM'!P177</f>
        <v/>
      </c>
      <c r="C177" s="234" t="str">
        <f>'Building Bill of Materials_SLIM'!Q177</f>
        <v/>
      </c>
      <c r="D177" s="234" t="str">
        <f>'Building Bill of Materials_SLIM'!R177</f>
        <v/>
      </c>
      <c r="E177" s="234" t="str">
        <f>'Building Bill of Materials_SLIM'!S177</f>
        <v/>
      </c>
      <c r="F177" s="234" t="str">
        <f>'Building Bill of Materials_SLIM'!U177</f>
        <v/>
      </c>
      <c r="G177" s="234"/>
      <c r="H177" s="234"/>
      <c r="I177" s="234"/>
      <c r="J177" s="234" t="str">
        <f>'Building Bill of Materials_SLIM'!V177</f>
        <v/>
      </c>
      <c r="K177" s="238"/>
      <c r="L177" s="238"/>
      <c r="M177" s="238"/>
      <c r="N177" s="238"/>
      <c r="O177" s="238"/>
      <c r="P177" s="238"/>
      <c r="Q177" s="238"/>
      <c r="R177" s="238"/>
      <c r="S177" s="238"/>
      <c r="T177" s="238"/>
      <c r="U177" s="238"/>
      <c r="V177" s="238"/>
      <c r="W177" s="238"/>
      <c r="X177" s="238"/>
      <c r="Y177" s="238"/>
      <c r="Z177" s="238"/>
      <c r="AA177" s="192"/>
      <c r="AB177" s="257"/>
      <c r="AC177" s="257"/>
      <c r="AD177" s="257"/>
      <c r="AE177" s="257"/>
      <c r="AF177" s="257"/>
      <c r="AG177" s="257"/>
      <c r="AH177" s="257"/>
      <c r="AI177" s="257"/>
      <c r="AJ177" s="257"/>
      <c r="AK177" s="257"/>
      <c r="AL177" s="257"/>
      <c r="AM177" s="257"/>
      <c r="AN177" s="257"/>
      <c r="AO177" s="257"/>
      <c r="AP177" s="257"/>
      <c r="AQ177" s="257"/>
      <c r="AR177" s="257"/>
      <c r="AS177" s="257"/>
      <c r="AT177" s="257"/>
      <c r="AU177" s="257"/>
      <c r="AV177" s="257"/>
      <c r="AW177" s="257"/>
      <c r="AX177" s="257"/>
      <c r="AY177" s="257"/>
      <c r="AZ177" s="257"/>
      <c r="BA177" s="257"/>
      <c r="BB177" s="257"/>
      <c r="BC177" s="257"/>
      <c r="BD177" s="257"/>
      <c r="BE177" s="257"/>
      <c r="BF177" s="257"/>
      <c r="BG177" s="257"/>
      <c r="BH177" s="257"/>
      <c r="BI177" s="257"/>
      <c r="BJ177" s="238"/>
      <c r="BK177" s="238"/>
      <c r="BL177" s="238"/>
      <c r="BM177" s="238"/>
      <c r="BN177" s="238"/>
      <c r="BO177" s="238"/>
      <c r="BP177" s="238"/>
      <c r="BQ177" s="238"/>
      <c r="BR177" s="238"/>
      <c r="BS177" s="238"/>
      <c r="BT177" s="238"/>
      <c r="BU177" s="238"/>
      <c r="BV177" s="238"/>
      <c r="BW177" s="238"/>
      <c r="BX177" s="238"/>
      <c r="BY177" s="238"/>
      <c r="BZ177" s="238"/>
      <c r="CA177" s="238"/>
      <c r="CB177" s="238"/>
      <c r="CC177" s="238"/>
      <c r="CD177" s="238"/>
      <c r="CE177" s="257"/>
      <c r="CF177" s="257"/>
      <c r="CG177" s="238"/>
      <c r="CH177" s="238"/>
      <c r="CI177" s="238"/>
      <c r="CJ177" s="238"/>
      <c r="CK177" s="238"/>
      <c r="CL177" s="238"/>
      <c r="CM177" s="238"/>
      <c r="CN177" s="238"/>
      <c r="CO177" s="238"/>
      <c r="CP177" s="238"/>
      <c r="CQ177" s="238"/>
      <c r="CR177" s="238"/>
      <c r="CS177" s="238"/>
      <c r="CT177" s="238"/>
      <c r="CU177" s="238"/>
      <c r="CV177" s="238"/>
      <c r="CW177" s="238"/>
      <c r="CX177" s="238"/>
      <c r="CY177" s="238"/>
      <c r="CZ177" s="238"/>
      <c r="DA177" s="238"/>
      <c r="DB177" s="238"/>
      <c r="DC177" s="238"/>
      <c r="DD177" s="238"/>
      <c r="DE177" s="238"/>
      <c r="DF177" s="238"/>
      <c r="DG177" s="257"/>
      <c r="DH177" s="238"/>
      <c r="DI177" s="238"/>
      <c r="DJ177" s="238"/>
      <c r="DK177" s="238"/>
      <c r="DL177" s="238"/>
      <c r="DM177" s="238"/>
      <c r="DN177" s="238"/>
      <c r="DO177" s="238"/>
      <c r="DP177" s="238"/>
      <c r="DQ177" s="238"/>
      <c r="DR177" s="238"/>
      <c r="DS177" s="238"/>
      <c r="DT177" s="238"/>
      <c r="DU177" s="238"/>
      <c r="DV177" s="238"/>
      <c r="DW177" s="238"/>
      <c r="DX177" s="238"/>
      <c r="DY177" s="238"/>
      <c r="DZ177" s="238"/>
      <c r="EA177" s="238"/>
      <c r="EB177" s="238"/>
      <c r="EC177" s="238"/>
      <c r="ED177" s="238"/>
      <c r="EE177" s="238"/>
      <c r="EF177" s="238"/>
      <c r="EG177" s="238"/>
      <c r="EH177" s="238"/>
      <c r="EI177" s="238"/>
      <c r="EJ177" s="238"/>
      <c r="EK177" s="238"/>
      <c r="EL177" s="238"/>
      <c r="EM177" s="238"/>
      <c r="EN177" s="238"/>
      <c r="EO177" s="238"/>
      <c r="EP177" s="238"/>
      <c r="EQ177" s="238"/>
      <c r="ER177" s="238"/>
      <c r="ES177" s="238"/>
      <c r="ET177" s="238"/>
      <c r="EU177" s="238"/>
      <c r="EV177" s="238"/>
      <c r="EW177" s="238"/>
      <c r="EX177" s="238"/>
      <c r="EY177" s="238"/>
      <c r="EZ177" s="238"/>
      <c r="FA177" s="238"/>
      <c r="FB177" s="238"/>
      <c r="FC177" s="238"/>
      <c r="FD177" s="238"/>
      <c r="FE177" s="238"/>
      <c r="FF177" s="238"/>
      <c r="FG177" s="238"/>
      <c r="FH177" s="257"/>
      <c r="FI177" s="257"/>
      <c r="FJ177" s="257"/>
      <c r="FK177" s="257"/>
      <c r="FL177" s="257"/>
      <c r="FM177" s="257"/>
      <c r="FN177" s="257"/>
      <c r="FO177" s="257"/>
      <c r="FP177" s="257"/>
      <c r="FQ177" s="257"/>
      <c r="FR177" s="257"/>
      <c r="FS177" s="257"/>
      <c r="FT177" s="257"/>
      <c r="FU177" s="257"/>
      <c r="FV177" s="257"/>
      <c r="FW177" s="257"/>
      <c r="FX177" s="257"/>
      <c r="FY177" s="238"/>
      <c r="FZ177" s="238"/>
      <c r="GA177" s="238"/>
      <c r="GB177" s="238"/>
      <c r="GC177" s="238"/>
      <c r="GD177" s="238"/>
      <c r="GE177" s="238"/>
      <c r="GF177" s="238"/>
      <c r="GG177" s="238"/>
      <c r="GH177" s="238"/>
      <c r="GI177" s="238"/>
      <c r="GJ177" s="238"/>
      <c r="GK177" s="238"/>
      <c r="GL177" s="238"/>
      <c r="GM177" s="238"/>
      <c r="GN177" s="238"/>
      <c r="GO177" s="238"/>
      <c r="GP177" s="238"/>
      <c r="GQ177" s="238"/>
      <c r="GR177" s="238"/>
      <c r="GS177" s="238"/>
      <c r="GT177" s="238"/>
      <c r="GU177" s="238"/>
      <c r="GV177" s="238"/>
      <c r="GW177" s="238"/>
      <c r="GX177" s="238"/>
      <c r="GY177" s="238"/>
      <c r="GZ177" s="238"/>
      <c r="HA177" s="238"/>
      <c r="HB177" s="238"/>
      <c r="HC177" s="238"/>
      <c r="HD177" s="238"/>
      <c r="HE177" s="238"/>
      <c r="HF177" s="238"/>
      <c r="HG177" s="238"/>
      <c r="HH177" s="238"/>
      <c r="HI177" s="238"/>
      <c r="HJ177" s="238"/>
      <c r="HK177" s="238"/>
      <c r="HL177" s="238"/>
      <c r="HM177" s="238"/>
      <c r="HN177" s="238"/>
      <c r="HO177" s="238"/>
      <c r="HP177" s="238"/>
      <c r="HQ177" s="238"/>
      <c r="HR177" s="238"/>
      <c r="HS177" s="238"/>
      <c r="HT177" s="238"/>
      <c r="HU177" s="238"/>
      <c r="HV177" s="238"/>
      <c r="HW177" s="238"/>
      <c r="HX177" s="257"/>
      <c r="HY177" s="257"/>
      <c r="HZ177" s="257"/>
      <c r="IA177" s="257"/>
      <c r="IB177" s="257"/>
      <c r="IC177" s="257"/>
      <c r="ID177" s="257"/>
      <c r="IE177" s="257"/>
      <c r="IF177" s="257"/>
      <c r="IG177" s="257"/>
      <c r="IH177" s="257"/>
      <c r="II177" s="257"/>
      <c r="IJ177" s="257"/>
      <c r="IK177" s="257"/>
      <c r="IL177" s="257"/>
      <c r="IM177" s="257"/>
      <c r="IN177" s="257"/>
      <c r="IO177" s="257"/>
      <c r="IP177" s="257"/>
      <c r="IQ177" s="257"/>
      <c r="IR177" s="257"/>
      <c r="IS177" s="257"/>
      <c r="IT177" s="257"/>
      <c r="IU177" s="257"/>
      <c r="IV177" s="257"/>
      <c r="IW177" s="257"/>
      <c r="IX177" s="257"/>
      <c r="IY177" s="257"/>
      <c r="IZ177" s="257"/>
      <c r="JA177" s="257"/>
      <c r="JB177" s="257"/>
      <c r="JC177" s="257"/>
      <c r="JD177" s="257"/>
      <c r="JE177" s="257"/>
      <c r="JF177" s="238"/>
      <c r="JG177" s="238"/>
      <c r="JH177" s="238"/>
      <c r="JI177" s="238"/>
      <c r="JJ177" s="238"/>
      <c r="JK177" s="238"/>
      <c r="JL177" s="238"/>
      <c r="JM177" s="238"/>
      <c r="JN177" s="238"/>
      <c r="JO177" s="238"/>
      <c r="JP177" s="238"/>
      <c r="JQ177" s="238"/>
      <c r="JR177" s="238"/>
      <c r="JS177" s="238"/>
      <c r="JT177" s="238"/>
      <c r="JU177" s="238"/>
      <c r="JV177" s="238"/>
      <c r="JW177" s="238"/>
      <c r="JX177" s="238"/>
      <c r="JY177" s="238"/>
      <c r="JZ177" s="238"/>
      <c r="KA177" s="238"/>
      <c r="KB177" s="238"/>
      <c r="KC177" s="238"/>
      <c r="KD177" s="238"/>
      <c r="KE177" s="238"/>
      <c r="KF177" s="238"/>
      <c r="KG177" s="238"/>
      <c r="KH177" s="238"/>
      <c r="KI177" s="238"/>
      <c r="KJ177" s="238"/>
      <c r="KK177" s="238"/>
      <c r="KL177" s="238"/>
      <c r="KM177" s="238"/>
      <c r="KN177" s="238"/>
      <c r="KO177" s="238"/>
      <c r="KP177" s="238"/>
      <c r="KQ177" s="238"/>
      <c r="KR177" s="238"/>
      <c r="KS177" s="238"/>
      <c r="KT177" s="238"/>
      <c r="KU177" s="238"/>
      <c r="KV177" s="238"/>
      <c r="KW177" s="238"/>
      <c r="KX177" s="238"/>
      <c r="KY177" s="238"/>
      <c r="KZ177" s="238"/>
      <c r="LA177" s="238"/>
      <c r="LB177" s="238"/>
      <c r="LC177" s="238"/>
      <c r="LD177" s="238"/>
      <c r="LE177" s="238"/>
      <c r="LF177" s="238"/>
      <c r="LG177" s="238"/>
      <c r="LH177" s="238"/>
      <c r="LI177" s="238"/>
      <c r="LJ177" s="238"/>
      <c r="LK177" s="238"/>
      <c r="LL177" s="238"/>
      <c r="LM177" s="238"/>
      <c r="LN177" s="238"/>
      <c r="LO177" s="238"/>
      <c r="LP177" s="238"/>
      <c r="LQ177" s="238"/>
      <c r="LR177" s="238"/>
      <c r="LS177" s="238"/>
      <c r="LT177" s="238"/>
      <c r="LU177" s="238"/>
      <c r="LV177" s="238"/>
      <c r="LW177" s="238"/>
      <c r="LX177" s="238"/>
      <c r="LY177" s="238"/>
      <c r="LZ177" s="238"/>
      <c r="MA177" s="238"/>
      <c r="MB177" s="238"/>
      <c r="MC177" s="238"/>
      <c r="MD177" s="238"/>
      <c r="ME177" s="238"/>
      <c r="MF177" s="238"/>
      <c r="MG177" s="238"/>
      <c r="MH177" s="238"/>
      <c r="MI177" s="238"/>
      <c r="MJ177" s="238"/>
      <c r="MK177" s="238"/>
      <c r="ML177" s="238"/>
    </row>
    <row r="178" ht="18.75" customHeight="1">
      <c r="A178" s="283"/>
      <c r="B178" s="234" t="str">
        <f>'Building Bill of Materials_SLIM'!P178</f>
        <v/>
      </c>
      <c r="C178" s="234" t="str">
        <f>'Building Bill of Materials_SLIM'!Q178</f>
        <v/>
      </c>
      <c r="D178" s="234" t="str">
        <f>'Building Bill of Materials_SLIM'!R178</f>
        <v/>
      </c>
      <c r="E178" s="234" t="str">
        <f>'Building Bill of Materials_SLIM'!S178</f>
        <v/>
      </c>
      <c r="F178" s="234" t="str">
        <f>'Building Bill of Materials_SLIM'!U178</f>
        <v/>
      </c>
      <c r="G178" s="234"/>
      <c r="H178" s="234"/>
      <c r="I178" s="234"/>
      <c r="J178" s="234" t="str">
        <f>'Building Bill of Materials_SLIM'!V178</f>
        <v/>
      </c>
      <c r="K178" s="238"/>
      <c r="L178" s="238"/>
      <c r="M178" s="238"/>
      <c r="N178" s="238"/>
      <c r="O178" s="238"/>
      <c r="P178" s="238"/>
      <c r="Q178" s="238"/>
      <c r="R178" s="238"/>
      <c r="S178" s="238"/>
      <c r="T178" s="238"/>
      <c r="U178" s="238"/>
      <c r="V178" s="238"/>
      <c r="W178" s="238"/>
      <c r="X178" s="238"/>
      <c r="Y178" s="238"/>
      <c r="Z178" s="238"/>
      <c r="AA178" s="192"/>
      <c r="AB178" s="257"/>
      <c r="AC178" s="257"/>
      <c r="AD178" s="257"/>
      <c r="AE178" s="257"/>
      <c r="AF178" s="257"/>
      <c r="AG178" s="257"/>
      <c r="AH178" s="257"/>
      <c r="AI178" s="257"/>
      <c r="AJ178" s="257"/>
      <c r="AK178" s="257"/>
      <c r="AL178" s="257"/>
      <c r="AM178" s="257"/>
      <c r="AN178" s="257"/>
      <c r="AO178" s="257"/>
      <c r="AP178" s="257"/>
      <c r="AQ178" s="257"/>
      <c r="AR178" s="257"/>
      <c r="AS178" s="257"/>
      <c r="AT178" s="257"/>
      <c r="AU178" s="257"/>
      <c r="AV178" s="257"/>
      <c r="AW178" s="257"/>
      <c r="AX178" s="257"/>
      <c r="AY178" s="257"/>
      <c r="AZ178" s="257"/>
      <c r="BA178" s="257"/>
      <c r="BB178" s="257"/>
      <c r="BC178" s="257"/>
      <c r="BD178" s="257"/>
      <c r="BE178" s="257"/>
      <c r="BF178" s="257"/>
      <c r="BG178" s="257"/>
      <c r="BH178" s="257"/>
      <c r="BI178" s="257"/>
      <c r="BJ178" s="238"/>
      <c r="BK178" s="238"/>
      <c r="BL178" s="238"/>
      <c r="BM178" s="238"/>
      <c r="BN178" s="238"/>
      <c r="BO178" s="238"/>
      <c r="BP178" s="238"/>
      <c r="BQ178" s="238"/>
      <c r="BR178" s="238"/>
      <c r="BS178" s="238"/>
      <c r="BT178" s="238"/>
      <c r="BU178" s="238"/>
      <c r="BV178" s="238"/>
      <c r="BW178" s="238"/>
      <c r="BX178" s="238"/>
      <c r="BY178" s="238"/>
      <c r="BZ178" s="238"/>
      <c r="CA178" s="238"/>
      <c r="CB178" s="238"/>
      <c r="CC178" s="238"/>
      <c r="CD178" s="238"/>
      <c r="CE178" s="257"/>
      <c r="CF178" s="257"/>
      <c r="CG178" s="238"/>
      <c r="CH178" s="238"/>
      <c r="CI178" s="238"/>
      <c r="CJ178" s="238"/>
      <c r="CK178" s="238"/>
      <c r="CL178" s="238"/>
      <c r="CM178" s="238"/>
      <c r="CN178" s="238"/>
      <c r="CO178" s="238"/>
      <c r="CP178" s="238"/>
      <c r="CQ178" s="238"/>
      <c r="CR178" s="238"/>
      <c r="CS178" s="238"/>
      <c r="CT178" s="238"/>
      <c r="CU178" s="238"/>
      <c r="CV178" s="238"/>
      <c r="CW178" s="238"/>
      <c r="CX178" s="238"/>
      <c r="CY178" s="238"/>
      <c r="CZ178" s="238"/>
      <c r="DA178" s="238"/>
      <c r="DB178" s="238"/>
      <c r="DC178" s="238"/>
      <c r="DD178" s="238"/>
      <c r="DE178" s="238"/>
      <c r="DF178" s="238"/>
      <c r="DG178" s="257"/>
      <c r="DH178" s="238"/>
      <c r="DI178" s="238"/>
      <c r="DJ178" s="238"/>
      <c r="DK178" s="238"/>
      <c r="DL178" s="238"/>
      <c r="DM178" s="238"/>
      <c r="DN178" s="238"/>
      <c r="DO178" s="238"/>
      <c r="DP178" s="238"/>
      <c r="DQ178" s="238"/>
      <c r="DR178" s="238"/>
      <c r="DS178" s="238"/>
      <c r="DT178" s="238"/>
      <c r="DU178" s="238"/>
      <c r="DV178" s="238"/>
      <c r="DW178" s="238"/>
      <c r="DX178" s="238"/>
      <c r="DY178" s="238"/>
      <c r="DZ178" s="238"/>
      <c r="EA178" s="238"/>
      <c r="EB178" s="238"/>
      <c r="EC178" s="238"/>
      <c r="ED178" s="238"/>
      <c r="EE178" s="238"/>
      <c r="EF178" s="238"/>
      <c r="EG178" s="238"/>
      <c r="EH178" s="238"/>
      <c r="EI178" s="238"/>
      <c r="EJ178" s="238"/>
      <c r="EK178" s="238"/>
      <c r="EL178" s="238"/>
      <c r="EM178" s="238"/>
      <c r="EN178" s="238"/>
      <c r="EO178" s="238"/>
      <c r="EP178" s="238"/>
      <c r="EQ178" s="238"/>
      <c r="ER178" s="238"/>
      <c r="ES178" s="238"/>
      <c r="ET178" s="238"/>
      <c r="EU178" s="238"/>
      <c r="EV178" s="238"/>
      <c r="EW178" s="238"/>
      <c r="EX178" s="238"/>
      <c r="EY178" s="238"/>
      <c r="EZ178" s="238"/>
      <c r="FA178" s="238"/>
      <c r="FB178" s="238"/>
      <c r="FC178" s="238"/>
      <c r="FD178" s="238"/>
      <c r="FE178" s="238"/>
      <c r="FF178" s="238"/>
      <c r="FG178" s="238"/>
      <c r="FH178" s="257"/>
      <c r="FI178" s="257"/>
      <c r="FJ178" s="257"/>
      <c r="FK178" s="257"/>
      <c r="FL178" s="257"/>
      <c r="FM178" s="257"/>
      <c r="FN178" s="257"/>
      <c r="FO178" s="257"/>
      <c r="FP178" s="257"/>
      <c r="FQ178" s="257"/>
      <c r="FR178" s="257"/>
      <c r="FS178" s="257"/>
      <c r="FT178" s="257"/>
      <c r="FU178" s="257"/>
      <c r="FV178" s="257"/>
      <c r="FW178" s="257"/>
      <c r="FX178" s="257"/>
      <c r="FY178" s="238"/>
      <c r="FZ178" s="238"/>
      <c r="GA178" s="238"/>
      <c r="GB178" s="238"/>
      <c r="GC178" s="238"/>
      <c r="GD178" s="238"/>
      <c r="GE178" s="238"/>
      <c r="GF178" s="238"/>
      <c r="GG178" s="238"/>
      <c r="GH178" s="238"/>
      <c r="GI178" s="238"/>
      <c r="GJ178" s="238"/>
      <c r="GK178" s="238"/>
      <c r="GL178" s="238"/>
      <c r="GM178" s="238"/>
      <c r="GN178" s="238"/>
      <c r="GO178" s="238"/>
      <c r="GP178" s="238"/>
      <c r="GQ178" s="238"/>
      <c r="GR178" s="238"/>
      <c r="GS178" s="238"/>
      <c r="GT178" s="238"/>
      <c r="GU178" s="238"/>
      <c r="GV178" s="238"/>
      <c r="GW178" s="238"/>
      <c r="GX178" s="238"/>
      <c r="GY178" s="238"/>
      <c r="GZ178" s="238"/>
      <c r="HA178" s="238"/>
      <c r="HB178" s="238"/>
      <c r="HC178" s="238"/>
      <c r="HD178" s="238"/>
      <c r="HE178" s="238"/>
      <c r="HF178" s="238"/>
      <c r="HG178" s="238"/>
      <c r="HH178" s="238"/>
      <c r="HI178" s="238"/>
      <c r="HJ178" s="238"/>
      <c r="HK178" s="238"/>
      <c r="HL178" s="238"/>
      <c r="HM178" s="238"/>
      <c r="HN178" s="238"/>
      <c r="HO178" s="238"/>
      <c r="HP178" s="238"/>
      <c r="HQ178" s="238"/>
      <c r="HR178" s="238"/>
      <c r="HS178" s="238"/>
      <c r="HT178" s="238"/>
      <c r="HU178" s="238"/>
      <c r="HV178" s="238"/>
      <c r="HW178" s="238"/>
      <c r="HX178" s="257"/>
      <c r="HY178" s="257"/>
      <c r="HZ178" s="257"/>
      <c r="IA178" s="257"/>
      <c r="IB178" s="257"/>
      <c r="IC178" s="257"/>
      <c r="ID178" s="257"/>
      <c r="IE178" s="257"/>
      <c r="IF178" s="257"/>
      <c r="IG178" s="257"/>
      <c r="IH178" s="257"/>
      <c r="II178" s="257"/>
      <c r="IJ178" s="257"/>
      <c r="IK178" s="257"/>
      <c r="IL178" s="257"/>
      <c r="IM178" s="257"/>
      <c r="IN178" s="257"/>
      <c r="IO178" s="257"/>
      <c r="IP178" s="257"/>
      <c r="IQ178" s="257"/>
      <c r="IR178" s="257"/>
      <c r="IS178" s="257"/>
      <c r="IT178" s="257"/>
      <c r="IU178" s="257"/>
      <c r="IV178" s="257"/>
      <c r="IW178" s="257"/>
      <c r="IX178" s="257"/>
      <c r="IY178" s="257"/>
      <c r="IZ178" s="257"/>
      <c r="JA178" s="257"/>
      <c r="JB178" s="257"/>
      <c r="JC178" s="257"/>
      <c r="JD178" s="257"/>
      <c r="JE178" s="257"/>
      <c r="JF178" s="238"/>
      <c r="JG178" s="238"/>
      <c r="JH178" s="238"/>
      <c r="JI178" s="238"/>
      <c r="JJ178" s="238"/>
      <c r="JK178" s="238"/>
      <c r="JL178" s="238"/>
      <c r="JM178" s="238"/>
      <c r="JN178" s="238"/>
      <c r="JO178" s="238"/>
      <c r="JP178" s="238"/>
      <c r="JQ178" s="238"/>
      <c r="JR178" s="238"/>
      <c r="JS178" s="238"/>
      <c r="JT178" s="238"/>
      <c r="JU178" s="238"/>
      <c r="JV178" s="238"/>
      <c r="JW178" s="238"/>
      <c r="JX178" s="238"/>
      <c r="JY178" s="238"/>
      <c r="JZ178" s="238"/>
      <c r="KA178" s="238"/>
      <c r="KB178" s="238"/>
      <c r="KC178" s="238"/>
      <c r="KD178" s="238"/>
      <c r="KE178" s="238"/>
      <c r="KF178" s="238"/>
      <c r="KG178" s="238"/>
      <c r="KH178" s="238"/>
      <c r="KI178" s="238"/>
      <c r="KJ178" s="238"/>
      <c r="KK178" s="238"/>
      <c r="KL178" s="238"/>
      <c r="KM178" s="238"/>
      <c r="KN178" s="238"/>
      <c r="KO178" s="238"/>
      <c r="KP178" s="238"/>
      <c r="KQ178" s="238"/>
      <c r="KR178" s="238"/>
      <c r="KS178" s="238"/>
      <c r="KT178" s="238"/>
      <c r="KU178" s="238"/>
      <c r="KV178" s="238"/>
      <c r="KW178" s="238"/>
      <c r="KX178" s="238"/>
      <c r="KY178" s="238"/>
      <c r="KZ178" s="238"/>
      <c r="LA178" s="238"/>
      <c r="LB178" s="238"/>
      <c r="LC178" s="238"/>
      <c r="LD178" s="238"/>
      <c r="LE178" s="238"/>
      <c r="LF178" s="238"/>
      <c r="LG178" s="238"/>
      <c r="LH178" s="238"/>
      <c r="LI178" s="238"/>
      <c r="LJ178" s="238"/>
      <c r="LK178" s="238"/>
      <c r="LL178" s="238"/>
      <c r="LM178" s="238"/>
      <c r="LN178" s="238"/>
      <c r="LO178" s="238"/>
      <c r="LP178" s="238"/>
      <c r="LQ178" s="238"/>
      <c r="LR178" s="238"/>
      <c r="LS178" s="238"/>
      <c r="LT178" s="238"/>
      <c r="LU178" s="238"/>
      <c r="LV178" s="238"/>
      <c r="LW178" s="238"/>
      <c r="LX178" s="238"/>
      <c r="LY178" s="238"/>
      <c r="LZ178" s="238"/>
      <c r="MA178" s="238"/>
      <c r="MB178" s="238"/>
      <c r="MC178" s="238"/>
      <c r="MD178" s="238"/>
      <c r="ME178" s="238"/>
      <c r="MF178" s="238"/>
      <c r="MG178" s="238"/>
      <c r="MH178" s="238"/>
      <c r="MI178" s="238"/>
      <c r="MJ178" s="238"/>
      <c r="MK178" s="238"/>
      <c r="ML178" s="238"/>
    </row>
    <row r="179" ht="18.75" customHeight="1">
      <c r="A179" s="283"/>
      <c r="B179" s="234" t="str">
        <f>'Building Bill of Materials_SLIM'!P179</f>
        <v/>
      </c>
      <c r="C179" s="234" t="str">
        <f>'Building Bill of Materials_SLIM'!Q179</f>
        <v/>
      </c>
      <c r="D179" s="234" t="str">
        <f>'Building Bill of Materials_SLIM'!R179</f>
        <v/>
      </c>
      <c r="E179" s="234" t="str">
        <f>'Building Bill of Materials_SLIM'!S179</f>
        <v/>
      </c>
      <c r="F179" s="234" t="str">
        <f>'Building Bill of Materials_SLIM'!U179</f>
        <v/>
      </c>
      <c r="G179" s="234"/>
      <c r="H179" s="234"/>
      <c r="I179" s="234"/>
      <c r="J179" s="234" t="str">
        <f>'Building Bill of Materials_SLIM'!V179</f>
        <v/>
      </c>
      <c r="K179" s="238"/>
      <c r="L179" s="238"/>
      <c r="M179" s="238"/>
      <c r="N179" s="238"/>
      <c r="O179" s="238"/>
      <c r="P179" s="238"/>
      <c r="Q179" s="238"/>
      <c r="R179" s="238"/>
      <c r="S179" s="238"/>
      <c r="T179" s="238"/>
      <c r="U179" s="238"/>
      <c r="V179" s="238"/>
      <c r="W179" s="238"/>
      <c r="X179" s="238"/>
      <c r="Y179" s="238"/>
      <c r="Z179" s="238"/>
      <c r="AA179" s="192"/>
      <c r="AB179" s="257"/>
      <c r="AC179" s="257"/>
      <c r="AD179" s="257"/>
      <c r="AE179" s="257"/>
      <c r="AF179" s="257"/>
      <c r="AG179" s="257"/>
      <c r="AH179" s="257"/>
      <c r="AI179" s="257"/>
      <c r="AJ179" s="257"/>
      <c r="AK179" s="257"/>
      <c r="AL179" s="257"/>
      <c r="AM179" s="257"/>
      <c r="AN179" s="257"/>
      <c r="AO179" s="257"/>
      <c r="AP179" s="257"/>
      <c r="AQ179" s="257"/>
      <c r="AR179" s="257"/>
      <c r="AS179" s="257"/>
      <c r="AT179" s="257"/>
      <c r="AU179" s="257"/>
      <c r="AV179" s="257"/>
      <c r="AW179" s="257"/>
      <c r="AX179" s="257"/>
      <c r="AY179" s="257"/>
      <c r="AZ179" s="257"/>
      <c r="BA179" s="257"/>
      <c r="BB179" s="257"/>
      <c r="BC179" s="257"/>
      <c r="BD179" s="257"/>
      <c r="BE179" s="257"/>
      <c r="BF179" s="257"/>
      <c r="BG179" s="257"/>
      <c r="BH179" s="257"/>
      <c r="BI179" s="257"/>
      <c r="BJ179" s="238"/>
      <c r="BK179" s="238"/>
      <c r="BL179" s="238"/>
      <c r="BM179" s="238"/>
      <c r="BN179" s="238"/>
      <c r="BO179" s="238"/>
      <c r="BP179" s="238"/>
      <c r="BQ179" s="238"/>
      <c r="BR179" s="238"/>
      <c r="BS179" s="238"/>
      <c r="BT179" s="238"/>
      <c r="BU179" s="238"/>
      <c r="BV179" s="238"/>
      <c r="BW179" s="238"/>
      <c r="BX179" s="238"/>
      <c r="BY179" s="238"/>
      <c r="BZ179" s="238"/>
      <c r="CA179" s="238"/>
      <c r="CB179" s="238"/>
      <c r="CC179" s="238"/>
      <c r="CD179" s="238"/>
      <c r="CE179" s="257"/>
      <c r="CF179" s="257"/>
      <c r="CG179" s="238"/>
      <c r="CH179" s="238"/>
      <c r="CI179" s="238"/>
      <c r="CJ179" s="238"/>
      <c r="CK179" s="238"/>
      <c r="CL179" s="238"/>
      <c r="CM179" s="238"/>
      <c r="CN179" s="238"/>
      <c r="CO179" s="238"/>
      <c r="CP179" s="238"/>
      <c r="CQ179" s="238"/>
      <c r="CR179" s="238"/>
      <c r="CS179" s="238"/>
      <c r="CT179" s="238"/>
      <c r="CU179" s="238"/>
      <c r="CV179" s="238"/>
      <c r="CW179" s="238"/>
      <c r="CX179" s="238"/>
      <c r="CY179" s="238"/>
      <c r="CZ179" s="238"/>
      <c r="DA179" s="238"/>
      <c r="DB179" s="238"/>
      <c r="DC179" s="238"/>
      <c r="DD179" s="238"/>
      <c r="DE179" s="238"/>
      <c r="DF179" s="238"/>
      <c r="DG179" s="257"/>
      <c r="DH179" s="238"/>
      <c r="DI179" s="238"/>
      <c r="DJ179" s="238"/>
      <c r="DK179" s="238"/>
      <c r="DL179" s="238"/>
      <c r="DM179" s="238"/>
      <c r="DN179" s="238"/>
      <c r="DO179" s="238"/>
      <c r="DP179" s="238"/>
      <c r="DQ179" s="238"/>
      <c r="DR179" s="238"/>
      <c r="DS179" s="238"/>
      <c r="DT179" s="238"/>
      <c r="DU179" s="238"/>
      <c r="DV179" s="238"/>
      <c r="DW179" s="238"/>
      <c r="DX179" s="238"/>
      <c r="DY179" s="238"/>
      <c r="DZ179" s="238"/>
      <c r="EA179" s="238"/>
      <c r="EB179" s="238"/>
      <c r="EC179" s="238"/>
      <c r="ED179" s="238"/>
      <c r="EE179" s="238"/>
      <c r="EF179" s="238"/>
      <c r="EG179" s="238"/>
      <c r="EH179" s="238"/>
      <c r="EI179" s="238"/>
      <c r="EJ179" s="238"/>
      <c r="EK179" s="238"/>
      <c r="EL179" s="238"/>
      <c r="EM179" s="238"/>
      <c r="EN179" s="238"/>
      <c r="EO179" s="238"/>
      <c r="EP179" s="238"/>
      <c r="EQ179" s="238"/>
      <c r="ER179" s="238"/>
      <c r="ES179" s="238"/>
      <c r="ET179" s="238"/>
      <c r="EU179" s="238"/>
      <c r="EV179" s="238"/>
      <c r="EW179" s="238"/>
      <c r="EX179" s="238"/>
      <c r="EY179" s="238"/>
      <c r="EZ179" s="238"/>
      <c r="FA179" s="238"/>
      <c r="FB179" s="238"/>
      <c r="FC179" s="238"/>
      <c r="FD179" s="238"/>
      <c r="FE179" s="238"/>
      <c r="FF179" s="238"/>
      <c r="FG179" s="238"/>
      <c r="FH179" s="257"/>
      <c r="FI179" s="257"/>
      <c r="FJ179" s="257"/>
      <c r="FK179" s="257"/>
      <c r="FL179" s="257"/>
      <c r="FM179" s="257"/>
      <c r="FN179" s="257"/>
      <c r="FO179" s="257"/>
      <c r="FP179" s="257"/>
      <c r="FQ179" s="257"/>
      <c r="FR179" s="257"/>
      <c r="FS179" s="257"/>
      <c r="FT179" s="257"/>
      <c r="FU179" s="257"/>
      <c r="FV179" s="257"/>
      <c r="FW179" s="257"/>
      <c r="FX179" s="257"/>
      <c r="FY179" s="238"/>
      <c r="FZ179" s="238"/>
      <c r="GA179" s="238"/>
      <c r="GB179" s="238"/>
      <c r="GC179" s="238"/>
      <c r="GD179" s="238"/>
      <c r="GE179" s="238"/>
      <c r="GF179" s="238"/>
      <c r="GG179" s="238"/>
      <c r="GH179" s="238"/>
      <c r="GI179" s="238"/>
      <c r="GJ179" s="238"/>
      <c r="GK179" s="238"/>
      <c r="GL179" s="238"/>
      <c r="GM179" s="238"/>
      <c r="GN179" s="238"/>
      <c r="GO179" s="238"/>
      <c r="GP179" s="238"/>
      <c r="GQ179" s="238"/>
      <c r="GR179" s="238"/>
      <c r="GS179" s="238"/>
      <c r="GT179" s="238"/>
      <c r="GU179" s="238"/>
      <c r="GV179" s="238"/>
      <c r="GW179" s="238"/>
      <c r="GX179" s="238"/>
      <c r="GY179" s="238"/>
      <c r="GZ179" s="238"/>
      <c r="HA179" s="238"/>
      <c r="HB179" s="238"/>
      <c r="HC179" s="238"/>
      <c r="HD179" s="238"/>
      <c r="HE179" s="238"/>
      <c r="HF179" s="238"/>
      <c r="HG179" s="238"/>
      <c r="HH179" s="238"/>
      <c r="HI179" s="238"/>
      <c r="HJ179" s="238"/>
      <c r="HK179" s="238"/>
      <c r="HL179" s="238"/>
      <c r="HM179" s="238"/>
      <c r="HN179" s="238"/>
      <c r="HO179" s="238"/>
      <c r="HP179" s="238"/>
      <c r="HQ179" s="238"/>
      <c r="HR179" s="238"/>
      <c r="HS179" s="238"/>
      <c r="HT179" s="238"/>
      <c r="HU179" s="238"/>
      <c r="HV179" s="238"/>
      <c r="HW179" s="238"/>
      <c r="HX179" s="257"/>
      <c r="HY179" s="257"/>
      <c r="HZ179" s="257"/>
      <c r="IA179" s="257"/>
      <c r="IB179" s="257"/>
      <c r="IC179" s="257"/>
      <c r="ID179" s="257"/>
      <c r="IE179" s="257"/>
      <c r="IF179" s="257"/>
      <c r="IG179" s="257"/>
      <c r="IH179" s="257"/>
      <c r="II179" s="257"/>
      <c r="IJ179" s="257"/>
      <c r="IK179" s="257"/>
      <c r="IL179" s="257"/>
      <c r="IM179" s="257"/>
      <c r="IN179" s="257"/>
      <c r="IO179" s="257"/>
      <c r="IP179" s="257"/>
      <c r="IQ179" s="257"/>
      <c r="IR179" s="257"/>
      <c r="IS179" s="257"/>
      <c r="IT179" s="257"/>
      <c r="IU179" s="257"/>
      <c r="IV179" s="257"/>
      <c r="IW179" s="257"/>
      <c r="IX179" s="257"/>
      <c r="IY179" s="257"/>
      <c r="IZ179" s="257"/>
      <c r="JA179" s="257"/>
      <c r="JB179" s="257"/>
      <c r="JC179" s="257"/>
      <c r="JD179" s="257"/>
      <c r="JE179" s="257"/>
      <c r="JF179" s="238"/>
      <c r="JG179" s="238"/>
      <c r="JH179" s="238"/>
      <c r="JI179" s="238"/>
      <c r="JJ179" s="238"/>
      <c r="JK179" s="238"/>
      <c r="JL179" s="238"/>
      <c r="JM179" s="238"/>
      <c r="JN179" s="238"/>
      <c r="JO179" s="238"/>
      <c r="JP179" s="238"/>
      <c r="JQ179" s="238"/>
      <c r="JR179" s="238"/>
      <c r="JS179" s="238"/>
      <c r="JT179" s="238"/>
      <c r="JU179" s="238"/>
      <c r="JV179" s="238"/>
      <c r="JW179" s="238"/>
      <c r="JX179" s="238"/>
      <c r="JY179" s="238"/>
      <c r="JZ179" s="238"/>
      <c r="KA179" s="238"/>
      <c r="KB179" s="238"/>
      <c r="KC179" s="238"/>
      <c r="KD179" s="238"/>
      <c r="KE179" s="238"/>
      <c r="KF179" s="238"/>
      <c r="KG179" s="238"/>
      <c r="KH179" s="238"/>
      <c r="KI179" s="238"/>
      <c r="KJ179" s="238"/>
      <c r="KK179" s="238"/>
      <c r="KL179" s="238"/>
      <c r="KM179" s="238"/>
      <c r="KN179" s="238"/>
      <c r="KO179" s="238"/>
      <c r="KP179" s="238"/>
      <c r="KQ179" s="238"/>
      <c r="KR179" s="238"/>
      <c r="KS179" s="238"/>
      <c r="KT179" s="238"/>
      <c r="KU179" s="238"/>
      <c r="KV179" s="238"/>
      <c r="KW179" s="238"/>
      <c r="KX179" s="238"/>
      <c r="KY179" s="238"/>
      <c r="KZ179" s="238"/>
      <c r="LA179" s="238"/>
      <c r="LB179" s="238"/>
      <c r="LC179" s="238"/>
      <c r="LD179" s="238"/>
      <c r="LE179" s="238"/>
      <c r="LF179" s="238"/>
      <c r="LG179" s="238"/>
      <c r="LH179" s="238"/>
      <c r="LI179" s="238"/>
      <c r="LJ179" s="238"/>
      <c r="LK179" s="238"/>
      <c r="LL179" s="238"/>
      <c r="LM179" s="238"/>
      <c r="LN179" s="238"/>
      <c r="LO179" s="238"/>
      <c r="LP179" s="238"/>
      <c r="LQ179" s="238"/>
      <c r="LR179" s="238"/>
      <c r="LS179" s="238"/>
      <c r="LT179" s="238"/>
      <c r="LU179" s="238"/>
      <c r="LV179" s="238"/>
      <c r="LW179" s="238"/>
      <c r="LX179" s="238"/>
      <c r="LY179" s="238"/>
      <c r="LZ179" s="238"/>
      <c r="MA179" s="238"/>
      <c r="MB179" s="238"/>
      <c r="MC179" s="238"/>
      <c r="MD179" s="238"/>
      <c r="ME179" s="238"/>
      <c r="MF179" s="238"/>
      <c r="MG179" s="238"/>
      <c r="MH179" s="238"/>
      <c r="MI179" s="238"/>
      <c r="MJ179" s="238"/>
      <c r="MK179" s="238"/>
      <c r="ML179" s="238"/>
    </row>
    <row r="180" ht="18.75" customHeight="1">
      <c r="A180" s="283"/>
      <c r="B180" s="234" t="str">
        <f>'Building Bill of Materials_SLIM'!P180</f>
        <v/>
      </c>
      <c r="C180" s="234" t="str">
        <f>'Building Bill of Materials_SLIM'!Q180</f>
        <v/>
      </c>
      <c r="D180" s="234" t="str">
        <f>'Building Bill of Materials_SLIM'!R180</f>
        <v/>
      </c>
      <c r="E180" s="234" t="str">
        <f>'Building Bill of Materials_SLIM'!S180</f>
        <v/>
      </c>
      <c r="F180" s="234" t="str">
        <f>'Building Bill of Materials_SLIM'!U180</f>
        <v/>
      </c>
      <c r="G180" s="234"/>
      <c r="H180" s="234"/>
      <c r="I180" s="234"/>
      <c r="J180" s="234" t="str">
        <f>'Building Bill of Materials_SLIM'!V180</f>
        <v/>
      </c>
      <c r="K180" s="242"/>
      <c r="L180" s="242"/>
      <c r="M180" s="242"/>
      <c r="N180" s="242"/>
      <c r="O180" s="242"/>
      <c r="P180" s="242"/>
      <c r="Q180" s="242"/>
      <c r="R180" s="242"/>
      <c r="S180" s="242"/>
      <c r="T180" s="242"/>
      <c r="U180" s="242"/>
      <c r="V180" s="242"/>
      <c r="W180" s="242"/>
      <c r="X180" s="242"/>
      <c r="Y180" s="242"/>
      <c r="Z180" s="242"/>
      <c r="AA180" s="192"/>
      <c r="AB180" s="257"/>
      <c r="AC180" s="257"/>
      <c r="AD180" s="257"/>
      <c r="AE180" s="257"/>
      <c r="AF180" s="257"/>
      <c r="AG180" s="257"/>
      <c r="AH180" s="257"/>
      <c r="AI180" s="257"/>
      <c r="AJ180" s="257"/>
      <c r="AK180" s="257"/>
      <c r="AL180" s="257"/>
      <c r="AM180" s="257"/>
      <c r="AN180" s="257"/>
      <c r="AO180" s="257"/>
      <c r="AP180" s="257"/>
      <c r="AQ180" s="257"/>
      <c r="AR180" s="257"/>
      <c r="AS180" s="257"/>
      <c r="AT180" s="257"/>
      <c r="AU180" s="257"/>
      <c r="AV180" s="257"/>
      <c r="AW180" s="257"/>
      <c r="AX180" s="257"/>
      <c r="AY180" s="257"/>
      <c r="AZ180" s="257"/>
      <c r="BA180" s="257"/>
      <c r="BB180" s="257"/>
      <c r="BC180" s="257"/>
      <c r="BD180" s="257"/>
      <c r="BE180" s="257"/>
      <c r="BF180" s="257"/>
      <c r="BG180" s="257"/>
      <c r="BH180" s="257"/>
      <c r="BI180" s="257"/>
      <c r="BJ180" s="242"/>
      <c r="BK180" s="242"/>
      <c r="BL180" s="242"/>
      <c r="BM180" s="242"/>
      <c r="BN180" s="242"/>
      <c r="BO180" s="242"/>
      <c r="BP180" s="242"/>
      <c r="BQ180" s="242"/>
      <c r="BR180" s="242"/>
      <c r="BS180" s="242"/>
      <c r="BT180" s="242"/>
      <c r="BU180" s="242"/>
      <c r="BV180" s="242"/>
      <c r="BW180" s="242"/>
      <c r="BX180" s="242"/>
      <c r="BY180" s="242"/>
      <c r="BZ180" s="242"/>
      <c r="CA180" s="242"/>
      <c r="CB180" s="242"/>
      <c r="CC180" s="242"/>
      <c r="CD180" s="242"/>
      <c r="CE180" s="257"/>
      <c r="CF180" s="257"/>
      <c r="CG180" s="242"/>
      <c r="CH180" s="242"/>
      <c r="CI180" s="242"/>
      <c r="CJ180" s="242"/>
      <c r="CK180" s="242"/>
      <c r="CL180" s="242"/>
      <c r="CM180" s="242"/>
      <c r="CN180" s="242"/>
      <c r="CO180" s="242"/>
      <c r="CP180" s="242"/>
      <c r="CQ180" s="242"/>
      <c r="CR180" s="242"/>
      <c r="CS180" s="242"/>
      <c r="CT180" s="242"/>
      <c r="CU180" s="242"/>
      <c r="CV180" s="242"/>
      <c r="CW180" s="242"/>
      <c r="CX180" s="242"/>
      <c r="CY180" s="242"/>
      <c r="CZ180" s="242"/>
      <c r="DA180" s="242"/>
      <c r="DB180" s="242"/>
      <c r="DC180" s="242"/>
      <c r="DD180" s="242"/>
      <c r="DE180" s="242"/>
      <c r="DF180" s="242"/>
      <c r="DG180" s="257"/>
      <c r="DH180" s="242"/>
      <c r="DI180" s="242"/>
      <c r="DJ180" s="242"/>
      <c r="DK180" s="242"/>
      <c r="DL180" s="242"/>
      <c r="DM180" s="242"/>
      <c r="DN180" s="242"/>
      <c r="DO180" s="242"/>
      <c r="DP180" s="242"/>
      <c r="DQ180" s="242"/>
      <c r="DR180" s="242"/>
      <c r="DS180" s="242"/>
      <c r="DT180" s="242"/>
      <c r="DU180" s="242"/>
      <c r="DV180" s="242"/>
      <c r="DW180" s="242"/>
      <c r="DX180" s="242"/>
      <c r="DY180" s="242"/>
      <c r="DZ180" s="242"/>
      <c r="EA180" s="242"/>
      <c r="EB180" s="242"/>
      <c r="EC180" s="242"/>
      <c r="ED180" s="242"/>
      <c r="EE180" s="242"/>
      <c r="EF180" s="242"/>
      <c r="EG180" s="242"/>
      <c r="EH180" s="242"/>
      <c r="EI180" s="242"/>
      <c r="EJ180" s="242"/>
      <c r="EK180" s="242"/>
      <c r="EL180" s="242"/>
      <c r="EM180" s="242"/>
      <c r="EN180" s="242"/>
      <c r="EO180" s="242"/>
      <c r="EP180" s="242"/>
      <c r="EQ180" s="242"/>
      <c r="ER180" s="242"/>
      <c r="ES180" s="242"/>
      <c r="ET180" s="242"/>
      <c r="EU180" s="242"/>
      <c r="EV180" s="242"/>
      <c r="EW180" s="242"/>
      <c r="EX180" s="242"/>
      <c r="EY180" s="242"/>
      <c r="EZ180" s="242"/>
      <c r="FA180" s="242"/>
      <c r="FB180" s="242"/>
      <c r="FC180" s="242"/>
      <c r="FD180" s="242"/>
      <c r="FE180" s="242"/>
      <c r="FF180" s="242"/>
      <c r="FG180" s="242"/>
      <c r="FH180" s="257"/>
      <c r="FI180" s="257"/>
      <c r="FJ180" s="257"/>
      <c r="FK180" s="257"/>
      <c r="FL180" s="257"/>
      <c r="FM180" s="257"/>
      <c r="FN180" s="257"/>
      <c r="FO180" s="257"/>
      <c r="FP180" s="257"/>
      <c r="FQ180" s="257"/>
      <c r="FR180" s="257"/>
      <c r="FS180" s="257"/>
      <c r="FT180" s="257"/>
      <c r="FU180" s="257"/>
      <c r="FV180" s="257"/>
      <c r="FW180" s="257"/>
      <c r="FX180" s="257"/>
      <c r="FY180" s="242"/>
      <c r="FZ180" s="242"/>
      <c r="GA180" s="242"/>
      <c r="GB180" s="242"/>
      <c r="GC180" s="242"/>
      <c r="GD180" s="242"/>
      <c r="GE180" s="242"/>
      <c r="GF180" s="242"/>
      <c r="GG180" s="242"/>
      <c r="GH180" s="242"/>
      <c r="GI180" s="242"/>
      <c r="GJ180" s="242"/>
      <c r="GK180" s="242"/>
      <c r="GL180" s="242"/>
      <c r="GM180" s="242"/>
      <c r="GN180" s="242"/>
      <c r="GO180" s="242"/>
      <c r="GP180" s="242"/>
      <c r="GQ180" s="242"/>
      <c r="GR180" s="242"/>
      <c r="GS180" s="242"/>
      <c r="GT180" s="242"/>
      <c r="GU180" s="242"/>
      <c r="GV180" s="242"/>
      <c r="GW180" s="242"/>
      <c r="GX180" s="242"/>
      <c r="GY180" s="242"/>
      <c r="GZ180" s="242"/>
      <c r="HA180" s="242"/>
      <c r="HB180" s="242"/>
      <c r="HC180" s="242"/>
      <c r="HD180" s="242"/>
      <c r="HE180" s="242"/>
      <c r="HF180" s="242"/>
      <c r="HG180" s="242"/>
      <c r="HH180" s="242"/>
      <c r="HI180" s="242"/>
      <c r="HJ180" s="242"/>
      <c r="HK180" s="242"/>
      <c r="HL180" s="242"/>
      <c r="HM180" s="242"/>
      <c r="HN180" s="242"/>
      <c r="HO180" s="242"/>
      <c r="HP180" s="242"/>
      <c r="HQ180" s="242"/>
      <c r="HR180" s="242"/>
      <c r="HS180" s="242"/>
      <c r="HT180" s="242"/>
      <c r="HU180" s="242"/>
      <c r="HV180" s="242"/>
      <c r="HW180" s="242"/>
      <c r="HX180" s="257"/>
      <c r="HY180" s="257"/>
      <c r="HZ180" s="257"/>
      <c r="IA180" s="257"/>
      <c r="IB180" s="257"/>
      <c r="IC180" s="257"/>
      <c r="ID180" s="257"/>
      <c r="IE180" s="257"/>
      <c r="IF180" s="257"/>
      <c r="IG180" s="257"/>
      <c r="IH180" s="257"/>
      <c r="II180" s="257"/>
      <c r="IJ180" s="257"/>
      <c r="IK180" s="257"/>
      <c r="IL180" s="257"/>
      <c r="IM180" s="257"/>
      <c r="IN180" s="257"/>
      <c r="IO180" s="257"/>
      <c r="IP180" s="257"/>
      <c r="IQ180" s="257"/>
      <c r="IR180" s="257"/>
      <c r="IS180" s="257"/>
      <c r="IT180" s="257"/>
      <c r="IU180" s="257"/>
      <c r="IV180" s="257"/>
      <c r="IW180" s="257"/>
      <c r="IX180" s="257"/>
      <c r="IY180" s="257"/>
      <c r="IZ180" s="257"/>
      <c r="JA180" s="257"/>
      <c r="JB180" s="257"/>
      <c r="JC180" s="257"/>
      <c r="JD180" s="257"/>
      <c r="JE180" s="257"/>
      <c r="JF180" s="242"/>
      <c r="JG180" s="242"/>
      <c r="JH180" s="242"/>
      <c r="JI180" s="242"/>
      <c r="JJ180" s="242"/>
      <c r="JK180" s="242"/>
      <c r="JL180" s="242"/>
      <c r="JM180" s="242"/>
      <c r="JN180" s="242"/>
      <c r="JO180" s="242"/>
      <c r="JP180" s="242"/>
      <c r="JQ180" s="242"/>
      <c r="JR180" s="242"/>
      <c r="JS180" s="242"/>
      <c r="JT180" s="242"/>
      <c r="JU180" s="242"/>
      <c r="JV180" s="242"/>
      <c r="JW180" s="242"/>
      <c r="JX180" s="242"/>
      <c r="JY180" s="242"/>
      <c r="JZ180" s="242"/>
      <c r="KA180" s="242"/>
      <c r="KB180" s="242"/>
      <c r="KC180" s="242"/>
      <c r="KD180" s="242"/>
      <c r="KE180" s="242"/>
      <c r="KF180" s="242"/>
      <c r="KG180" s="242"/>
      <c r="KH180" s="242"/>
      <c r="KI180" s="242"/>
      <c r="KJ180" s="242"/>
      <c r="KK180" s="242"/>
      <c r="KL180" s="242"/>
      <c r="KM180" s="242"/>
      <c r="KN180" s="242"/>
      <c r="KO180" s="242"/>
      <c r="KP180" s="242"/>
      <c r="KQ180" s="242"/>
      <c r="KR180" s="242"/>
      <c r="KS180" s="242"/>
      <c r="KT180" s="242"/>
      <c r="KU180" s="242"/>
      <c r="KV180" s="242"/>
      <c r="KW180" s="242"/>
      <c r="KX180" s="242"/>
      <c r="KY180" s="242"/>
      <c r="KZ180" s="242"/>
      <c r="LA180" s="242"/>
      <c r="LB180" s="242"/>
      <c r="LC180" s="242"/>
      <c r="LD180" s="242"/>
      <c r="LE180" s="242"/>
      <c r="LF180" s="242"/>
      <c r="LG180" s="242"/>
      <c r="LH180" s="242"/>
      <c r="LI180" s="242"/>
      <c r="LJ180" s="242"/>
      <c r="LK180" s="242"/>
      <c r="LL180" s="242"/>
      <c r="LM180" s="242"/>
      <c r="LN180" s="242"/>
      <c r="LO180" s="242"/>
      <c r="LP180" s="242"/>
      <c r="LQ180" s="242"/>
      <c r="LR180" s="242"/>
      <c r="LS180" s="242"/>
      <c r="LT180" s="242"/>
      <c r="LU180" s="242"/>
      <c r="LV180" s="242"/>
      <c r="LW180" s="242"/>
      <c r="LX180" s="242"/>
      <c r="LY180" s="242"/>
      <c r="LZ180" s="242"/>
      <c r="MA180" s="242"/>
      <c r="MB180" s="242"/>
      <c r="MC180" s="242"/>
      <c r="MD180" s="242"/>
      <c r="ME180" s="242"/>
      <c r="MF180" s="242"/>
      <c r="MG180" s="242"/>
      <c r="MH180" s="242"/>
      <c r="MI180" s="242"/>
      <c r="MJ180" s="242"/>
      <c r="MK180" s="242"/>
      <c r="ML180" s="242"/>
    </row>
    <row r="181" ht="18.75" customHeight="1">
      <c r="A181" s="283"/>
      <c r="B181" s="234" t="str">
        <f>'Building Bill of Materials_SLIM'!P181</f>
        <v/>
      </c>
      <c r="C181" s="234" t="str">
        <f>'Building Bill of Materials_SLIM'!Q181</f>
        <v/>
      </c>
      <c r="D181" s="234" t="str">
        <f>'Building Bill of Materials_SLIM'!R181</f>
        <v/>
      </c>
      <c r="E181" s="234" t="str">
        <f>'Building Bill of Materials_SLIM'!S181</f>
        <v/>
      </c>
      <c r="F181" s="234" t="str">
        <f>'Building Bill of Materials_SLIM'!U181</f>
        <v/>
      </c>
      <c r="G181" s="234"/>
      <c r="H181" s="234"/>
      <c r="I181" s="234"/>
      <c r="J181" s="234" t="str">
        <f>'Building Bill of Materials_SLIM'!V181</f>
        <v/>
      </c>
      <c r="K181" s="242"/>
      <c r="L181" s="242"/>
      <c r="M181" s="242"/>
      <c r="N181" s="242"/>
      <c r="O181" s="242"/>
      <c r="P181" s="242"/>
      <c r="Q181" s="242"/>
      <c r="R181" s="242"/>
      <c r="S181" s="242"/>
      <c r="T181" s="242"/>
      <c r="U181" s="242"/>
      <c r="V181" s="242"/>
      <c r="W181" s="242"/>
      <c r="X181" s="242"/>
      <c r="Y181" s="242"/>
      <c r="Z181" s="242"/>
      <c r="AA181" s="192"/>
      <c r="AB181" s="257"/>
      <c r="AC181" s="257"/>
      <c r="AD181" s="257"/>
      <c r="AE181" s="257"/>
      <c r="AF181" s="257"/>
      <c r="AG181" s="257"/>
      <c r="AH181" s="257"/>
      <c r="AI181" s="257"/>
      <c r="AJ181" s="257"/>
      <c r="AK181" s="257"/>
      <c r="AL181" s="257"/>
      <c r="AM181" s="257"/>
      <c r="AN181" s="257"/>
      <c r="AO181" s="257"/>
      <c r="AP181" s="257"/>
      <c r="AQ181" s="257"/>
      <c r="AR181" s="257"/>
      <c r="AS181" s="257"/>
      <c r="AT181" s="257"/>
      <c r="AU181" s="257"/>
      <c r="AV181" s="257"/>
      <c r="AW181" s="257"/>
      <c r="AX181" s="257"/>
      <c r="AY181" s="257"/>
      <c r="AZ181" s="257"/>
      <c r="BA181" s="257"/>
      <c r="BB181" s="257"/>
      <c r="BC181" s="257"/>
      <c r="BD181" s="257"/>
      <c r="BE181" s="257"/>
      <c r="BF181" s="257"/>
      <c r="BG181" s="257"/>
      <c r="BH181" s="257"/>
      <c r="BI181" s="257"/>
      <c r="BJ181" s="242"/>
      <c r="BK181" s="242"/>
      <c r="BL181" s="242"/>
      <c r="BM181" s="242"/>
      <c r="BN181" s="242"/>
      <c r="BO181" s="242"/>
      <c r="BP181" s="242"/>
      <c r="BQ181" s="242"/>
      <c r="BR181" s="242"/>
      <c r="BS181" s="242"/>
      <c r="BT181" s="242"/>
      <c r="BU181" s="242"/>
      <c r="BV181" s="242"/>
      <c r="BW181" s="242"/>
      <c r="BX181" s="242"/>
      <c r="BY181" s="242"/>
      <c r="BZ181" s="242"/>
      <c r="CA181" s="242"/>
      <c r="CB181" s="242"/>
      <c r="CC181" s="242"/>
      <c r="CD181" s="242"/>
      <c r="CE181" s="257"/>
      <c r="CF181" s="257"/>
      <c r="CG181" s="242"/>
      <c r="CH181" s="242"/>
      <c r="CI181" s="242"/>
      <c r="CJ181" s="242"/>
      <c r="CK181" s="242"/>
      <c r="CL181" s="242"/>
      <c r="CM181" s="242"/>
      <c r="CN181" s="242"/>
      <c r="CO181" s="242"/>
      <c r="CP181" s="242"/>
      <c r="CQ181" s="242"/>
      <c r="CR181" s="242"/>
      <c r="CS181" s="242"/>
      <c r="CT181" s="242"/>
      <c r="CU181" s="242"/>
      <c r="CV181" s="242"/>
      <c r="CW181" s="242"/>
      <c r="CX181" s="242"/>
      <c r="CY181" s="242"/>
      <c r="CZ181" s="242"/>
      <c r="DA181" s="242"/>
      <c r="DB181" s="242"/>
      <c r="DC181" s="242"/>
      <c r="DD181" s="242"/>
      <c r="DE181" s="242"/>
      <c r="DF181" s="242"/>
      <c r="DG181" s="257"/>
      <c r="DH181" s="242"/>
      <c r="DI181" s="242"/>
      <c r="DJ181" s="242"/>
      <c r="DK181" s="242"/>
      <c r="DL181" s="242"/>
      <c r="DM181" s="242"/>
      <c r="DN181" s="242"/>
      <c r="DO181" s="242"/>
      <c r="DP181" s="242"/>
      <c r="DQ181" s="242"/>
      <c r="DR181" s="242"/>
      <c r="DS181" s="242"/>
      <c r="DT181" s="242"/>
      <c r="DU181" s="242"/>
      <c r="DV181" s="242"/>
      <c r="DW181" s="242"/>
      <c r="DX181" s="242"/>
      <c r="DY181" s="242"/>
      <c r="DZ181" s="242"/>
      <c r="EA181" s="242"/>
      <c r="EB181" s="242"/>
      <c r="EC181" s="242"/>
      <c r="ED181" s="242"/>
      <c r="EE181" s="242"/>
      <c r="EF181" s="242"/>
      <c r="EG181" s="242"/>
      <c r="EH181" s="242"/>
      <c r="EI181" s="242"/>
      <c r="EJ181" s="242"/>
      <c r="EK181" s="242"/>
      <c r="EL181" s="242"/>
      <c r="EM181" s="242"/>
      <c r="EN181" s="242"/>
      <c r="EO181" s="242"/>
      <c r="EP181" s="242"/>
      <c r="EQ181" s="242"/>
      <c r="ER181" s="242"/>
      <c r="ES181" s="242"/>
      <c r="ET181" s="242"/>
      <c r="EU181" s="242"/>
      <c r="EV181" s="242"/>
      <c r="EW181" s="242"/>
      <c r="EX181" s="242"/>
      <c r="EY181" s="242"/>
      <c r="EZ181" s="242"/>
      <c r="FA181" s="242"/>
      <c r="FB181" s="242"/>
      <c r="FC181" s="242"/>
      <c r="FD181" s="242"/>
      <c r="FE181" s="242"/>
      <c r="FF181" s="242"/>
      <c r="FG181" s="242"/>
      <c r="FH181" s="257"/>
      <c r="FI181" s="257"/>
      <c r="FJ181" s="257"/>
      <c r="FK181" s="257"/>
      <c r="FL181" s="257"/>
      <c r="FM181" s="257"/>
      <c r="FN181" s="257"/>
      <c r="FO181" s="257"/>
      <c r="FP181" s="257"/>
      <c r="FQ181" s="257"/>
      <c r="FR181" s="257"/>
      <c r="FS181" s="257"/>
      <c r="FT181" s="257"/>
      <c r="FU181" s="257"/>
      <c r="FV181" s="257"/>
      <c r="FW181" s="257"/>
      <c r="FX181" s="257"/>
      <c r="FY181" s="242"/>
      <c r="FZ181" s="242"/>
      <c r="GA181" s="242"/>
      <c r="GB181" s="242"/>
      <c r="GC181" s="242"/>
      <c r="GD181" s="242"/>
      <c r="GE181" s="242"/>
      <c r="GF181" s="242"/>
      <c r="GG181" s="242"/>
      <c r="GH181" s="242"/>
      <c r="GI181" s="242"/>
      <c r="GJ181" s="242"/>
      <c r="GK181" s="242"/>
      <c r="GL181" s="242"/>
      <c r="GM181" s="242"/>
      <c r="GN181" s="242"/>
      <c r="GO181" s="242"/>
      <c r="GP181" s="242"/>
      <c r="GQ181" s="242"/>
      <c r="GR181" s="242"/>
      <c r="GS181" s="242"/>
      <c r="GT181" s="242"/>
      <c r="GU181" s="242"/>
      <c r="GV181" s="242"/>
      <c r="GW181" s="242"/>
      <c r="GX181" s="242"/>
      <c r="GY181" s="242"/>
      <c r="GZ181" s="242"/>
      <c r="HA181" s="242"/>
      <c r="HB181" s="242"/>
      <c r="HC181" s="242"/>
      <c r="HD181" s="242"/>
      <c r="HE181" s="242"/>
      <c r="HF181" s="242"/>
      <c r="HG181" s="242"/>
      <c r="HH181" s="242"/>
      <c r="HI181" s="242"/>
      <c r="HJ181" s="242"/>
      <c r="HK181" s="242"/>
      <c r="HL181" s="242"/>
      <c r="HM181" s="242"/>
      <c r="HN181" s="242"/>
      <c r="HO181" s="242"/>
      <c r="HP181" s="242"/>
      <c r="HQ181" s="242"/>
      <c r="HR181" s="242"/>
      <c r="HS181" s="242"/>
      <c r="HT181" s="242"/>
      <c r="HU181" s="242"/>
      <c r="HV181" s="242"/>
      <c r="HW181" s="242"/>
      <c r="HX181" s="257"/>
      <c r="HY181" s="257"/>
      <c r="HZ181" s="257"/>
      <c r="IA181" s="257"/>
      <c r="IB181" s="257"/>
      <c r="IC181" s="257"/>
      <c r="ID181" s="257"/>
      <c r="IE181" s="257"/>
      <c r="IF181" s="257"/>
      <c r="IG181" s="257"/>
      <c r="IH181" s="257"/>
      <c r="II181" s="257"/>
      <c r="IJ181" s="257"/>
      <c r="IK181" s="257"/>
      <c r="IL181" s="257"/>
      <c r="IM181" s="257"/>
      <c r="IN181" s="257"/>
      <c r="IO181" s="257"/>
      <c r="IP181" s="257"/>
      <c r="IQ181" s="257"/>
      <c r="IR181" s="257"/>
      <c r="IS181" s="257"/>
      <c r="IT181" s="257"/>
      <c r="IU181" s="257"/>
      <c r="IV181" s="257"/>
      <c r="IW181" s="257"/>
      <c r="IX181" s="257"/>
      <c r="IY181" s="257"/>
      <c r="IZ181" s="257"/>
      <c r="JA181" s="257"/>
      <c r="JB181" s="257"/>
      <c r="JC181" s="257"/>
      <c r="JD181" s="257"/>
      <c r="JE181" s="257"/>
      <c r="JF181" s="242"/>
      <c r="JG181" s="242"/>
      <c r="JH181" s="242"/>
      <c r="JI181" s="242"/>
      <c r="JJ181" s="242"/>
      <c r="JK181" s="242"/>
      <c r="JL181" s="242"/>
      <c r="JM181" s="242"/>
      <c r="JN181" s="242"/>
      <c r="JO181" s="242"/>
      <c r="JP181" s="242"/>
      <c r="JQ181" s="242"/>
      <c r="JR181" s="242"/>
      <c r="JS181" s="242"/>
      <c r="JT181" s="242"/>
      <c r="JU181" s="242"/>
      <c r="JV181" s="242"/>
      <c r="JW181" s="242"/>
      <c r="JX181" s="242"/>
      <c r="JY181" s="242"/>
      <c r="JZ181" s="242"/>
      <c r="KA181" s="242"/>
      <c r="KB181" s="242"/>
      <c r="KC181" s="242"/>
      <c r="KD181" s="242"/>
      <c r="KE181" s="242"/>
      <c r="KF181" s="242"/>
      <c r="KG181" s="242"/>
      <c r="KH181" s="242"/>
      <c r="KI181" s="242"/>
      <c r="KJ181" s="242"/>
      <c r="KK181" s="242"/>
      <c r="KL181" s="242"/>
      <c r="KM181" s="242"/>
      <c r="KN181" s="242"/>
      <c r="KO181" s="242"/>
      <c r="KP181" s="242"/>
      <c r="KQ181" s="242"/>
      <c r="KR181" s="242"/>
      <c r="KS181" s="242"/>
      <c r="KT181" s="242"/>
      <c r="KU181" s="242"/>
      <c r="KV181" s="242"/>
      <c r="KW181" s="242"/>
      <c r="KX181" s="242"/>
      <c r="KY181" s="242"/>
      <c r="KZ181" s="242"/>
      <c r="LA181" s="242"/>
      <c r="LB181" s="242"/>
      <c r="LC181" s="242"/>
      <c r="LD181" s="242"/>
      <c r="LE181" s="242"/>
      <c r="LF181" s="242"/>
      <c r="LG181" s="242"/>
      <c r="LH181" s="242"/>
      <c r="LI181" s="242"/>
      <c r="LJ181" s="242"/>
      <c r="LK181" s="242"/>
      <c r="LL181" s="242"/>
      <c r="LM181" s="242"/>
      <c r="LN181" s="242"/>
      <c r="LO181" s="242"/>
      <c r="LP181" s="242"/>
      <c r="LQ181" s="242"/>
      <c r="LR181" s="242"/>
      <c r="LS181" s="242"/>
      <c r="LT181" s="242"/>
      <c r="LU181" s="242"/>
      <c r="LV181" s="242"/>
      <c r="LW181" s="242"/>
      <c r="LX181" s="242"/>
      <c r="LY181" s="242"/>
      <c r="LZ181" s="242"/>
      <c r="MA181" s="242"/>
      <c r="MB181" s="242"/>
      <c r="MC181" s="242"/>
      <c r="MD181" s="242"/>
      <c r="ME181" s="242"/>
      <c r="MF181" s="242"/>
      <c r="MG181" s="242"/>
      <c r="MH181" s="242"/>
      <c r="MI181" s="242"/>
      <c r="MJ181" s="242"/>
      <c r="MK181" s="242"/>
      <c r="ML181" s="242"/>
    </row>
    <row r="182" ht="18.75" customHeight="1">
      <c r="A182" s="283"/>
      <c r="B182" s="234" t="str">
        <f>'Building Bill of Materials_SLIM'!P182</f>
        <v/>
      </c>
      <c r="C182" s="234" t="str">
        <f>'Building Bill of Materials_SLIM'!Q182</f>
        <v/>
      </c>
      <c r="D182" s="234" t="str">
        <f>'Building Bill of Materials_SLIM'!R182</f>
        <v/>
      </c>
      <c r="E182" s="234" t="str">
        <f>'Building Bill of Materials_SLIM'!S182</f>
        <v/>
      </c>
      <c r="F182" s="234" t="str">
        <f>'Building Bill of Materials_SLIM'!U182</f>
        <v/>
      </c>
      <c r="G182" s="234"/>
      <c r="H182" s="234"/>
      <c r="I182" s="234"/>
      <c r="J182" s="234" t="str">
        <f>'Building Bill of Materials_SLIM'!V182</f>
        <v/>
      </c>
      <c r="K182" s="242"/>
      <c r="L182" s="242"/>
      <c r="M182" s="242"/>
      <c r="N182" s="242"/>
      <c r="O182" s="242"/>
      <c r="P182" s="242"/>
      <c r="Q182" s="242"/>
      <c r="R182" s="242"/>
      <c r="S182" s="242"/>
      <c r="T182" s="242"/>
      <c r="U182" s="242"/>
      <c r="V182" s="242"/>
      <c r="W182" s="242"/>
      <c r="X182" s="242"/>
      <c r="Y182" s="242"/>
      <c r="Z182" s="242"/>
      <c r="AA182" s="192"/>
      <c r="AB182" s="257"/>
      <c r="AC182" s="257"/>
      <c r="AD182" s="257"/>
      <c r="AE182" s="257"/>
      <c r="AF182" s="257"/>
      <c r="AG182" s="257"/>
      <c r="AH182" s="257"/>
      <c r="AI182" s="257"/>
      <c r="AJ182" s="257"/>
      <c r="AK182" s="257"/>
      <c r="AL182" s="257"/>
      <c r="AM182" s="257"/>
      <c r="AN182" s="257"/>
      <c r="AO182" s="257"/>
      <c r="AP182" s="257"/>
      <c r="AQ182" s="257"/>
      <c r="AR182" s="257"/>
      <c r="AS182" s="257"/>
      <c r="AT182" s="257"/>
      <c r="AU182" s="257"/>
      <c r="AV182" s="257"/>
      <c r="AW182" s="257"/>
      <c r="AX182" s="257"/>
      <c r="AY182" s="257"/>
      <c r="AZ182" s="257"/>
      <c r="BA182" s="257"/>
      <c r="BB182" s="257"/>
      <c r="BC182" s="257"/>
      <c r="BD182" s="257"/>
      <c r="BE182" s="257"/>
      <c r="BF182" s="257"/>
      <c r="BG182" s="257"/>
      <c r="BH182" s="257"/>
      <c r="BI182" s="257"/>
      <c r="BJ182" s="242"/>
      <c r="BK182" s="242"/>
      <c r="BL182" s="242"/>
      <c r="BM182" s="242"/>
      <c r="BN182" s="242"/>
      <c r="BO182" s="242"/>
      <c r="BP182" s="242"/>
      <c r="BQ182" s="242"/>
      <c r="BR182" s="242"/>
      <c r="BS182" s="242"/>
      <c r="BT182" s="242"/>
      <c r="BU182" s="242"/>
      <c r="BV182" s="242"/>
      <c r="BW182" s="242"/>
      <c r="BX182" s="242"/>
      <c r="BY182" s="242"/>
      <c r="BZ182" s="242"/>
      <c r="CA182" s="242"/>
      <c r="CB182" s="242"/>
      <c r="CC182" s="242"/>
      <c r="CD182" s="242"/>
      <c r="CE182" s="257"/>
      <c r="CF182" s="257"/>
      <c r="CG182" s="242"/>
      <c r="CH182" s="242"/>
      <c r="CI182" s="242"/>
      <c r="CJ182" s="242"/>
      <c r="CK182" s="242"/>
      <c r="CL182" s="242"/>
      <c r="CM182" s="242"/>
      <c r="CN182" s="242"/>
      <c r="CO182" s="242"/>
      <c r="CP182" s="242"/>
      <c r="CQ182" s="242"/>
      <c r="CR182" s="242"/>
      <c r="CS182" s="242"/>
      <c r="CT182" s="242"/>
      <c r="CU182" s="242"/>
      <c r="CV182" s="242"/>
      <c r="CW182" s="242"/>
      <c r="CX182" s="242"/>
      <c r="CY182" s="242"/>
      <c r="CZ182" s="242"/>
      <c r="DA182" s="242"/>
      <c r="DB182" s="242"/>
      <c r="DC182" s="242"/>
      <c r="DD182" s="242"/>
      <c r="DE182" s="242"/>
      <c r="DF182" s="242"/>
      <c r="DG182" s="257"/>
      <c r="DH182" s="242"/>
      <c r="DI182" s="242"/>
      <c r="DJ182" s="242"/>
      <c r="DK182" s="242"/>
      <c r="DL182" s="242"/>
      <c r="DM182" s="242"/>
      <c r="DN182" s="242"/>
      <c r="DO182" s="242"/>
      <c r="DP182" s="242"/>
      <c r="DQ182" s="242"/>
      <c r="DR182" s="242"/>
      <c r="DS182" s="242"/>
      <c r="DT182" s="242"/>
      <c r="DU182" s="242"/>
      <c r="DV182" s="242"/>
      <c r="DW182" s="242"/>
      <c r="DX182" s="242"/>
      <c r="DY182" s="242"/>
      <c r="DZ182" s="242"/>
      <c r="EA182" s="242"/>
      <c r="EB182" s="242"/>
      <c r="EC182" s="242"/>
      <c r="ED182" s="242"/>
      <c r="EE182" s="242"/>
      <c r="EF182" s="242"/>
      <c r="EG182" s="242"/>
      <c r="EH182" s="242"/>
      <c r="EI182" s="242"/>
      <c r="EJ182" s="242"/>
      <c r="EK182" s="242"/>
      <c r="EL182" s="242"/>
      <c r="EM182" s="242"/>
      <c r="EN182" s="242"/>
      <c r="EO182" s="242"/>
      <c r="EP182" s="242"/>
      <c r="EQ182" s="242"/>
      <c r="ER182" s="242"/>
      <c r="ES182" s="242"/>
      <c r="ET182" s="242"/>
      <c r="EU182" s="242"/>
      <c r="EV182" s="242"/>
      <c r="EW182" s="242"/>
      <c r="EX182" s="242"/>
      <c r="EY182" s="242"/>
      <c r="EZ182" s="242"/>
      <c r="FA182" s="242"/>
      <c r="FB182" s="242"/>
      <c r="FC182" s="242"/>
      <c r="FD182" s="242"/>
      <c r="FE182" s="242"/>
      <c r="FF182" s="242"/>
      <c r="FG182" s="242"/>
      <c r="FH182" s="257"/>
      <c r="FI182" s="257"/>
      <c r="FJ182" s="257"/>
      <c r="FK182" s="257"/>
      <c r="FL182" s="257"/>
      <c r="FM182" s="257"/>
      <c r="FN182" s="257"/>
      <c r="FO182" s="257"/>
      <c r="FP182" s="257"/>
      <c r="FQ182" s="257"/>
      <c r="FR182" s="257"/>
      <c r="FS182" s="257"/>
      <c r="FT182" s="257"/>
      <c r="FU182" s="257"/>
      <c r="FV182" s="257"/>
      <c r="FW182" s="257"/>
      <c r="FX182" s="257"/>
      <c r="FY182" s="242"/>
      <c r="FZ182" s="242"/>
      <c r="GA182" s="242"/>
      <c r="GB182" s="242"/>
      <c r="GC182" s="242"/>
      <c r="GD182" s="242"/>
      <c r="GE182" s="242"/>
      <c r="GF182" s="242"/>
      <c r="GG182" s="242"/>
      <c r="GH182" s="242"/>
      <c r="GI182" s="242"/>
      <c r="GJ182" s="242"/>
      <c r="GK182" s="242"/>
      <c r="GL182" s="242"/>
      <c r="GM182" s="242"/>
      <c r="GN182" s="242"/>
      <c r="GO182" s="242"/>
      <c r="GP182" s="242"/>
      <c r="GQ182" s="242"/>
      <c r="GR182" s="242"/>
      <c r="GS182" s="242"/>
      <c r="GT182" s="242"/>
      <c r="GU182" s="242"/>
      <c r="GV182" s="242"/>
      <c r="GW182" s="242"/>
      <c r="GX182" s="242"/>
      <c r="GY182" s="242"/>
      <c r="GZ182" s="242"/>
      <c r="HA182" s="242"/>
      <c r="HB182" s="242"/>
      <c r="HC182" s="242"/>
      <c r="HD182" s="242"/>
      <c r="HE182" s="242"/>
      <c r="HF182" s="242"/>
      <c r="HG182" s="242"/>
      <c r="HH182" s="242"/>
      <c r="HI182" s="242"/>
      <c r="HJ182" s="242"/>
      <c r="HK182" s="242"/>
      <c r="HL182" s="242"/>
      <c r="HM182" s="242"/>
      <c r="HN182" s="242"/>
      <c r="HO182" s="242"/>
      <c r="HP182" s="242"/>
      <c r="HQ182" s="242"/>
      <c r="HR182" s="242"/>
      <c r="HS182" s="242"/>
      <c r="HT182" s="242"/>
      <c r="HU182" s="242"/>
      <c r="HV182" s="242"/>
      <c r="HW182" s="242"/>
      <c r="HX182" s="257"/>
      <c r="HY182" s="257"/>
      <c r="HZ182" s="257"/>
      <c r="IA182" s="257"/>
      <c r="IB182" s="257"/>
      <c r="IC182" s="257"/>
      <c r="ID182" s="257"/>
      <c r="IE182" s="257"/>
      <c r="IF182" s="257"/>
      <c r="IG182" s="257"/>
      <c r="IH182" s="257"/>
      <c r="II182" s="257"/>
      <c r="IJ182" s="257"/>
      <c r="IK182" s="257"/>
      <c r="IL182" s="257"/>
      <c r="IM182" s="257"/>
      <c r="IN182" s="257"/>
      <c r="IO182" s="257"/>
      <c r="IP182" s="257"/>
      <c r="IQ182" s="257"/>
      <c r="IR182" s="257"/>
      <c r="IS182" s="257"/>
      <c r="IT182" s="257"/>
      <c r="IU182" s="257"/>
      <c r="IV182" s="257"/>
      <c r="IW182" s="257"/>
      <c r="IX182" s="257"/>
      <c r="IY182" s="257"/>
      <c r="IZ182" s="257"/>
      <c r="JA182" s="257"/>
      <c r="JB182" s="257"/>
      <c r="JC182" s="257"/>
      <c r="JD182" s="257"/>
      <c r="JE182" s="257"/>
      <c r="JF182" s="242"/>
      <c r="JG182" s="242"/>
      <c r="JH182" s="242"/>
      <c r="JI182" s="242"/>
      <c r="JJ182" s="242"/>
      <c r="JK182" s="242"/>
      <c r="JL182" s="242"/>
      <c r="JM182" s="242"/>
      <c r="JN182" s="242"/>
      <c r="JO182" s="242"/>
      <c r="JP182" s="242"/>
      <c r="JQ182" s="242"/>
      <c r="JR182" s="242"/>
      <c r="JS182" s="242"/>
      <c r="JT182" s="242"/>
      <c r="JU182" s="242"/>
      <c r="JV182" s="242"/>
      <c r="JW182" s="242"/>
      <c r="JX182" s="242"/>
      <c r="JY182" s="242"/>
      <c r="JZ182" s="242"/>
      <c r="KA182" s="242"/>
      <c r="KB182" s="242"/>
      <c r="KC182" s="242"/>
      <c r="KD182" s="242"/>
      <c r="KE182" s="242"/>
      <c r="KF182" s="242"/>
      <c r="KG182" s="242"/>
      <c r="KH182" s="242"/>
      <c r="KI182" s="242"/>
      <c r="KJ182" s="242"/>
      <c r="KK182" s="242"/>
      <c r="KL182" s="242"/>
      <c r="KM182" s="242"/>
      <c r="KN182" s="242"/>
      <c r="KO182" s="242"/>
      <c r="KP182" s="242"/>
      <c r="KQ182" s="242"/>
      <c r="KR182" s="242"/>
      <c r="KS182" s="242"/>
      <c r="KT182" s="242"/>
      <c r="KU182" s="242"/>
      <c r="KV182" s="242"/>
      <c r="KW182" s="242"/>
      <c r="KX182" s="242"/>
      <c r="KY182" s="242"/>
      <c r="KZ182" s="242"/>
      <c r="LA182" s="242"/>
      <c r="LB182" s="242"/>
      <c r="LC182" s="242"/>
      <c r="LD182" s="242"/>
      <c r="LE182" s="242"/>
      <c r="LF182" s="242"/>
      <c r="LG182" s="242"/>
      <c r="LH182" s="242"/>
      <c r="LI182" s="242"/>
      <c r="LJ182" s="242"/>
      <c r="LK182" s="242"/>
      <c r="LL182" s="242"/>
      <c r="LM182" s="242"/>
      <c r="LN182" s="242"/>
      <c r="LO182" s="242"/>
      <c r="LP182" s="242"/>
      <c r="LQ182" s="242"/>
      <c r="LR182" s="242"/>
      <c r="LS182" s="242"/>
      <c r="LT182" s="242"/>
      <c r="LU182" s="242"/>
      <c r="LV182" s="242"/>
      <c r="LW182" s="242"/>
      <c r="LX182" s="242"/>
      <c r="LY182" s="242"/>
      <c r="LZ182" s="242"/>
      <c r="MA182" s="242"/>
      <c r="MB182" s="242"/>
      <c r="MC182" s="242"/>
      <c r="MD182" s="242"/>
      <c r="ME182" s="242"/>
      <c r="MF182" s="242"/>
      <c r="MG182" s="242"/>
      <c r="MH182" s="242"/>
      <c r="MI182" s="242"/>
      <c r="MJ182" s="242"/>
      <c r="MK182" s="242"/>
      <c r="ML182" s="242"/>
    </row>
    <row r="183" ht="18.75" customHeight="1">
      <c r="A183" s="283"/>
      <c r="B183" s="234" t="str">
        <f>'Building Bill of Materials_SLIM'!P183</f>
        <v/>
      </c>
      <c r="C183" s="234" t="str">
        <f>'Building Bill of Materials_SLIM'!Q183</f>
        <v/>
      </c>
      <c r="D183" s="234" t="str">
        <f>'Building Bill of Materials_SLIM'!R183</f>
        <v/>
      </c>
      <c r="E183" s="234" t="str">
        <f>'Building Bill of Materials_SLIM'!S183</f>
        <v/>
      </c>
      <c r="F183" s="234" t="str">
        <f>'Building Bill of Materials_SLIM'!U183</f>
        <v/>
      </c>
      <c r="G183" s="234"/>
      <c r="H183" s="234"/>
      <c r="I183" s="234"/>
      <c r="J183" s="234" t="str">
        <f>'Building Bill of Materials_SLIM'!V183</f>
        <v/>
      </c>
      <c r="K183" s="242"/>
      <c r="L183" s="242"/>
      <c r="M183" s="242"/>
      <c r="N183" s="242"/>
      <c r="O183" s="242"/>
      <c r="P183" s="242"/>
      <c r="Q183" s="242"/>
      <c r="R183" s="242"/>
      <c r="S183" s="242"/>
      <c r="T183" s="242"/>
      <c r="U183" s="242"/>
      <c r="V183" s="242"/>
      <c r="W183" s="242"/>
      <c r="X183" s="242"/>
      <c r="Y183" s="242"/>
      <c r="Z183" s="242"/>
      <c r="AA183" s="192"/>
      <c r="AB183" s="257"/>
      <c r="AC183" s="257"/>
      <c r="AD183" s="257"/>
      <c r="AE183" s="257"/>
      <c r="AF183" s="257"/>
      <c r="AG183" s="257"/>
      <c r="AH183" s="257"/>
      <c r="AI183" s="257"/>
      <c r="AJ183" s="257"/>
      <c r="AK183" s="257"/>
      <c r="AL183" s="257"/>
      <c r="AM183" s="257"/>
      <c r="AN183" s="257"/>
      <c r="AO183" s="257"/>
      <c r="AP183" s="257"/>
      <c r="AQ183" s="257"/>
      <c r="AR183" s="257"/>
      <c r="AS183" s="257"/>
      <c r="AT183" s="257"/>
      <c r="AU183" s="257"/>
      <c r="AV183" s="257"/>
      <c r="AW183" s="257"/>
      <c r="AX183" s="257"/>
      <c r="AY183" s="257"/>
      <c r="AZ183" s="257"/>
      <c r="BA183" s="257"/>
      <c r="BB183" s="257"/>
      <c r="BC183" s="257"/>
      <c r="BD183" s="257"/>
      <c r="BE183" s="257"/>
      <c r="BF183" s="257"/>
      <c r="BG183" s="257"/>
      <c r="BH183" s="257"/>
      <c r="BI183" s="257"/>
      <c r="BJ183" s="242"/>
      <c r="BK183" s="242"/>
      <c r="BL183" s="242"/>
      <c r="BM183" s="242"/>
      <c r="BN183" s="242"/>
      <c r="BO183" s="242"/>
      <c r="BP183" s="242"/>
      <c r="BQ183" s="242"/>
      <c r="BR183" s="242"/>
      <c r="BS183" s="242"/>
      <c r="BT183" s="242"/>
      <c r="BU183" s="242"/>
      <c r="BV183" s="242"/>
      <c r="BW183" s="242"/>
      <c r="BX183" s="242"/>
      <c r="BY183" s="242"/>
      <c r="BZ183" s="242"/>
      <c r="CA183" s="242"/>
      <c r="CB183" s="242"/>
      <c r="CC183" s="242"/>
      <c r="CD183" s="242"/>
      <c r="CE183" s="257"/>
      <c r="CF183" s="257"/>
      <c r="CG183" s="242"/>
      <c r="CH183" s="242"/>
      <c r="CI183" s="242"/>
      <c r="CJ183" s="242"/>
      <c r="CK183" s="242"/>
      <c r="CL183" s="242"/>
      <c r="CM183" s="242"/>
      <c r="CN183" s="242"/>
      <c r="CO183" s="242"/>
      <c r="CP183" s="242"/>
      <c r="CQ183" s="242"/>
      <c r="CR183" s="242"/>
      <c r="CS183" s="242"/>
      <c r="CT183" s="242"/>
      <c r="CU183" s="242"/>
      <c r="CV183" s="242"/>
      <c r="CW183" s="242"/>
      <c r="CX183" s="242"/>
      <c r="CY183" s="242"/>
      <c r="CZ183" s="242"/>
      <c r="DA183" s="242"/>
      <c r="DB183" s="242"/>
      <c r="DC183" s="242"/>
      <c r="DD183" s="242"/>
      <c r="DE183" s="242"/>
      <c r="DF183" s="242"/>
      <c r="DG183" s="257"/>
      <c r="DH183" s="242"/>
      <c r="DI183" s="242"/>
      <c r="DJ183" s="242"/>
      <c r="DK183" s="242"/>
      <c r="DL183" s="242"/>
      <c r="DM183" s="242"/>
      <c r="DN183" s="242"/>
      <c r="DO183" s="242"/>
      <c r="DP183" s="242"/>
      <c r="DQ183" s="242"/>
      <c r="DR183" s="242"/>
      <c r="DS183" s="242"/>
      <c r="DT183" s="242"/>
      <c r="DU183" s="242"/>
      <c r="DV183" s="242"/>
      <c r="DW183" s="242"/>
      <c r="DX183" s="242"/>
      <c r="DY183" s="242"/>
      <c r="DZ183" s="242"/>
      <c r="EA183" s="242"/>
      <c r="EB183" s="242"/>
      <c r="EC183" s="242"/>
      <c r="ED183" s="242"/>
      <c r="EE183" s="242"/>
      <c r="EF183" s="242"/>
      <c r="EG183" s="242"/>
      <c r="EH183" s="242"/>
      <c r="EI183" s="242"/>
      <c r="EJ183" s="242"/>
      <c r="EK183" s="242"/>
      <c r="EL183" s="242"/>
      <c r="EM183" s="242"/>
      <c r="EN183" s="242"/>
      <c r="EO183" s="242"/>
      <c r="EP183" s="242"/>
      <c r="EQ183" s="242"/>
      <c r="ER183" s="242"/>
      <c r="ES183" s="242"/>
      <c r="ET183" s="242"/>
      <c r="EU183" s="242"/>
      <c r="EV183" s="242"/>
      <c r="EW183" s="242"/>
      <c r="EX183" s="242"/>
      <c r="EY183" s="242"/>
      <c r="EZ183" s="242"/>
      <c r="FA183" s="242"/>
      <c r="FB183" s="242"/>
      <c r="FC183" s="242"/>
      <c r="FD183" s="242"/>
      <c r="FE183" s="242"/>
      <c r="FF183" s="242"/>
      <c r="FG183" s="242"/>
      <c r="FH183" s="257"/>
      <c r="FI183" s="257"/>
      <c r="FJ183" s="257"/>
      <c r="FK183" s="257"/>
      <c r="FL183" s="257"/>
      <c r="FM183" s="257"/>
      <c r="FN183" s="257"/>
      <c r="FO183" s="257"/>
      <c r="FP183" s="257"/>
      <c r="FQ183" s="257"/>
      <c r="FR183" s="257"/>
      <c r="FS183" s="257"/>
      <c r="FT183" s="257"/>
      <c r="FU183" s="257"/>
      <c r="FV183" s="257"/>
      <c r="FW183" s="257"/>
      <c r="FX183" s="257"/>
      <c r="FY183" s="242"/>
      <c r="FZ183" s="242"/>
      <c r="GA183" s="242"/>
      <c r="GB183" s="242"/>
      <c r="GC183" s="242"/>
      <c r="GD183" s="242"/>
      <c r="GE183" s="242"/>
      <c r="GF183" s="242"/>
      <c r="GG183" s="242"/>
      <c r="GH183" s="242"/>
      <c r="GI183" s="242"/>
      <c r="GJ183" s="242"/>
      <c r="GK183" s="242"/>
      <c r="GL183" s="242"/>
      <c r="GM183" s="242"/>
      <c r="GN183" s="242"/>
      <c r="GO183" s="242"/>
      <c r="GP183" s="242"/>
      <c r="GQ183" s="242"/>
      <c r="GR183" s="242"/>
      <c r="GS183" s="242"/>
      <c r="GT183" s="242"/>
      <c r="GU183" s="242"/>
      <c r="GV183" s="242"/>
      <c r="GW183" s="242"/>
      <c r="GX183" s="242"/>
      <c r="GY183" s="242"/>
      <c r="GZ183" s="242"/>
      <c r="HA183" s="242"/>
      <c r="HB183" s="242"/>
      <c r="HC183" s="242"/>
      <c r="HD183" s="242"/>
      <c r="HE183" s="242"/>
      <c r="HF183" s="242"/>
      <c r="HG183" s="242"/>
      <c r="HH183" s="242"/>
      <c r="HI183" s="242"/>
      <c r="HJ183" s="242"/>
      <c r="HK183" s="242"/>
      <c r="HL183" s="242"/>
      <c r="HM183" s="242"/>
      <c r="HN183" s="242"/>
      <c r="HO183" s="242"/>
      <c r="HP183" s="242"/>
      <c r="HQ183" s="242"/>
      <c r="HR183" s="242"/>
      <c r="HS183" s="242"/>
      <c r="HT183" s="242"/>
      <c r="HU183" s="242"/>
      <c r="HV183" s="242"/>
      <c r="HW183" s="242"/>
      <c r="HX183" s="257"/>
      <c r="HY183" s="257"/>
      <c r="HZ183" s="257"/>
      <c r="IA183" s="257"/>
      <c r="IB183" s="257"/>
      <c r="IC183" s="257"/>
      <c r="ID183" s="257"/>
      <c r="IE183" s="257"/>
      <c r="IF183" s="257"/>
      <c r="IG183" s="257"/>
      <c r="IH183" s="257"/>
      <c r="II183" s="257"/>
      <c r="IJ183" s="257"/>
      <c r="IK183" s="257"/>
      <c r="IL183" s="257"/>
      <c r="IM183" s="257"/>
      <c r="IN183" s="257"/>
      <c r="IO183" s="257"/>
      <c r="IP183" s="257"/>
      <c r="IQ183" s="257"/>
      <c r="IR183" s="257"/>
      <c r="IS183" s="257"/>
      <c r="IT183" s="257"/>
      <c r="IU183" s="257"/>
      <c r="IV183" s="257"/>
      <c r="IW183" s="257"/>
      <c r="IX183" s="257"/>
      <c r="IY183" s="257"/>
      <c r="IZ183" s="257"/>
      <c r="JA183" s="257"/>
      <c r="JB183" s="257"/>
      <c r="JC183" s="257"/>
      <c r="JD183" s="257"/>
      <c r="JE183" s="257"/>
      <c r="JF183" s="242"/>
      <c r="JG183" s="242"/>
      <c r="JH183" s="242"/>
      <c r="JI183" s="242"/>
      <c r="JJ183" s="242"/>
      <c r="JK183" s="242"/>
      <c r="JL183" s="242"/>
      <c r="JM183" s="242"/>
      <c r="JN183" s="242"/>
      <c r="JO183" s="242"/>
      <c r="JP183" s="242"/>
      <c r="JQ183" s="242"/>
      <c r="JR183" s="242"/>
      <c r="JS183" s="242"/>
      <c r="JT183" s="242"/>
      <c r="JU183" s="242"/>
      <c r="JV183" s="242"/>
      <c r="JW183" s="242"/>
      <c r="JX183" s="242"/>
      <c r="JY183" s="242"/>
      <c r="JZ183" s="242"/>
      <c r="KA183" s="242"/>
      <c r="KB183" s="242"/>
      <c r="KC183" s="242"/>
      <c r="KD183" s="242"/>
      <c r="KE183" s="242"/>
      <c r="KF183" s="242"/>
      <c r="KG183" s="242"/>
      <c r="KH183" s="242"/>
      <c r="KI183" s="242"/>
      <c r="KJ183" s="242"/>
      <c r="KK183" s="242"/>
      <c r="KL183" s="242"/>
      <c r="KM183" s="242"/>
      <c r="KN183" s="242"/>
      <c r="KO183" s="242"/>
      <c r="KP183" s="242"/>
      <c r="KQ183" s="242"/>
      <c r="KR183" s="242"/>
      <c r="KS183" s="242"/>
      <c r="KT183" s="242"/>
      <c r="KU183" s="242"/>
      <c r="KV183" s="242"/>
      <c r="KW183" s="242"/>
      <c r="KX183" s="242"/>
      <c r="KY183" s="242"/>
      <c r="KZ183" s="242"/>
      <c r="LA183" s="242"/>
      <c r="LB183" s="242"/>
      <c r="LC183" s="242"/>
      <c r="LD183" s="242"/>
      <c r="LE183" s="242"/>
      <c r="LF183" s="242"/>
      <c r="LG183" s="242"/>
      <c r="LH183" s="242"/>
      <c r="LI183" s="242"/>
      <c r="LJ183" s="242"/>
      <c r="LK183" s="242"/>
      <c r="LL183" s="242"/>
      <c r="LM183" s="242"/>
      <c r="LN183" s="242"/>
      <c r="LO183" s="242"/>
      <c r="LP183" s="242"/>
      <c r="LQ183" s="242"/>
      <c r="LR183" s="242"/>
      <c r="LS183" s="242"/>
      <c r="LT183" s="242"/>
      <c r="LU183" s="242"/>
      <c r="LV183" s="242"/>
      <c r="LW183" s="242"/>
      <c r="LX183" s="242"/>
      <c r="LY183" s="242"/>
      <c r="LZ183" s="242"/>
      <c r="MA183" s="242"/>
      <c r="MB183" s="242"/>
      <c r="MC183" s="242"/>
      <c r="MD183" s="242"/>
      <c r="ME183" s="242"/>
      <c r="MF183" s="242"/>
      <c r="MG183" s="242"/>
      <c r="MH183" s="242"/>
      <c r="MI183" s="242"/>
      <c r="MJ183" s="242"/>
      <c r="MK183" s="242"/>
      <c r="ML183" s="242"/>
    </row>
    <row r="184" ht="18.75" customHeight="1">
      <c r="A184" s="283"/>
      <c r="B184" s="234" t="str">
        <f>'Building Bill of Materials_SLIM'!P184</f>
        <v/>
      </c>
      <c r="C184" s="234" t="str">
        <f>'Building Bill of Materials_SLIM'!Q184</f>
        <v/>
      </c>
      <c r="D184" s="234" t="str">
        <f>'Building Bill of Materials_SLIM'!R184</f>
        <v/>
      </c>
      <c r="E184" s="234" t="str">
        <f>'Building Bill of Materials_SLIM'!S184</f>
        <v/>
      </c>
      <c r="F184" s="234" t="str">
        <f>'Building Bill of Materials_SLIM'!U184</f>
        <v/>
      </c>
      <c r="G184" s="234"/>
      <c r="H184" s="234"/>
      <c r="I184" s="234"/>
      <c r="J184" s="234" t="str">
        <f>'Building Bill of Materials_SLIM'!V184</f>
        <v/>
      </c>
      <c r="K184" s="242"/>
      <c r="L184" s="242"/>
      <c r="M184" s="242"/>
      <c r="N184" s="242"/>
      <c r="O184" s="242"/>
      <c r="P184" s="242"/>
      <c r="Q184" s="242"/>
      <c r="R184" s="242"/>
      <c r="S184" s="242"/>
      <c r="T184" s="242"/>
      <c r="U184" s="242"/>
      <c r="V184" s="242"/>
      <c r="W184" s="242"/>
      <c r="X184" s="242"/>
      <c r="Y184" s="242"/>
      <c r="Z184" s="242"/>
      <c r="AA184" s="192"/>
      <c r="AB184" s="257"/>
      <c r="AC184" s="257"/>
      <c r="AD184" s="257"/>
      <c r="AE184" s="257"/>
      <c r="AF184" s="257"/>
      <c r="AG184" s="257"/>
      <c r="AH184" s="257"/>
      <c r="AI184" s="257"/>
      <c r="AJ184" s="257"/>
      <c r="AK184" s="257"/>
      <c r="AL184" s="257"/>
      <c r="AM184" s="257"/>
      <c r="AN184" s="257"/>
      <c r="AO184" s="257"/>
      <c r="AP184" s="257"/>
      <c r="AQ184" s="257"/>
      <c r="AR184" s="257"/>
      <c r="AS184" s="257"/>
      <c r="AT184" s="257"/>
      <c r="AU184" s="257"/>
      <c r="AV184" s="257"/>
      <c r="AW184" s="257"/>
      <c r="AX184" s="257"/>
      <c r="AY184" s="257"/>
      <c r="AZ184" s="257"/>
      <c r="BA184" s="257"/>
      <c r="BB184" s="257"/>
      <c r="BC184" s="257"/>
      <c r="BD184" s="257"/>
      <c r="BE184" s="257"/>
      <c r="BF184" s="257"/>
      <c r="BG184" s="257"/>
      <c r="BH184" s="257"/>
      <c r="BI184" s="257"/>
      <c r="BJ184" s="242"/>
      <c r="BK184" s="242"/>
      <c r="BL184" s="242"/>
      <c r="BM184" s="242"/>
      <c r="BN184" s="242"/>
      <c r="BO184" s="242"/>
      <c r="BP184" s="242"/>
      <c r="BQ184" s="242"/>
      <c r="BR184" s="242"/>
      <c r="BS184" s="242"/>
      <c r="BT184" s="242"/>
      <c r="BU184" s="242"/>
      <c r="BV184" s="242"/>
      <c r="BW184" s="242"/>
      <c r="BX184" s="242"/>
      <c r="BY184" s="242"/>
      <c r="BZ184" s="242"/>
      <c r="CA184" s="242"/>
      <c r="CB184" s="242"/>
      <c r="CC184" s="242"/>
      <c r="CD184" s="242"/>
      <c r="CE184" s="257"/>
      <c r="CF184" s="257"/>
      <c r="CG184" s="242"/>
      <c r="CH184" s="242"/>
      <c r="CI184" s="242"/>
      <c r="CJ184" s="242"/>
      <c r="CK184" s="242"/>
      <c r="CL184" s="242"/>
      <c r="CM184" s="242"/>
      <c r="CN184" s="242"/>
      <c r="CO184" s="242"/>
      <c r="CP184" s="242"/>
      <c r="CQ184" s="242"/>
      <c r="CR184" s="242"/>
      <c r="CS184" s="242"/>
      <c r="CT184" s="242"/>
      <c r="CU184" s="242"/>
      <c r="CV184" s="242"/>
      <c r="CW184" s="242"/>
      <c r="CX184" s="242"/>
      <c r="CY184" s="242"/>
      <c r="CZ184" s="242"/>
      <c r="DA184" s="242"/>
      <c r="DB184" s="242"/>
      <c r="DC184" s="242"/>
      <c r="DD184" s="242"/>
      <c r="DE184" s="242"/>
      <c r="DF184" s="242"/>
      <c r="DG184" s="257"/>
      <c r="DH184" s="242"/>
      <c r="DI184" s="242"/>
      <c r="DJ184" s="242"/>
      <c r="DK184" s="242"/>
      <c r="DL184" s="242"/>
      <c r="DM184" s="242"/>
      <c r="DN184" s="242"/>
      <c r="DO184" s="242"/>
      <c r="DP184" s="242"/>
      <c r="DQ184" s="242"/>
      <c r="DR184" s="242"/>
      <c r="DS184" s="242"/>
      <c r="DT184" s="242"/>
      <c r="DU184" s="242"/>
      <c r="DV184" s="242"/>
      <c r="DW184" s="242"/>
      <c r="DX184" s="242"/>
      <c r="DY184" s="242"/>
      <c r="DZ184" s="242"/>
      <c r="EA184" s="242"/>
      <c r="EB184" s="242"/>
      <c r="EC184" s="242"/>
      <c r="ED184" s="242"/>
      <c r="EE184" s="242"/>
      <c r="EF184" s="242"/>
      <c r="EG184" s="242"/>
      <c r="EH184" s="242"/>
      <c r="EI184" s="242"/>
      <c r="EJ184" s="242"/>
      <c r="EK184" s="242"/>
      <c r="EL184" s="242"/>
      <c r="EM184" s="242"/>
      <c r="EN184" s="242"/>
      <c r="EO184" s="242"/>
      <c r="EP184" s="242"/>
      <c r="EQ184" s="242"/>
      <c r="ER184" s="242"/>
      <c r="ES184" s="242"/>
      <c r="ET184" s="242"/>
      <c r="EU184" s="242"/>
      <c r="EV184" s="242"/>
      <c r="EW184" s="242"/>
      <c r="EX184" s="242"/>
      <c r="EY184" s="242"/>
      <c r="EZ184" s="242"/>
      <c r="FA184" s="242"/>
      <c r="FB184" s="242"/>
      <c r="FC184" s="242"/>
      <c r="FD184" s="242"/>
      <c r="FE184" s="242"/>
      <c r="FF184" s="242"/>
      <c r="FG184" s="242"/>
      <c r="FH184" s="257"/>
      <c r="FI184" s="257"/>
      <c r="FJ184" s="257"/>
      <c r="FK184" s="257"/>
      <c r="FL184" s="257"/>
      <c r="FM184" s="257"/>
      <c r="FN184" s="257"/>
      <c r="FO184" s="257"/>
      <c r="FP184" s="257"/>
      <c r="FQ184" s="257"/>
      <c r="FR184" s="257"/>
      <c r="FS184" s="257"/>
      <c r="FT184" s="257"/>
      <c r="FU184" s="257"/>
      <c r="FV184" s="257"/>
      <c r="FW184" s="257"/>
      <c r="FX184" s="257"/>
      <c r="FY184" s="242"/>
      <c r="FZ184" s="242"/>
      <c r="GA184" s="242"/>
      <c r="GB184" s="242"/>
      <c r="GC184" s="242"/>
      <c r="GD184" s="242"/>
      <c r="GE184" s="242"/>
      <c r="GF184" s="242"/>
      <c r="GG184" s="242"/>
      <c r="GH184" s="242"/>
      <c r="GI184" s="242"/>
      <c r="GJ184" s="242"/>
      <c r="GK184" s="242"/>
      <c r="GL184" s="242"/>
      <c r="GM184" s="242"/>
      <c r="GN184" s="242"/>
      <c r="GO184" s="242"/>
      <c r="GP184" s="242"/>
      <c r="GQ184" s="242"/>
      <c r="GR184" s="242"/>
      <c r="GS184" s="242"/>
      <c r="GT184" s="242"/>
      <c r="GU184" s="242"/>
      <c r="GV184" s="242"/>
      <c r="GW184" s="242"/>
      <c r="GX184" s="242"/>
      <c r="GY184" s="242"/>
      <c r="GZ184" s="242"/>
      <c r="HA184" s="242"/>
      <c r="HB184" s="242"/>
      <c r="HC184" s="242"/>
      <c r="HD184" s="242"/>
      <c r="HE184" s="242"/>
      <c r="HF184" s="242"/>
      <c r="HG184" s="242"/>
      <c r="HH184" s="242"/>
      <c r="HI184" s="242"/>
      <c r="HJ184" s="242"/>
      <c r="HK184" s="242"/>
      <c r="HL184" s="242"/>
      <c r="HM184" s="242"/>
      <c r="HN184" s="242"/>
      <c r="HO184" s="242"/>
      <c r="HP184" s="242"/>
      <c r="HQ184" s="242"/>
      <c r="HR184" s="242"/>
      <c r="HS184" s="242"/>
      <c r="HT184" s="242"/>
      <c r="HU184" s="242"/>
      <c r="HV184" s="242"/>
      <c r="HW184" s="242"/>
      <c r="HX184" s="257"/>
      <c r="HY184" s="257"/>
      <c r="HZ184" s="257"/>
      <c r="IA184" s="257"/>
      <c r="IB184" s="257"/>
      <c r="IC184" s="257"/>
      <c r="ID184" s="257"/>
      <c r="IE184" s="257"/>
      <c r="IF184" s="257"/>
      <c r="IG184" s="257"/>
      <c r="IH184" s="257"/>
      <c r="II184" s="257"/>
      <c r="IJ184" s="257"/>
      <c r="IK184" s="257"/>
      <c r="IL184" s="257"/>
      <c r="IM184" s="257"/>
      <c r="IN184" s="257"/>
      <c r="IO184" s="257"/>
      <c r="IP184" s="257"/>
      <c r="IQ184" s="257"/>
      <c r="IR184" s="257"/>
      <c r="IS184" s="257"/>
      <c r="IT184" s="257"/>
      <c r="IU184" s="257"/>
      <c r="IV184" s="257"/>
      <c r="IW184" s="257"/>
      <c r="IX184" s="257"/>
      <c r="IY184" s="257"/>
      <c r="IZ184" s="257"/>
      <c r="JA184" s="257"/>
      <c r="JB184" s="257"/>
      <c r="JC184" s="257"/>
      <c r="JD184" s="257"/>
      <c r="JE184" s="257"/>
      <c r="JF184" s="242"/>
      <c r="JG184" s="242"/>
      <c r="JH184" s="242"/>
      <c r="JI184" s="242"/>
      <c r="JJ184" s="242"/>
      <c r="JK184" s="242"/>
      <c r="JL184" s="242"/>
      <c r="JM184" s="242"/>
      <c r="JN184" s="242"/>
      <c r="JO184" s="242"/>
      <c r="JP184" s="242"/>
      <c r="JQ184" s="242"/>
      <c r="JR184" s="242"/>
      <c r="JS184" s="242"/>
      <c r="JT184" s="242"/>
      <c r="JU184" s="242"/>
      <c r="JV184" s="242"/>
      <c r="JW184" s="242"/>
      <c r="JX184" s="242"/>
      <c r="JY184" s="242"/>
      <c r="JZ184" s="242"/>
      <c r="KA184" s="242"/>
      <c r="KB184" s="242"/>
      <c r="KC184" s="242"/>
      <c r="KD184" s="242"/>
      <c r="KE184" s="242"/>
      <c r="KF184" s="242"/>
      <c r="KG184" s="242"/>
      <c r="KH184" s="242"/>
      <c r="KI184" s="242"/>
      <c r="KJ184" s="242"/>
      <c r="KK184" s="242"/>
      <c r="KL184" s="242"/>
      <c r="KM184" s="242"/>
      <c r="KN184" s="242"/>
      <c r="KO184" s="242"/>
      <c r="KP184" s="242"/>
      <c r="KQ184" s="242"/>
      <c r="KR184" s="242"/>
      <c r="KS184" s="242"/>
      <c r="KT184" s="242"/>
      <c r="KU184" s="242"/>
      <c r="KV184" s="242"/>
      <c r="KW184" s="242"/>
      <c r="KX184" s="242"/>
      <c r="KY184" s="242"/>
      <c r="KZ184" s="242"/>
      <c r="LA184" s="242"/>
      <c r="LB184" s="242"/>
      <c r="LC184" s="242"/>
      <c r="LD184" s="242"/>
      <c r="LE184" s="242"/>
      <c r="LF184" s="242"/>
      <c r="LG184" s="242"/>
      <c r="LH184" s="242"/>
      <c r="LI184" s="242"/>
      <c r="LJ184" s="242"/>
      <c r="LK184" s="242"/>
      <c r="LL184" s="242"/>
      <c r="LM184" s="242"/>
      <c r="LN184" s="242"/>
      <c r="LO184" s="242"/>
      <c r="LP184" s="242"/>
      <c r="LQ184" s="242"/>
      <c r="LR184" s="242"/>
      <c r="LS184" s="242"/>
      <c r="LT184" s="242"/>
      <c r="LU184" s="242"/>
      <c r="LV184" s="242"/>
      <c r="LW184" s="242"/>
      <c r="LX184" s="242"/>
      <c r="LY184" s="242"/>
      <c r="LZ184" s="242"/>
      <c r="MA184" s="242"/>
      <c r="MB184" s="242"/>
      <c r="MC184" s="242"/>
      <c r="MD184" s="242"/>
      <c r="ME184" s="242"/>
      <c r="MF184" s="242"/>
      <c r="MG184" s="242"/>
      <c r="MH184" s="242"/>
      <c r="MI184" s="242"/>
      <c r="MJ184" s="242"/>
      <c r="MK184" s="242"/>
      <c r="ML184" s="242"/>
    </row>
    <row r="185" ht="18.75" customHeight="1">
      <c r="A185" s="283"/>
      <c r="B185" s="234" t="str">
        <f>'Building Bill of Materials_SLIM'!P185</f>
        <v/>
      </c>
      <c r="C185" s="234" t="str">
        <f>'Building Bill of Materials_SLIM'!Q185</f>
        <v/>
      </c>
      <c r="D185" s="234" t="str">
        <f>'Building Bill of Materials_SLIM'!R185</f>
        <v/>
      </c>
      <c r="E185" s="234" t="str">
        <f>'Building Bill of Materials_SLIM'!S185</f>
        <v/>
      </c>
      <c r="F185" s="234" t="str">
        <f>'Building Bill of Materials_SLIM'!U185</f>
        <v/>
      </c>
      <c r="G185" s="234"/>
      <c r="H185" s="234"/>
      <c r="I185" s="234"/>
      <c r="J185" s="234" t="str">
        <f>'Building Bill of Materials_SLIM'!V185</f>
        <v/>
      </c>
      <c r="K185" s="242"/>
      <c r="L185" s="242"/>
      <c r="M185" s="242"/>
      <c r="N185" s="242"/>
      <c r="O185" s="242"/>
      <c r="P185" s="242"/>
      <c r="Q185" s="242"/>
      <c r="R185" s="242"/>
      <c r="S185" s="242"/>
      <c r="T185" s="242"/>
      <c r="U185" s="242"/>
      <c r="V185" s="242"/>
      <c r="W185" s="242"/>
      <c r="X185" s="242"/>
      <c r="Y185" s="242"/>
      <c r="Z185" s="242"/>
      <c r="AA185" s="192"/>
      <c r="AB185" s="257"/>
      <c r="AC185" s="257"/>
      <c r="AD185" s="257"/>
      <c r="AE185" s="257"/>
      <c r="AF185" s="257"/>
      <c r="AG185" s="257"/>
      <c r="AH185" s="257"/>
      <c r="AI185" s="257"/>
      <c r="AJ185" s="257"/>
      <c r="AK185" s="257"/>
      <c r="AL185" s="257"/>
      <c r="AM185" s="257"/>
      <c r="AN185" s="257"/>
      <c r="AO185" s="257"/>
      <c r="AP185" s="257"/>
      <c r="AQ185" s="257"/>
      <c r="AR185" s="257"/>
      <c r="AS185" s="257"/>
      <c r="AT185" s="257"/>
      <c r="AU185" s="257"/>
      <c r="AV185" s="257"/>
      <c r="AW185" s="257"/>
      <c r="AX185" s="257"/>
      <c r="AY185" s="257"/>
      <c r="AZ185" s="257"/>
      <c r="BA185" s="257"/>
      <c r="BB185" s="257"/>
      <c r="BC185" s="257"/>
      <c r="BD185" s="257"/>
      <c r="BE185" s="257"/>
      <c r="BF185" s="257"/>
      <c r="BG185" s="257"/>
      <c r="BH185" s="257"/>
      <c r="BI185" s="257"/>
      <c r="BJ185" s="242"/>
      <c r="BK185" s="242"/>
      <c r="BL185" s="242"/>
      <c r="BM185" s="242"/>
      <c r="BN185" s="242"/>
      <c r="BO185" s="242"/>
      <c r="BP185" s="242"/>
      <c r="BQ185" s="242"/>
      <c r="BR185" s="242"/>
      <c r="BS185" s="242"/>
      <c r="BT185" s="242"/>
      <c r="BU185" s="242"/>
      <c r="BV185" s="242"/>
      <c r="BW185" s="242"/>
      <c r="BX185" s="242"/>
      <c r="BY185" s="242"/>
      <c r="BZ185" s="242"/>
      <c r="CA185" s="242"/>
      <c r="CB185" s="242"/>
      <c r="CC185" s="242"/>
      <c r="CD185" s="242"/>
      <c r="CE185" s="257"/>
      <c r="CF185" s="257"/>
      <c r="CG185" s="242"/>
      <c r="CH185" s="242"/>
      <c r="CI185" s="242"/>
      <c r="CJ185" s="242"/>
      <c r="CK185" s="242"/>
      <c r="CL185" s="242"/>
      <c r="CM185" s="242"/>
      <c r="CN185" s="242"/>
      <c r="CO185" s="242"/>
      <c r="CP185" s="242"/>
      <c r="CQ185" s="242"/>
      <c r="CR185" s="242"/>
      <c r="CS185" s="242"/>
      <c r="CT185" s="242"/>
      <c r="CU185" s="242"/>
      <c r="CV185" s="242"/>
      <c r="CW185" s="242"/>
      <c r="CX185" s="242"/>
      <c r="CY185" s="242"/>
      <c r="CZ185" s="242"/>
      <c r="DA185" s="242"/>
      <c r="DB185" s="242"/>
      <c r="DC185" s="242"/>
      <c r="DD185" s="242"/>
      <c r="DE185" s="242"/>
      <c r="DF185" s="242"/>
      <c r="DG185" s="257"/>
      <c r="DH185" s="242"/>
      <c r="DI185" s="242"/>
      <c r="DJ185" s="242"/>
      <c r="DK185" s="242"/>
      <c r="DL185" s="242"/>
      <c r="DM185" s="242"/>
      <c r="DN185" s="242"/>
      <c r="DO185" s="242"/>
      <c r="DP185" s="242"/>
      <c r="DQ185" s="242"/>
      <c r="DR185" s="242"/>
      <c r="DS185" s="242"/>
      <c r="DT185" s="242"/>
      <c r="DU185" s="242"/>
      <c r="DV185" s="242"/>
      <c r="DW185" s="242"/>
      <c r="DX185" s="242"/>
      <c r="DY185" s="242"/>
      <c r="DZ185" s="242"/>
      <c r="EA185" s="242"/>
      <c r="EB185" s="242"/>
      <c r="EC185" s="242"/>
      <c r="ED185" s="242"/>
      <c r="EE185" s="242"/>
      <c r="EF185" s="242"/>
      <c r="EG185" s="242"/>
      <c r="EH185" s="242"/>
      <c r="EI185" s="242"/>
      <c r="EJ185" s="242"/>
      <c r="EK185" s="242"/>
      <c r="EL185" s="242"/>
      <c r="EM185" s="242"/>
      <c r="EN185" s="242"/>
      <c r="EO185" s="242"/>
      <c r="EP185" s="242"/>
      <c r="EQ185" s="242"/>
      <c r="ER185" s="242"/>
      <c r="ES185" s="242"/>
      <c r="ET185" s="242"/>
      <c r="EU185" s="242"/>
      <c r="EV185" s="242"/>
      <c r="EW185" s="242"/>
      <c r="EX185" s="242"/>
      <c r="EY185" s="242"/>
      <c r="EZ185" s="242"/>
      <c r="FA185" s="242"/>
      <c r="FB185" s="242"/>
      <c r="FC185" s="242"/>
      <c r="FD185" s="242"/>
      <c r="FE185" s="242"/>
      <c r="FF185" s="242"/>
      <c r="FG185" s="242"/>
      <c r="FH185" s="257"/>
      <c r="FI185" s="257"/>
      <c r="FJ185" s="257"/>
      <c r="FK185" s="257"/>
      <c r="FL185" s="257"/>
      <c r="FM185" s="257"/>
      <c r="FN185" s="257"/>
      <c r="FO185" s="257"/>
      <c r="FP185" s="257"/>
      <c r="FQ185" s="257"/>
      <c r="FR185" s="257"/>
      <c r="FS185" s="257"/>
      <c r="FT185" s="257"/>
      <c r="FU185" s="257"/>
      <c r="FV185" s="257"/>
      <c r="FW185" s="257"/>
      <c r="FX185" s="257"/>
      <c r="FY185" s="242"/>
      <c r="FZ185" s="242"/>
      <c r="GA185" s="242"/>
      <c r="GB185" s="242"/>
      <c r="GC185" s="242"/>
      <c r="GD185" s="242"/>
      <c r="GE185" s="242"/>
      <c r="GF185" s="242"/>
      <c r="GG185" s="242"/>
      <c r="GH185" s="242"/>
      <c r="GI185" s="242"/>
      <c r="GJ185" s="242"/>
      <c r="GK185" s="242"/>
      <c r="GL185" s="242"/>
      <c r="GM185" s="242"/>
      <c r="GN185" s="242"/>
      <c r="GO185" s="242"/>
      <c r="GP185" s="242"/>
      <c r="GQ185" s="242"/>
      <c r="GR185" s="242"/>
      <c r="GS185" s="242"/>
      <c r="GT185" s="242"/>
      <c r="GU185" s="242"/>
      <c r="GV185" s="242"/>
      <c r="GW185" s="242"/>
      <c r="GX185" s="242"/>
      <c r="GY185" s="242"/>
      <c r="GZ185" s="242"/>
      <c r="HA185" s="242"/>
      <c r="HB185" s="242"/>
      <c r="HC185" s="242"/>
      <c r="HD185" s="242"/>
      <c r="HE185" s="242"/>
      <c r="HF185" s="242"/>
      <c r="HG185" s="242"/>
      <c r="HH185" s="242"/>
      <c r="HI185" s="242"/>
      <c r="HJ185" s="242"/>
      <c r="HK185" s="242"/>
      <c r="HL185" s="242"/>
      <c r="HM185" s="242"/>
      <c r="HN185" s="242"/>
      <c r="HO185" s="242"/>
      <c r="HP185" s="242"/>
      <c r="HQ185" s="242"/>
      <c r="HR185" s="242"/>
      <c r="HS185" s="242"/>
      <c r="HT185" s="242"/>
      <c r="HU185" s="242"/>
      <c r="HV185" s="242"/>
      <c r="HW185" s="242"/>
      <c r="HX185" s="257"/>
      <c r="HY185" s="257"/>
      <c r="HZ185" s="257"/>
      <c r="IA185" s="257"/>
      <c r="IB185" s="257"/>
      <c r="IC185" s="257"/>
      <c r="ID185" s="257"/>
      <c r="IE185" s="257"/>
      <c r="IF185" s="257"/>
      <c r="IG185" s="257"/>
      <c r="IH185" s="257"/>
      <c r="II185" s="257"/>
      <c r="IJ185" s="257"/>
      <c r="IK185" s="257"/>
      <c r="IL185" s="257"/>
      <c r="IM185" s="257"/>
      <c r="IN185" s="257"/>
      <c r="IO185" s="257"/>
      <c r="IP185" s="257"/>
      <c r="IQ185" s="257"/>
      <c r="IR185" s="257"/>
      <c r="IS185" s="257"/>
      <c r="IT185" s="257"/>
      <c r="IU185" s="257"/>
      <c r="IV185" s="257"/>
      <c r="IW185" s="257"/>
      <c r="IX185" s="257"/>
      <c r="IY185" s="257"/>
      <c r="IZ185" s="257"/>
      <c r="JA185" s="257"/>
      <c r="JB185" s="257"/>
      <c r="JC185" s="257"/>
      <c r="JD185" s="257"/>
      <c r="JE185" s="257"/>
      <c r="JF185" s="242"/>
      <c r="JG185" s="242"/>
      <c r="JH185" s="242"/>
      <c r="JI185" s="242"/>
      <c r="JJ185" s="242"/>
      <c r="JK185" s="242"/>
      <c r="JL185" s="242"/>
      <c r="JM185" s="242"/>
      <c r="JN185" s="242"/>
      <c r="JO185" s="242"/>
      <c r="JP185" s="242"/>
      <c r="JQ185" s="242"/>
      <c r="JR185" s="242"/>
      <c r="JS185" s="242"/>
      <c r="JT185" s="242"/>
      <c r="JU185" s="242"/>
      <c r="JV185" s="242"/>
      <c r="JW185" s="242"/>
      <c r="JX185" s="242"/>
      <c r="JY185" s="242"/>
      <c r="JZ185" s="242"/>
      <c r="KA185" s="242"/>
      <c r="KB185" s="242"/>
      <c r="KC185" s="242"/>
      <c r="KD185" s="242"/>
      <c r="KE185" s="242"/>
      <c r="KF185" s="242"/>
      <c r="KG185" s="242"/>
      <c r="KH185" s="242"/>
      <c r="KI185" s="242"/>
      <c r="KJ185" s="242"/>
      <c r="KK185" s="242"/>
      <c r="KL185" s="242"/>
      <c r="KM185" s="242"/>
      <c r="KN185" s="242"/>
      <c r="KO185" s="242"/>
      <c r="KP185" s="242"/>
      <c r="KQ185" s="242"/>
      <c r="KR185" s="242"/>
      <c r="KS185" s="242"/>
      <c r="KT185" s="242"/>
      <c r="KU185" s="242"/>
      <c r="KV185" s="242"/>
      <c r="KW185" s="242"/>
      <c r="KX185" s="242"/>
      <c r="KY185" s="242"/>
      <c r="KZ185" s="242"/>
      <c r="LA185" s="242"/>
      <c r="LB185" s="242"/>
      <c r="LC185" s="242"/>
      <c r="LD185" s="242"/>
      <c r="LE185" s="242"/>
      <c r="LF185" s="242"/>
      <c r="LG185" s="242"/>
      <c r="LH185" s="242"/>
      <c r="LI185" s="242"/>
      <c r="LJ185" s="242"/>
      <c r="LK185" s="242"/>
      <c r="LL185" s="242"/>
      <c r="LM185" s="242"/>
      <c r="LN185" s="242"/>
      <c r="LO185" s="242"/>
      <c r="LP185" s="242"/>
      <c r="LQ185" s="242"/>
      <c r="LR185" s="242"/>
      <c r="LS185" s="242"/>
      <c r="LT185" s="242"/>
      <c r="LU185" s="242"/>
      <c r="LV185" s="242"/>
      <c r="LW185" s="242"/>
      <c r="LX185" s="242"/>
      <c r="LY185" s="242"/>
      <c r="LZ185" s="242"/>
      <c r="MA185" s="242"/>
      <c r="MB185" s="242"/>
      <c r="MC185" s="242"/>
      <c r="MD185" s="242"/>
      <c r="ME185" s="242"/>
      <c r="MF185" s="242"/>
      <c r="MG185" s="242"/>
      <c r="MH185" s="242"/>
      <c r="MI185" s="242"/>
      <c r="MJ185" s="242"/>
      <c r="MK185" s="242"/>
      <c r="ML185" s="242"/>
    </row>
    <row r="186" ht="18.75" customHeight="1">
      <c r="A186" s="283"/>
      <c r="B186" s="234" t="str">
        <f>'Building Bill of Materials_SLIM'!P186</f>
        <v/>
      </c>
      <c r="C186" s="234" t="str">
        <f>'Building Bill of Materials_SLIM'!Q186</f>
        <v/>
      </c>
      <c r="D186" s="234" t="str">
        <f>'Building Bill of Materials_SLIM'!R186</f>
        <v/>
      </c>
      <c r="E186" s="234" t="str">
        <f>'Building Bill of Materials_SLIM'!S186</f>
        <v/>
      </c>
      <c r="F186" s="234" t="str">
        <f>'Building Bill of Materials_SLIM'!U186</f>
        <v/>
      </c>
      <c r="G186" s="234"/>
      <c r="H186" s="234"/>
      <c r="I186" s="234"/>
      <c r="J186" s="234" t="str">
        <f>'Building Bill of Materials_SLIM'!V186</f>
        <v/>
      </c>
      <c r="K186" s="242"/>
      <c r="L186" s="242"/>
      <c r="M186" s="242"/>
      <c r="N186" s="242"/>
      <c r="O186" s="242"/>
      <c r="P186" s="242"/>
      <c r="Q186" s="242"/>
      <c r="R186" s="242"/>
      <c r="S186" s="242"/>
      <c r="T186" s="242"/>
      <c r="U186" s="242"/>
      <c r="V186" s="242"/>
      <c r="W186" s="242"/>
      <c r="X186" s="242"/>
      <c r="Y186" s="242"/>
      <c r="Z186" s="242"/>
      <c r="AA186" s="192"/>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7"/>
      <c r="BI186" s="257"/>
      <c r="BJ186" s="242"/>
      <c r="BK186" s="242"/>
      <c r="BL186" s="242"/>
      <c r="BM186" s="242"/>
      <c r="BN186" s="242"/>
      <c r="BO186" s="242"/>
      <c r="BP186" s="242"/>
      <c r="BQ186" s="242"/>
      <c r="BR186" s="242"/>
      <c r="BS186" s="242"/>
      <c r="BT186" s="242"/>
      <c r="BU186" s="242"/>
      <c r="BV186" s="242"/>
      <c r="BW186" s="242"/>
      <c r="BX186" s="242"/>
      <c r="BY186" s="242"/>
      <c r="BZ186" s="242"/>
      <c r="CA186" s="242"/>
      <c r="CB186" s="242"/>
      <c r="CC186" s="242"/>
      <c r="CD186" s="242"/>
      <c r="CE186" s="257"/>
      <c r="CF186" s="257"/>
      <c r="CG186" s="242"/>
      <c r="CH186" s="242"/>
      <c r="CI186" s="242"/>
      <c r="CJ186" s="242"/>
      <c r="CK186" s="242"/>
      <c r="CL186" s="242"/>
      <c r="CM186" s="242"/>
      <c r="CN186" s="242"/>
      <c r="CO186" s="242"/>
      <c r="CP186" s="242"/>
      <c r="CQ186" s="242"/>
      <c r="CR186" s="242"/>
      <c r="CS186" s="242"/>
      <c r="CT186" s="242"/>
      <c r="CU186" s="242"/>
      <c r="CV186" s="242"/>
      <c r="CW186" s="242"/>
      <c r="CX186" s="242"/>
      <c r="CY186" s="242"/>
      <c r="CZ186" s="242"/>
      <c r="DA186" s="242"/>
      <c r="DB186" s="242"/>
      <c r="DC186" s="242"/>
      <c r="DD186" s="242"/>
      <c r="DE186" s="242"/>
      <c r="DF186" s="242"/>
      <c r="DG186" s="257"/>
      <c r="DH186" s="242"/>
      <c r="DI186" s="242"/>
      <c r="DJ186" s="242"/>
      <c r="DK186" s="242"/>
      <c r="DL186" s="242"/>
      <c r="DM186" s="242"/>
      <c r="DN186" s="242"/>
      <c r="DO186" s="242"/>
      <c r="DP186" s="242"/>
      <c r="DQ186" s="242"/>
      <c r="DR186" s="242"/>
      <c r="DS186" s="242"/>
      <c r="DT186" s="242"/>
      <c r="DU186" s="242"/>
      <c r="DV186" s="242"/>
      <c r="DW186" s="242"/>
      <c r="DX186" s="242"/>
      <c r="DY186" s="242"/>
      <c r="DZ186" s="242"/>
      <c r="EA186" s="242"/>
      <c r="EB186" s="242"/>
      <c r="EC186" s="242"/>
      <c r="ED186" s="242"/>
      <c r="EE186" s="242"/>
      <c r="EF186" s="242"/>
      <c r="EG186" s="242"/>
      <c r="EH186" s="242"/>
      <c r="EI186" s="242"/>
      <c r="EJ186" s="242"/>
      <c r="EK186" s="242"/>
      <c r="EL186" s="242"/>
      <c r="EM186" s="242"/>
      <c r="EN186" s="242"/>
      <c r="EO186" s="242"/>
      <c r="EP186" s="242"/>
      <c r="EQ186" s="242"/>
      <c r="ER186" s="242"/>
      <c r="ES186" s="242"/>
      <c r="ET186" s="242"/>
      <c r="EU186" s="242"/>
      <c r="EV186" s="242"/>
      <c r="EW186" s="242"/>
      <c r="EX186" s="242"/>
      <c r="EY186" s="242"/>
      <c r="EZ186" s="242"/>
      <c r="FA186" s="242"/>
      <c r="FB186" s="242"/>
      <c r="FC186" s="242"/>
      <c r="FD186" s="242"/>
      <c r="FE186" s="242"/>
      <c r="FF186" s="242"/>
      <c r="FG186" s="242"/>
      <c r="FH186" s="257"/>
      <c r="FI186" s="257"/>
      <c r="FJ186" s="257"/>
      <c r="FK186" s="257"/>
      <c r="FL186" s="257"/>
      <c r="FM186" s="257"/>
      <c r="FN186" s="257"/>
      <c r="FO186" s="257"/>
      <c r="FP186" s="257"/>
      <c r="FQ186" s="257"/>
      <c r="FR186" s="257"/>
      <c r="FS186" s="257"/>
      <c r="FT186" s="257"/>
      <c r="FU186" s="257"/>
      <c r="FV186" s="257"/>
      <c r="FW186" s="257"/>
      <c r="FX186" s="257"/>
      <c r="FY186" s="242"/>
      <c r="FZ186" s="242"/>
      <c r="GA186" s="242"/>
      <c r="GB186" s="242"/>
      <c r="GC186" s="242"/>
      <c r="GD186" s="242"/>
      <c r="GE186" s="242"/>
      <c r="GF186" s="242"/>
      <c r="GG186" s="242"/>
      <c r="GH186" s="242"/>
      <c r="GI186" s="242"/>
      <c r="GJ186" s="242"/>
      <c r="GK186" s="242"/>
      <c r="GL186" s="242"/>
      <c r="GM186" s="242"/>
      <c r="GN186" s="242"/>
      <c r="GO186" s="242"/>
      <c r="GP186" s="242"/>
      <c r="GQ186" s="242"/>
      <c r="GR186" s="242"/>
      <c r="GS186" s="242"/>
      <c r="GT186" s="242"/>
      <c r="GU186" s="242"/>
      <c r="GV186" s="242"/>
      <c r="GW186" s="242"/>
      <c r="GX186" s="242"/>
      <c r="GY186" s="242"/>
      <c r="GZ186" s="242"/>
      <c r="HA186" s="242"/>
      <c r="HB186" s="242"/>
      <c r="HC186" s="242"/>
      <c r="HD186" s="242"/>
      <c r="HE186" s="242"/>
      <c r="HF186" s="242"/>
      <c r="HG186" s="242"/>
      <c r="HH186" s="242"/>
      <c r="HI186" s="242"/>
      <c r="HJ186" s="242"/>
      <c r="HK186" s="242"/>
      <c r="HL186" s="242"/>
      <c r="HM186" s="242"/>
      <c r="HN186" s="242"/>
      <c r="HO186" s="242"/>
      <c r="HP186" s="242"/>
      <c r="HQ186" s="242"/>
      <c r="HR186" s="242"/>
      <c r="HS186" s="242"/>
      <c r="HT186" s="242"/>
      <c r="HU186" s="242"/>
      <c r="HV186" s="242"/>
      <c r="HW186" s="242"/>
      <c r="HX186" s="257"/>
      <c r="HY186" s="257"/>
      <c r="HZ186" s="257"/>
      <c r="IA186" s="257"/>
      <c r="IB186" s="257"/>
      <c r="IC186" s="257"/>
      <c r="ID186" s="257"/>
      <c r="IE186" s="257"/>
      <c r="IF186" s="257"/>
      <c r="IG186" s="257"/>
      <c r="IH186" s="257"/>
      <c r="II186" s="257"/>
      <c r="IJ186" s="257"/>
      <c r="IK186" s="257"/>
      <c r="IL186" s="257"/>
      <c r="IM186" s="257"/>
      <c r="IN186" s="257"/>
      <c r="IO186" s="257"/>
      <c r="IP186" s="257"/>
      <c r="IQ186" s="257"/>
      <c r="IR186" s="257"/>
      <c r="IS186" s="257"/>
      <c r="IT186" s="257"/>
      <c r="IU186" s="257"/>
      <c r="IV186" s="257"/>
      <c r="IW186" s="257"/>
      <c r="IX186" s="257"/>
      <c r="IY186" s="257"/>
      <c r="IZ186" s="257"/>
      <c r="JA186" s="257"/>
      <c r="JB186" s="257"/>
      <c r="JC186" s="257"/>
      <c r="JD186" s="257"/>
      <c r="JE186" s="257"/>
      <c r="JF186" s="242"/>
      <c r="JG186" s="242"/>
      <c r="JH186" s="242"/>
      <c r="JI186" s="242"/>
      <c r="JJ186" s="242"/>
      <c r="JK186" s="242"/>
      <c r="JL186" s="242"/>
      <c r="JM186" s="242"/>
      <c r="JN186" s="242"/>
      <c r="JO186" s="242"/>
      <c r="JP186" s="242"/>
      <c r="JQ186" s="242"/>
      <c r="JR186" s="242"/>
      <c r="JS186" s="242"/>
      <c r="JT186" s="242"/>
      <c r="JU186" s="242"/>
      <c r="JV186" s="242"/>
      <c r="JW186" s="242"/>
      <c r="JX186" s="242"/>
      <c r="JY186" s="242"/>
      <c r="JZ186" s="242"/>
      <c r="KA186" s="242"/>
      <c r="KB186" s="242"/>
      <c r="KC186" s="242"/>
      <c r="KD186" s="242"/>
      <c r="KE186" s="242"/>
      <c r="KF186" s="242"/>
      <c r="KG186" s="242"/>
      <c r="KH186" s="242"/>
      <c r="KI186" s="242"/>
      <c r="KJ186" s="242"/>
      <c r="KK186" s="242"/>
      <c r="KL186" s="242"/>
      <c r="KM186" s="242"/>
      <c r="KN186" s="242"/>
      <c r="KO186" s="242"/>
      <c r="KP186" s="242"/>
      <c r="KQ186" s="242"/>
      <c r="KR186" s="242"/>
      <c r="KS186" s="242"/>
      <c r="KT186" s="242"/>
      <c r="KU186" s="242"/>
      <c r="KV186" s="242"/>
      <c r="KW186" s="242"/>
      <c r="KX186" s="242"/>
      <c r="KY186" s="242"/>
      <c r="KZ186" s="242"/>
      <c r="LA186" s="242"/>
      <c r="LB186" s="242"/>
      <c r="LC186" s="242"/>
      <c r="LD186" s="242"/>
      <c r="LE186" s="242"/>
      <c r="LF186" s="242"/>
      <c r="LG186" s="242"/>
      <c r="LH186" s="242"/>
      <c r="LI186" s="242"/>
      <c r="LJ186" s="242"/>
      <c r="LK186" s="242"/>
      <c r="LL186" s="242"/>
      <c r="LM186" s="242"/>
      <c r="LN186" s="242"/>
      <c r="LO186" s="242"/>
      <c r="LP186" s="242"/>
      <c r="LQ186" s="242"/>
      <c r="LR186" s="242"/>
      <c r="LS186" s="242"/>
      <c r="LT186" s="242"/>
      <c r="LU186" s="242"/>
      <c r="LV186" s="242"/>
      <c r="LW186" s="242"/>
      <c r="LX186" s="242"/>
      <c r="LY186" s="242"/>
      <c r="LZ186" s="242"/>
      <c r="MA186" s="242"/>
      <c r="MB186" s="242"/>
      <c r="MC186" s="242"/>
      <c r="MD186" s="242"/>
      <c r="ME186" s="242"/>
      <c r="MF186" s="242"/>
      <c r="MG186" s="242"/>
      <c r="MH186" s="242"/>
      <c r="MI186" s="242"/>
      <c r="MJ186" s="242"/>
      <c r="MK186" s="242"/>
      <c r="ML186" s="242"/>
    </row>
    <row r="187" ht="18.75" customHeight="1">
      <c r="A187" s="283"/>
      <c r="B187" s="234" t="str">
        <f>'Building Bill of Materials_SLIM'!P187</f>
        <v/>
      </c>
      <c r="C187" s="234" t="str">
        <f>'Building Bill of Materials_SLIM'!Q187</f>
        <v/>
      </c>
      <c r="D187" s="234" t="str">
        <f>'Building Bill of Materials_SLIM'!R187</f>
        <v/>
      </c>
      <c r="E187" s="234" t="str">
        <f>'Building Bill of Materials_SLIM'!S187</f>
        <v/>
      </c>
      <c r="F187" s="234" t="str">
        <f>'Building Bill of Materials_SLIM'!U187</f>
        <v/>
      </c>
      <c r="G187" s="234"/>
      <c r="H187" s="234"/>
      <c r="I187" s="234"/>
      <c r="J187" s="234" t="str">
        <f>'Building Bill of Materials_SLIM'!V187</f>
        <v/>
      </c>
      <c r="K187" s="242"/>
      <c r="L187" s="242"/>
      <c r="M187" s="242"/>
      <c r="N187" s="242"/>
      <c r="O187" s="242"/>
      <c r="P187" s="242"/>
      <c r="Q187" s="242"/>
      <c r="R187" s="242"/>
      <c r="S187" s="242"/>
      <c r="T187" s="242"/>
      <c r="U187" s="242"/>
      <c r="V187" s="242"/>
      <c r="W187" s="242"/>
      <c r="X187" s="242"/>
      <c r="Y187" s="242"/>
      <c r="Z187" s="242"/>
      <c r="AA187" s="192"/>
      <c r="AB187" s="257"/>
      <c r="AC187" s="257"/>
      <c r="AD187" s="257"/>
      <c r="AE187" s="257"/>
      <c r="AF187" s="257"/>
      <c r="AG187" s="257"/>
      <c r="AH187" s="257"/>
      <c r="AI187" s="257"/>
      <c r="AJ187" s="257"/>
      <c r="AK187" s="257"/>
      <c r="AL187" s="257"/>
      <c r="AM187" s="257"/>
      <c r="AN187" s="257"/>
      <c r="AO187" s="257"/>
      <c r="AP187" s="257"/>
      <c r="AQ187" s="257"/>
      <c r="AR187" s="257"/>
      <c r="AS187" s="257"/>
      <c r="AT187" s="257"/>
      <c r="AU187" s="257"/>
      <c r="AV187" s="257"/>
      <c r="AW187" s="257"/>
      <c r="AX187" s="257"/>
      <c r="AY187" s="257"/>
      <c r="AZ187" s="257"/>
      <c r="BA187" s="257"/>
      <c r="BB187" s="257"/>
      <c r="BC187" s="257"/>
      <c r="BD187" s="257"/>
      <c r="BE187" s="257"/>
      <c r="BF187" s="257"/>
      <c r="BG187" s="257"/>
      <c r="BH187" s="257"/>
      <c r="BI187" s="257"/>
      <c r="BJ187" s="242"/>
      <c r="BK187" s="242"/>
      <c r="BL187" s="242"/>
      <c r="BM187" s="242"/>
      <c r="BN187" s="242"/>
      <c r="BO187" s="242"/>
      <c r="BP187" s="242"/>
      <c r="BQ187" s="242"/>
      <c r="BR187" s="242"/>
      <c r="BS187" s="242"/>
      <c r="BT187" s="242"/>
      <c r="BU187" s="242"/>
      <c r="BV187" s="242"/>
      <c r="BW187" s="242"/>
      <c r="BX187" s="242"/>
      <c r="BY187" s="242"/>
      <c r="BZ187" s="242"/>
      <c r="CA187" s="242"/>
      <c r="CB187" s="242"/>
      <c r="CC187" s="242"/>
      <c r="CD187" s="242"/>
      <c r="CE187" s="257"/>
      <c r="CF187" s="257"/>
      <c r="CG187" s="242"/>
      <c r="CH187" s="242"/>
      <c r="CI187" s="242"/>
      <c r="CJ187" s="242"/>
      <c r="CK187" s="242"/>
      <c r="CL187" s="242"/>
      <c r="CM187" s="242"/>
      <c r="CN187" s="242"/>
      <c r="CO187" s="242"/>
      <c r="CP187" s="242"/>
      <c r="CQ187" s="242"/>
      <c r="CR187" s="242"/>
      <c r="CS187" s="242"/>
      <c r="CT187" s="242"/>
      <c r="CU187" s="242"/>
      <c r="CV187" s="242"/>
      <c r="CW187" s="242"/>
      <c r="CX187" s="242"/>
      <c r="CY187" s="242"/>
      <c r="CZ187" s="242"/>
      <c r="DA187" s="242"/>
      <c r="DB187" s="242"/>
      <c r="DC187" s="242"/>
      <c r="DD187" s="242"/>
      <c r="DE187" s="242"/>
      <c r="DF187" s="242"/>
      <c r="DG187" s="257"/>
      <c r="DH187" s="242"/>
      <c r="DI187" s="242"/>
      <c r="DJ187" s="242"/>
      <c r="DK187" s="242"/>
      <c r="DL187" s="242"/>
      <c r="DM187" s="242"/>
      <c r="DN187" s="242"/>
      <c r="DO187" s="242"/>
      <c r="DP187" s="242"/>
      <c r="DQ187" s="242"/>
      <c r="DR187" s="242"/>
      <c r="DS187" s="242"/>
      <c r="DT187" s="242"/>
      <c r="DU187" s="242"/>
      <c r="DV187" s="242"/>
      <c r="DW187" s="242"/>
      <c r="DX187" s="242"/>
      <c r="DY187" s="242"/>
      <c r="DZ187" s="242"/>
      <c r="EA187" s="242"/>
      <c r="EB187" s="242"/>
      <c r="EC187" s="242"/>
      <c r="ED187" s="242"/>
      <c r="EE187" s="242"/>
      <c r="EF187" s="242"/>
      <c r="EG187" s="242"/>
      <c r="EH187" s="242"/>
      <c r="EI187" s="242"/>
      <c r="EJ187" s="242"/>
      <c r="EK187" s="242"/>
      <c r="EL187" s="242"/>
      <c r="EM187" s="242"/>
      <c r="EN187" s="242"/>
      <c r="EO187" s="242"/>
      <c r="EP187" s="242"/>
      <c r="EQ187" s="242"/>
      <c r="ER187" s="242"/>
      <c r="ES187" s="242"/>
      <c r="ET187" s="242"/>
      <c r="EU187" s="242"/>
      <c r="EV187" s="242"/>
      <c r="EW187" s="242"/>
      <c r="EX187" s="242"/>
      <c r="EY187" s="242"/>
      <c r="EZ187" s="242"/>
      <c r="FA187" s="242"/>
      <c r="FB187" s="242"/>
      <c r="FC187" s="242"/>
      <c r="FD187" s="242"/>
      <c r="FE187" s="242"/>
      <c r="FF187" s="242"/>
      <c r="FG187" s="242"/>
      <c r="FH187" s="257"/>
      <c r="FI187" s="257"/>
      <c r="FJ187" s="257"/>
      <c r="FK187" s="257"/>
      <c r="FL187" s="257"/>
      <c r="FM187" s="257"/>
      <c r="FN187" s="257"/>
      <c r="FO187" s="257"/>
      <c r="FP187" s="257"/>
      <c r="FQ187" s="257"/>
      <c r="FR187" s="257"/>
      <c r="FS187" s="257"/>
      <c r="FT187" s="257"/>
      <c r="FU187" s="257"/>
      <c r="FV187" s="257"/>
      <c r="FW187" s="257"/>
      <c r="FX187" s="257"/>
      <c r="FY187" s="242"/>
      <c r="FZ187" s="242"/>
      <c r="GA187" s="242"/>
      <c r="GB187" s="242"/>
      <c r="GC187" s="242"/>
      <c r="GD187" s="242"/>
      <c r="GE187" s="242"/>
      <c r="GF187" s="242"/>
      <c r="GG187" s="242"/>
      <c r="GH187" s="242"/>
      <c r="GI187" s="242"/>
      <c r="GJ187" s="242"/>
      <c r="GK187" s="242"/>
      <c r="GL187" s="242"/>
      <c r="GM187" s="242"/>
      <c r="GN187" s="242"/>
      <c r="GO187" s="242"/>
      <c r="GP187" s="242"/>
      <c r="GQ187" s="242"/>
      <c r="GR187" s="242"/>
      <c r="GS187" s="242"/>
      <c r="GT187" s="242"/>
      <c r="GU187" s="242"/>
      <c r="GV187" s="242"/>
      <c r="GW187" s="242"/>
      <c r="GX187" s="242"/>
      <c r="GY187" s="242"/>
      <c r="GZ187" s="242"/>
      <c r="HA187" s="242"/>
      <c r="HB187" s="242"/>
      <c r="HC187" s="242"/>
      <c r="HD187" s="242"/>
      <c r="HE187" s="242"/>
      <c r="HF187" s="242"/>
      <c r="HG187" s="242"/>
      <c r="HH187" s="242"/>
      <c r="HI187" s="242"/>
      <c r="HJ187" s="242"/>
      <c r="HK187" s="242"/>
      <c r="HL187" s="242"/>
      <c r="HM187" s="242"/>
      <c r="HN187" s="242"/>
      <c r="HO187" s="242"/>
      <c r="HP187" s="242"/>
      <c r="HQ187" s="242"/>
      <c r="HR187" s="242"/>
      <c r="HS187" s="242"/>
      <c r="HT187" s="242"/>
      <c r="HU187" s="242"/>
      <c r="HV187" s="242"/>
      <c r="HW187" s="242"/>
      <c r="HX187" s="257"/>
      <c r="HY187" s="257"/>
      <c r="HZ187" s="257"/>
      <c r="IA187" s="257"/>
      <c r="IB187" s="257"/>
      <c r="IC187" s="257"/>
      <c r="ID187" s="257"/>
      <c r="IE187" s="257"/>
      <c r="IF187" s="257"/>
      <c r="IG187" s="257"/>
      <c r="IH187" s="257"/>
      <c r="II187" s="257"/>
      <c r="IJ187" s="257"/>
      <c r="IK187" s="257"/>
      <c r="IL187" s="257"/>
      <c r="IM187" s="257"/>
      <c r="IN187" s="257"/>
      <c r="IO187" s="257"/>
      <c r="IP187" s="257"/>
      <c r="IQ187" s="257"/>
      <c r="IR187" s="257"/>
      <c r="IS187" s="257"/>
      <c r="IT187" s="257"/>
      <c r="IU187" s="257"/>
      <c r="IV187" s="257"/>
      <c r="IW187" s="257"/>
      <c r="IX187" s="257"/>
      <c r="IY187" s="257"/>
      <c r="IZ187" s="257"/>
      <c r="JA187" s="257"/>
      <c r="JB187" s="257"/>
      <c r="JC187" s="257"/>
      <c r="JD187" s="257"/>
      <c r="JE187" s="257"/>
      <c r="JF187" s="242"/>
      <c r="JG187" s="242"/>
      <c r="JH187" s="242"/>
      <c r="JI187" s="242"/>
      <c r="JJ187" s="242"/>
      <c r="JK187" s="242"/>
      <c r="JL187" s="242"/>
      <c r="JM187" s="242"/>
      <c r="JN187" s="242"/>
      <c r="JO187" s="242"/>
      <c r="JP187" s="242"/>
      <c r="JQ187" s="242"/>
      <c r="JR187" s="242"/>
      <c r="JS187" s="242"/>
      <c r="JT187" s="242"/>
      <c r="JU187" s="242"/>
      <c r="JV187" s="242"/>
      <c r="JW187" s="242"/>
      <c r="JX187" s="242"/>
      <c r="JY187" s="242"/>
      <c r="JZ187" s="242"/>
      <c r="KA187" s="242"/>
      <c r="KB187" s="242"/>
      <c r="KC187" s="242"/>
      <c r="KD187" s="242"/>
      <c r="KE187" s="242"/>
      <c r="KF187" s="242"/>
      <c r="KG187" s="242"/>
      <c r="KH187" s="242"/>
      <c r="KI187" s="242"/>
      <c r="KJ187" s="242"/>
      <c r="KK187" s="242"/>
      <c r="KL187" s="242"/>
      <c r="KM187" s="242"/>
      <c r="KN187" s="242"/>
      <c r="KO187" s="242"/>
      <c r="KP187" s="242"/>
      <c r="KQ187" s="242"/>
      <c r="KR187" s="242"/>
      <c r="KS187" s="242"/>
      <c r="KT187" s="242"/>
      <c r="KU187" s="242"/>
      <c r="KV187" s="242"/>
      <c r="KW187" s="242"/>
      <c r="KX187" s="242"/>
      <c r="KY187" s="242"/>
      <c r="KZ187" s="242"/>
      <c r="LA187" s="242"/>
      <c r="LB187" s="242"/>
      <c r="LC187" s="242"/>
      <c r="LD187" s="242"/>
      <c r="LE187" s="242"/>
      <c r="LF187" s="242"/>
      <c r="LG187" s="242"/>
      <c r="LH187" s="242"/>
      <c r="LI187" s="242"/>
      <c r="LJ187" s="242"/>
      <c r="LK187" s="242"/>
      <c r="LL187" s="242"/>
      <c r="LM187" s="242"/>
      <c r="LN187" s="242"/>
      <c r="LO187" s="242"/>
      <c r="LP187" s="242"/>
      <c r="LQ187" s="242"/>
      <c r="LR187" s="242"/>
      <c r="LS187" s="242"/>
      <c r="LT187" s="242"/>
      <c r="LU187" s="242"/>
      <c r="LV187" s="242"/>
      <c r="LW187" s="242"/>
      <c r="LX187" s="242"/>
      <c r="LY187" s="242"/>
      <c r="LZ187" s="242"/>
      <c r="MA187" s="242"/>
      <c r="MB187" s="242"/>
      <c r="MC187" s="242"/>
      <c r="MD187" s="242"/>
      <c r="ME187" s="242"/>
      <c r="MF187" s="242"/>
      <c r="MG187" s="242"/>
      <c r="MH187" s="242"/>
      <c r="MI187" s="242"/>
      <c r="MJ187" s="242"/>
      <c r="MK187" s="242"/>
      <c r="ML187" s="242"/>
    </row>
    <row r="188" ht="18.75" customHeight="1">
      <c r="A188" s="283"/>
      <c r="B188" s="234" t="str">
        <f>'Building Bill of Materials_SLIM'!P188</f>
        <v/>
      </c>
      <c r="C188" s="234" t="str">
        <f>'Building Bill of Materials_SLIM'!Q188</f>
        <v/>
      </c>
      <c r="D188" s="234" t="str">
        <f>'Building Bill of Materials_SLIM'!R188</f>
        <v/>
      </c>
      <c r="E188" s="234" t="str">
        <f>'Building Bill of Materials_SLIM'!S188</f>
        <v/>
      </c>
      <c r="F188" s="234" t="str">
        <f>'Building Bill of Materials_SLIM'!U188</f>
        <v/>
      </c>
      <c r="G188" s="234"/>
      <c r="H188" s="234"/>
      <c r="I188" s="234"/>
      <c r="J188" s="234" t="str">
        <f>'Building Bill of Materials_SLIM'!V188</f>
        <v/>
      </c>
      <c r="K188" s="242"/>
      <c r="L188" s="242"/>
      <c r="M188" s="242"/>
      <c r="N188" s="242"/>
      <c r="O188" s="242"/>
      <c r="P188" s="242"/>
      <c r="Q188" s="242"/>
      <c r="R188" s="242"/>
      <c r="S188" s="242"/>
      <c r="T188" s="242"/>
      <c r="U188" s="242"/>
      <c r="V188" s="242"/>
      <c r="W188" s="242"/>
      <c r="X188" s="242"/>
      <c r="Y188" s="242"/>
      <c r="Z188" s="242"/>
      <c r="AA188" s="192"/>
      <c r="AB188" s="257"/>
      <c r="AC188" s="257"/>
      <c r="AD188" s="257"/>
      <c r="AE188" s="257"/>
      <c r="AF188" s="257"/>
      <c r="AG188" s="257"/>
      <c r="AH188" s="257"/>
      <c r="AI188" s="257"/>
      <c r="AJ188" s="257"/>
      <c r="AK188" s="257"/>
      <c r="AL188" s="257"/>
      <c r="AM188" s="257"/>
      <c r="AN188" s="257"/>
      <c r="AO188" s="257"/>
      <c r="AP188" s="257"/>
      <c r="AQ188" s="257"/>
      <c r="AR188" s="257"/>
      <c r="AS188" s="257"/>
      <c r="AT188" s="257"/>
      <c r="AU188" s="257"/>
      <c r="AV188" s="257"/>
      <c r="AW188" s="257"/>
      <c r="AX188" s="257"/>
      <c r="AY188" s="257"/>
      <c r="AZ188" s="257"/>
      <c r="BA188" s="257"/>
      <c r="BB188" s="257"/>
      <c r="BC188" s="257"/>
      <c r="BD188" s="257"/>
      <c r="BE188" s="257"/>
      <c r="BF188" s="257"/>
      <c r="BG188" s="257"/>
      <c r="BH188" s="257"/>
      <c r="BI188" s="257"/>
      <c r="BJ188" s="242"/>
      <c r="BK188" s="242"/>
      <c r="BL188" s="242"/>
      <c r="BM188" s="242"/>
      <c r="BN188" s="242"/>
      <c r="BO188" s="242"/>
      <c r="BP188" s="242"/>
      <c r="BQ188" s="242"/>
      <c r="BR188" s="242"/>
      <c r="BS188" s="242"/>
      <c r="BT188" s="242"/>
      <c r="BU188" s="242"/>
      <c r="BV188" s="242"/>
      <c r="BW188" s="242"/>
      <c r="BX188" s="242"/>
      <c r="BY188" s="242"/>
      <c r="BZ188" s="242"/>
      <c r="CA188" s="242"/>
      <c r="CB188" s="242"/>
      <c r="CC188" s="242"/>
      <c r="CD188" s="242"/>
      <c r="CE188" s="257"/>
      <c r="CF188" s="257"/>
      <c r="CG188" s="242"/>
      <c r="CH188" s="242"/>
      <c r="CI188" s="242"/>
      <c r="CJ188" s="242"/>
      <c r="CK188" s="242"/>
      <c r="CL188" s="242"/>
      <c r="CM188" s="242"/>
      <c r="CN188" s="242"/>
      <c r="CO188" s="242"/>
      <c r="CP188" s="242"/>
      <c r="CQ188" s="242"/>
      <c r="CR188" s="242"/>
      <c r="CS188" s="242"/>
      <c r="CT188" s="242"/>
      <c r="CU188" s="242"/>
      <c r="CV188" s="242"/>
      <c r="CW188" s="242"/>
      <c r="CX188" s="242"/>
      <c r="CY188" s="242"/>
      <c r="CZ188" s="242"/>
      <c r="DA188" s="242"/>
      <c r="DB188" s="242"/>
      <c r="DC188" s="242"/>
      <c r="DD188" s="242"/>
      <c r="DE188" s="242"/>
      <c r="DF188" s="242"/>
      <c r="DG188" s="257"/>
      <c r="DH188" s="242"/>
      <c r="DI188" s="242"/>
      <c r="DJ188" s="242"/>
      <c r="DK188" s="242"/>
      <c r="DL188" s="242"/>
      <c r="DM188" s="242"/>
      <c r="DN188" s="242"/>
      <c r="DO188" s="242"/>
      <c r="DP188" s="242"/>
      <c r="DQ188" s="242"/>
      <c r="DR188" s="242"/>
      <c r="DS188" s="242"/>
      <c r="DT188" s="242"/>
      <c r="DU188" s="242"/>
      <c r="DV188" s="242"/>
      <c r="DW188" s="242"/>
      <c r="DX188" s="242"/>
      <c r="DY188" s="242"/>
      <c r="DZ188" s="242"/>
      <c r="EA188" s="242"/>
      <c r="EB188" s="242"/>
      <c r="EC188" s="242"/>
      <c r="ED188" s="242"/>
      <c r="EE188" s="242"/>
      <c r="EF188" s="242"/>
      <c r="EG188" s="242"/>
      <c r="EH188" s="242"/>
      <c r="EI188" s="242"/>
      <c r="EJ188" s="242"/>
      <c r="EK188" s="242"/>
      <c r="EL188" s="242"/>
      <c r="EM188" s="242"/>
      <c r="EN188" s="242"/>
      <c r="EO188" s="242"/>
      <c r="EP188" s="242"/>
      <c r="EQ188" s="242"/>
      <c r="ER188" s="242"/>
      <c r="ES188" s="242"/>
      <c r="ET188" s="242"/>
      <c r="EU188" s="242"/>
      <c r="EV188" s="242"/>
      <c r="EW188" s="242"/>
      <c r="EX188" s="242"/>
      <c r="EY188" s="242"/>
      <c r="EZ188" s="242"/>
      <c r="FA188" s="242"/>
      <c r="FB188" s="242"/>
      <c r="FC188" s="242"/>
      <c r="FD188" s="242"/>
      <c r="FE188" s="242"/>
      <c r="FF188" s="242"/>
      <c r="FG188" s="242"/>
      <c r="FH188" s="257"/>
      <c r="FI188" s="257"/>
      <c r="FJ188" s="257"/>
      <c r="FK188" s="257"/>
      <c r="FL188" s="257"/>
      <c r="FM188" s="257"/>
      <c r="FN188" s="257"/>
      <c r="FO188" s="257"/>
      <c r="FP188" s="257"/>
      <c r="FQ188" s="257"/>
      <c r="FR188" s="257"/>
      <c r="FS188" s="257"/>
      <c r="FT188" s="257"/>
      <c r="FU188" s="257"/>
      <c r="FV188" s="257"/>
      <c r="FW188" s="257"/>
      <c r="FX188" s="257"/>
      <c r="FY188" s="242"/>
      <c r="FZ188" s="242"/>
      <c r="GA188" s="242"/>
      <c r="GB188" s="242"/>
      <c r="GC188" s="242"/>
      <c r="GD188" s="242"/>
      <c r="GE188" s="242"/>
      <c r="GF188" s="242"/>
      <c r="GG188" s="242"/>
      <c r="GH188" s="242"/>
      <c r="GI188" s="242"/>
      <c r="GJ188" s="242"/>
      <c r="GK188" s="242"/>
      <c r="GL188" s="242"/>
      <c r="GM188" s="242"/>
      <c r="GN188" s="242"/>
      <c r="GO188" s="242"/>
      <c r="GP188" s="242"/>
      <c r="GQ188" s="242"/>
      <c r="GR188" s="242"/>
      <c r="GS188" s="242"/>
      <c r="GT188" s="242"/>
      <c r="GU188" s="242"/>
      <c r="GV188" s="242"/>
      <c r="GW188" s="242"/>
      <c r="GX188" s="242"/>
      <c r="GY188" s="242"/>
      <c r="GZ188" s="242"/>
      <c r="HA188" s="242"/>
      <c r="HB188" s="242"/>
      <c r="HC188" s="242"/>
      <c r="HD188" s="242"/>
      <c r="HE188" s="242"/>
      <c r="HF188" s="242"/>
      <c r="HG188" s="242"/>
      <c r="HH188" s="242"/>
      <c r="HI188" s="242"/>
      <c r="HJ188" s="242"/>
      <c r="HK188" s="242"/>
      <c r="HL188" s="242"/>
      <c r="HM188" s="242"/>
      <c r="HN188" s="242"/>
      <c r="HO188" s="242"/>
      <c r="HP188" s="242"/>
      <c r="HQ188" s="242"/>
      <c r="HR188" s="242"/>
      <c r="HS188" s="242"/>
      <c r="HT188" s="242"/>
      <c r="HU188" s="242"/>
      <c r="HV188" s="242"/>
      <c r="HW188" s="242"/>
      <c r="HX188" s="257"/>
      <c r="HY188" s="257"/>
      <c r="HZ188" s="257"/>
      <c r="IA188" s="257"/>
      <c r="IB188" s="257"/>
      <c r="IC188" s="257"/>
      <c r="ID188" s="257"/>
      <c r="IE188" s="257"/>
      <c r="IF188" s="257"/>
      <c r="IG188" s="257"/>
      <c r="IH188" s="257"/>
      <c r="II188" s="257"/>
      <c r="IJ188" s="257"/>
      <c r="IK188" s="257"/>
      <c r="IL188" s="257"/>
      <c r="IM188" s="257"/>
      <c r="IN188" s="257"/>
      <c r="IO188" s="257"/>
      <c r="IP188" s="257"/>
      <c r="IQ188" s="257"/>
      <c r="IR188" s="257"/>
      <c r="IS188" s="257"/>
      <c r="IT188" s="257"/>
      <c r="IU188" s="257"/>
      <c r="IV188" s="257"/>
      <c r="IW188" s="257"/>
      <c r="IX188" s="257"/>
      <c r="IY188" s="257"/>
      <c r="IZ188" s="257"/>
      <c r="JA188" s="257"/>
      <c r="JB188" s="257"/>
      <c r="JC188" s="257"/>
      <c r="JD188" s="257"/>
      <c r="JE188" s="257"/>
      <c r="JF188" s="242"/>
      <c r="JG188" s="242"/>
      <c r="JH188" s="242"/>
      <c r="JI188" s="242"/>
      <c r="JJ188" s="242"/>
      <c r="JK188" s="242"/>
      <c r="JL188" s="242"/>
      <c r="JM188" s="242"/>
      <c r="JN188" s="242"/>
      <c r="JO188" s="242"/>
      <c r="JP188" s="242"/>
      <c r="JQ188" s="242"/>
      <c r="JR188" s="242"/>
      <c r="JS188" s="242"/>
      <c r="JT188" s="242"/>
      <c r="JU188" s="242"/>
      <c r="JV188" s="242"/>
      <c r="JW188" s="242"/>
      <c r="JX188" s="242"/>
      <c r="JY188" s="242"/>
      <c r="JZ188" s="242"/>
      <c r="KA188" s="242"/>
      <c r="KB188" s="242"/>
      <c r="KC188" s="242"/>
      <c r="KD188" s="242"/>
      <c r="KE188" s="242"/>
      <c r="KF188" s="242"/>
      <c r="KG188" s="242"/>
      <c r="KH188" s="242"/>
      <c r="KI188" s="242"/>
      <c r="KJ188" s="242"/>
      <c r="KK188" s="242"/>
      <c r="KL188" s="242"/>
      <c r="KM188" s="242"/>
      <c r="KN188" s="242"/>
      <c r="KO188" s="242"/>
      <c r="KP188" s="242"/>
      <c r="KQ188" s="242"/>
      <c r="KR188" s="242"/>
      <c r="KS188" s="242"/>
      <c r="KT188" s="242"/>
      <c r="KU188" s="242"/>
      <c r="KV188" s="242"/>
      <c r="KW188" s="242"/>
      <c r="KX188" s="242"/>
      <c r="KY188" s="242"/>
      <c r="KZ188" s="242"/>
      <c r="LA188" s="242"/>
      <c r="LB188" s="242"/>
      <c r="LC188" s="242"/>
      <c r="LD188" s="242"/>
      <c r="LE188" s="242"/>
      <c r="LF188" s="242"/>
      <c r="LG188" s="242"/>
      <c r="LH188" s="242"/>
      <c r="LI188" s="242"/>
      <c r="LJ188" s="242"/>
      <c r="LK188" s="242"/>
      <c r="LL188" s="242"/>
      <c r="LM188" s="242"/>
      <c r="LN188" s="242"/>
      <c r="LO188" s="242"/>
      <c r="LP188" s="242"/>
      <c r="LQ188" s="242"/>
      <c r="LR188" s="242"/>
      <c r="LS188" s="242"/>
      <c r="LT188" s="242"/>
      <c r="LU188" s="242"/>
      <c r="LV188" s="242"/>
      <c r="LW188" s="242"/>
      <c r="LX188" s="242"/>
      <c r="LY188" s="242"/>
      <c r="LZ188" s="242"/>
      <c r="MA188" s="242"/>
      <c r="MB188" s="242"/>
      <c r="MC188" s="242"/>
      <c r="MD188" s="242"/>
      <c r="ME188" s="242"/>
      <c r="MF188" s="242"/>
      <c r="MG188" s="242"/>
      <c r="MH188" s="242"/>
      <c r="MI188" s="242"/>
      <c r="MJ188" s="242"/>
      <c r="MK188" s="242"/>
      <c r="ML188" s="242"/>
    </row>
    <row r="189" ht="18.75" customHeight="1">
      <c r="A189" s="283"/>
      <c r="B189" s="234" t="str">
        <f>'Building Bill of Materials_SLIM'!P189</f>
        <v/>
      </c>
      <c r="C189" s="234" t="str">
        <f>'Building Bill of Materials_SLIM'!Q189</f>
        <v/>
      </c>
      <c r="D189" s="234" t="str">
        <f>'Building Bill of Materials_SLIM'!R189</f>
        <v/>
      </c>
      <c r="E189" s="234" t="str">
        <f>'Building Bill of Materials_SLIM'!S189</f>
        <v/>
      </c>
      <c r="F189" s="234" t="str">
        <f>'Building Bill of Materials_SLIM'!U189</f>
        <v/>
      </c>
      <c r="G189" s="234"/>
      <c r="H189" s="234"/>
      <c r="I189" s="234"/>
      <c r="J189" s="234" t="str">
        <f>'Building Bill of Materials_SLIM'!V189</f>
        <v/>
      </c>
      <c r="K189" s="242"/>
      <c r="L189" s="242"/>
      <c r="M189" s="242"/>
      <c r="N189" s="242"/>
      <c r="O189" s="242"/>
      <c r="P189" s="242"/>
      <c r="Q189" s="242"/>
      <c r="R189" s="242"/>
      <c r="S189" s="242"/>
      <c r="T189" s="242"/>
      <c r="U189" s="242"/>
      <c r="V189" s="242"/>
      <c r="W189" s="242"/>
      <c r="X189" s="242"/>
      <c r="Y189" s="242"/>
      <c r="Z189" s="242"/>
      <c r="AA189" s="192"/>
      <c r="AB189" s="257"/>
      <c r="AC189" s="257"/>
      <c r="AD189" s="257"/>
      <c r="AE189" s="257"/>
      <c r="AF189" s="257"/>
      <c r="AG189" s="257"/>
      <c r="AH189" s="257"/>
      <c r="AI189" s="257"/>
      <c r="AJ189" s="257"/>
      <c r="AK189" s="257"/>
      <c r="AL189" s="257"/>
      <c r="AM189" s="257"/>
      <c r="AN189" s="257"/>
      <c r="AO189" s="257"/>
      <c r="AP189" s="257"/>
      <c r="AQ189" s="257"/>
      <c r="AR189" s="257"/>
      <c r="AS189" s="257"/>
      <c r="AT189" s="257"/>
      <c r="AU189" s="257"/>
      <c r="AV189" s="257"/>
      <c r="AW189" s="257"/>
      <c r="AX189" s="257"/>
      <c r="AY189" s="257"/>
      <c r="AZ189" s="257"/>
      <c r="BA189" s="257"/>
      <c r="BB189" s="257"/>
      <c r="BC189" s="257"/>
      <c r="BD189" s="257"/>
      <c r="BE189" s="257"/>
      <c r="BF189" s="257"/>
      <c r="BG189" s="257"/>
      <c r="BH189" s="257"/>
      <c r="BI189" s="257"/>
      <c r="BJ189" s="242"/>
      <c r="BK189" s="242"/>
      <c r="BL189" s="242"/>
      <c r="BM189" s="242"/>
      <c r="BN189" s="242"/>
      <c r="BO189" s="242"/>
      <c r="BP189" s="242"/>
      <c r="BQ189" s="242"/>
      <c r="BR189" s="242"/>
      <c r="BS189" s="242"/>
      <c r="BT189" s="242"/>
      <c r="BU189" s="242"/>
      <c r="BV189" s="242"/>
      <c r="BW189" s="242"/>
      <c r="BX189" s="242"/>
      <c r="BY189" s="242"/>
      <c r="BZ189" s="242"/>
      <c r="CA189" s="242"/>
      <c r="CB189" s="242"/>
      <c r="CC189" s="242"/>
      <c r="CD189" s="242"/>
      <c r="CE189" s="257"/>
      <c r="CF189" s="257"/>
      <c r="CG189" s="242"/>
      <c r="CH189" s="242"/>
      <c r="CI189" s="242"/>
      <c r="CJ189" s="242"/>
      <c r="CK189" s="242"/>
      <c r="CL189" s="242"/>
      <c r="CM189" s="242"/>
      <c r="CN189" s="242"/>
      <c r="CO189" s="242"/>
      <c r="CP189" s="242"/>
      <c r="CQ189" s="242"/>
      <c r="CR189" s="242"/>
      <c r="CS189" s="242"/>
      <c r="CT189" s="242"/>
      <c r="CU189" s="242"/>
      <c r="CV189" s="242"/>
      <c r="CW189" s="242"/>
      <c r="CX189" s="242"/>
      <c r="CY189" s="242"/>
      <c r="CZ189" s="242"/>
      <c r="DA189" s="242"/>
      <c r="DB189" s="242"/>
      <c r="DC189" s="242"/>
      <c r="DD189" s="242"/>
      <c r="DE189" s="242"/>
      <c r="DF189" s="242"/>
      <c r="DG189" s="257"/>
      <c r="DH189" s="242"/>
      <c r="DI189" s="242"/>
      <c r="DJ189" s="242"/>
      <c r="DK189" s="242"/>
      <c r="DL189" s="242"/>
      <c r="DM189" s="242"/>
      <c r="DN189" s="242"/>
      <c r="DO189" s="242"/>
      <c r="DP189" s="242"/>
      <c r="DQ189" s="242"/>
      <c r="DR189" s="242"/>
      <c r="DS189" s="242"/>
      <c r="DT189" s="242"/>
      <c r="DU189" s="242"/>
      <c r="DV189" s="242"/>
      <c r="DW189" s="242"/>
      <c r="DX189" s="242"/>
      <c r="DY189" s="242"/>
      <c r="DZ189" s="242"/>
      <c r="EA189" s="242"/>
      <c r="EB189" s="242"/>
      <c r="EC189" s="242"/>
      <c r="ED189" s="242"/>
      <c r="EE189" s="242"/>
      <c r="EF189" s="242"/>
      <c r="EG189" s="242"/>
      <c r="EH189" s="242"/>
      <c r="EI189" s="242"/>
      <c r="EJ189" s="242"/>
      <c r="EK189" s="242"/>
      <c r="EL189" s="242"/>
      <c r="EM189" s="242"/>
      <c r="EN189" s="242"/>
      <c r="EO189" s="242"/>
      <c r="EP189" s="242"/>
      <c r="EQ189" s="242"/>
      <c r="ER189" s="242"/>
      <c r="ES189" s="242"/>
      <c r="ET189" s="242"/>
      <c r="EU189" s="242"/>
      <c r="EV189" s="242"/>
      <c r="EW189" s="242"/>
      <c r="EX189" s="242"/>
      <c r="EY189" s="242"/>
      <c r="EZ189" s="242"/>
      <c r="FA189" s="242"/>
      <c r="FB189" s="242"/>
      <c r="FC189" s="242"/>
      <c r="FD189" s="242"/>
      <c r="FE189" s="242"/>
      <c r="FF189" s="242"/>
      <c r="FG189" s="242"/>
      <c r="FH189" s="257"/>
      <c r="FI189" s="257"/>
      <c r="FJ189" s="257"/>
      <c r="FK189" s="257"/>
      <c r="FL189" s="257"/>
      <c r="FM189" s="257"/>
      <c r="FN189" s="257"/>
      <c r="FO189" s="257"/>
      <c r="FP189" s="257"/>
      <c r="FQ189" s="257"/>
      <c r="FR189" s="257"/>
      <c r="FS189" s="257"/>
      <c r="FT189" s="257"/>
      <c r="FU189" s="257"/>
      <c r="FV189" s="257"/>
      <c r="FW189" s="257"/>
      <c r="FX189" s="257"/>
      <c r="FY189" s="242"/>
      <c r="FZ189" s="242"/>
      <c r="GA189" s="242"/>
      <c r="GB189" s="242"/>
      <c r="GC189" s="242"/>
      <c r="GD189" s="242"/>
      <c r="GE189" s="242"/>
      <c r="GF189" s="242"/>
      <c r="GG189" s="242"/>
      <c r="GH189" s="242"/>
      <c r="GI189" s="242"/>
      <c r="GJ189" s="242"/>
      <c r="GK189" s="242"/>
      <c r="GL189" s="242"/>
      <c r="GM189" s="242"/>
      <c r="GN189" s="242"/>
      <c r="GO189" s="242"/>
      <c r="GP189" s="242"/>
      <c r="GQ189" s="242"/>
      <c r="GR189" s="242"/>
      <c r="GS189" s="242"/>
      <c r="GT189" s="242"/>
      <c r="GU189" s="242"/>
      <c r="GV189" s="242"/>
      <c r="GW189" s="242"/>
      <c r="GX189" s="242"/>
      <c r="GY189" s="242"/>
      <c r="GZ189" s="242"/>
      <c r="HA189" s="242"/>
      <c r="HB189" s="242"/>
      <c r="HC189" s="242"/>
      <c r="HD189" s="242"/>
      <c r="HE189" s="242"/>
      <c r="HF189" s="242"/>
      <c r="HG189" s="242"/>
      <c r="HH189" s="242"/>
      <c r="HI189" s="242"/>
      <c r="HJ189" s="242"/>
      <c r="HK189" s="242"/>
      <c r="HL189" s="242"/>
      <c r="HM189" s="242"/>
      <c r="HN189" s="242"/>
      <c r="HO189" s="242"/>
      <c r="HP189" s="242"/>
      <c r="HQ189" s="242"/>
      <c r="HR189" s="242"/>
      <c r="HS189" s="242"/>
      <c r="HT189" s="242"/>
      <c r="HU189" s="242"/>
      <c r="HV189" s="242"/>
      <c r="HW189" s="242"/>
      <c r="HX189" s="257"/>
      <c r="HY189" s="257"/>
      <c r="HZ189" s="257"/>
      <c r="IA189" s="257"/>
      <c r="IB189" s="257"/>
      <c r="IC189" s="257"/>
      <c r="ID189" s="257"/>
      <c r="IE189" s="257"/>
      <c r="IF189" s="257"/>
      <c r="IG189" s="257"/>
      <c r="IH189" s="257"/>
      <c r="II189" s="257"/>
      <c r="IJ189" s="257"/>
      <c r="IK189" s="257"/>
      <c r="IL189" s="257"/>
      <c r="IM189" s="257"/>
      <c r="IN189" s="257"/>
      <c r="IO189" s="257"/>
      <c r="IP189" s="257"/>
      <c r="IQ189" s="257"/>
      <c r="IR189" s="257"/>
      <c r="IS189" s="257"/>
      <c r="IT189" s="257"/>
      <c r="IU189" s="257"/>
      <c r="IV189" s="257"/>
      <c r="IW189" s="257"/>
      <c r="IX189" s="257"/>
      <c r="IY189" s="257"/>
      <c r="IZ189" s="257"/>
      <c r="JA189" s="257"/>
      <c r="JB189" s="257"/>
      <c r="JC189" s="257"/>
      <c r="JD189" s="257"/>
      <c r="JE189" s="257"/>
      <c r="JF189" s="242"/>
      <c r="JG189" s="242"/>
      <c r="JH189" s="242"/>
      <c r="JI189" s="242"/>
      <c r="JJ189" s="242"/>
      <c r="JK189" s="242"/>
      <c r="JL189" s="242"/>
      <c r="JM189" s="242"/>
      <c r="JN189" s="242"/>
      <c r="JO189" s="242"/>
      <c r="JP189" s="242"/>
      <c r="JQ189" s="242"/>
      <c r="JR189" s="242"/>
      <c r="JS189" s="242"/>
      <c r="JT189" s="242"/>
      <c r="JU189" s="242"/>
      <c r="JV189" s="242"/>
      <c r="JW189" s="242"/>
      <c r="JX189" s="242"/>
      <c r="JY189" s="242"/>
      <c r="JZ189" s="242"/>
      <c r="KA189" s="242"/>
      <c r="KB189" s="242"/>
      <c r="KC189" s="242"/>
      <c r="KD189" s="242"/>
      <c r="KE189" s="242"/>
      <c r="KF189" s="242"/>
      <c r="KG189" s="242"/>
      <c r="KH189" s="242"/>
      <c r="KI189" s="242"/>
      <c r="KJ189" s="242"/>
      <c r="KK189" s="242"/>
      <c r="KL189" s="242"/>
      <c r="KM189" s="242"/>
      <c r="KN189" s="242"/>
      <c r="KO189" s="242"/>
      <c r="KP189" s="242"/>
      <c r="KQ189" s="242"/>
      <c r="KR189" s="242"/>
      <c r="KS189" s="242"/>
      <c r="KT189" s="242"/>
      <c r="KU189" s="242"/>
      <c r="KV189" s="242"/>
      <c r="KW189" s="242"/>
      <c r="KX189" s="242"/>
      <c r="KY189" s="242"/>
      <c r="KZ189" s="242"/>
      <c r="LA189" s="242"/>
      <c r="LB189" s="242"/>
      <c r="LC189" s="242"/>
      <c r="LD189" s="242"/>
      <c r="LE189" s="242"/>
      <c r="LF189" s="242"/>
      <c r="LG189" s="242"/>
      <c r="LH189" s="242"/>
      <c r="LI189" s="242"/>
      <c r="LJ189" s="242"/>
      <c r="LK189" s="242"/>
      <c r="LL189" s="242"/>
      <c r="LM189" s="242"/>
      <c r="LN189" s="242"/>
      <c r="LO189" s="242"/>
      <c r="LP189" s="242"/>
      <c r="LQ189" s="242"/>
      <c r="LR189" s="242"/>
      <c r="LS189" s="242"/>
      <c r="LT189" s="242"/>
      <c r="LU189" s="242"/>
      <c r="LV189" s="242"/>
      <c r="LW189" s="242"/>
      <c r="LX189" s="242"/>
      <c r="LY189" s="242"/>
      <c r="LZ189" s="242"/>
      <c r="MA189" s="242"/>
      <c r="MB189" s="242"/>
      <c r="MC189" s="242"/>
      <c r="MD189" s="242"/>
      <c r="ME189" s="242"/>
      <c r="MF189" s="242"/>
      <c r="MG189" s="242"/>
      <c r="MH189" s="242"/>
      <c r="MI189" s="242"/>
      <c r="MJ189" s="242"/>
      <c r="MK189" s="242"/>
      <c r="ML189" s="242"/>
    </row>
    <row r="190" ht="18.75" customHeight="1">
      <c r="A190" s="283"/>
      <c r="B190" s="234" t="str">
        <f>'Building Bill of Materials_SLIM'!P190</f>
        <v/>
      </c>
      <c r="C190" s="234" t="str">
        <f>'Building Bill of Materials_SLIM'!Q190</f>
        <v/>
      </c>
      <c r="D190" s="234" t="str">
        <f>'Building Bill of Materials_SLIM'!R190</f>
        <v/>
      </c>
      <c r="E190" s="234" t="str">
        <f>'Building Bill of Materials_SLIM'!S190</f>
        <v/>
      </c>
      <c r="F190" s="234" t="str">
        <f>'Building Bill of Materials_SLIM'!U190</f>
        <v/>
      </c>
      <c r="G190" s="234"/>
      <c r="H190" s="234"/>
      <c r="I190" s="234"/>
      <c r="J190" s="234" t="str">
        <f>'Building Bill of Materials_SLIM'!V190</f>
        <v/>
      </c>
      <c r="K190" s="242"/>
      <c r="L190" s="242"/>
      <c r="M190" s="242"/>
      <c r="N190" s="242"/>
      <c r="O190" s="242"/>
      <c r="P190" s="242"/>
      <c r="Q190" s="242"/>
      <c r="R190" s="242"/>
      <c r="S190" s="242"/>
      <c r="T190" s="242"/>
      <c r="U190" s="242"/>
      <c r="V190" s="242"/>
      <c r="W190" s="242"/>
      <c r="X190" s="242"/>
      <c r="Y190" s="242"/>
      <c r="Z190" s="242"/>
      <c r="AA190" s="192"/>
      <c r="AB190" s="257"/>
      <c r="AC190" s="257"/>
      <c r="AD190" s="257"/>
      <c r="AE190" s="257"/>
      <c r="AF190" s="257"/>
      <c r="AG190" s="257"/>
      <c r="AH190" s="257"/>
      <c r="AI190" s="257"/>
      <c r="AJ190" s="257"/>
      <c r="AK190" s="257"/>
      <c r="AL190" s="257"/>
      <c r="AM190" s="257"/>
      <c r="AN190" s="257"/>
      <c r="AO190" s="257"/>
      <c r="AP190" s="257"/>
      <c r="AQ190" s="257"/>
      <c r="AR190" s="257"/>
      <c r="AS190" s="257"/>
      <c r="AT190" s="257"/>
      <c r="AU190" s="257"/>
      <c r="AV190" s="257"/>
      <c r="AW190" s="257"/>
      <c r="AX190" s="257"/>
      <c r="AY190" s="257"/>
      <c r="AZ190" s="257"/>
      <c r="BA190" s="257"/>
      <c r="BB190" s="257"/>
      <c r="BC190" s="257"/>
      <c r="BD190" s="257"/>
      <c r="BE190" s="257"/>
      <c r="BF190" s="257"/>
      <c r="BG190" s="257"/>
      <c r="BH190" s="257"/>
      <c r="BI190" s="257"/>
      <c r="BJ190" s="242"/>
      <c r="BK190" s="242"/>
      <c r="BL190" s="242"/>
      <c r="BM190" s="242"/>
      <c r="BN190" s="242"/>
      <c r="BO190" s="242"/>
      <c r="BP190" s="242"/>
      <c r="BQ190" s="242"/>
      <c r="BR190" s="242"/>
      <c r="BS190" s="242"/>
      <c r="BT190" s="242"/>
      <c r="BU190" s="242"/>
      <c r="BV190" s="242"/>
      <c r="BW190" s="242"/>
      <c r="BX190" s="242"/>
      <c r="BY190" s="242"/>
      <c r="BZ190" s="242"/>
      <c r="CA190" s="242"/>
      <c r="CB190" s="242"/>
      <c r="CC190" s="242"/>
      <c r="CD190" s="242"/>
      <c r="CE190" s="257"/>
      <c r="CF190" s="257"/>
      <c r="CG190" s="242"/>
      <c r="CH190" s="242"/>
      <c r="CI190" s="242"/>
      <c r="CJ190" s="242"/>
      <c r="CK190" s="242"/>
      <c r="CL190" s="242"/>
      <c r="CM190" s="242"/>
      <c r="CN190" s="242"/>
      <c r="CO190" s="242"/>
      <c r="CP190" s="242"/>
      <c r="CQ190" s="242"/>
      <c r="CR190" s="242"/>
      <c r="CS190" s="242"/>
      <c r="CT190" s="242"/>
      <c r="CU190" s="242"/>
      <c r="CV190" s="242"/>
      <c r="CW190" s="242"/>
      <c r="CX190" s="242"/>
      <c r="CY190" s="242"/>
      <c r="CZ190" s="242"/>
      <c r="DA190" s="242"/>
      <c r="DB190" s="242"/>
      <c r="DC190" s="242"/>
      <c r="DD190" s="242"/>
      <c r="DE190" s="242"/>
      <c r="DF190" s="242"/>
      <c r="DG190" s="257"/>
      <c r="DH190" s="242"/>
      <c r="DI190" s="242"/>
      <c r="DJ190" s="242"/>
      <c r="DK190" s="242"/>
      <c r="DL190" s="242"/>
      <c r="DM190" s="242"/>
      <c r="DN190" s="242"/>
      <c r="DO190" s="242"/>
      <c r="DP190" s="242"/>
      <c r="DQ190" s="242"/>
      <c r="DR190" s="242"/>
      <c r="DS190" s="242"/>
      <c r="DT190" s="242"/>
      <c r="DU190" s="242"/>
      <c r="DV190" s="242"/>
      <c r="DW190" s="242"/>
      <c r="DX190" s="242"/>
      <c r="DY190" s="242"/>
      <c r="DZ190" s="242"/>
      <c r="EA190" s="242"/>
      <c r="EB190" s="242"/>
      <c r="EC190" s="242"/>
      <c r="ED190" s="242"/>
      <c r="EE190" s="242"/>
      <c r="EF190" s="242"/>
      <c r="EG190" s="242"/>
      <c r="EH190" s="242"/>
      <c r="EI190" s="242"/>
      <c r="EJ190" s="242"/>
      <c r="EK190" s="242"/>
      <c r="EL190" s="242"/>
      <c r="EM190" s="242"/>
      <c r="EN190" s="242"/>
      <c r="EO190" s="242"/>
      <c r="EP190" s="242"/>
      <c r="EQ190" s="242"/>
      <c r="ER190" s="242"/>
      <c r="ES190" s="242"/>
      <c r="ET190" s="242"/>
      <c r="EU190" s="242"/>
      <c r="EV190" s="242"/>
      <c r="EW190" s="242"/>
      <c r="EX190" s="242"/>
      <c r="EY190" s="242"/>
      <c r="EZ190" s="242"/>
      <c r="FA190" s="242"/>
      <c r="FB190" s="242"/>
      <c r="FC190" s="242"/>
      <c r="FD190" s="242"/>
      <c r="FE190" s="242"/>
      <c r="FF190" s="242"/>
      <c r="FG190" s="242"/>
      <c r="FH190" s="257"/>
      <c r="FI190" s="257"/>
      <c r="FJ190" s="257"/>
      <c r="FK190" s="257"/>
      <c r="FL190" s="257"/>
      <c r="FM190" s="257"/>
      <c r="FN190" s="257"/>
      <c r="FO190" s="257"/>
      <c r="FP190" s="257"/>
      <c r="FQ190" s="257"/>
      <c r="FR190" s="257"/>
      <c r="FS190" s="257"/>
      <c r="FT190" s="257"/>
      <c r="FU190" s="257"/>
      <c r="FV190" s="257"/>
      <c r="FW190" s="257"/>
      <c r="FX190" s="257"/>
      <c r="FY190" s="242"/>
      <c r="FZ190" s="242"/>
      <c r="GA190" s="242"/>
      <c r="GB190" s="242"/>
      <c r="GC190" s="242"/>
      <c r="GD190" s="242"/>
      <c r="GE190" s="242"/>
      <c r="GF190" s="242"/>
      <c r="GG190" s="242"/>
      <c r="GH190" s="242"/>
      <c r="GI190" s="242"/>
      <c r="GJ190" s="242"/>
      <c r="GK190" s="242"/>
      <c r="GL190" s="242"/>
      <c r="GM190" s="242"/>
      <c r="GN190" s="242"/>
      <c r="GO190" s="242"/>
      <c r="GP190" s="242"/>
      <c r="GQ190" s="242"/>
      <c r="GR190" s="242"/>
      <c r="GS190" s="242"/>
      <c r="GT190" s="242"/>
      <c r="GU190" s="242"/>
      <c r="GV190" s="242"/>
      <c r="GW190" s="242"/>
      <c r="GX190" s="242"/>
      <c r="GY190" s="242"/>
      <c r="GZ190" s="242"/>
      <c r="HA190" s="242"/>
      <c r="HB190" s="242"/>
      <c r="HC190" s="242"/>
      <c r="HD190" s="242"/>
      <c r="HE190" s="242"/>
      <c r="HF190" s="242"/>
      <c r="HG190" s="242"/>
      <c r="HH190" s="242"/>
      <c r="HI190" s="242"/>
      <c r="HJ190" s="242"/>
      <c r="HK190" s="242"/>
      <c r="HL190" s="242"/>
      <c r="HM190" s="242"/>
      <c r="HN190" s="242"/>
      <c r="HO190" s="242"/>
      <c r="HP190" s="242"/>
      <c r="HQ190" s="242"/>
      <c r="HR190" s="242"/>
      <c r="HS190" s="242"/>
      <c r="HT190" s="242"/>
      <c r="HU190" s="242"/>
      <c r="HV190" s="242"/>
      <c r="HW190" s="242"/>
      <c r="HX190" s="257"/>
      <c r="HY190" s="257"/>
      <c r="HZ190" s="257"/>
      <c r="IA190" s="257"/>
      <c r="IB190" s="257"/>
      <c r="IC190" s="257"/>
      <c r="ID190" s="257"/>
      <c r="IE190" s="257"/>
      <c r="IF190" s="257"/>
      <c r="IG190" s="257"/>
      <c r="IH190" s="257"/>
      <c r="II190" s="257"/>
      <c r="IJ190" s="257"/>
      <c r="IK190" s="257"/>
      <c r="IL190" s="257"/>
      <c r="IM190" s="257"/>
      <c r="IN190" s="257"/>
      <c r="IO190" s="257"/>
      <c r="IP190" s="257"/>
      <c r="IQ190" s="257"/>
      <c r="IR190" s="257"/>
      <c r="IS190" s="257"/>
      <c r="IT190" s="257"/>
      <c r="IU190" s="257"/>
      <c r="IV190" s="257"/>
      <c r="IW190" s="257"/>
      <c r="IX190" s="257"/>
      <c r="IY190" s="257"/>
      <c r="IZ190" s="257"/>
      <c r="JA190" s="257"/>
      <c r="JB190" s="257"/>
      <c r="JC190" s="257"/>
      <c r="JD190" s="257"/>
      <c r="JE190" s="257"/>
      <c r="JF190" s="242"/>
      <c r="JG190" s="242"/>
      <c r="JH190" s="242"/>
      <c r="JI190" s="242"/>
      <c r="JJ190" s="242"/>
      <c r="JK190" s="242"/>
      <c r="JL190" s="242"/>
      <c r="JM190" s="242"/>
      <c r="JN190" s="242"/>
      <c r="JO190" s="242"/>
      <c r="JP190" s="242"/>
      <c r="JQ190" s="242"/>
      <c r="JR190" s="242"/>
      <c r="JS190" s="242"/>
      <c r="JT190" s="242"/>
      <c r="JU190" s="242"/>
      <c r="JV190" s="242"/>
      <c r="JW190" s="242"/>
      <c r="JX190" s="242"/>
      <c r="JY190" s="242"/>
      <c r="JZ190" s="242"/>
      <c r="KA190" s="242"/>
      <c r="KB190" s="242"/>
      <c r="KC190" s="242"/>
      <c r="KD190" s="242"/>
      <c r="KE190" s="242"/>
      <c r="KF190" s="242"/>
      <c r="KG190" s="242"/>
      <c r="KH190" s="242"/>
      <c r="KI190" s="242"/>
      <c r="KJ190" s="242"/>
      <c r="KK190" s="242"/>
      <c r="KL190" s="242"/>
      <c r="KM190" s="242"/>
      <c r="KN190" s="242"/>
      <c r="KO190" s="242"/>
      <c r="KP190" s="242"/>
      <c r="KQ190" s="242"/>
      <c r="KR190" s="242"/>
      <c r="KS190" s="242"/>
      <c r="KT190" s="242"/>
      <c r="KU190" s="242"/>
      <c r="KV190" s="242"/>
      <c r="KW190" s="242"/>
      <c r="KX190" s="242"/>
      <c r="KY190" s="242"/>
      <c r="KZ190" s="242"/>
      <c r="LA190" s="242"/>
      <c r="LB190" s="242"/>
      <c r="LC190" s="242"/>
      <c r="LD190" s="242"/>
      <c r="LE190" s="242"/>
      <c r="LF190" s="242"/>
      <c r="LG190" s="242"/>
      <c r="LH190" s="242"/>
      <c r="LI190" s="242"/>
      <c r="LJ190" s="242"/>
      <c r="LK190" s="242"/>
      <c r="LL190" s="242"/>
      <c r="LM190" s="242"/>
      <c r="LN190" s="242"/>
      <c r="LO190" s="242"/>
      <c r="LP190" s="242"/>
      <c r="LQ190" s="242"/>
      <c r="LR190" s="242"/>
      <c r="LS190" s="242"/>
      <c r="LT190" s="242"/>
      <c r="LU190" s="242"/>
      <c r="LV190" s="242"/>
      <c r="LW190" s="242"/>
      <c r="LX190" s="242"/>
      <c r="LY190" s="242"/>
      <c r="LZ190" s="242"/>
      <c r="MA190" s="242"/>
      <c r="MB190" s="242"/>
      <c r="MC190" s="242"/>
      <c r="MD190" s="242"/>
      <c r="ME190" s="242"/>
      <c r="MF190" s="242"/>
      <c r="MG190" s="242"/>
      <c r="MH190" s="242"/>
      <c r="MI190" s="242"/>
      <c r="MJ190" s="242"/>
      <c r="MK190" s="242"/>
      <c r="ML190" s="242"/>
    </row>
    <row r="191" ht="18.75" customHeight="1">
      <c r="A191" s="283"/>
      <c r="B191" s="234" t="str">
        <f>'Building Bill of Materials_SLIM'!P191</f>
        <v/>
      </c>
      <c r="C191" s="234" t="str">
        <f>'Building Bill of Materials_SLIM'!Q191</f>
        <v/>
      </c>
      <c r="D191" s="234" t="str">
        <f>'Building Bill of Materials_SLIM'!R191</f>
        <v/>
      </c>
      <c r="E191" s="234" t="str">
        <f>'Building Bill of Materials_SLIM'!S191</f>
        <v/>
      </c>
      <c r="F191" s="234" t="str">
        <f>'Building Bill of Materials_SLIM'!U191</f>
        <v/>
      </c>
      <c r="G191" s="234"/>
      <c r="H191" s="234"/>
      <c r="I191" s="234"/>
      <c r="J191" s="234" t="str">
        <f>'Building Bill of Materials_SLIM'!V191</f>
        <v/>
      </c>
      <c r="K191" s="242"/>
      <c r="L191" s="242"/>
      <c r="M191" s="242"/>
      <c r="N191" s="242"/>
      <c r="O191" s="242"/>
      <c r="P191" s="242"/>
      <c r="Q191" s="242"/>
      <c r="R191" s="242"/>
      <c r="S191" s="242"/>
      <c r="T191" s="242"/>
      <c r="U191" s="242"/>
      <c r="V191" s="242"/>
      <c r="W191" s="242"/>
      <c r="X191" s="242"/>
      <c r="Y191" s="242"/>
      <c r="Z191" s="242"/>
      <c r="AA191" s="192"/>
      <c r="AB191" s="257"/>
      <c r="AC191" s="257"/>
      <c r="AD191" s="257"/>
      <c r="AE191" s="257"/>
      <c r="AF191" s="257"/>
      <c r="AG191" s="257"/>
      <c r="AH191" s="257"/>
      <c r="AI191" s="257"/>
      <c r="AJ191" s="257"/>
      <c r="AK191" s="257"/>
      <c r="AL191" s="257"/>
      <c r="AM191" s="257"/>
      <c r="AN191" s="257"/>
      <c r="AO191" s="257"/>
      <c r="AP191" s="257"/>
      <c r="AQ191" s="257"/>
      <c r="AR191" s="257"/>
      <c r="AS191" s="257"/>
      <c r="AT191" s="257"/>
      <c r="AU191" s="257"/>
      <c r="AV191" s="257"/>
      <c r="AW191" s="257"/>
      <c r="AX191" s="257"/>
      <c r="AY191" s="257"/>
      <c r="AZ191" s="257"/>
      <c r="BA191" s="257"/>
      <c r="BB191" s="257"/>
      <c r="BC191" s="257"/>
      <c r="BD191" s="257"/>
      <c r="BE191" s="257"/>
      <c r="BF191" s="257"/>
      <c r="BG191" s="257"/>
      <c r="BH191" s="257"/>
      <c r="BI191" s="257"/>
      <c r="BJ191" s="242"/>
      <c r="BK191" s="242"/>
      <c r="BL191" s="242"/>
      <c r="BM191" s="242"/>
      <c r="BN191" s="242"/>
      <c r="BO191" s="242"/>
      <c r="BP191" s="242"/>
      <c r="BQ191" s="242"/>
      <c r="BR191" s="242"/>
      <c r="BS191" s="242"/>
      <c r="BT191" s="242"/>
      <c r="BU191" s="242"/>
      <c r="BV191" s="242"/>
      <c r="BW191" s="242"/>
      <c r="BX191" s="242"/>
      <c r="BY191" s="242"/>
      <c r="BZ191" s="242"/>
      <c r="CA191" s="242"/>
      <c r="CB191" s="242"/>
      <c r="CC191" s="242"/>
      <c r="CD191" s="242"/>
      <c r="CE191" s="257"/>
      <c r="CF191" s="257"/>
      <c r="CG191" s="242"/>
      <c r="CH191" s="242"/>
      <c r="CI191" s="242"/>
      <c r="CJ191" s="242"/>
      <c r="CK191" s="242"/>
      <c r="CL191" s="242"/>
      <c r="CM191" s="242"/>
      <c r="CN191" s="242"/>
      <c r="CO191" s="242"/>
      <c r="CP191" s="242"/>
      <c r="CQ191" s="242"/>
      <c r="CR191" s="242"/>
      <c r="CS191" s="242"/>
      <c r="CT191" s="242"/>
      <c r="CU191" s="242"/>
      <c r="CV191" s="242"/>
      <c r="CW191" s="242"/>
      <c r="CX191" s="242"/>
      <c r="CY191" s="242"/>
      <c r="CZ191" s="242"/>
      <c r="DA191" s="242"/>
      <c r="DB191" s="242"/>
      <c r="DC191" s="242"/>
      <c r="DD191" s="242"/>
      <c r="DE191" s="242"/>
      <c r="DF191" s="242"/>
      <c r="DG191" s="257"/>
      <c r="DH191" s="242"/>
      <c r="DI191" s="242"/>
      <c r="DJ191" s="242"/>
      <c r="DK191" s="242"/>
      <c r="DL191" s="242"/>
      <c r="DM191" s="242"/>
      <c r="DN191" s="242"/>
      <c r="DO191" s="242"/>
      <c r="DP191" s="242"/>
      <c r="DQ191" s="242"/>
      <c r="DR191" s="242"/>
      <c r="DS191" s="242"/>
      <c r="DT191" s="242"/>
      <c r="DU191" s="242"/>
      <c r="DV191" s="242"/>
      <c r="DW191" s="242"/>
      <c r="DX191" s="242"/>
      <c r="DY191" s="242"/>
      <c r="DZ191" s="242"/>
      <c r="EA191" s="242"/>
      <c r="EB191" s="242"/>
      <c r="EC191" s="242"/>
      <c r="ED191" s="242"/>
      <c r="EE191" s="242"/>
      <c r="EF191" s="242"/>
      <c r="EG191" s="242"/>
      <c r="EH191" s="242"/>
      <c r="EI191" s="242"/>
      <c r="EJ191" s="242"/>
      <c r="EK191" s="242"/>
      <c r="EL191" s="242"/>
      <c r="EM191" s="242"/>
      <c r="EN191" s="242"/>
      <c r="EO191" s="242"/>
      <c r="EP191" s="242"/>
      <c r="EQ191" s="242"/>
      <c r="ER191" s="242"/>
      <c r="ES191" s="242"/>
      <c r="ET191" s="242"/>
      <c r="EU191" s="242"/>
      <c r="EV191" s="242"/>
      <c r="EW191" s="242"/>
      <c r="EX191" s="242"/>
      <c r="EY191" s="242"/>
      <c r="EZ191" s="242"/>
      <c r="FA191" s="242"/>
      <c r="FB191" s="242"/>
      <c r="FC191" s="242"/>
      <c r="FD191" s="242"/>
      <c r="FE191" s="242"/>
      <c r="FF191" s="242"/>
      <c r="FG191" s="242"/>
      <c r="FH191" s="257"/>
      <c r="FI191" s="257"/>
      <c r="FJ191" s="257"/>
      <c r="FK191" s="257"/>
      <c r="FL191" s="257"/>
      <c r="FM191" s="257"/>
      <c r="FN191" s="257"/>
      <c r="FO191" s="257"/>
      <c r="FP191" s="257"/>
      <c r="FQ191" s="257"/>
      <c r="FR191" s="257"/>
      <c r="FS191" s="257"/>
      <c r="FT191" s="257"/>
      <c r="FU191" s="257"/>
      <c r="FV191" s="257"/>
      <c r="FW191" s="257"/>
      <c r="FX191" s="257"/>
      <c r="FY191" s="242"/>
      <c r="FZ191" s="242"/>
      <c r="GA191" s="242"/>
      <c r="GB191" s="242"/>
      <c r="GC191" s="242"/>
      <c r="GD191" s="242"/>
      <c r="GE191" s="242"/>
      <c r="GF191" s="242"/>
      <c r="GG191" s="242"/>
      <c r="GH191" s="242"/>
      <c r="GI191" s="242"/>
      <c r="GJ191" s="242"/>
      <c r="GK191" s="242"/>
      <c r="GL191" s="242"/>
      <c r="GM191" s="242"/>
      <c r="GN191" s="242"/>
      <c r="GO191" s="242"/>
      <c r="GP191" s="242"/>
      <c r="GQ191" s="242"/>
      <c r="GR191" s="242"/>
      <c r="GS191" s="242"/>
      <c r="GT191" s="242"/>
      <c r="GU191" s="242"/>
      <c r="GV191" s="242"/>
      <c r="GW191" s="242"/>
      <c r="GX191" s="242"/>
      <c r="GY191" s="242"/>
      <c r="GZ191" s="242"/>
      <c r="HA191" s="242"/>
      <c r="HB191" s="242"/>
      <c r="HC191" s="242"/>
      <c r="HD191" s="242"/>
      <c r="HE191" s="242"/>
      <c r="HF191" s="242"/>
      <c r="HG191" s="242"/>
      <c r="HH191" s="242"/>
      <c r="HI191" s="242"/>
      <c r="HJ191" s="242"/>
      <c r="HK191" s="242"/>
      <c r="HL191" s="242"/>
      <c r="HM191" s="242"/>
      <c r="HN191" s="242"/>
      <c r="HO191" s="242"/>
      <c r="HP191" s="242"/>
      <c r="HQ191" s="242"/>
      <c r="HR191" s="242"/>
      <c r="HS191" s="242"/>
      <c r="HT191" s="242"/>
      <c r="HU191" s="242"/>
      <c r="HV191" s="242"/>
      <c r="HW191" s="242"/>
      <c r="HX191" s="257"/>
      <c r="HY191" s="257"/>
      <c r="HZ191" s="257"/>
      <c r="IA191" s="257"/>
      <c r="IB191" s="257"/>
      <c r="IC191" s="257"/>
      <c r="ID191" s="257"/>
      <c r="IE191" s="257"/>
      <c r="IF191" s="257"/>
      <c r="IG191" s="257"/>
      <c r="IH191" s="257"/>
      <c r="II191" s="257"/>
      <c r="IJ191" s="257"/>
      <c r="IK191" s="257"/>
      <c r="IL191" s="257"/>
      <c r="IM191" s="257"/>
      <c r="IN191" s="257"/>
      <c r="IO191" s="257"/>
      <c r="IP191" s="257"/>
      <c r="IQ191" s="257"/>
      <c r="IR191" s="257"/>
      <c r="IS191" s="257"/>
      <c r="IT191" s="257"/>
      <c r="IU191" s="257"/>
      <c r="IV191" s="257"/>
      <c r="IW191" s="257"/>
      <c r="IX191" s="257"/>
      <c r="IY191" s="257"/>
      <c r="IZ191" s="257"/>
      <c r="JA191" s="257"/>
      <c r="JB191" s="257"/>
      <c r="JC191" s="257"/>
      <c r="JD191" s="257"/>
      <c r="JE191" s="257"/>
      <c r="JF191" s="242"/>
      <c r="JG191" s="242"/>
      <c r="JH191" s="242"/>
      <c r="JI191" s="242"/>
      <c r="JJ191" s="242"/>
      <c r="JK191" s="242"/>
      <c r="JL191" s="242"/>
      <c r="JM191" s="242"/>
      <c r="JN191" s="242"/>
      <c r="JO191" s="242"/>
      <c r="JP191" s="242"/>
      <c r="JQ191" s="242"/>
      <c r="JR191" s="242"/>
      <c r="JS191" s="242"/>
      <c r="JT191" s="242"/>
      <c r="JU191" s="242"/>
      <c r="JV191" s="242"/>
      <c r="JW191" s="242"/>
      <c r="JX191" s="242"/>
      <c r="JY191" s="242"/>
      <c r="JZ191" s="242"/>
      <c r="KA191" s="242"/>
      <c r="KB191" s="242"/>
      <c r="KC191" s="242"/>
      <c r="KD191" s="242"/>
      <c r="KE191" s="242"/>
      <c r="KF191" s="242"/>
      <c r="KG191" s="242"/>
      <c r="KH191" s="242"/>
      <c r="KI191" s="242"/>
      <c r="KJ191" s="242"/>
      <c r="KK191" s="242"/>
      <c r="KL191" s="242"/>
      <c r="KM191" s="242"/>
      <c r="KN191" s="242"/>
      <c r="KO191" s="242"/>
      <c r="KP191" s="242"/>
      <c r="KQ191" s="242"/>
      <c r="KR191" s="242"/>
      <c r="KS191" s="242"/>
      <c r="KT191" s="242"/>
      <c r="KU191" s="242"/>
      <c r="KV191" s="242"/>
      <c r="KW191" s="242"/>
      <c r="KX191" s="242"/>
      <c r="KY191" s="242"/>
      <c r="KZ191" s="242"/>
      <c r="LA191" s="242"/>
      <c r="LB191" s="242"/>
      <c r="LC191" s="242"/>
      <c r="LD191" s="242"/>
      <c r="LE191" s="242"/>
      <c r="LF191" s="242"/>
      <c r="LG191" s="242"/>
      <c r="LH191" s="242"/>
      <c r="LI191" s="242"/>
      <c r="LJ191" s="242"/>
      <c r="LK191" s="242"/>
      <c r="LL191" s="242"/>
      <c r="LM191" s="242"/>
      <c r="LN191" s="242"/>
      <c r="LO191" s="242"/>
      <c r="LP191" s="242"/>
      <c r="LQ191" s="242"/>
      <c r="LR191" s="242"/>
      <c r="LS191" s="242"/>
      <c r="LT191" s="242"/>
      <c r="LU191" s="242"/>
      <c r="LV191" s="242"/>
      <c r="LW191" s="242"/>
      <c r="LX191" s="242"/>
      <c r="LY191" s="242"/>
      <c r="LZ191" s="242"/>
      <c r="MA191" s="242"/>
      <c r="MB191" s="242"/>
      <c r="MC191" s="242"/>
      <c r="MD191" s="242"/>
      <c r="ME191" s="242"/>
      <c r="MF191" s="242"/>
      <c r="MG191" s="242"/>
      <c r="MH191" s="242"/>
      <c r="MI191" s="242"/>
      <c r="MJ191" s="242"/>
      <c r="MK191" s="242"/>
      <c r="ML191" s="242"/>
    </row>
    <row r="192" ht="18.75" customHeight="1">
      <c r="A192" s="283"/>
      <c r="B192" s="234" t="str">
        <f>'Building Bill of Materials_SLIM'!P192</f>
        <v/>
      </c>
      <c r="C192" s="234" t="str">
        <f>'Building Bill of Materials_SLIM'!Q192</f>
        <v/>
      </c>
      <c r="D192" s="234" t="str">
        <f>'Building Bill of Materials_SLIM'!R192</f>
        <v/>
      </c>
      <c r="E192" s="234" t="str">
        <f>'Building Bill of Materials_SLIM'!S192</f>
        <v/>
      </c>
      <c r="F192" s="234" t="str">
        <f>'Building Bill of Materials_SLIM'!U192</f>
        <v/>
      </c>
      <c r="G192" s="234"/>
      <c r="H192" s="234"/>
      <c r="I192" s="234"/>
      <c r="J192" s="234" t="str">
        <f>'Building Bill of Materials_SLIM'!V192</f>
        <v/>
      </c>
      <c r="K192" s="242"/>
      <c r="L192" s="242"/>
      <c r="M192" s="242"/>
      <c r="N192" s="242"/>
      <c r="O192" s="242"/>
      <c r="P192" s="242"/>
      <c r="Q192" s="242"/>
      <c r="R192" s="242"/>
      <c r="S192" s="242"/>
      <c r="T192" s="242"/>
      <c r="U192" s="242"/>
      <c r="V192" s="242"/>
      <c r="W192" s="242"/>
      <c r="X192" s="242"/>
      <c r="Y192" s="242"/>
      <c r="Z192" s="242"/>
      <c r="AA192" s="192"/>
      <c r="AB192" s="257"/>
      <c r="AC192" s="257"/>
      <c r="AD192" s="257"/>
      <c r="AE192" s="257"/>
      <c r="AF192" s="257"/>
      <c r="AG192" s="257"/>
      <c r="AH192" s="257"/>
      <c r="AI192" s="257"/>
      <c r="AJ192" s="257"/>
      <c r="AK192" s="257"/>
      <c r="AL192" s="257"/>
      <c r="AM192" s="257"/>
      <c r="AN192" s="257"/>
      <c r="AO192" s="257"/>
      <c r="AP192" s="257"/>
      <c r="AQ192" s="257"/>
      <c r="AR192" s="257"/>
      <c r="AS192" s="257"/>
      <c r="AT192" s="257"/>
      <c r="AU192" s="257"/>
      <c r="AV192" s="257"/>
      <c r="AW192" s="257"/>
      <c r="AX192" s="257"/>
      <c r="AY192" s="257"/>
      <c r="AZ192" s="257"/>
      <c r="BA192" s="257"/>
      <c r="BB192" s="257"/>
      <c r="BC192" s="257"/>
      <c r="BD192" s="257"/>
      <c r="BE192" s="257"/>
      <c r="BF192" s="257"/>
      <c r="BG192" s="257"/>
      <c r="BH192" s="257"/>
      <c r="BI192" s="257"/>
      <c r="BJ192" s="242"/>
      <c r="BK192" s="242"/>
      <c r="BL192" s="242"/>
      <c r="BM192" s="242"/>
      <c r="BN192" s="242"/>
      <c r="BO192" s="242"/>
      <c r="BP192" s="242"/>
      <c r="BQ192" s="242"/>
      <c r="BR192" s="242"/>
      <c r="BS192" s="242"/>
      <c r="BT192" s="242"/>
      <c r="BU192" s="242"/>
      <c r="BV192" s="242"/>
      <c r="BW192" s="242"/>
      <c r="BX192" s="242"/>
      <c r="BY192" s="242"/>
      <c r="BZ192" s="242"/>
      <c r="CA192" s="242"/>
      <c r="CB192" s="242"/>
      <c r="CC192" s="242"/>
      <c r="CD192" s="242"/>
      <c r="CE192" s="257"/>
      <c r="CF192" s="257"/>
      <c r="CG192" s="242"/>
      <c r="CH192" s="242"/>
      <c r="CI192" s="242"/>
      <c r="CJ192" s="242"/>
      <c r="CK192" s="242"/>
      <c r="CL192" s="242"/>
      <c r="CM192" s="242"/>
      <c r="CN192" s="242"/>
      <c r="CO192" s="242"/>
      <c r="CP192" s="242"/>
      <c r="CQ192" s="242"/>
      <c r="CR192" s="242"/>
      <c r="CS192" s="242"/>
      <c r="CT192" s="242"/>
      <c r="CU192" s="242"/>
      <c r="CV192" s="242"/>
      <c r="CW192" s="242"/>
      <c r="CX192" s="242"/>
      <c r="CY192" s="242"/>
      <c r="CZ192" s="242"/>
      <c r="DA192" s="242"/>
      <c r="DB192" s="242"/>
      <c r="DC192" s="242"/>
      <c r="DD192" s="242"/>
      <c r="DE192" s="242"/>
      <c r="DF192" s="242"/>
      <c r="DG192" s="257"/>
      <c r="DH192" s="242"/>
      <c r="DI192" s="242"/>
      <c r="DJ192" s="242"/>
      <c r="DK192" s="242"/>
      <c r="DL192" s="242"/>
      <c r="DM192" s="242"/>
      <c r="DN192" s="242"/>
      <c r="DO192" s="242"/>
      <c r="DP192" s="242"/>
      <c r="DQ192" s="242"/>
      <c r="DR192" s="242"/>
      <c r="DS192" s="242"/>
      <c r="DT192" s="242"/>
      <c r="DU192" s="242"/>
      <c r="DV192" s="242"/>
      <c r="DW192" s="242"/>
      <c r="DX192" s="242"/>
      <c r="DY192" s="242"/>
      <c r="DZ192" s="242"/>
      <c r="EA192" s="242"/>
      <c r="EB192" s="242"/>
      <c r="EC192" s="242"/>
      <c r="ED192" s="242"/>
      <c r="EE192" s="242"/>
      <c r="EF192" s="242"/>
      <c r="EG192" s="242"/>
      <c r="EH192" s="242"/>
      <c r="EI192" s="242"/>
      <c r="EJ192" s="242"/>
      <c r="EK192" s="242"/>
      <c r="EL192" s="242"/>
      <c r="EM192" s="242"/>
      <c r="EN192" s="242"/>
      <c r="EO192" s="242"/>
      <c r="EP192" s="242"/>
      <c r="EQ192" s="242"/>
      <c r="ER192" s="242"/>
      <c r="ES192" s="242"/>
      <c r="ET192" s="242"/>
      <c r="EU192" s="242"/>
      <c r="EV192" s="242"/>
      <c r="EW192" s="242"/>
      <c r="EX192" s="242"/>
      <c r="EY192" s="242"/>
      <c r="EZ192" s="242"/>
      <c r="FA192" s="242"/>
      <c r="FB192" s="242"/>
      <c r="FC192" s="242"/>
      <c r="FD192" s="242"/>
      <c r="FE192" s="242"/>
      <c r="FF192" s="242"/>
      <c r="FG192" s="242"/>
      <c r="FH192" s="257"/>
      <c r="FI192" s="257"/>
      <c r="FJ192" s="257"/>
      <c r="FK192" s="257"/>
      <c r="FL192" s="257"/>
      <c r="FM192" s="257"/>
      <c r="FN192" s="257"/>
      <c r="FO192" s="257"/>
      <c r="FP192" s="257"/>
      <c r="FQ192" s="257"/>
      <c r="FR192" s="257"/>
      <c r="FS192" s="257"/>
      <c r="FT192" s="257"/>
      <c r="FU192" s="257"/>
      <c r="FV192" s="257"/>
      <c r="FW192" s="257"/>
      <c r="FX192" s="257"/>
      <c r="FY192" s="242"/>
      <c r="FZ192" s="242"/>
      <c r="GA192" s="242"/>
      <c r="GB192" s="242"/>
      <c r="GC192" s="242"/>
      <c r="GD192" s="242"/>
      <c r="GE192" s="242"/>
      <c r="GF192" s="242"/>
      <c r="GG192" s="242"/>
      <c r="GH192" s="242"/>
      <c r="GI192" s="242"/>
      <c r="GJ192" s="242"/>
      <c r="GK192" s="242"/>
      <c r="GL192" s="242"/>
      <c r="GM192" s="242"/>
      <c r="GN192" s="242"/>
      <c r="GO192" s="242"/>
      <c r="GP192" s="242"/>
      <c r="GQ192" s="242"/>
      <c r="GR192" s="242"/>
      <c r="GS192" s="242"/>
      <c r="GT192" s="242"/>
      <c r="GU192" s="242"/>
      <c r="GV192" s="242"/>
      <c r="GW192" s="242"/>
      <c r="GX192" s="242"/>
      <c r="GY192" s="242"/>
      <c r="GZ192" s="242"/>
      <c r="HA192" s="242"/>
      <c r="HB192" s="242"/>
      <c r="HC192" s="242"/>
      <c r="HD192" s="242"/>
      <c r="HE192" s="242"/>
      <c r="HF192" s="242"/>
      <c r="HG192" s="242"/>
      <c r="HH192" s="242"/>
      <c r="HI192" s="242"/>
      <c r="HJ192" s="242"/>
      <c r="HK192" s="242"/>
      <c r="HL192" s="242"/>
      <c r="HM192" s="242"/>
      <c r="HN192" s="242"/>
      <c r="HO192" s="242"/>
      <c r="HP192" s="242"/>
      <c r="HQ192" s="242"/>
      <c r="HR192" s="242"/>
      <c r="HS192" s="242"/>
      <c r="HT192" s="242"/>
      <c r="HU192" s="242"/>
      <c r="HV192" s="242"/>
      <c r="HW192" s="242"/>
      <c r="HX192" s="257"/>
      <c r="HY192" s="257"/>
      <c r="HZ192" s="257"/>
      <c r="IA192" s="257"/>
      <c r="IB192" s="257"/>
      <c r="IC192" s="257"/>
      <c r="ID192" s="257"/>
      <c r="IE192" s="257"/>
      <c r="IF192" s="257"/>
      <c r="IG192" s="257"/>
      <c r="IH192" s="257"/>
      <c r="II192" s="257"/>
      <c r="IJ192" s="257"/>
      <c r="IK192" s="257"/>
      <c r="IL192" s="257"/>
      <c r="IM192" s="257"/>
      <c r="IN192" s="257"/>
      <c r="IO192" s="257"/>
      <c r="IP192" s="257"/>
      <c r="IQ192" s="257"/>
      <c r="IR192" s="257"/>
      <c r="IS192" s="257"/>
      <c r="IT192" s="257"/>
      <c r="IU192" s="257"/>
      <c r="IV192" s="257"/>
      <c r="IW192" s="257"/>
      <c r="IX192" s="257"/>
      <c r="IY192" s="257"/>
      <c r="IZ192" s="257"/>
      <c r="JA192" s="257"/>
      <c r="JB192" s="257"/>
      <c r="JC192" s="257"/>
      <c r="JD192" s="257"/>
      <c r="JE192" s="257"/>
      <c r="JF192" s="242"/>
      <c r="JG192" s="242"/>
      <c r="JH192" s="242"/>
      <c r="JI192" s="242"/>
      <c r="JJ192" s="242"/>
      <c r="JK192" s="242"/>
      <c r="JL192" s="242"/>
      <c r="JM192" s="242"/>
      <c r="JN192" s="242"/>
      <c r="JO192" s="242"/>
      <c r="JP192" s="242"/>
      <c r="JQ192" s="242"/>
      <c r="JR192" s="242"/>
      <c r="JS192" s="242"/>
      <c r="JT192" s="242"/>
      <c r="JU192" s="242"/>
      <c r="JV192" s="242"/>
      <c r="JW192" s="242"/>
      <c r="JX192" s="242"/>
      <c r="JY192" s="242"/>
      <c r="JZ192" s="242"/>
      <c r="KA192" s="242"/>
      <c r="KB192" s="242"/>
      <c r="KC192" s="242"/>
      <c r="KD192" s="242"/>
      <c r="KE192" s="242"/>
      <c r="KF192" s="242"/>
      <c r="KG192" s="242"/>
      <c r="KH192" s="242"/>
      <c r="KI192" s="242"/>
      <c r="KJ192" s="242"/>
      <c r="KK192" s="242"/>
      <c r="KL192" s="242"/>
      <c r="KM192" s="242"/>
      <c r="KN192" s="242"/>
      <c r="KO192" s="242"/>
      <c r="KP192" s="242"/>
      <c r="KQ192" s="242"/>
      <c r="KR192" s="242"/>
      <c r="KS192" s="242"/>
      <c r="KT192" s="242"/>
      <c r="KU192" s="242"/>
      <c r="KV192" s="242"/>
      <c r="KW192" s="242"/>
      <c r="KX192" s="242"/>
      <c r="KY192" s="242"/>
      <c r="KZ192" s="242"/>
      <c r="LA192" s="242"/>
      <c r="LB192" s="242"/>
      <c r="LC192" s="242"/>
      <c r="LD192" s="242"/>
      <c r="LE192" s="242"/>
      <c r="LF192" s="242"/>
      <c r="LG192" s="242"/>
      <c r="LH192" s="242"/>
      <c r="LI192" s="242"/>
      <c r="LJ192" s="242"/>
      <c r="LK192" s="242"/>
      <c r="LL192" s="242"/>
      <c r="LM192" s="242"/>
      <c r="LN192" s="242"/>
      <c r="LO192" s="242"/>
      <c r="LP192" s="242"/>
      <c r="LQ192" s="242"/>
      <c r="LR192" s="242"/>
      <c r="LS192" s="242"/>
      <c r="LT192" s="242"/>
      <c r="LU192" s="242"/>
      <c r="LV192" s="242"/>
      <c r="LW192" s="242"/>
      <c r="LX192" s="242"/>
      <c r="LY192" s="242"/>
      <c r="LZ192" s="242"/>
      <c r="MA192" s="242"/>
      <c r="MB192" s="242"/>
      <c r="MC192" s="242"/>
      <c r="MD192" s="242"/>
      <c r="ME192" s="242"/>
      <c r="MF192" s="242"/>
      <c r="MG192" s="242"/>
      <c r="MH192" s="242"/>
      <c r="MI192" s="242"/>
      <c r="MJ192" s="242"/>
      <c r="MK192" s="242"/>
      <c r="ML192" s="242"/>
    </row>
    <row r="193" ht="18.75" customHeight="1">
      <c r="A193" s="283"/>
      <c r="B193" s="234" t="str">
        <f>'Building Bill of Materials_SLIM'!P193</f>
        <v/>
      </c>
      <c r="C193" s="234" t="str">
        <f>'Building Bill of Materials_SLIM'!Q193</f>
        <v/>
      </c>
      <c r="D193" s="234" t="str">
        <f>'Building Bill of Materials_SLIM'!R193</f>
        <v/>
      </c>
      <c r="E193" s="234" t="str">
        <f>'Building Bill of Materials_SLIM'!S193</f>
        <v/>
      </c>
      <c r="F193" s="234" t="str">
        <f>'Building Bill of Materials_SLIM'!U193</f>
        <v/>
      </c>
      <c r="G193" s="234"/>
      <c r="H193" s="234"/>
      <c r="I193" s="234"/>
      <c r="J193" s="234" t="str">
        <f>'Building Bill of Materials_SLIM'!V193</f>
        <v/>
      </c>
      <c r="K193" s="242"/>
      <c r="L193" s="242"/>
      <c r="M193" s="242"/>
      <c r="N193" s="242"/>
      <c r="O193" s="242"/>
      <c r="P193" s="242"/>
      <c r="Q193" s="242"/>
      <c r="R193" s="242"/>
      <c r="S193" s="242"/>
      <c r="T193" s="242"/>
      <c r="U193" s="242"/>
      <c r="V193" s="242"/>
      <c r="W193" s="242"/>
      <c r="X193" s="242"/>
      <c r="Y193" s="242"/>
      <c r="Z193" s="242"/>
      <c r="AA193" s="192"/>
      <c r="AB193" s="257"/>
      <c r="AC193" s="257"/>
      <c r="AD193" s="257"/>
      <c r="AE193" s="257"/>
      <c r="AF193" s="257"/>
      <c r="AG193" s="257"/>
      <c r="AH193" s="257"/>
      <c r="AI193" s="257"/>
      <c r="AJ193" s="257"/>
      <c r="AK193" s="257"/>
      <c r="AL193" s="257"/>
      <c r="AM193" s="257"/>
      <c r="AN193" s="257"/>
      <c r="AO193" s="257"/>
      <c r="AP193" s="257"/>
      <c r="AQ193" s="257"/>
      <c r="AR193" s="257"/>
      <c r="AS193" s="257"/>
      <c r="AT193" s="257"/>
      <c r="AU193" s="257"/>
      <c r="AV193" s="257"/>
      <c r="AW193" s="257"/>
      <c r="AX193" s="257"/>
      <c r="AY193" s="257"/>
      <c r="AZ193" s="257"/>
      <c r="BA193" s="257"/>
      <c r="BB193" s="257"/>
      <c r="BC193" s="257"/>
      <c r="BD193" s="257"/>
      <c r="BE193" s="257"/>
      <c r="BF193" s="257"/>
      <c r="BG193" s="257"/>
      <c r="BH193" s="257"/>
      <c r="BI193" s="257"/>
      <c r="BJ193" s="242"/>
      <c r="BK193" s="242"/>
      <c r="BL193" s="242"/>
      <c r="BM193" s="242"/>
      <c r="BN193" s="242"/>
      <c r="BO193" s="242"/>
      <c r="BP193" s="242"/>
      <c r="BQ193" s="242"/>
      <c r="BR193" s="242"/>
      <c r="BS193" s="242"/>
      <c r="BT193" s="242"/>
      <c r="BU193" s="242"/>
      <c r="BV193" s="242"/>
      <c r="BW193" s="242"/>
      <c r="BX193" s="242"/>
      <c r="BY193" s="242"/>
      <c r="BZ193" s="242"/>
      <c r="CA193" s="242"/>
      <c r="CB193" s="242"/>
      <c r="CC193" s="242"/>
      <c r="CD193" s="242"/>
      <c r="CE193" s="257"/>
      <c r="CF193" s="257"/>
      <c r="CG193" s="242"/>
      <c r="CH193" s="242"/>
      <c r="CI193" s="242"/>
      <c r="CJ193" s="242"/>
      <c r="CK193" s="242"/>
      <c r="CL193" s="242"/>
      <c r="CM193" s="242"/>
      <c r="CN193" s="242"/>
      <c r="CO193" s="242"/>
      <c r="CP193" s="242"/>
      <c r="CQ193" s="242"/>
      <c r="CR193" s="242"/>
      <c r="CS193" s="242"/>
      <c r="CT193" s="242"/>
      <c r="CU193" s="242"/>
      <c r="CV193" s="242"/>
      <c r="CW193" s="242"/>
      <c r="CX193" s="242"/>
      <c r="CY193" s="242"/>
      <c r="CZ193" s="242"/>
      <c r="DA193" s="242"/>
      <c r="DB193" s="242"/>
      <c r="DC193" s="242"/>
      <c r="DD193" s="242"/>
      <c r="DE193" s="242"/>
      <c r="DF193" s="242"/>
      <c r="DG193" s="257"/>
      <c r="DH193" s="242"/>
      <c r="DI193" s="242"/>
      <c r="DJ193" s="242"/>
      <c r="DK193" s="242"/>
      <c r="DL193" s="242"/>
      <c r="DM193" s="242"/>
      <c r="DN193" s="242"/>
      <c r="DO193" s="242"/>
      <c r="DP193" s="242"/>
      <c r="DQ193" s="242"/>
      <c r="DR193" s="242"/>
      <c r="DS193" s="242"/>
      <c r="DT193" s="242"/>
      <c r="DU193" s="242"/>
      <c r="DV193" s="242"/>
      <c r="DW193" s="242"/>
      <c r="DX193" s="242"/>
      <c r="DY193" s="242"/>
      <c r="DZ193" s="242"/>
      <c r="EA193" s="242"/>
      <c r="EB193" s="242"/>
      <c r="EC193" s="242"/>
      <c r="ED193" s="242"/>
      <c r="EE193" s="242"/>
      <c r="EF193" s="242"/>
      <c r="EG193" s="242"/>
      <c r="EH193" s="242"/>
      <c r="EI193" s="242"/>
      <c r="EJ193" s="242"/>
      <c r="EK193" s="242"/>
      <c r="EL193" s="242"/>
      <c r="EM193" s="242"/>
      <c r="EN193" s="242"/>
      <c r="EO193" s="242"/>
      <c r="EP193" s="242"/>
      <c r="EQ193" s="242"/>
      <c r="ER193" s="242"/>
      <c r="ES193" s="242"/>
      <c r="ET193" s="242"/>
      <c r="EU193" s="242"/>
      <c r="EV193" s="242"/>
      <c r="EW193" s="242"/>
      <c r="EX193" s="242"/>
      <c r="EY193" s="242"/>
      <c r="EZ193" s="242"/>
      <c r="FA193" s="242"/>
      <c r="FB193" s="242"/>
      <c r="FC193" s="242"/>
      <c r="FD193" s="242"/>
      <c r="FE193" s="242"/>
      <c r="FF193" s="242"/>
      <c r="FG193" s="242"/>
      <c r="FH193" s="257"/>
      <c r="FI193" s="257"/>
      <c r="FJ193" s="257"/>
      <c r="FK193" s="257"/>
      <c r="FL193" s="257"/>
      <c r="FM193" s="257"/>
      <c r="FN193" s="257"/>
      <c r="FO193" s="257"/>
      <c r="FP193" s="257"/>
      <c r="FQ193" s="257"/>
      <c r="FR193" s="257"/>
      <c r="FS193" s="257"/>
      <c r="FT193" s="257"/>
      <c r="FU193" s="257"/>
      <c r="FV193" s="257"/>
      <c r="FW193" s="257"/>
      <c r="FX193" s="257"/>
      <c r="FY193" s="242"/>
      <c r="FZ193" s="242"/>
      <c r="GA193" s="242"/>
      <c r="GB193" s="242"/>
      <c r="GC193" s="242"/>
      <c r="GD193" s="242"/>
      <c r="GE193" s="242"/>
      <c r="GF193" s="242"/>
      <c r="GG193" s="242"/>
      <c r="GH193" s="242"/>
      <c r="GI193" s="242"/>
      <c r="GJ193" s="242"/>
      <c r="GK193" s="242"/>
      <c r="GL193" s="242"/>
      <c r="GM193" s="242"/>
      <c r="GN193" s="242"/>
      <c r="GO193" s="242"/>
      <c r="GP193" s="242"/>
      <c r="GQ193" s="242"/>
      <c r="GR193" s="242"/>
      <c r="GS193" s="242"/>
      <c r="GT193" s="242"/>
      <c r="GU193" s="242"/>
      <c r="GV193" s="242"/>
      <c r="GW193" s="242"/>
      <c r="GX193" s="242"/>
      <c r="GY193" s="242"/>
      <c r="GZ193" s="242"/>
      <c r="HA193" s="242"/>
      <c r="HB193" s="242"/>
      <c r="HC193" s="242"/>
      <c r="HD193" s="242"/>
      <c r="HE193" s="242"/>
      <c r="HF193" s="242"/>
      <c r="HG193" s="242"/>
      <c r="HH193" s="242"/>
      <c r="HI193" s="242"/>
      <c r="HJ193" s="242"/>
      <c r="HK193" s="242"/>
      <c r="HL193" s="242"/>
      <c r="HM193" s="242"/>
      <c r="HN193" s="242"/>
      <c r="HO193" s="242"/>
      <c r="HP193" s="242"/>
      <c r="HQ193" s="242"/>
      <c r="HR193" s="242"/>
      <c r="HS193" s="242"/>
      <c r="HT193" s="242"/>
      <c r="HU193" s="242"/>
      <c r="HV193" s="242"/>
      <c r="HW193" s="242"/>
      <c r="HX193" s="257"/>
      <c r="HY193" s="257"/>
      <c r="HZ193" s="257"/>
      <c r="IA193" s="257"/>
      <c r="IB193" s="257"/>
      <c r="IC193" s="257"/>
      <c r="ID193" s="257"/>
      <c r="IE193" s="257"/>
      <c r="IF193" s="257"/>
      <c r="IG193" s="257"/>
      <c r="IH193" s="257"/>
      <c r="II193" s="257"/>
      <c r="IJ193" s="257"/>
      <c r="IK193" s="257"/>
      <c r="IL193" s="257"/>
      <c r="IM193" s="257"/>
      <c r="IN193" s="257"/>
      <c r="IO193" s="257"/>
      <c r="IP193" s="257"/>
      <c r="IQ193" s="257"/>
      <c r="IR193" s="257"/>
      <c r="IS193" s="257"/>
      <c r="IT193" s="257"/>
      <c r="IU193" s="257"/>
      <c r="IV193" s="257"/>
      <c r="IW193" s="257"/>
      <c r="IX193" s="257"/>
      <c r="IY193" s="257"/>
      <c r="IZ193" s="257"/>
      <c r="JA193" s="257"/>
      <c r="JB193" s="257"/>
      <c r="JC193" s="257"/>
      <c r="JD193" s="257"/>
      <c r="JE193" s="257"/>
      <c r="JF193" s="242"/>
      <c r="JG193" s="242"/>
      <c r="JH193" s="242"/>
      <c r="JI193" s="242"/>
      <c r="JJ193" s="242"/>
      <c r="JK193" s="242"/>
      <c r="JL193" s="242"/>
      <c r="JM193" s="242"/>
      <c r="JN193" s="242"/>
      <c r="JO193" s="242"/>
      <c r="JP193" s="242"/>
      <c r="JQ193" s="242"/>
      <c r="JR193" s="242"/>
      <c r="JS193" s="242"/>
      <c r="JT193" s="242"/>
      <c r="JU193" s="242"/>
      <c r="JV193" s="242"/>
      <c r="JW193" s="242"/>
      <c r="JX193" s="242"/>
      <c r="JY193" s="242"/>
      <c r="JZ193" s="242"/>
      <c r="KA193" s="242"/>
      <c r="KB193" s="242"/>
      <c r="KC193" s="242"/>
      <c r="KD193" s="242"/>
      <c r="KE193" s="242"/>
      <c r="KF193" s="242"/>
      <c r="KG193" s="242"/>
      <c r="KH193" s="242"/>
      <c r="KI193" s="242"/>
      <c r="KJ193" s="242"/>
      <c r="KK193" s="242"/>
      <c r="KL193" s="242"/>
      <c r="KM193" s="242"/>
      <c r="KN193" s="242"/>
      <c r="KO193" s="242"/>
      <c r="KP193" s="242"/>
      <c r="KQ193" s="242"/>
      <c r="KR193" s="242"/>
      <c r="KS193" s="242"/>
      <c r="KT193" s="242"/>
      <c r="KU193" s="242"/>
      <c r="KV193" s="242"/>
      <c r="KW193" s="242"/>
      <c r="KX193" s="242"/>
      <c r="KY193" s="242"/>
      <c r="KZ193" s="242"/>
      <c r="LA193" s="242"/>
      <c r="LB193" s="242"/>
      <c r="LC193" s="242"/>
      <c r="LD193" s="242"/>
      <c r="LE193" s="242"/>
      <c r="LF193" s="242"/>
      <c r="LG193" s="242"/>
      <c r="LH193" s="242"/>
      <c r="LI193" s="242"/>
      <c r="LJ193" s="242"/>
      <c r="LK193" s="242"/>
      <c r="LL193" s="242"/>
      <c r="LM193" s="242"/>
      <c r="LN193" s="242"/>
      <c r="LO193" s="242"/>
      <c r="LP193" s="242"/>
      <c r="LQ193" s="242"/>
      <c r="LR193" s="242"/>
      <c r="LS193" s="242"/>
      <c r="LT193" s="242"/>
      <c r="LU193" s="242"/>
      <c r="LV193" s="242"/>
      <c r="LW193" s="242"/>
      <c r="LX193" s="242"/>
      <c r="LY193" s="242"/>
      <c r="LZ193" s="242"/>
      <c r="MA193" s="242"/>
      <c r="MB193" s="242"/>
      <c r="MC193" s="242"/>
      <c r="MD193" s="242"/>
      <c r="ME193" s="242"/>
      <c r="MF193" s="242"/>
      <c r="MG193" s="242"/>
      <c r="MH193" s="242"/>
      <c r="MI193" s="242"/>
      <c r="MJ193" s="242"/>
      <c r="MK193" s="242"/>
      <c r="ML193" s="242"/>
    </row>
    <row r="194" ht="18.75" customHeight="1">
      <c r="A194" s="283"/>
      <c r="B194" s="234" t="str">
        <f>'Building Bill of Materials_SLIM'!P194</f>
        <v/>
      </c>
      <c r="C194" s="234" t="str">
        <f>'Building Bill of Materials_SLIM'!Q194</f>
        <v/>
      </c>
      <c r="D194" s="234" t="str">
        <f>'Building Bill of Materials_SLIM'!R194</f>
        <v/>
      </c>
      <c r="E194" s="234" t="str">
        <f>'Building Bill of Materials_SLIM'!S194</f>
        <v/>
      </c>
      <c r="F194" s="234" t="str">
        <f>'Building Bill of Materials_SLIM'!U194</f>
        <v/>
      </c>
      <c r="G194" s="234"/>
      <c r="H194" s="234"/>
      <c r="I194" s="234"/>
      <c r="J194" s="234" t="str">
        <f>'Building Bill of Materials_SLIM'!V194</f>
        <v/>
      </c>
      <c r="K194" s="242"/>
      <c r="L194" s="242"/>
      <c r="M194" s="242"/>
      <c r="N194" s="242"/>
      <c r="O194" s="242"/>
      <c r="P194" s="242"/>
      <c r="Q194" s="242"/>
      <c r="R194" s="242"/>
      <c r="S194" s="242"/>
      <c r="T194" s="242"/>
      <c r="U194" s="242"/>
      <c r="V194" s="242"/>
      <c r="W194" s="242"/>
      <c r="X194" s="242"/>
      <c r="Y194" s="242"/>
      <c r="Z194" s="242"/>
      <c r="AA194" s="192"/>
      <c r="AB194" s="257"/>
      <c r="AC194" s="257"/>
      <c r="AD194" s="257"/>
      <c r="AE194" s="257"/>
      <c r="AF194" s="257"/>
      <c r="AG194" s="257"/>
      <c r="AH194" s="257"/>
      <c r="AI194" s="257"/>
      <c r="AJ194" s="257"/>
      <c r="AK194" s="257"/>
      <c r="AL194" s="257"/>
      <c r="AM194" s="257"/>
      <c r="AN194" s="257"/>
      <c r="AO194" s="257"/>
      <c r="AP194" s="257"/>
      <c r="AQ194" s="257"/>
      <c r="AR194" s="257"/>
      <c r="AS194" s="257"/>
      <c r="AT194" s="257"/>
      <c r="AU194" s="257"/>
      <c r="AV194" s="257"/>
      <c r="AW194" s="257"/>
      <c r="AX194" s="257"/>
      <c r="AY194" s="257"/>
      <c r="AZ194" s="257"/>
      <c r="BA194" s="257"/>
      <c r="BB194" s="257"/>
      <c r="BC194" s="257"/>
      <c r="BD194" s="257"/>
      <c r="BE194" s="257"/>
      <c r="BF194" s="257"/>
      <c r="BG194" s="257"/>
      <c r="BH194" s="257"/>
      <c r="BI194" s="257"/>
      <c r="BJ194" s="242"/>
      <c r="BK194" s="242"/>
      <c r="BL194" s="242"/>
      <c r="BM194" s="242"/>
      <c r="BN194" s="242"/>
      <c r="BO194" s="242"/>
      <c r="BP194" s="242"/>
      <c r="BQ194" s="242"/>
      <c r="BR194" s="242"/>
      <c r="BS194" s="242"/>
      <c r="BT194" s="242"/>
      <c r="BU194" s="242"/>
      <c r="BV194" s="242"/>
      <c r="BW194" s="242"/>
      <c r="BX194" s="242"/>
      <c r="BY194" s="242"/>
      <c r="BZ194" s="242"/>
      <c r="CA194" s="242"/>
      <c r="CB194" s="242"/>
      <c r="CC194" s="242"/>
      <c r="CD194" s="242"/>
      <c r="CE194" s="257"/>
      <c r="CF194" s="257"/>
      <c r="CG194" s="242"/>
      <c r="CH194" s="242"/>
      <c r="CI194" s="242"/>
      <c r="CJ194" s="242"/>
      <c r="CK194" s="242"/>
      <c r="CL194" s="242"/>
      <c r="CM194" s="242"/>
      <c r="CN194" s="242"/>
      <c r="CO194" s="242"/>
      <c r="CP194" s="242"/>
      <c r="CQ194" s="242"/>
      <c r="CR194" s="242"/>
      <c r="CS194" s="242"/>
      <c r="CT194" s="242"/>
      <c r="CU194" s="242"/>
      <c r="CV194" s="242"/>
      <c r="CW194" s="242"/>
      <c r="CX194" s="242"/>
      <c r="CY194" s="242"/>
      <c r="CZ194" s="242"/>
      <c r="DA194" s="242"/>
      <c r="DB194" s="242"/>
      <c r="DC194" s="242"/>
      <c r="DD194" s="242"/>
      <c r="DE194" s="242"/>
      <c r="DF194" s="242"/>
      <c r="DG194" s="257"/>
      <c r="DH194" s="242"/>
      <c r="DI194" s="242"/>
      <c r="DJ194" s="242"/>
      <c r="DK194" s="242"/>
      <c r="DL194" s="242"/>
      <c r="DM194" s="242"/>
      <c r="DN194" s="242"/>
      <c r="DO194" s="242"/>
      <c r="DP194" s="242"/>
      <c r="DQ194" s="242"/>
      <c r="DR194" s="242"/>
      <c r="DS194" s="242"/>
      <c r="DT194" s="242"/>
      <c r="DU194" s="242"/>
      <c r="DV194" s="242"/>
      <c r="DW194" s="242"/>
      <c r="DX194" s="242"/>
      <c r="DY194" s="242"/>
      <c r="DZ194" s="242"/>
      <c r="EA194" s="242"/>
      <c r="EB194" s="242"/>
      <c r="EC194" s="242"/>
      <c r="ED194" s="242"/>
      <c r="EE194" s="242"/>
      <c r="EF194" s="242"/>
      <c r="EG194" s="242"/>
      <c r="EH194" s="242"/>
      <c r="EI194" s="242"/>
      <c r="EJ194" s="242"/>
      <c r="EK194" s="242"/>
      <c r="EL194" s="242"/>
      <c r="EM194" s="242"/>
      <c r="EN194" s="242"/>
      <c r="EO194" s="242"/>
      <c r="EP194" s="242"/>
      <c r="EQ194" s="242"/>
      <c r="ER194" s="242"/>
      <c r="ES194" s="242"/>
      <c r="ET194" s="242"/>
      <c r="EU194" s="242"/>
      <c r="EV194" s="242"/>
      <c r="EW194" s="242"/>
      <c r="EX194" s="242"/>
      <c r="EY194" s="242"/>
      <c r="EZ194" s="242"/>
      <c r="FA194" s="242"/>
      <c r="FB194" s="242"/>
      <c r="FC194" s="242"/>
      <c r="FD194" s="242"/>
      <c r="FE194" s="242"/>
      <c r="FF194" s="242"/>
      <c r="FG194" s="242"/>
      <c r="FH194" s="257"/>
      <c r="FI194" s="257"/>
      <c r="FJ194" s="257"/>
      <c r="FK194" s="257"/>
      <c r="FL194" s="257"/>
      <c r="FM194" s="257"/>
      <c r="FN194" s="257"/>
      <c r="FO194" s="257"/>
      <c r="FP194" s="257"/>
      <c r="FQ194" s="257"/>
      <c r="FR194" s="257"/>
      <c r="FS194" s="257"/>
      <c r="FT194" s="257"/>
      <c r="FU194" s="257"/>
      <c r="FV194" s="257"/>
      <c r="FW194" s="257"/>
      <c r="FX194" s="257"/>
      <c r="FY194" s="242"/>
      <c r="FZ194" s="242"/>
      <c r="GA194" s="242"/>
      <c r="GB194" s="242"/>
      <c r="GC194" s="242"/>
      <c r="GD194" s="242"/>
      <c r="GE194" s="242"/>
      <c r="GF194" s="242"/>
      <c r="GG194" s="242"/>
      <c r="GH194" s="242"/>
      <c r="GI194" s="242"/>
      <c r="GJ194" s="242"/>
      <c r="GK194" s="242"/>
      <c r="GL194" s="242"/>
      <c r="GM194" s="242"/>
      <c r="GN194" s="242"/>
      <c r="GO194" s="242"/>
      <c r="GP194" s="242"/>
      <c r="GQ194" s="242"/>
      <c r="GR194" s="242"/>
      <c r="GS194" s="242"/>
      <c r="GT194" s="242"/>
      <c r="GU194" s="242"/>
      <c r="GV194" s="242"/>
      <c r="GW194" s="242"/>
      <c r="GX194" s="242"/>
      <c r="GY194" s="242"/>
      <c r="GZ194" s="242"/>
      <c r="HA194" s="242"/>
      <c r="HB194" s="242"/>
      <c r="HC194" s="242"/>
      <c r="HD194" s="242"/>
      <c r="HE194" s="242"/>
      <c r="HF194" s="242"/>
      <c r="HG194" s="242"/>
      <c r="HH194" s="242"/>
      <c r="HI194" s="242"/>
      <c r="HJ194" s="242"/>
      <c r="HK194" s="242"/>
      <c r="HL194" s="242"/>
      <c r="HM194" s="242"/>
      <c r="HN194" s="242"/>
      <c r="HO194" s="242"/>
      <c r="HP194" s="242"/>
      <c r="HQ194" s="242"/>
      <c r="HR194" s="242"/>
      <c r="HS194" s="242"/>
      <c r="HT194" s="242"/>
      <c r="HU194" s="242"/>
      <c r="HV194" s="242"/>
      <c r="HW194" s="242"/>
      <c r="HX194" s="257"/>
      <c r="HY194" s="257"/>
      <c r="HZ194" s="257"/>
      <c r="IA194" s="257"/>
      <c r="IB194" s="257"/>
      <c r="IC194" s="257"/>
      <c r="ID194" s="257"/>
      <c r="IE194" s="257"/>
      <c r="IF194" s="257"/>
      <c r="IG194" s="257"/>
      <c r="IH194" s="257"/>
      <c r="II194" s="257"/>
      <c r="IJ194" s="257"/>
      <c r="IK194" s="257"/>
      <c r="IL194" s="257"/>
      <c r="IM194" s="257"/>
      <c r="IN194" s="257"/>
      <c r="IO194" s="257"/>
      <c r="IP194" s="257"/>
      <c r="IQ194" s="257"/>
      <c r="IR194" s="257"/>
      <c r="IS194" s="257"/>
      <c r="IT194" s="257"/>
      <c r="IU194" s="257"/>
      <c r="IV194" s="257"/>
      <c r="IW194" s="257"/>
      <c r="IX194" s="257"/>
      <c r="IY194" s="257"/>
      <c r="IZ194" s="257"/>
      <c r="JA194" s="257"/>
      <c r="JB194" s="257"/>
      <c r="JC194" s="257"/>
      <c r="JD194" s="257"/>
      <c r="JE194" s="257"/>
      <c r="JF194" s="242"/>
      <c r="JG194" s="242"/>
      <c r="JH194" s="242"/>
      <c r="JI194" s="242"/>
      <c r="JJ194" s="242"/>
      <c r="JK194" s="242"/>
      <c r="JL194" s="242"/>
      <c r="JM194" s="242"/>
      <c r="JN194" s="242"/>
      <c r="JO194" s="242"/>
      <c r="JP194" s="242"/>
      <c r="JQ194" s="242"/>
      <c r="JR194" s="242"/>
      <c r="JS194" s="242"/>
      <c r="JT194" s="242"/>
      <c r="JU194" s="242"/>
      <c r="JV194" s="242"/>
      <c r="JW194" s="242"/>
      <c r="JX194" s="242"/>
      <c r="JY194" s="242"/>
      <c r="JZ194" s="242"/>
      <c r="KA194" s="242"/>
      <c r="KB194" s="242"/>
      <c r="KC194" s="242"/>
      <c r="KD194" s="242"/>
      <c r="KE194" s="242"/>
      <c r="KF194" s="242"/>
      <c r="KG194" s="242"/>
      <c r="KH194" s="242"/>
      <c r="KI194" s="242"/>
      <c r="KJ194" s="242"/>
      <c r="KK194" s="242"/>
      <c r="KL194" s="242"/>
      <c r="KM194" s="242"/>
      <c r="KN194" s="242"/>
      <c r="KO194" s="242"/>
      <c r="KP194" s="242"/>
      <c r="KQ194" s="242"/>
      <c r="KR194" s="242"/>
      <c r="KS194" s="242"/>
      <c r="KT194" s="242"/>
      <c r="KU194" s="242"/>
      <c r="KV194" s="242"/>
      <c r="KW194" s="242"/>
      <c r="KX194" s="242"/>
      <c r="KY194" s="242"/>
      <c r="KZ194" s="242"/>
      <c r="LA194" s="242"/>
      <c r="LB194" s="242"/>
      <c r="LC194" s="242"/>
      <c r="LD194" s="242"/>
      <c r="LE194" s="242"/>
      <c r="LF194" s="242"/>
      <c r="LG194" s="242"/>
      <c r="LH194" s="242"/>
      <c r="LI194" s="242"/>
      <c r="LJ194" s="242"/>
      <c r="LK194" s="242"/>
      <c r="LL194" s="242"/>
      <c r="LM194" s="242"/>
      <c r="LN194" s="242"/>
      <c r="LO194" s="242"/>
      <c r="LP194" s="242"/>
      <c r="LQ194" s="242"/>
      <c r="LR194" s="242"/>
      <c r="LS194" s="242"/>
      <c r="LT194" s="242"/>
      <c r="LU194" s="242"/>
      <c r="LV194" s="242"/>
      <c r="LW194" s="242"/>
      <c r="LX194" s="242"/>
      <c r="LY194" s="242"/>
      <c r="LZ194" s="242"/>
      <c r="MA194" s="242"/>
      <c r="MB194" s="242"/>
      <c r="MC194" s="242"/>
      <c r="MD194" s="242"/>
      <c r="ME194" s="242"/>
      <c r="MF194" s="242"/>
      <c r="MG194" s="242"/>
      <c r="MH194" s="242"/>
      <c r="MI194" s="242"/>
      <c r="MJ194" s="242"/>
      <c r="MK194" s="242"/>
      <c r="ML194" s="242"/>
    </row>
    <row r="195" ht="18.75" customHeight="1">
      <c r="A195" s="283"/>
      <c r="B195" s="234" t="str">
        <f>'Building Bill of Materials_SLIM'!P195</f>
        <v/>
      </c>
      <c r="C195" s="234" t="str">
        <f>'Building Bill of Materials_SLIM'!Q195</f>
        <v/>
      </c>
      <c r="D195" s="234" t="str">
        <f>'Building Bill of Materials_SLIM'!R195</f>
        <v/>
      </c>
      <c r="E195" s="234" t="str">
        <f>'Building Bill of Materials_SLIM'!S195</f>
        <v/>
      </c>
      <c r="F195" s="234" t="str">
        <f>'Building Bill of Materials_SLIM'!U195</f>
        <v/>
      </c>
      <c r="G195" s="234"/>
      <c r="H195" s="234"/>
      <c r="I195" s="234"/>
      <c r="J195" s="234" t="str">
        <f>'Building Bill of Materials_SLIM'!V195</f>
        <v/>
      </c>
      <c r="K195" s="242"/>
      <c r="L195" s="242"/>
      <c r="M195" s="242"/>
      <c r="N195" s="242"/>
      <c r="O195" s="242"/>
      <c r="P195" s="242"/>
      <c r="Q195" s="242"/>
      <c r="R195" s="242"/>
      <c r="S195" s="242"/>
      <c r="T195" s="242"/>
      <c r="U195" s="242"/>
      <c r="V195" s="242"/>
      <c r="W195" s="242"/>
      <c r="X195" s="242"/>
      <c r="Y195" s="242"/>
      <c r="Z195" s="242"/>
      <c r="AA195" s="192"/>
      <c r="AB195" s="257"/>
      <c r="AC195" s="257"/>
      <c r="AD195" s="257"/>
      <c r="AE195" s="257"/>
      <c r="AF195" s="257"/>
      <c r="AG195" s="257"/>
      <c r="AH195" s="257"/>
      <c r="AI195" s="257"/>
      <c r="AJ195" s="257"/>
      <c r="AK195" s="257"/>
      <c r="AL195" s="257"/>
      <c r="AM195" s="257"/>
      <c r="AN195" s="257"/>
      <c r="AO195" s="257"/>
      <c r="AP195" s="257"/>
      <c r="AQ195" s="257"/>
      <c r="AR195" s="257"/>
      <c r="AS195" s="257"/>
      <c r="AT195" s="257"/>
      <c r="AU195" s="257"/>
      <c r="AV195" s="257"/>
      <c r="AW195" s="257"/>
      <c r="AX195" s="257"/>
      <c r="AY195" s="257"/>
      <c r="AZ195" s="257"/>
      <c r="BA195" s="257"/>
      <c r="BB195" s="257"/>
      <c r="BC195" s="257"/>
      <c r="BD195" s="257"/>
      <c r="BE195" s="257"/>
      <c r="BF195" s="257"/>
      <c r="BG195" s="257"/>
      <c r="BH195" s="257"/>
      <c r="BI195" s="257"/>
      <c r="BJ195" s="242"/>
      <c r="BK195" s="242"/>
      <c r="BL195" s="242"/>
      <c r="BM195" s="242"/>
      <c r="BN195" s="242"/>
      <c r="BO195" s="242"/>
      <c r="BP195" s="242"/>
      <c r="BQ195" s="242"/>
      <c r="BR195" s="242"/>
      <c r="BS195" s="242"/>
      <c r="BT195" s="242"/>
      <c r="BU195" s="242"/>
      <c r="BV195" s="242"/>
      <c r="BW195" s="242"/>
      <c r="BX195" s="242"/>
      <c r="BY195" s="242"/>
      <c r="BZ195" s="242"/>
      <c r="CA195" s="242"/>
      <c r="CB195" s="242"/>
      <c r="CC195" s="242"/>
      <c r="CD195" s="242"/>
      <c r="CE195" s="257"/>
      <c r="CF195" s="257"/>
      <c r="CG195" s="242"/>
      <c r="CH195" s="242"/>
      <c r="CI195" s="242"/>
      <c r="CJ195" s="242"/>
      <c r="CK195" s="242"/>
      <c r="CL195" s="242"/>
      <c r="CM195" s="242"/>
      <c r="CN195" s="242"/>
      <c r="CO195" s="242"/>
      <c r="CP195" s="242"/>
      <c r="CQ195" s="242"/>
      <c r="CR195" s="242"/>
      <c r="CS195" s="242"/>
      <c r="CT195" s="242"/>
      <c r="CU195" s="242"/>
      <c r="CV195" s="242"/>
      <c r="CW195" s="242"/>
      <c r="CX195" s="242"/>
      <c r="CY195" s="242"/>
      <c r="CZ195" s="242"/>
      <c r="DA195" s="242"/>
      <c r="DB195" s="242"/>
      <c r="DC195" s="242"/>
      <c r="DD195" s="242"/>
      <c r="DE195" s="242"/>
      <c r="DF195" s="242"/>
      <c r="DG195" s="257"/>
      <c r="DH195" s="242"/>
      <c r="DI195" s="242"/>
      <c r="DJ195" s="242"/>
      <c r="DK195" s="242"/>
      <c r="DL195" s="242"/>
      <c r="DM195" s="242"/>
      <c r="DN195" s="242"/>
      <c r="DO195" s="242"/>
      <c r="DP195" s="242"/>
      <c r="DQ195" s="242"/>
      <c r="DR195" s="242"/>
      <c r="DS195" s="242"/>
      <c r="DT195" s="242"/>
      <c r="DU195" s="242"/>
      <c r="DV195" s="242"/>
      <c r="DW195" s="242"/>
      <c r="DX195" s="242"/>
      <c r="DY195" s="242"/>
      <c r="DZ195" s="242"/>
      <c r="EA195" s="242"/>
      <c r="EB195" s="242"/>
      <c r="EC195" s="242"/>
      <c r="ED195" s="242"/>
      <c r="EE195" s="242"/>
      <c r="EF195" s="242"/>
      <c r="EG195" s="242"/>
      <c r="EH195" s="242"/>
      <c r="EI195" s="242"/>
      <c r="EJ195" s="242"/>
      <c r="EK195" s="242"/>
      <c r="EL195" s="242"/>
      <c r="EM195" s="242"/>
      <c r="EN195" s="242"/>
      <c r="EO195" s="242"/>
      <c r="EP195" s="242"/>
      <c r="EQ195" s="242"/>
      <c r="ER195" s="242"/>
      <c r="ES195" s="242"/>
      <c r="ET195" s="242"/>
      <c r="EU195" s="242"/>
      <c r="EV195" s="242"/>
      <c r="EW195" s="242"/>
      <c r="EX195" s="242"/>
      <c r="EY195" s="242"/>
      <c r="EZ195" s="242"/>
      <c r="FA195" s="242"/>
      <c r="FB195" s="242"/>
      <c r="FC195" s="242"/>
      <c r="FD195" s="242"/>
      <c r="FE195" s="242"/>
      <c r="FF195" s="242"/>
      <c r="FG195" s="242"/>
      <c r="FH195" s="257"/>
      <c r="FI195" s="257"/>
      <c r="FJ195" s="257"/>
      <c r="FK195" s="257"/>
      <c r="FL195" s="257"/>
      <c r="FM195" s="257"/>
      <c r="FN195" s="257"/>
      <c r="FO195" s="257"/>
      <c r="FP195" s="257"/>
      <c r="FQ195" s="257"/>
      <c r="FR195" s="257"/>
      <c r="FS195" s="257"/>
      <c r="FT195" s="257"/>
      <c r="FU195" s="257"/>
      <c r="FV195" s="257"/>
      <c r="FW195" s="257"/>
      <c r="FX195" s="257"/>
      <c r="FY195" s="242"/>
      <c r="FZ195" s="242"/>
      <c r="GA195" s="242"/>
      <c r="GB195" s="242"/>
      <c r="GC195" s="242"/>
      <c r="GD195" s="242"/>
      <c r="GE195" s="242"/>
      <c r="GF195" s="242"/>
      <c r="GG195" s="242"/>
      <c r="GH195" s="242"/>
      <c r="GI195" s="242"/>
      <c r="GJ195" s="242"/>
      <c r="GK195" s="242"/>
      <c r="GL195" s="242"/>
      <c r="GM195" s="242"/>
      <c r="GN195" s="242"/>
      <c r="GO195" s="242"/>
      <c r="GP195" s="242"/>
      <c r="GQ195" s="242"/>
      <c r="GR195" s="242"/>
      <c r="GS195" s="242"/>
      <c r="GT195" s="242"/>
      <c r="GU195" s="242"/>
      <c r="GV195" s="242"/>
      <c r="GW195" s="242"/>
      <c r="GX195" s="242"/>
      <c r="GY195" s="242"/>
      <c r="GZ195" s="242"/>
      <c r="HA195" s="242"/>
      <c r="HB195" s="242"/>
      <c r="HC195" s="242"/>
      <c r="HD195" s="242"/>
      <c r="HE195" s="242"/>
      <c r="HF195" s="242"/>
      <c r="HG195" s="242"/>
      <c r="HH195" s="242"/>
      <c r="HI195" s="242"/>
      <c r="HJ195" s="242"/>
      <c r="HK195" s="242"/>
      <c r="HL195" s="242"/>
      <c r="HM195" s="242"/>
      <c r="HN195" s="242"/>
      <c r="HO195" s="242"/>
      <c r="HP195" s="242"/>
      <c r="HQ195" s="242"/>
      <c r="HR195" s="242"/>
      <c r="HS195" s="242"/>
      <c r="HT195" s="242"/>
      <c r="HU195" s="242"/>
      <c r="HV195" s="242"/>
      <c r="HW195" s="242"/>
      <c r="HX195" s="257"/>
      <c r="HY195" s="257"/>
      <c r="HZ195" s="257"/>
      <c r="IA195" s="257"/>
      <c r="IB195" s="257"/>
      <c r="IC195" s="257"/>
      <c r="ID195" s="257"/>
      <c r="IE195" s="257"/>
      <c r="IF195" s="257"/>
      <c r="IG195" s="257"/>
      <c r="IH195" s="257"/>
      <c r="II195" s="257"/>
      <c r="IJ195" s="257"/>
      <c r="IK195" s="257"/>
      <c r="IL195" s="257"/>
      <c r="IM195" s="257"/>
      <c r="IN195" s="257"/>
      <c r="IO195" s="257"/>
      <c r="IP195" s="257"/>
      <c r="IQ195" s="257"/>
      <c r="IR195" s="257"/>
      <c r="IS195" s="257"/>
      <c r="IT195" s="257"/>
      <c r="IU195" s="257"/>
      <c r="IV195" s="257"/>
      <c r="IW195" s="257"/>
      <c r="IX195" s="257"/>
      <c r="IY195" s="257"/>
      <c r="IZ195" s="257"/>
      <c r="JA195" s="257"/>
      <c r="JB195" s="257"/>
      <c r="JC195" s="257"/>
      <c r="JD195" s="257"/>
      <c r="JE195" s="257"/>
      <c r="JF195" s="242"/>
      <c r="JG195" s="242"/>
      <c r="JH195" s="242"/>
      <c r="JI195" s="242"/>
      <c r="JJ195" s="242"/>
      <c r="JK195" s="242"/>
      <c r="JL195" s="242"/>
      <c r="JM195" s="242"/>
      <c r="JN195" s="242"/>
      <c r="JO195" s="242"/>
      <c r="JP195" s="242"/>
      <c r="JQ195" s="242"/>
      <c r="JR195" s="242"/>
      <c r="JS195" s="242"/>
      <c r="JT195" s="242"/>
      <c r="JU195" s="242"/>
      <c r="JV195" s="242"/>
      <c r="JW195" s="242"/>
      <c r="JX195" s="242"/>
      <c r="JY195" s="242"/>
      <c r="JZ195" s="242"/>
      <c r="KA195" s="242"/>
      <c r="KB195" s="242"/>
      <c r="KC195" s="242"/>
      <c r="KD195" s="242"/>
      <c r="KE195" s="242"/>
      <c r="KF195" s="242"/>
      <c r="KG195" s="242"/>
      <c r="KH195" s="242"/>
      <c r="KI195" s="242"/>
      <c r="KJ195" s="242"/>
      <c r="KK195" s="242"/>
      <c r="KL195" s="242"/>
      <c r="KM195" s="242"/>
      <c r="KN195" s="242"/>
      <c r="KO195" s="242"/>
      <c r="KP195" s="242"/>
      <c r="KQ195" s="242"/>
      <c r="KR195" s="242"/>
      <c r="KS195" s="242"/>
      <c r="KT195" s="242"/>
      <c r="KU195" s="242"/>
      <c r="KV195" s="242"/>
      <c r="KW195" s="242"/>
      <c r="KX195" s="242"/>
      <c r="KY195" s="242"/>
      <c r="KZ195" s="242"/>
      <c r="LA195" s="242"/>
      <c r="LB195" s="242"/>
      <c r="LC195" s="242"/>
      <c r="LD195" s="242"/>
      <c r="LE195" s="242"/>
      <c r="LF195" s="242"/>
      <c r="LG195" s="242"/>
      <c r="LH195" s="242"/>
      <c r="LI195" s="242"/>
      <c r="LJ195" s="242"/>
      <c r="LK195" s="242"/>
      <c r="LL195" s="242"/>
      <c r="LM195" s="242"/>
      <c r="LN195" s="242"/>
      <c r="LO195" s="242"/>
      <c r="LP195" s="242"/>
      <c r="LQ195" s="242"/>
      <c r="LR195" s="242"/>
      <c r="LS195" s="242"/>
      <c r="LT195" s="242"/>
      <c r="LU195" s="242"/>
      <c r="LV195" s="242"/>
      <c r="LW195" s="242"/>
      <c r="LX195" s="242"/>
      <c r="LY195" s="242"/>
      <c r="LZ195" s="242"/>
      <c r="MA195" s="242"/>
      <c r="MB195" s="242"/>
      <c r="MC195" s="242"/>
      <c r="MD195" s="242"/>
      <c r="ME195" s="242"/>
      <c r="MF195" s="242"/>
      <c r="MG195" s="242"/>
      <c r="MH195" s="242"/>
      <c r="MI195" s="242"/>
      <c r="MJ195" s="242"/>
      <c r="MK195" s="242"/>
      <c r="ML195" s="242"/>
    </row>
    <row r="196" ht="18.75" customHeight="1">
      <c r="A196" s="283"/>
      <c r="B196" s="234" t="str">
        <f>'Building Bill of Materials_SLIM'!P196</f>
        <v/>
      </c>
      <c r="C196" s="234" t="str">
        <f>'Building Bill of Materials_SLIM'!Q196</f>
        <v/>
      </c>
      <c r="D196" s="234" t="str">
        <f>'Building Bill of Materials_SLIM'!R196</f>
        <v/>
      </c>
      <c r="E196" s="234" t="str">
        <f>'Building Bill of Materials_SLIM'!S196</f>
        <v/>
      </c>
      <c r="F196" s="234" t="str">
        <f>'Building Bill of Materials_SLIM'!U196</f>
        <v/>
      </c>
      <c r="G196" s="234"/>
      <c r="H196" s="234"/>
      <c r="I196" s="234"/>
      <c r="J196" s="234" t="str">
        <f>'Building Bill of Materials_SLIM'!V196</f>
        <v/>
      </c>
      <c r="K196" s="242"/>
      <c r="L196" s="242"/>
      <c r="M196" s="242"/>
      <c r="N196" s="242"/>
      <c r="O196" s="242"/>
      <c r="P196" s="242"/>
      <c r="Q196" s="242"/>
      <c r="R196" s="242"/>
      <c r="S196" s="242"/>
      <c r="T196" s="242"/>
      <c r="U196" s="242"/>
      <c r="V196" s="242"/>
      <c r="W196" s="242"/>
      <c r="X196" s="242"/>
      <c r="Y196" s="242"/>
      <c r="Z196" s="242"/>
      <c r="AA196" s="192"/>
      <c r="AB196" s="257"/>
      <c r="AC196" s="257"/>
      <c r="AD196" s="257"/>
      <c r="AE196" s="257"/>
      <c r="AF196" s="257"/>
      <c r="AG196" s="257"/>
      <c r="AH196" s="257"/>
      <c r="AI196" s="257"/>
      <c r="AJ196" s="257"/>
      <c r="AK196" s="257"/>
      <c r="AL196" s="257"/>
      <c r="AM196" s="257"/>
      <c r="AN196" s="257"/>
      <c r="AO196" s="257"/>
      <c r="AP196" s="257"/>
      <c r="AQ196" s="257"/>
      <c r="AR196" s="257"/>
      <c r="AS196" s="257"/>
      <c r="AT196" s="257"/>
      <c r="AU196" s="257"/>
      <c r="AV196" s="257"/>
      <c r="AW196" s="257"/>
      <c r="AX196" s="257"/>
      <c r="AY196" s="257"/>
      <c r="AZ196" s="257"/>
      <c r="BA196" s="257"/>
      <c r="BB196" s="257"/>
      <c r="BC196" s="257"/>
      <c r="BD196" s="257"/>
      <c r="BE196" s="257"/>
      <c r="BF196" s="257"/>
      <c r="BG196" s="257"/>
      <c r="BH196" s="257"/>
      <c r="BI196" s="257"/>
      <c r="BJ196" s="242"/>
      <c r="BK196" s="242"/>
      <c r="BL196" s="242"/>
      <c r="BM196" s="242"/>
      <c r="BN196" s="242"/>
      <c r="BO196" s="242"/>
      <c r="BP196" s="242"/>
      <c r="BQ196" s="242"/>
      <c r="BR196" s="242"/>
      <c r="BS196" s="242"/>
      <c r="BT196" s="242"/>
      <c r="BU196" s="242"/>
      <c r="BV196" s="242"/>
      <c r="BW196" s="242"/>
      <c r="BX196" s="242"/>
      <c r="BY196" s="242"/>
      <c r="BZ196" s="242"/>
      <c r="CA196" s="242"/>
      <c r="CB196" s="242"/>
      <c r="CC196" s="242"/>
      <c r="CD196" s="242"/>
      <c r="CE196" s="257"/>
      <c r="CF196" s="257"/>
      <c r="CG196" s="242"/>
      <c r="CH196" s="242"/>
      <c r="CI196" s="242"/>
      <c r="CJ196" s="242"/>
      <c r="CK196" s="242"/>
      <c r="CL196" s="242"/>
      <c r="CM196" s="242"/>
      <c r="CN196" s="242"/>
      <c r="CO196" s="242"/>
      <c r="CP196" s="242"/>
      <c r="CQ196" s="242"/>
      <c r="CR196" s="242"/>
      <c r="CS196" s="242"/>
      <c r="CT196" s="242"/>
      <c r="CU196" s="242"/>
      <c r="CV196" s="242"/>
      <c r="CW196" s="242"/>
      <c r="CX196" s="242"/>
      <c r="CY196" s="242"/>
      <c r="CZ196" s="242"/>
      <c r="DA196" s="242"/>
      <c r="DB196" s="242"/>
      <c r="DC196" s="242"/>
      <c r="DD196" s="242"/>
      <c r="DE196" s="242"/>
      <c r="DF196" s="242"/>
      <c r="DG196" s="257"/>
      <c r="DH196" s="242"/>
      <c r="DI196" s="242"/>
      <c r="DJ196" s="242"/>
      <c r="DK196" s="242"/>
      <c r="DL196" s="242"/>
      <c r="DM196" s="242"/>
      <c r="DN196" s="242"/>
      <c r="DO196" s="242"/>
      <c r="DP196" s="242"/>
      <c r="DQ196" s="242"/>
      <c r="DR196" s="242"/>
      <c r="DS196" s="242"/>
      <c r="DT196" s="242"/>
      <c r="DU196" s="242"/>
      <c r="DV196" s="242"/>
      <c r="DW196" s="242"/>
      <c r="DX196" s="242"/>
      <c r="DY196" s="242"/>
      <c r="DZ196" s="242"/>
      <c r="EA196" s="242"/>
      <c r="EB196" s="242"/>
      <c r="EC196" s="242"/>
      <c r="ED196" s="242"/>
      <c r="EE196" s="242"/>
      <c r="EF196" s="242"/>
      <c r="EG196" s="242"/>
      <c r="EH196" s="242"/>
      <c r="EI196" s="242"/>
      <c r="EJ196" s="242"/>
      <c r="EK196" s="242"/>
      <c r="EL196" s="242"/>
      <c r="EM196" s="242"/>
      <c r="EN196" s="242"/>
      <c r="EO196" s="242"/>
      <c r="EP196" s="242"/>
      <c r="EQ196" s="242"/>
      <c r="ER196" s="242"/>
      <c r="ES196" s="242"/>
      <c r="ET196" s="242"/>
      <c r="EU196" s="242"/>
      <c r="EV196" s="242"/>
      <c r="EW196" s="242"/>
      <c r="EX196" s="242"/>
      <c r="EY196" s="242"/>
      <c r="EZ196" s="242"/>
      <c r="FA196" s="242"/>
      <c r="FB196" s="242"/>
      <c r="FC196" s="242"/>
      <c r="FD196" s="242"/>
      <c r="FE196" s="242"/>
      <c r="FF196" s="242"/>
      <c r="FG196" s="242"/>
      <c r="FH196" s="257"/>
      <c r="FI196" s="257"/>
      <c r="FJ196" s="257"/>
      <c r="FK196" s="257"/>
      <c r="FL196" s="257"/>
      <c r="FM196" s="257"/>
      <c r="FN196" s="257"/>
      <c r="FO196" s="257"/>
      <c r="FP196" s="257"/>
      <c r="FQ196" s="257"/>
      <c r="FR196" s="257"/>
      <c r="FS196" s="257"/>
      <c r="FT196" s="257"/>
      <c r="FU196" s="257"/>
      <c r="FV196" s="257"/>
      <c r="FW196" s="257"/>
      <c r="FX196" s="257"/>
      <c r="FY196" s="242"/>
      <c r="FZ196" s="242"/>
      <c r="GA196" s="242"/>
      <c r="GB196" s="242"/>
      <c r="GC196" s="242"/>
      <c r="GD196" s="242"/>
      <c r="GE196" s="242"/>
      <c r="GF196" s="242"/>
      <c r="GG196" s="242"/>
      <c r="GH196" s="242"/>
      <c r="GI196" s="242"/>
      <c r="GJ196" s="242"/>
      <c r="GK196" s="242"/>
      <c r="GL196" s="242"/>
      <c r="GM196" s="242"/>
      <c r="GN196" s="242"/>
      <c r="GO196" s="242"/>
      <c r="GP196" s="242"/>
      <c r="GQ196" s="242"/>
      <c r="GR196" s="242"/>
      <c r="GS196" s="242"/>
      <c r="GT196" s="242"/>
      <c r="GU196" s="242"/>
      <c r="GV196" s="242"/>
      <c r="GW196" s="242"/>
      <c r="GX196" s="242"/>
      <c r="GY196" s="242"/>
      <c r="GZ196" s="242"/>
      <c r="HA196" s="242"/>
      <c r="HB196" s="242"/>
      <c r="HC196" s="242"/>
      <c r="HD196" s="242"/>
      <c r="HE196" s="242"/>
      <c r="HF196" s="242"/>
      <c r="HG196" s="242"/>
      <c r="HH196" s="242"/>
      <c r="HI196" s="242"/>
      <c r="HJ196" s="242"/>
      <c r="HK196" s="242"/>
      <c r="HL196" s="242"/>
      <c r="HM196" s="242"/>
      <c r="HN196" s="242"/>
      <c r="HO196" s="242"/>
      <c r="HP196" s="242"/>
      <c r="HQ196" s="242"/>
      <c r="HR196" s="242"/>
      <c r="HS196" s="242"/>
      <c r="HT196" s="242"/>
      <c r="HU196" s="242"/>
      <c r="HV196" s="242"/>
      <c r="HW196" s="242"/>
      <c r="HX196" s="257"/>
      <c r="HY196" s="257"/>
      <c r="HZ196" s="257"/>
      <c r="IA196" s="257"/>
      <c r="IB196" s="257"/>
      <c r="IC196" s="257"/>
      <c r="ID196" s="257"/>
      <c r="IE196" s="257"/>
      <c r="IF196" s="257"/>
      <c r="IG196" s="257"/>
      <c r="IH196" s="257"/>
      <c r="II196" s="257"/>
      <c r="IJ196" s="257"/>
      <c r="IK196" s="257"/>
      <c r="IL196" s="257"/>
      <c r="IM196" s="257"/>
      <c r="IN196" s="257"/>
      <c r="IO196" s="257"/>
      <c r="IP196" s="257"/>
      <c r="IQ196" s="257"/>
      <c r="IR196" s="257"/>
      <c r="IS196" s="257"/>
      <c r="IT196" s="257"/>
      <c r="IU196" s="257"/>
      <c r="IV196" s="257"/>
      <c r="IW196" s="257"/>
      <c r="IX196" s="257"/>
      <c r="IY196" s="257"/>
      <c r="IZ196" s="257"/>
      <c r="JA196" s="257"/>
      <c r="JB196" s="257"/>
      <c r="JC196" s="257"/>
      <c r="JD196" s="257"/>
      <c r="JE196" s="257"/>
      <c r="JF196" s="242"/>
      <c r="JG196" s="242"/>
      <c r="JH196" s="242"/>
      <c r="JI196" s="242"/>
      <c r="JJ196" s="242"/>
      <c r="JK196" s="242"/>
      <c r="JL196" s="242"/>
      <c r="JM196" s="242"/>
      <c r="JN196" s="242"/>
      <c r="JO196" s="242"/>
      <c r="JP196" s="242"/>
      <c r="JQ196" s="242"/>
      <c r="JR196" s="242"/>
      <c r="JS196" s="242"/>
      <c r="JT196" s="242"/>
      <c r="JU196" s="242"/>
      <c r="JV196" s="242"/>
      <c r="JW196" s="242"/>
      <c r="JX196" s="242"/>
      <c r="JY196" s="242"/>
      <c r="JZ196" s="242"/>
      <c r="KA196" s="242"/>
      <c r="KB196" s="242"/>
      <c r="KC196" s="242"/>
      <c r="KD196" s="242"/>
      <c r="KE196" s="242"/>
      <c r="KF196" s="242"/>
      <c r="KG196" s="242"/>
      <c r="KH196" s="242"/>
      <c r="KI196" s="242"/>
      <c r="KJ196" s="242"/>
      <c r="KK196" s="242"/>
      <c r="KL196" s="242"/>
      <c r="KM196" s="242"/>
      <c r="KN196" s="242"/>
      <c r="KO196" s="242"/>
      <c r="KP196" s="242"/>
      <c r="KQ196" s="242"/>
      <c r="KR196" s="242"/>
      <c r="KS196" s="242"/>
      <c r="KT196" s="242"/>
      <c r="KU196" s="242"/>
      <c r="KV196" s="242"/>
      <c r="KW196" s="242"/>
      <c r="KX196" s="242"/>
      <c r="KY196" s="242"/>
      <c r="KZ196" s="242"/>
      <c r="LA196" s="242"/>
      <c r="LB196" s="242"/>
      <c r="LC196" s="242"/>
      <c r="LD196" s="242"/>
      <c r="LE196" s="242"/>
      <c r="LF196" s="242"/>
      <c r="LG196" s="242"/>
      <c r="LH196" s="242"/>
      <c r="LI196" s="242"/>
      <c r="LJ196" s="242"/>
      <c r="LK196" s="242"/>
      <c r="LL196" s="242"/>
      <c r="LM196" s="242"/>
      <c r="LN196" s="242"/>
      <c r="LO196" s="242"/>
      <c r="LP196" s="242"/>
      <c r="LQ196" s="242"/>
      <c r="LR196" s="242"/>
      <c r="LS196" s="242"/>
      <c r="LT196" s="242"/>
      <c r="LU196" s="242"/>
      <c r="LV196" s="242"/>
      <c r="LW196" s="242"/>
      <c r="LX196" s="242"/>
      <c r="LY196" s="242"/>
      <c r="LZ196" s="242"/>
      <c r="MA196" s="242"/>
      <c r="MB196" s="242"/>
      <c r="MC196" s="242"/>
      <c r="MD196" s="242"/>
      <c r="ME196" s="242"/>
      <c r="MF196" s="242"/>
      <c r="MG196" s="242"/>
      <c r="MH196" s="242"/>
      <c r="MI196" s="242"/>
      <c r="MJ196" s="242"/>
      <c r="MK196" s="242"/>
      <c r="ML196" s="242"/>
    </row>
    <row r="197" ht="18.75" customHeight="1">
      <c r="A197" s="283"/>
      <c r="B197" s="234" t="str">
        <f>'Building Bill of Materials_SLIM'!P197</f>
        <v/>
      </c>
      <c r="C197" s="234" t="str">
        <f>'Building Bill of Materials_SLIM'!Q197</f>
        <v/>
      </c>
      <c r="D197" s="234" t="str">
        <f>'Building Bill of Materials_SLIM'!R197</f>
        <v/>
      </c>
      <c r="E197" s="234" t="str">
        <f>'Building Bill of Materials_SLIM'!S197</f>
        <v/>
      </c>
      <c r="F197" s="234" t="str">
        <f>'Building Bill of Materials_SLIM'!U197</f>
        <v/>
      </c>
      <c r="G197" s="234"/>
      <c r="H197" s="234"/>
      <c r="I197" s="234"/>
      <c r="J197" s="234" t="str">
        <f>'Building Bill of Materials_SLIM'!V197</f>
        <v/>
      </c>
      <c r="K197" s="242"/>
      <c r="L197" s="242"/>
      <c r="M197" s="242"/>
      <c r="N197" s="242"/>
      <c r="O197" s="242"/>
      <c r="P197" s="242"/>
      <c r="Q197" s="242"/>
      <c r="R197" s="242"/>
      <c r="S197" s="242"/>
      <c r="T197" s="242"/>
      <c r="U197" s="242"/>
      <c r="V197" s="242"/>
      <c r="W197" s="242"/>
      <c r="X197" s="242"/>
      <c r="Y197" s="242"/>
      <c r="Z197" s="242"/>
      <c r="AA197" s="192"/>
      <c r="AB197" s="257"/>
      <c r="AC197" s="257"/>
      <c r="AD197" s="257"/>
      <c r="AE197" s="257"/>
      <c r="AF197" s="257"/>
      <c r="AG197" s="257"/>
      <c r="AH197" s="257"/>
      <c r="AI197" s="257"/>
      <c r="AJ197" s="257"/>
      <c r="AK197" s="257"/>
      <c r="AL197" s="257"/>
      <c r="AM197" s="257"/>
      <c r="AN197" s="257"/>
      <c r="AO197" s="257"/>
      <c r="AP197" s="257"/>
      <c r="AQ197" s="257"/>
      <c r="AR197" s="257"/>
      <c r="AS197" s="257"/>
      <c r="AT197" s="257"/>
      <c r="AU197" s="257"/>
      <c r="AV197" s="257"/>
      <c r="AW197" s="257"/>
      <c r="AX197" s="257"/>
      <c r="AY197" s="257"/>
      <c r="AZ197" s="257"/>
      <c r="BA197" s="257"/>
      <c r="BB197" s="257"/>
      <c r="BC197" s="257"/>
      <c r="BD197" s="257"/>
      <c r="BE197" s="257"/>
      <c r="BF197" s="257"/>
      <c r="BG197" s="257"/>
      <c r="BH197" s="257"/>
      <c r="BI197" s="257"/>
      <c r="BJ197" s="242"/>
      <c r="BK197" s="242"/>
      <c r="BL197" s="242"/>
      <c r="BM197" s="242"/>
      <c r="BN197" s="242"/>
      <c r="BO197" s="242"/>
      <c r="BP197" s="242"/>
      <c r="BQ197" s="242"/>
      <c r="BR197" s="242"/>
      <c r="BS197" s="242"/>
      <c r="BT197" s="242"/>
      <c r="BU197" s="242"/>
      <c r="BV197" s="242"/>
      <c r="BW197" s="242"/>
      <c r="BX197" s="242"/>
      <c r="BY197" s="242"/>
      <c r="BZ197" s="242"/>
      <c r="CA197" s="242"/>
      <c r="CB197" s="242"/>
      <c r="CC197" s="242"/>
      <c r="CD197" s="242"/>
      <c r="CE197" s="257"/>
      <c r="CF197" s="257"/>
      <c r="CG197" s="242"/>
      <c r="CH197" s="242"/>
      <c r="CI197" s="242"/>
      <c r="CJ197" s="242"/>
      <c r="CK197" s="242"/>
      <c r="CL197" s="242"/>
      <c r="CM197" s="242"/>
      <c r="CN197" s="242"/>
      <c r="CO197" s="242"/>
      <c r="CP197" s="242"/>
      <c r="CQ197" s="242"/>
      <c r="CR197" s="242"/>
      <c r="CS197" s="242"/>
      <c r="CT197" s="242"/>
      <c r="CU197" s="242"/>
      <c r="CV197" s="242"/>
      <c r="CW197" s="242"/>
      <c r="CX197" s="242"/>
      <c r="CY197" s="242"/>
      <c r="CZ197" s="242"/>
      <c r="DA197" s="242"/>
      <c r="DB197" s="242"/>
      <c r="DC197" s="242"/>
      <c r="DD197" s="242"/>
      <c r="DE197" s="242"/>
      <c r="DF197" s="242"/>
      <c r="DG197" s="257"/>
      <c r="DH197" s="242"/>
      <c r="DI197" s="242"/>
      <c r="DJ197" s="242"/>
      <c r="DK197" s="242"/>
      <c r="DL197" s="242"/>
      <c r="DM197" s="242"/>
      <c r="DN197" s="242"/>
      <c r="DO197" s="242"/>
      <c r="DP197" s="242"/>
      <c r="DQ197" s="242"/>
      <c r="DR197" s="242"/>
      <c r="DS197" s="242"/>
      <c r="DT197" s="242"/>
      <c r="DU197" s="242"/>
      <c r="DV197" s="242"/>
      <c r="DW197" s="242"/>
      <c r="DX197" s="242"/>
      <c r="DY197" s="242"/>
      <c r="DZ197" s="242"/>
      <c r="EA197" s="242"/>
      <c r="EB197" s="242"/>
      <c r="EC197" s="242"/>
      <c r="ED197" s="242"/>
      <c r="EE197" s="242"/>
      <c r="EF197" s="242"/>
      <c r="EG197" s="242"/>
      <c r="EH197" s="242"/>
      <c r="EI197" s="242"/>
      <c r="EJ197" s="242"/>
      <c r="EK197" s="242"/>
      <c r="EL197" s="242"/>
      <c r="EM197" s="242"/>
      <c r="EN197" s="242"/>
      <c r="EO197" s="242"/>
      <c r="EP197" s="242"/>
      <c r="EQ197" s="242"/>
      <c r="ER197" s="242"/>
      <c r="ES197" s="242"/>
      <c r="ET197" s="242"/>
      <c r="EU197" s="242"/>
      <c r="EV197" s="242"/>
      <c r="EW197" s="242"/>
      <c r="EX197" s="242"/>
      <c r="EY197" s="242"/>
      <c r="EZ197" s="242"/>
      <c r="FA197" s="242"/>
      <c r="FB197" s="242"/>
      <c r="FC197" s="242"/>
      <c r="FD197" s="242"/>
      <c r="FE197" s="242"/>
      <c r="FF197" s="242"/>
      <c r="FG197" s="242"/>
      <c r="FH197" s="257"/>
      <c r="FI197" s="257"/>
      <c r="FJ197" s="257"/>
      <c r="FK197" s="257"/>
      <c r="FL197" s="257"/>
      <c r="FM197" s="257"/>
      <c r="FN197" s="257"/>
      <c r="FO197" s="257"/>
      <c r="FP197" s="257"/>
      <c r="FQ197" s="257"/>
      <c r="FR197" s="257"/>
      <c r="FS197" s="257"/>
      <c r="FT197" s="257"/>
      <c r="FU197" s="257"/>
      <c r="FV197" s="257"/>
      <c r="FW197" s="257"/>
      <c r="FX197" s="257"/>
      <c r="FY197" s="242"/>
      <c r="FZ197" s="242"/>
      <c r="GA197" s="242"/>
      <c r="GB197" s="242"/>
      <c r="GC197" s="242"/>
      <c r="GD197" s="242"/>
      <c r="GE197" s="242"/>
      <c r="GF197" s="242"/>
      <c r="GG197" s="242"/>
      <c r="GH197" s="242"/>
      <c r="GI197" s="242"/>
      <c r="GJ197" s="242"/>
      <c r="GK197" s="242"/>
      <c r="GL197" s="242"/>
      <c r="GM197" s="242"/>
      <c r="GN197" s="242"/>
      <c r="GO197" s="242"/>
      <c r="GP197" s="242"/>
      <c r="GQ197" s="242"/>
      <c r="GR197" s="242"/>
      <c r="GS197" s="242"/>
      <c r="GT197" s="242"/>
      <c r="GU197" s="242"/>
      <c r="GV197" s="242"/>
      <c r="GW197" s="242"/>
      <c r="GX197" s="242"/>
      <c r="GY197" s="242"/>
      <c r="GZ197" s="242"/>
      <c r="HA197" s="242"/>
      <c r="HB197" s="242"/>
      <c r="HC197" s="242"/>
      <c r="HD197" s="242"/>
      <c r="HE197" s="242"/>
      <c r="HF197" s="242"/>
      <c r="HG197" s="242"/>
      <c r="HH197" s="242"/>
      <c r="HI197" s="242"/>
      <c r="HJ197" s="242"/>
      <c r="HK197" s="242"/>
      <c r="HL197" s="242"/>
      <c r="HM197" s="242"/>
      <c r="HN197" s="242"/>
      <c r="HO197" s="242"/>
      <c r="HP197" s="242"/>
      <c r="HQ197" s="242"/>
      <c r="HR197" s="242"/>
      <c r="HS197" s="242"/>
      <c r="HT197" s="242"/>
      <c r="HU197" s="242"/>
      <c r="HV197" s="242"/>
      <c r="HW197" s="242"/>
      <c r="HX197" s="257"/>
      <c r="HY197" s="257"/>
      <c r="HZ197" s="257"/>
      <c r="IA197" s="257"/>
      <c r="IB197" s="257"/>
      <c r="IC197" s="257"/>
      <c r="ID197" s="257"/>
      <c r="IE197" s="257"/>
      <c r="IF197" s="257"/>
      <c r="IG197" s="257"/>
      <c r="IH197" s="257"/>
      <c r="II197" s="257"/>
      <c r="IJ197" s="257"/>
      <c r="IK197" s="257"/>
      <c r="IL197" s="257"/>
      <c r="IM197" s="257"/>
      <c r="IN197" s="257"/>
      <c r="IO197" s="257"/>
      <c r="IP197" s="257"/>
      <c r="IQ197" s="257"/>
      <c r="IR197" s="257"/>
      <c r="IS197" s="257"/>
      <c r="IT197" s="257"/>
      <c r="IU197" s="257"/>
      <c r="IV197" s="257"/>
      <c r="IW197" s="257"/>
      <c r="IX197" s="257"/>
      <c r="IY197" s="257"/>
      <c r="IZ197" s="257"/>
      <c r="JA197" s="257"/>
      <c r="JB197" s="257"/>
      <c r="JC197" s="257"/>
      <c r="JD197" s="257"/>
      <c r="JE197" s="257"/>
      <c r="JF197" s="242"/>
      <c r="JG197" s="242"/>
      <c r="JH197" s="242"/>
      <c r="JI197" s="242"/>
      <c r="JJ197" s="242"/>
      <c r="JK197" s="242"/>
      <c r="JL197" s="242"/>
      <c r="JM197" s="242"/>
      <c r="JN197" s="242"/>
      <c r="JO197" s="242"/>
      <c r="JP197" s="242"/>
      <c r="JQ197" s="242"/>
      <c r="JR197" s="242"/>
      <c r="JS197" s="242"/>
      <c r="JT197" s="242"/>
      <c r="JU197" s="242"/>
      <c r="JV197" s="242"/>
      <c r="JW197" s="242"/>
      <c r="JX197" s="242"/>
      <c r="JY197" s="242"/>
      <c r="JZ197" s="242"/>
      <c r="KA197" s="242"/>
      <c r="KB197" s="242"/>
      <c r="KC197" s="242"/>
      <c r="KD197" s="242"/>
      <c r="KE197" s="242"/>
      <c r="KF197" s="242"/>
      <c r="KG197" s="242"/>
      <c r="KH197" s="242"/>
      <c r="KI197" s="242"/>
      <c r="KJ197" s="242"/>
      <c r="KK197" s="242"/>
      <c r="KL197" s="242"/>
      <c r="KM197" s="242"/>
      <c r="KN197" s="242"/>
      <c r="KO197" s="242"/>
      <c r="KP197" s="242"/>
      <c r="KQ197" s="242"/>
      <c r="KR197" s="242"/>
      <c r="KS197" s="242"/>
      <c r="KT197" s="242"/>
      <c r="KU197" s="242"/>
      <c r="KV197" s="242"/>
      <c r="KW197" s="242"/>
      <c r="KX197" s="242"/>
      <c r="KY197" s="242"/>
      <c r="KZ197" s="242"/>
      <c r="LA197" s="242"/>
      <c r="LB197" s="242"/>
      <c r="LC197" s="242"/>
      <c r="LD197" s="242"/>
      <c r="LE197" s="242"/>
      <c r="LF197" s="242"/>
      <c r="LG197" s="242"/>
      <c r="LH197" s="242"/>
      <c r="LI197" s="242"/>
      <c r="LJ197" s="242"/>
      <c r="LK197" s="242"/>
      <c r="LL197" s="242"/>
      <c r="LM197" s="242"/>
      <c r="LN197" s="242"/>
      <c r="LO197" s="242"/>
      <c r="LP197" s="242"/>
      <c r="LQ197" s="242"/>
      <c r="LR197" s="242"/>
      <c r="LS197" s="242"/>
      <c r="LT197" s="242"/>
      <c r="LU197" s="242"/>
      <c r="LV197" s="242"/>
      <c r="LW197" s="242"/>
      <c r="LX197" s="242"/>
      <c r="LY197" s="242"/>
      <c r="LZ197" s="242"/>
      <c r="MA197" s="242"/>
      <c r="MB197" s="242"/>
      <c r="MC197" s="242"/>
      <c r="MD197" s="242"/>
      <c r="ME197" s="242"/>
      <c r="MF197" s="242"/>
      <c r="MG197" s="242"/>
      <c r="MH197" s="242"/>
      <c r="MI197" s="242"/>
      <c r="MJ197" s="242"/>
      <c r="MK197" s="242"/>
      <c r="ML197" s="242"/>
    </row>
    <row r="198" ht="18.75" customHeight="1">
      <c r="A198" s="283"/>
      <c r="B198" s="234" t="str">
        <f>'Building Bill of Materials_SLIM'!P198</f>
        <v/>
      </c>
      <c r="C198" s="234" t="str">
        <f>'Building Bill of Materials_SLIM'!Q198</f>
        <v/>
      </c>
      <c r="D198" s="234" t="str">
        <f>'Building Bill of Materials_SLIM'!R198</f>
        <v/>
      </c>
      <c r="E198" s="234" t="str">
        <f>'Building Bill of Materials_SLIM'!S198</f>
        <v/>
      </c>
      <c r="F198" s="234" t="str">
        <f>'Building Bill of Materials_SLIM'!U198</f>
        <v/>
      </c>
      <c r="G198" s="234"/>
      <c r="H198" s="234"/>
      <c r="I198" s="234"/>
      <c r="J198" s="234" t="str">
        <f>'Building Bill of Materials_SLIM'!V198</f>
        <v/>
      </c>
      <c r="K198" s="242"/>
      <c r="L198" s="242"/>
      <c r="M198" s="242"/>
      <c r="N198" s="242"/>
      <c r="O198" s="242"/>
      <c r="P198" s="242"/>
      <c r="Q198" s="242"/>
      <c r="R198" s="242"/>
      <c r="S198" s="242"/>
      <c r="T198" s="242"/>
      <c r="U198" s="242"/>
      <c r="V198" s="242"/>
      <c r="W198" s="242"/>
      <c r="X198" s="242"/>
      <c r="Y198" s="242"/>
      <c r="Z198" s="242"/>
      <c r="AA198" s="192"/>
      <c r="AB198" s="257"/>
      <c r="AC198" s="257"/>
      <c r="AD198" s="257"/>
      <c r="AE198" s="257"/>
      <c r="AF198" s="257"/>
      <c r="AG198" s="257"/>
      <c r="AH198" s="257"/>
      <c r="AI198" s="257"/>
      <c r="AJ198" s="257"/>
      <c r="AK198" s="257"/>
      <c r="AL198" s="257"/>
      <c r="AM198" s="257"/>
      <c r="AN198" s="257"/>
      <c r="AO198" s="257"/>
      <c r="AP198" s="257"/>
      <c r="AQ198" s="257"/>
      <c r="AR198" s="257"/>
      <c r="AS198" s="257"/>
      <c r="AT198" s="257"/>
      <c r="AU198" s="257"/>
      <c r="AV198" s="257"/>
      <c r="AW198" s="257"/>
      <c r="AX198" s="257"/>
      <c r="AY198" s="257"/>
      <c r="AZ198" s="257"/>
      <c r="BA198" s="257"/>
      <c r="BB198" s="257"/>
      <c r="BC198" s="257"/>
      <c r="BD198" s="257"/>
      <c r="BE198" s="257"/>
      <c r="BF198" s="257"/>
      <c r="BG198" s="257"/>
      <c r="BH198" s="257"/>
      <c r="BI198" s="257"/>
      <c r="BJ198" s="242"/>
      <c r="BK198" s="242"/>
      <c r="BL198" s="242"/>
      <c r="BM198" s="242"/>
      <c r="BN198" s="242"/>
      <c r="BO198" s="242"/>
      <c r="BP198" s="242"/>
      <c r="BQ198" s="242"/>
      <c r="BR198" s="242"/>
      <c r="BS198" s="242"/>
      <c r="BT198" s="242"/>
      <c r="BU198" s="242"/>
      <c r="BV198" s="242"/>
      <c r="BW198" s="242"/>
      <c r="BX198" s="242"/>
      <c r="BY198" s="242"/>
      <c r="BZ198" s="242"/>
      <c r="CA198" s="242"/>
      <c r="CB198" s="242"/>
      <c r="CC198" s="242"/>
      <c r="CD198" s="242"/>
      <c r="CE198" s="257"/>
      <c r="CF198" s="257"/>
      <c r="CG198" s="242"/>
      <c r="CH198" s="242"/>
      <c r="CI198" s="242"/>
      <c r="CJ198" s="242"/>
      <c r="CK198" s="242"/>
      <c r="CL198" s="242"/>
      <c r="CM198" s="242"/>
      <c r="CN198" s="242"/>
      <c r="CO198" s="242"/>
      <c r="CP198" s="242"/>
      <c r="CQ198" s="242"/>
      <c r="CR198" s="242"/>
      <c r="CS198" s="242"/>
      <c r="CT198" s="242"/>
      <c r="CU198" s="242"/>
      <c r="CV198" s="242"/>
      <c r="CW198" s="242"/>
      <c r="CX198" s="242"/>
      <c r="CY198" s="242"/>
      <c r="CZ198" s="242"/>
      <c r="DA198" s="242"/>
      <c r="DB198" s="242"/>
      <c r="DC198" s="242"/>
      <c r="DD198" s="242"/>
      <c r="DE198" s="242"/>
      <c r="DF198" s="242"/>
      <c r="DG198" s="257"/>
      <c r="DH198" s="242"/>
      <c r="DI198" s="242"/>
      <c r="DJ198" s="242"/>
      <c r="DK198" s="242"/>
      <c r="DL198" s="242"/>
      <c r="DM198" s="242"/>
      <c r="DN198" s="242"/>
      <c r="DO198" s="242"/>
      <c r="DP198" s="242"/>
      <c r="DQ198" s="242"/>
      <c r="DR198" s="242"/>
      <c r="DS198" s="242"/>
      <c r="DT198" s="242"/>
      <c r="DU198" s="242"/>
      <c r="DV198" s="242"/>
      <c r="DW198" s="242"/>
      <c r="DX198" s="242"/>
      <c r="DY198" s="242"/>
      <c r="DZ198" s="242"/>
      <c r="EA198" s="242"/>
      <c r="EB198" s="242"/>
      <c r="EC198" s="242"/>
      <c r="ED198" s="242"/>
      <c r="EE198" s="242"/>
      <c r="EF198" s="242"/>
      <c r="EG198" s="242"/>
      <c r="EH198" s="242"/>
      <c r="EI198" s="242"/>
      <c r="EJ198" s="242"/>
      <c r="EK198" s="242"/>
      <c r="EL198" s="242"/>
      <c r="EM198" s="242"/>
      <c r="EN198" s="242"/>
      <c r="EO198" s="242"/>
      <c r="EP198" s="242"/>
      <c r="EQ198" s="242"/>
      <c r="ER198" s="242"/>
      <c r="ES198" s="242"/>
      <c r="ET198" s="242"/>
      <c r="EU198" s="242"/>
      <c r="EV198" s="242"/>
      <c r="EW198" s="242"/>
      <c r="EX198" s="242"/>
      <c r="EY198" s="242"/>
      <c r="EZ198" s="242"/>
      <c r="FA198" s="242"/>
      <c r="FB198" s="242"/>
      <c r="FC198" s="242"/>
      <c r="FD198" s="242"/>
      <c r="FE198" s="242"/>
      <c r="FF198" s="242"/>
      <c r="FG198" s="242"/>
      <c r="FH198" s="257"/>
      <c r="FI198" s="257"/>
      <c r="FJ198" s="257"/>
      <c r="FK198" s="257"/>
      <c r="FL198" s="257"/>
      <c r="FM198" s="257"/>
      <c r="FN198" s="257"/>
      <c r="FO198" s="257"/>
      <c r="FP198" s="257"/>
      <c r="FQ198" s="257"/>
      <c r="FR198" s="257"/>
      <c r="FS198" s="257"/>
      <c r="FT198" s="257"/>
      <c r="FU198" s="257"/>
      <c r="FV198" s="257"/>
      <c r="FW198" s="257"/>
      <c r="FX198" s="257"/>
      <c r="FY198" s="242"/>
      <c r="FZ198" s="242"/>
      <c r="GA198" s="242"/>
      <c r="GB198" s="242"/>
      <c r="GC198" s="242"/>
      <c r="GD198" s="242"/>
      <c r="GE198" s="242"/>
      <c r="GF198" s="242"/>
      <c r="GG198" s="242"/>
      <c r="GH198" s="242"/>
      <c r="GI198" s="242"/>
      <c r="GJ198" s="242"/>
      <c r="GK198" s="242"/>
      <c r="GL198" s="242"/>
      <c r="GM198" s="242"/>
      <c r="GN198" s="242"/>
      <c r="GO198" s="242"/>
      <c r="GP198" s="242"/>
      <c r="GQ198" s="242"/>
      <c r="GR198" s="242"/>
      <c r="GS198" s="242"/>
      <c r="GT198" s="242"/>
      <c r="GU198" s="242"/>
      <c r="GV198" s="242"/>
      <c r="GW198" s="242"/>
      <c r="GX198" s="242"/>
      <c r="GY198" s="242"/>
      <c r="GZ198" s="242"/>
      <c r="HA198" s="242"/>
      <c r="HB198" s="242"/>
      <c r="HC198" s="242"/>
      <c r="HD198" s="242"/>
      <c r="HE198" s="242"/>
      <c r="HF198" s="242"/>
      <c r="HG198" s="242"/>
      <c r="HH198" s="242"/>
      <c r="HI198" s="242"/>
      <c r="HJ198" s="242"/>
      <c r="HK198" s="242"/>
      <c r="HL198" s="242"/>
      <c r="HM198" s="242"/>
      <c r="HN198" s="242"/>
      <c r="HO198" s="242"/>
      <c r="HP198" s="242"/>
      <c r="HQ198" s="242"/>
      <c r="HR198" s="242"/>
      <c r="HS198" s="242"/>
      <c r="HT198" s="242"/>
      <c r="HU198" s="242"/>
      <c r="HV198" s="242"/>
      <c r="HW198" s="242"/>
      <c r="HX198" s="257"/>
      <c r="HY198" s="257"/>
      <c r="HZ198" s="257"/>
      <c r="IA198" s="257"/>
      <c r="IB198" s="257"/>
      <c r="IC198" s="257"/>
      <c r="ID198" s="257"/>
      <c r="IE198" s="257"/>
      <c r="IF198" s="257"/>
      <c r="IG198" s="257"/>
      <c r="IH198" s="257"/>
      <c r="II198" s="257"/>
      <c r="IJ198" s="257"/>
      <c r="IK198" s="257"/>
      <c r="IL198" s="257"/>
      <c r="IM198" s="257"/>
      <c r="IN198" s="257"/>
      <c r="IO198" s="257"/>
      <c r="IP198" s="257"/>
      <c r="IQ198" s="257"/>
      <c r="IR198" s="257"/>
      <c r="IS198" s="257"/>
      <c r="IT198" s="257"/>
      <c r="IU198" s="257"/>
      <c r="IV198" s="257"/>
      <c r="IW198" s="257"/>
      <c r="IX198" s="257"/>
      <c r="IY198" s="257"/>
      <c r="IZ198" s="257"/>
      <c r="JA198" s="257"/>
      <c r="JB198" s="257"/>
      <c r="JC198" s="257"/>
      <c r="JD198" s="257"/>
      <c r="JE198" s="257"/>
      <c r="JF198" s="242"/>
      <c r="JG198" s="242"/>
      <c r="JH198" s="242"/>
      <c r="JI198" s="242"/>
      <c r="JJ198" s="242"/>
      <c r="JK198" s="242"/>
      <c r="JL198" s="242"/>
      <c r="JM198" s="242"/>
      <c r="JN198" s="242"/>
      <c r="JO198" s="242"/>
      <c r="JP198" s="242"/>
      <c r="JQ198" s="242"/>
      <c r="JR198" s="242"/>
      <c r="JS198" s="242"/>
      <c r="JT198" s="242"/>
      <c r="JU198" s="242"/>
      <c r="JV198" s="242"/>
      <c r="JW198" s="242"/>
      <c r="JX198" s="242"/>
      <c r="JY198" s="242"/>
      <c r="JZ198" s="242"/>
      <c r="KA198" s="242"/>
      <c r="KB198" s="242"/>
      <c r="KC198" s="242"/>
      <c r="KD198" s="242"/>
      <c r="KE198" s="242"/>
      <c r="KF198" s="242"/>
      <c r="KG198" s="242"/>
      <c r="KH198" s="242"/>
      <c r="KI198" s="242"/>
      <c r="KJ198" s="242"/>
      <c r="KK198" s="242"/>
      <c r="KL198" s="242"/>
      <c r="KM198" s="242"/>
      <c r="KN198" s="242"/>
      <c r="KO198" s="242"/>
      <c r="KP198" s="242"/>
      <c r="KQ198" s="242"/>
      <c r="KR198" s="242"/>
      <c r="KS198" s="242"/>
      <c r="KT198" s="242"/>
      <c r="KU198" s="242"/>
      <c r="KV198" s="242"/>
      <c r="KW198" s="242"/>
      <c r="KX198" s="242"/>
      <c r="KY198" s="242"/>
      <c r="KZ198" s="242"/>
      <c r="LA198" s="242"/>
      <c r="LB198" s="242"/>
      <c r="LC198" s="242"/>
      <c r="LD198" s="242"/>
      <c r="LE198" s="242"/>
      <c r="LF198" s="242"/>
      <c r="LG198" s="242"/>
      <c r="LH198" s="242"/>
      <c r="LI198" s="242"/>
      <c r="LJ198" s="242"/>
      <c r="LK198" s="242"/>
      <c r="LL198" s="242"/>
      <c r="LM198" s="242"/>
      <c r="LN198" s="242"/>
      <c r="LO198" s="242"/>
      <c r="LP198" s="242"/>
      <c r="LQ198" s="242"/>
      <c r="LR198" s="242"/>
      <c r="LS198" s="242"/>
      <c r="LT198" s="242"/>
      <c r="LU198" s="242"/>
      <c r="LV198" s="242"/>
      <c r="LW198" s="242"/>
      <c r="LX198" s="242"/>
      <c r="LY198" s="242"/>
      <c r="LZ198" s="242"/>
      <c r="MA198" s="242"/>
      <c r="MB198" s="242"/>
      <c r="MC198" s="242"/>
      <c r="MD198" s="242"/>
      <c r="ME198" s="242"/>
      <c r="MF198" s="242"/>
      <c r="MG198" s="242"/>
      <c r="MH198" s="242"/>
      <c r="MI198" s="242"/>
      <c r="MJ198" s="242"/>
      <c r="MK198" s="242"/>
      <c r="ML198" s="242"/>
    </row>
    <row r="199" ht="18.75" customHeight="1">
      <c r="A199" s="283"/>
      <c r="B199" s="234" t="str">
        <f>'Building Bill of Materials_SLIM'!P199</f>
        <v/>
      </c>
      <c r="C199" s="234" t="str">
        <f>'Building Bill of Materials_SLIM'!Q199</f>
        <v/>
      </c>
      <c r="D199" s="234" t="str">
        <f>'Building Bill of Materials_SLIM'!R199</f>
        <v/>
      </c>
      <c r="E199" s="234" t="str">
        <f>'Building Bill of Materials_SLIM'!S199</f>
        <v/>
      </c>
      <c r="F199" s="234" t="str">
        <f>'Building Bill of Materials_SLIM'!U199</f>
        <v/>
      </c>
      <c r="G199" s="234"/>
      <c r="H199" s="234"/>
      <c r="I199" s="234"/>
      <c r="J199" s="234" t="str">
        <f>'Building Bill of Materials_SLIM'!V199</f>
        <v/>
      </c>
      <c r="K199" s="242"/>
      <c r="L199" s="242"/>
      <c r="M199" s="242"/>
      <c r="N199" s="242"/>
      <c r="O199" s="242"/>
      <c r="P199" s="242"/>
      <c r="Q199" s="242"/>
      <c r="R199" s="242"/>
      <c r="S199" s="242"/>
      <c r="T199" s="242"/>
      <c r="U199" s="242"/>
      <c r="V199" s="242"/>
      <c r="W199" s="242"/>
      <c r="X199" s="242"/>
      <c r="Y199" s="242"/>
      <c r="Z199" s="242"/>
      <c r="AA199" s="192"/>
      <c r="AB199" s="257"/>
      <c r="AC199" s="257"/>
      <c r="AD199" s="257"/>
      <c r="AE199" s="257"/>
      <c r="AF199" s="257"/>
      <c r="AG199" s="257"/>
      <c r="AH199" s="257"/>
      <c r="AI199" s="257"/>
      <c r="AJ199" s="257"/>
      <c r="AK199" s="257"/>
      <c r="AL199" s="257"/>
      <c r="AM199" s="257"/>
      <c r="AN199" s="257"/>
      <c r="AO199" s="257"/>
      <c r="AP199" s="257"/>
      <c r="AQ199" s="257"/>
      <c r="AR199" s="257"/>
      <c r="AS199" s="257"/>
      <c r="AT199" s="257"/>
      <c r="AU199" s="257"/>
      <c r="AV199" s="257"/>
      <c r="AW199" s="257"/>
      <c r="AX199" s="257"/>
      <c r="AY199" s="257"/>
      <c r="AZ199" s="257"/>
      <c r="BA199" s="257"/>
      <c r="BB199" s="257"/>
      <c r="BC199" s="257"/>
      <c r="BD199" s="257"/>
      <c r="BE199" s="257"/>
      <c r="BF199" s="257"/>
      <c r="BG199" s="257"/>
      <c r="BH199" s="257"/>
      <c r="BI199" s="257"/>
      <c r="BJ199" s="242"/>
      <c r="BK199" s="242"/>
      <c r="BL199" s="242"/>
      <c r="BM199" s="242"/>
      <c r="BN199" s="242"/>
      <c r="BO199" s="242"/>
      <c r="BP199" s="242"/>
      <c r="BQ199" s="242"/>
      <c r="BR199" s="242"/>
      <c r="BS199" s="242"/>
      <c r="BT199" s="242"/>
      <c r="BU199" s="242"/>
      <c r="BV199" s="242"/>
      <c r="BW199" s="242"/>
      <c r="BX199" s="242"/>
      <c r="BY199" s="242"/>
      <c r="BZ199" s="242"/>
      <c r="CA199" s="242"/>
      <c r="CB199" s="242"/>
      <c r="CC199" s="242"/>
      <c r="CD199" s="242"/>
      <c r="CE199" s="257"/>
      <c r="CF199" s="257"/>
      <c r="CG199" s="242"/>
      <c r="CH199" s="242"/>
      <c r="CI199" s="242"/>
      <c r="CJ199" s="242"/>
      <c r="CK199" s="242"/>
      <c r="CL199" s="242"/>
      <c r="CM199" s="242"/>
      <c r="CN199" s="242"/>
      <c r="CO199" s="242"/>
      <c r="CP199" s="242"/>
      <c r="CQ199" s="242"/>
      <c r="CR199" s="242"/>
      <c r="CS199" s="242"/>
      <c r="CT199" s="242"/>
      <c r="CU199" s="242"/>
      <c r="CV199" s="242"/>
      <c r="CW199" s="242"/>
      <c r="CX199" s="242"/>
      <c r="CY199" s="242"/>
      <c r="CZ199" s="242"/>
      <c r="DA199" s="242"/>
      <c r="DB199" s="242"/>
      <c r="DC199" s="242"/>
      <c r="DD199" s="242"/>
      <c r="DE199" s="242"/>
      <c r="DF199" s="242"/>
      <c r="DG199" s="257"/>
      <c r="DH199" s="242"/>
      <c r="DI199" s="242"/>
      <c r="DJ199" s="242"/>
      <c r="DK199" s="242"/>
      <c r="DL199" s="242"/>
      <c r="DM199" s="242"/>
      <c r="DN199" s="242"/>
      <c r="DO199" s="242"/>
      <c r="DP199" s="242"/>
      <c r="DQ199" s="242"/>
      <c r="DR199" s="242"/>
      <c r="DS199" s="242"/>
      <c r="DT199" s="242"/>
      <c r="DU199" s="242"/>
      <c r="DV199" s="242"/>
      <c r="DW199" s="242"/>
      <c r="DX199" s="242"/>
      <c r="DY199" s="242"/>
      <c r="DZ199" s="242"/>
      <c r="EA199" s="242"/>
      <c r="EB199" s="242"/>
      <c r="EC199" s="242"/>
      <c r="ED199" s="242"/>
      <c r="EE199" s="242"/>
      <c r="EF199" s="242"/>
      <c r="EG199" s="242"/>
      <c r="EH199" s="242"/>
      <c r="EI199" s="242"/>
      <c r="EJ199" s="242"/>
      <c r="EK199" s="242"/>
      <c r="EL199" s="242"/>
      <c r="EM199" s="242"/>
      <c r="EN199" s="242"/>
      <c r="EO199" s="242"/>
      <c r="EP199" s="242"/>
      <c r="EQ199" s="242"/>
      <c r="ER199" s="242"/>
      <c r="ES199" s="242"/>
      <c r="ET199" s="242"/>
      <c r="EU199" s="242"/>
      <c r="EV199" s="242"/>
      <c r="EW199" s="242"/>
      <c r="EX199" s="242"/>
      <c r="EY199" s="242"/>
      <c r="EZ199" s="242"/>
      <c r="FA199" s="242"/>
      <c r="FB199" s="242"/>
      <c r="FC199" s="242"/>
      <c r="FD199" s="242"/>
      <c r="FE199" s="242"/>
      <c r="FF199" s="242"/>
      <c r="FG199" s="242"/>
      <c r="FH199" s="257"/>
      <c r="FI199" s="257"/>
      <c r="FJ199" s="257"/>
      <c r="FK199" s="257"/>
      <c r="FL199" s="257"/>
      <c r="FM199" s="257"/>
      <c r="FN199" s="257"/>
      <c r="FO199" s="257"/>
      <c r="FP199" s="257"/>
      <c r="FQ199" s="257"/>
      <c r="FR199" s="257"/>
      <c r="FS199" s="257"/>
      <c r="FT199" s="257"/>
      <c r="FU199" s="257"/>
      <c r="FV199" s="257"/>
      <c r="FW199" s="257"/>
      <c r="FX199" s="257"/>
      <c r="FY199" s="242"/>
      <c r="FZ199" s="242"/>
      <c r="GA199" s="242"/>
      <c r="GB199" s="242"/>
      <c r="GC199" s="242"/>
      <c r="GD199" s="242"/>
      <c r="GE199" s="242"/>
      <c r="GF199" s="242"/>
      <c r="GG199" s="242"/>
      <c r="GH199" s="242"/>
      <c r="GI199" s="242"/>
      <c r="GJ199" s="242"/>
      <c r="GK199" s="242"/>
      <c r="GL199" s="242"/>
      <c r="GM199" s="242"/>
      <c r="GN199" s="242"/>
      <c r="GO199" s="242"/>
      <c r="GP199" s="242"/>
      <c r="GQ199" s="242"/>
      <c r="GR199" s="242"/>
      <c r="GS199" s="242"/>
      <c r="GT199" s="242"/>
      <c r="GU199" s="242"/>
      <c r="GV199" s="242"/>
      <c r="GW199" s="242"/>
      <c r="GX199" s="242"/>
      <c r="GY199" s="242"/>
      <c r="GZ199" s="242"/>
      <c r="HA199" s="242"/>
      <c r="HB199" s="242"/>
      <c r="HC199" s="242"/>
      <c r="HD199" s="242"/>
      <c r="HE199" s="242"/>
      <c r="HF199" s="242"/>
      <c r="HG199" s="242"/>
      <c r="HH199" s="242"/>
      <c r="HI199" s="242"/>
      <c r="HJ199" s="242"/>
      <c r="HK199" s="242"/>
      <c r="HL199" s="242"/>
      <c r="HM199" s="242"/>
      <c r="HN199" s="242"/>
      <c r="HO199" s="242"/>
      <c r="HP199" s="242"/>
      <c r="HQ199" s="242"/>
      <c r="HR199" s="242"/>
      <c r="HS199" s="242"/>
      <c r="HT199" s="242"/>
      <c r="HU199" s="242"/>
      <c r="HV199" s="242"/>
      <c r="HW199" s="242"/>
      <c r="HX199" s="257"/>
      <c r="HY199" s="257"/>
      <c r="HZ199" s="257"/>
      <c r="IA199" s="257"/>
      <c r="IB199" s="257"/>
      <c r="IC199" s="257"/>
      <c r="ID199" s="257"/>
      <c r="IE199" s="257"/>
      <c r="IF199" s="257"/>
      <c r="IG199" s="257"/>
      <c r="IH199" s="257"/>
      <c r="II199" s="257"/>
      <c r="IJ199" s="257"/>
      <c r="IK199" s="257"/>
      <c r="IL199" s="257"/>
      <c r="IM199" s="257"/>
      <c r="IN199" s="257"/>
      <c r="IO199" s="257"/>
      <c r="IP199" s="257"/>
      <c r="IQ199" s="257"/>
      <c r="IR199" s="257"/>
      <c r="IS199" s="257"/>
      <c r="IT199" s="257"/>
      <c r="IU199" s="257"/>
      <c r="IV199" s="257"/>
      <c r="IW199" s="257"/>
      <c r="IX199" s="257"/>
      <c r="IY199" s="257"/>
      <c r="IZ199" s="257"/>
      <c r="JA199" s="257"/>
      <c r="JB199" s="257"/>
      <c r="JC199" s="257"/>
      <c r="JD199" s="257"/>
      <c r="JE199" s="257"/>
      <c r="JF199" s="242"/>
      <c r="JG199" s="242"/>
      <c r="JH199" s="242"/>
      <c r="JI199" s="242"/>
      <c r="JJ199" s="242"/>
      <c r="JK199" s="242"/>
      <c r="JL199" s="242"/>
      <c r="JM199" s="242"/>
      <c r="JN199" s="242"/>
      <c r="JO199" s="242"/>
      <c r="JP199" s="242"/>
      <c r="JQ199" s="242"/>
      <c r="JR199" s="242"/>
      <c r="JS199" s="242"/>
      <c r="JT199" s="242"/>
      <c r="JU199" s="242"/>
      <c r="JV199" s="242"/>
      <c r="JW199" s="242"/>
      <c r="JX199" s="242"/>
      <c r="JY199" s="242"/>
      <c r="JZ199" s="242"/>
      <c r="KA199" s="242"/>
      <c r="KB199" s="242"/>
      <c r="KC199" s="242"/>
      <c r="KD199" s="242"/>
      <c r="KE199" s="242"/>
      <c r="KF199" s="242"/>
      <c r="KG199" s="242"/>
      <c r="KH199" s="242"/>
      <c r="KI199" s="242"/>
      <c r="KJ199" s="242"/>
      <c r="KK199" s="242"/>
      <c r="KL199" s="242"/>
      <c r="KM199" s="242"/>
      <c r="KN199" s="242"/>
      <c r="KO199" s="242"/>
      <c r="KP199" s="242"/>
      <c r="KQ199" s="242"/>
      <c r="KR199" s="242"/>
      <c r="KS199" s="242"/>
      <c r="KT199" s="242"/>
      <c r="KU199" s="242"/>
      <c r="KV199" s="242"/>
      <c r="KW199" s="242"/>
      <c r="KX199" s="242"/>
      <c r="KY199" s="242"/>
      <c r="KZ199" s="242"/>
      <c r="LA199" s="242"/>
      <c r="LB199" s="242"/>
      <c r="LC199" s="242"/>
      <c r="LD199" s="242"/>
      <c r="LE199" s="242"/>
      <c r="LF199" s="242"/>
      <c r="LG199" s="242"/>
      <c r="LH199" s="242"/>
      <c r="LI199" s="242"/>
      <c r="LJ199" s="242"/>
      <c r="LK199" s="242"/>
      <c r="LL199" s="242"/>
      <c r="LM199" s="242"/>
      <c r="LN199" s="242"/>
      <c r="LO199" s="242"/>
      <c r="LP199" s="242"/>
      <c r="LQ199" s="242"/>
      <c r="LR199" s="242"/>
      <c r="LS199" s="242"/>
      <c r="LT199" s="242"/>
      <c r="LU199" s="242"/>
      <c r="LV199" s="242"/>
      <c r="LW199" s="242"/>
      <c r="LX199" s="242"/>
      <c r="LY199" s="242"/>
      <c r="LZ199" s="242"/>
      <c r="MA199" s="242"/>
      <c r="MB199" s="242"/>
      <c r="MC199" s="242"/>
      <c r="MD199" s="242"/>
      <c r="ME199" s="242"/>
      <c r="MF199" s="242"/>
      <c r="MG199" s="242"/>
      <c r="MH199" s="242"/>
      <c r="MI199" s="242"/>
      <c r="MJ199" s="242"/>
      <c r="MK199" s="242"/>
      <c r="ML199" s="242"/>
    </row>
    <row r="200" ht="18.75" customHeight="1">
      <c r="A200" s="283"/>
      <c r="B200" s="234" t="str">
        <f>'Building Bill of Materials_SLIM'!P200</f>
        <v/>
      </c>
      <c r="C200" s="234" t="str">
        <f>'Building Bill of Materials_SLIM'!Q200</f>
        <v/>
      </c>
      <c r="D200" s="234" t="str">
        <f>'Building Bill of Materials_SLIM'!R200</f>
        <v/>
      </c>
      <c r="E200" s="234" t="str">
        <f>'Building Bill of Materials_SLIM'!S200</f>
        <v/>
      </c>
      <c r="F200" s="234" t="str">
        <f>'Building Bill of Materials_SLIM'!U200</f>
        <v/>
      </c>
      <c r="G200" s="234"/>
      <c r="H200" s="234"/>
      <c r="I200" s="234"/>
      <c r="J200" s="234" t="str">
        <f>'Building Bill of Materials_SLIM'!V200</f>
        <v/>
      </c>
      <c r="K200" s="242"/>
      <c r="L200" s="242"/>
      <c r="M200" s="242"/>
      <c r="N200" s="242"/>
      <c r="O200" s="242"/>
      <c r="P200" s="242"/>
      <c r="Q200" s="242"/>
      <c r="R200" s="242"/>
      <c r="S200" s="242"/>
      <c r="T200" s="242"/>
      <c r="U200" s="242"/>
      <c r="V200" s="242"/>
      <c r="W200" s="242"/>
      <c r="X200" s="242"/>
      <c r="Y200" s="242"/>
      <c r="Z200" s="242"/>
      <c r="AA200" s="192"/>
      <c r="AB200" s="257"/>
      <c r="AC200" s="257"/>
      <c r="AD200" s="257"/>
      <c r="AE200" s="257"/>
      <c r="AF200" s="257"/>
      <c r="AG200" s="257"/>
      <c r="AH200" s="257"/>
      <c r="AI200" s="257"/>
      <c r="AJ200" s="257"/>
      <c r="AK200" s="257"/>
      <c r="AL200" s="257"/>
      <c r="AM200" s="257"/>
      <c r="AN200" s="257"/>
      <c r="AO200" s="257"/>
      <c r="AP200" s="257"/>
      <c r="AQ200" s="257"/>
      <c r="AR200" s="257"/>
      <c r="AS200" s="257"/>
      <c r="AT200" s="257"/>
      <c r="AU200" s="257"/>
      <c r="AV200" s="257"/>
      <c r="AW200" s="257"/>
      <c r="AX200" s="257"/>
      <c r="AY200" s="257"/>
      <c r="AZ200" s="257"/>
      <c r="BA200" s="257"/>
      <c r="BB200" s="257"/>
      <c r="BC200" s="257"/>
      <c r="BD200" s="257"/>
      <c r="BE200" s="257"/>
      <c r="BF200" s="257"/>
      <c r="BG200" s="257"/>
      <c r="BH200" s="257"/>
      <c r="BI200" s="257"/>
      <c r="BJ200" s="242"/>
      <c r="BK200" s="242"/>
      <c r="BL200" s="242"/>
      <c r="BM200" s="242"/>
      <c r="BN200" s="242"/>
      <c r="BO200" s="242"/>
      <c r="BP200" s="242"/>
      <c r="BQ200" s="242"/>
      <c r="BR200" s="242"/>
      <c r="BS200" s="242"/>
      <c r="BT200" s="242"/>
      <c r="BU200" s="242"/>
      <c r="BV200" s="242"/>
      <c r="BW200" s="242"/>
      <c r="BX200" s="242"/>
      <c r="BY200" s="242"/>
      <c r="BZ200" s="242"/>
      <c r="CA200" s="242"/>
      <c r="CB200" s="242"/>
      <c r="CC200" s="242"/>
      <c r="CD200" s="242"/>
      <c r="CE200" s="257"/>
      <c r="CF200" s="257"/>
      <c r="CG200" s="242"/>
      <c r="CH200" s="242"/>
      <c r="CI200" s="242"/>
      <c r="CJ200" s="242"/>
      <c r="CK200" s="242"/>
      <c r="CL200" s="242"/>
      <c r="CM200" s="242"/>
      <c r="CN200" s="242"/>
      <c r="CO200" s="242"/>
      <c r="CP200" s="242"/>
      <c r="CQ200" s="242"/>
      <c r="CR200" s="242"/>
      <c r="CS200" s="242"/>
      <c r="CT200" s="242"/>
      <c r="CU200" s="242"/>
      <c r="CV200" s="242"/>
      <c r="CW200" s="242"/>
      <c r="CX200" s="242"/>
      <c r="CY200" s="242"/>
      <c r="CZ200" s="242"/>
      <c r="DA200" s="242"/>
      <c r="DB200" s="242"/>
      <c r="DC200" s="242"/>
      <c r="DD200" s="242"/>
      <c r="DE200" s="242"/>
      <c r="DF200" s="242"/>
      <c r="DG200" s="257"/>
      <c r="DH200" s="242"/>
      <c r="DI200" s="242"/>
      <c r="DJ200" s="242"/>
      <c r="DK200" s="242"/>
      <c r="DL200" s="242"/>
      <c r="DM200" s="242"/>
      <c r="DN200" s="242"/>
      <c r="DO200" s="242"/>
      <c r="DP200" s="242"/>
      <c r="DQ200" s="242"/>
      <c r="DR200" s="242"/>
      <c r="DS200" s="242"/>
      <c r="DT200" s="242"/>
      <c r="DU200" s="242"/>
      <c r="DV200" s="242"/>
      <c r="DW200" s="242"/>
      <c r="DX200" s="242"/>
      <c r="DY200" s="242"/>
      <c r="DZ200" s="242"/>
      <c r="EA200" s="242"/>
      <c r="EB200" s="242"/>
      <c r="EC200" s="242"/>
      <c r="ED200" s="242"/>
      <c r="EE200" s="242"/>
      <c r="EF200" s="242"/>
      <c r="EG200" s="242"/>
      <c r="EH200" s="242"/>
      <c r="EI200" s="242"/>
      <c r="EJ200" s="242"/>
      <c r="EK200" s="242"/>
      <c r="EL200" s="242"/>
      <c r="EM200" s="242"/>
      <c r="EN200" s="242"/>
      <c r="EO200" s="242"/>
      <c r="EP200" s="242"/>
      <c r="EQ200" s="242"/>
      <c r="ER200" s="242"/>
      <c r="ES200" s="242"/>
      <c r="ET200" s="242"/>
      <c r="EU200" s="242"/>
      <c r="EV200" s="242"/>
      <c r="EW200" s="242"/>
      <c r="EX200" s="242"/>
      <c r="EY200" s="242"/>
      <c r="EZ200" s="242"/>
      <c r="FA200" s="242"/>
      <c r="FB200" s="242"/>
      <c r="FC200" s="242"/>
      <c r="FD200" s="242"/>
      <c r="FE200" s="242"/>
      <c r="FF200" s="242"/>
      <c r="FG200" s="242"/>
      <c r="FH200" s="257"/>
      <c r="FI200" s="257"/>
      <c r="FJ200" s="257"/>
      <c r="FK200" s="257"/>
      <c r="FL200" s="257"/>
      <c r="FM200" s="257"/>
      <c r="FN200" s="257"/>
      <c r="FO200" s="257"/>
      <c r="FP200" s="257"/>
      <c r="FQ200" s="257"/>
      <c r="FR200" s="257"/>
      <c r="FS200" s="257"/>
      <c r="FT200" s="257"/>
      <c r="FU200" s="257"/>
      <c r="FV200" s="257"/>
      <c r="FW200" s="257"/>
      <c r="FX200" s="257"/>
      <c r="FY200" s="242"/>
      <c r="FZ200" s="242"/>
      <c r="GA200" s="242"/>
      <c r="GB200" s="242"/>
      <c r="GC200" s="242"/>
      <c r="GD200" s="242"/>
      <c r="GE200" s="242"/>
      <c r="GF200" s="242"/>
      <c r="GG200" s="242"/>
      <c r="GH200" s="242"/>
      <c r="GI200" s="242"/>
      <c r="GJ200" s="242"/>
      <c r="GK200" s="242"/>
      <c r="GL200" s="242"/>
      <c r="GM200" s="242"/>
      <c r="GN200" s="242"/>
      <c r="GO200" s="242"/>
      <c r="GP200" s="242"/>
      <c r="GQ200" s="242"/>
      <c r="GR200" s="242"/>
      <c r="GS200" s="242"/>
      <c r="GT200" s="242"/>
      <c r="GU200" s="242"/>
      <c r="GV200" s="242"/>
      <c r="GW200" s="242"/>
      <c r="GX200" s="242"/>
      <c r="GY200" s="242"/>
      <c r="GZ200" s="242"/>
      <c r="HA200" s="242"/>
      <c r="HB200" s="242"/>
      <c r="HC200" s="242"/>
      <c r="HD200" s="242"/>
      <c r="HE200" s="242"/>
      <c r="HF200" s="242"/>
      <c r="HG200" s="242"/>
      <c r="HH200" s="242"/>
      <c r="HI200" s="242"/>
      <c r="HJ200" s="242"/>
      <c r="HK200" s="242"/>
      <c r="HL200" s="242"/>
      <c r="HM200" s="242"/>
      <c r="HN200" s="242"/>
      <c r="HO200" s="242"/>
      <c r="HP200" s="242"/>
      <c r="HQ200" s="242"/>
      <c r="HR200" s="242"/>
      <c r="HS200" s="242"/>
      <c r="HT200" s="242"/>
      <c r="HU200" s="242"/>
      <c r="HV200" s="242"/>
      <c r="HW200" s="242"/>
      <c r="HX200" s="257"/>
      <c r="HY200" s="257"/>
      <c r="HZ200" s="257"/>
      <c r="IA200" s="257"/>
      <c r="IB200" s="257"/>
      <c r="IC200" s="257"/>
      <c r="ID200" s="257"/>
      <c r="IE200" s="257"/>
      <c r="IF200" s="257"/>
      <c r="IG200" s="257"/>
      <c r="IH200" s="257"/>
      <c r="II200" s="257"/>
      <c r="IJ200" s="257"/>
      <c r="IK200" s="257"/>
      <c r="IL200" s="257"/>
      <c r="IM200" s="257"/>
      <c r="IN200" s="257"/>
      <c r="IO200" s="257"/>
      <c r="IP200" s="257"/>
      <c r="IQ200" s="257"/>
      <c r="IR200" s="257"/>
      <c r="IS200" s="257"/>
      <c r="IT200" s="257"/>
      <c r="IU200" s="257"/>
      <c r="IV200" s="257"/>
      <c r="IW200" s="257"/>
      <c r="IX200" s="257"/>
      <c r="IY200" s="257"/>
      <c r="IZ200" s="257"/>
      <c r="JA200" s="257"/>
      <c r="JB200" s="257"/>
      <c r="JC200" s="257"/>
      <c r="JD200" s="257"/>
      <c r="JE200" s="257"/>
      <c r="JF200" s="242"/>
      <c r="JG200" s="242"/>
      <c r="JH200" s="242"/>
      <c r="JI200" s="242"/>
      <c r="JJ200" s="242"/>
      <c r="JK200" s="242"/>
      <c r="JL200" s="242"/>
      <c r="JM200" s="242"/>
      <c r="JN200" s="242"/>
      <c r="JO200" s="242"/>
      <c r="JP200" s="242"/>
      <c r="JQ200" s="242"/>
      <c r="JR200" s="242"/>
      <c r="JS200" s="242"/>
      <c r="JT200" s="242"/>
      <c r="JU200" s="242"/>
      <c r="JV200" s="242"/>
      <c r="JW200" s="242"/>
      <c r="JX200" s="242"/>
      <c r="JY200" s="242"/>
      <c r="JZ200" s="242"/>
      <c r="KA200" s="242"/>
      <c r="KB200" s="242"/>
      <c r="KC200" s="242"/>
      <c r="KD200" s="242"/>
      <c r="KE200" s="242"/>
      <c r="KF200" s="242"/>
      <c r="KG200" s="242"/>
      <c r="KH200" s="242"/>
      <c r="KI200" s="242"/>
      <c r="KJ200" s="242"/>
      <c r="KK200" s="242"/>
      <c r="KL200" s="242"/>
      <c r="KM200" s="242"/>
      <c r="KN200" s="242"/>
      <c r="KO200" s="242"/>
      <c r="KP200" s="242"/>
      <c r="KQ200" s="242"/>
      <c r="KR200" s="242"/>
      <c r="KS200" s="242"/>
      <c r="KT200" s="242"/>
      <c r="KU200" s="242"/>
      <c r="KV200" s="242"/>
      <c r="KW200" s="242"/>
      <c r="KX200" s="242"/>
      <c r="KY200" s="242"/>
      <c r="KZ200" s="242"/>
      <c r="LA200" s="242"/>
      <c r="LB200" s="242"/>
      <c r="LC200" s="242"/>
      <c r="LD200" s="242"/>
      <c r="LE200" s="242"/>
      <c r="LF200" s="242"/>
      <c r="LG200" s="242"/>
      <c r="LH200" s="242"/>
      <c r="LI200" s="242"/>
      <c r="LJ200" s="242"/>
      <c r="LK200" s="242"/>
      <c r="LL200" s="242"/>
      <c r="LM200" s="242"/>
      <c r="LN200" s="242"/>
      <c r="LO200" s="242"/>
      <c r="LP200" s="242"/>
      <c r="LQ200" s="242"/>
      <c r="LR200" s="242"/>
      <c r="LS200" s="242"/>
      <c r="LT200" s="242"/>
      <c r="LU200" s="242"/>
      <c r="LV200" s="242"/>
      <c r="LW200" s="242"/>
      <c r="LX200" s="242"/>
      <c r="LY200" s="242"/>
      <c r="LZ200" s="242"/>
      <c r="MA200" s="242"/>
      <c r="MB200" s="242"/>
      <c r="MC200" s="242"/>
      <c r="MD200" s="242"/>
      <c r="ME200" s="242"/>
      <c r="MF200" s="242"/>
      <c r="MG200" s="242"/>
      <c r="MH200" s="242"/>
      <c r="MI200" s="242"/>
      <c r="MJ200" s="242"/>
      <c r="MK200" s="242"/>
      <c r="ML200" s="242"/>
    </row>
    <row r="201" ht="18.75" customHeight="1">
      <c r="A201" s="283"/>
      <c r="B201" s="234" t="str">
        <f>'Building Bill of Materials_SLIM'!P201</f>
        <v/>
      </c>
      <c r="C201" s="234" t="str">
        <f>'Building Bill of Materials_SLIM'!Q201</f>
        <v/>
      </c>
      <c r="D201" s="234" t="str">
        <f>'Building Bill of Materials_SLIM'!R201</f>
        <v/>
      </c>
      <c r="E201" s="234" t="str">
        <f>'Building Bill of Materials_SLIM'!S201</f>
        <v/>
      </c>
      <c r="F201" s="234" t="str">
        <f>'Building Bill of Materials_SLIM'!U201</f>
        <v/>
      </c>
      <c r="G201" s="234"/>
      <c r="H201" s="234"/>
      <c r="I201" s="234"/>
      <c r="J201" s="234" t="str">
        <f>'Building Bill of Materials_SLIM'!V201</f>
        <v/>
      </c>
      <c r="K201" s="242"/>
      <c r="L201" s="242"/>
      <c r="M201" s="242"/>
      <c r="N201" s="242"/>
      <c r="O201" s="242"/>
      <c r="P201" s="242"/>
      <c r="Q201" s="242"/>
      <c r="R201" s="242"/>
      <c r="S201" s="242"/>
      <c r="T201" s="242"/>
      <c r="U201" s="242"/>
      <c r="V201" s="242"/>
      <c r="W201" s="242"/>
      <c r="X201" s="242"/>
      <c r="Y201" s="242"/>
      <c r="Z201" s="242"/>
      <c r="AA201" s="192"/>
      <c r="AB201" s="257"/>
      <c r="AC201" s="257"/>
      <c r="AD201" s="257"/>
      <c r="AE201" s="257"/>
      <c r="AF201" s="257"/>
      <c r="AG201" s="257"/>
      <c r="AH201" s="257"/>
      <c r="AI201" s="257"/>
      <c r="AJ201" s="257"/>
      <c r="AK201" s="257"/>
      <c r="AL201" s="257"/>
      <c r="AM201" s="257"/>
      <c r="AN201" s="257"/>
      <c r="AO201" s="257"/>
      <c r="AP201" s="257"/>
      <c r="AQ201" s="257"/>
      <c r="AR201" s="257"/>
      <c r="AS201" s="257"/>
      <c r="AT201" s="257"/>
      <c r="AU201" s="257"/>
      <c r="AV201" s="257"/>
      <c r="AW201" s="257"/>
      <c r="AX201" s="257"/>
      <c r="AY201" s="257"/>
      <c r="AZ201" s="257"/>
      <c r="BA201" s="257"/>
      <c r="BB201" s="257"/>
      <c r="BC201" s="257"/>
      <c r="BD201" s="257"/>
      <c r="BE201" s="257"/>
      <c r="BF201" s="257"/>
      <c r="BG201" s="257"/>
      <c r="BH201" s="257"/>
      <c r="BI201" s="257"/>
      <c r="BJ201" s="242"/>
      <c r="BK201" s="242"/>
      <c r="BL201" s="242"/>
      <c r="BM201" s="242"/>
      <c r="BN201" s="242"/>
      <c r="BO201" s="242"/>
      <c r="BP201" s="242"/>
      <c r="BQ201" s="242"/>
      <c r="BR201" s="242"/>
      <c r="BS201" s="242"/>
      <c r="BT201" s="242"/>
      <c r="BU201" s="242"/>
      <c r="BV201" s="242"/>
      <c r="BW201" s="242"/>
      <c r="BX201" s="242"/>
      <c r="BY201" s="242"/>
      <c r="BZ201" s="242"/>
      <c r="CA201" s="242"/>
      <c r="CB201" s="242"/>
      <c r="CC201" s="242"/>
      <c r="CD201" s="242"/>
      <c r="CE201" s="257"/>
      <c r="CF201" s="257"/>
      <c r="CG201" s="242"/>
      <c r="CH201" s="242"/>
      <c r="CI201" s="242"/>
      <c r="CJ201" s="242"/>
      <c r="CK201" s="242"/>
      <c r="CL201" s="242"/>
      <c r="CM201" s="242"/>
      <c r="CN201" s="242"/>
      <c r="CO201" s="242"/>
      <c r="CP201" s="242"/>
      <c r="CQ201" s="242"/>
      <c r="CR201" s="242"/>
      <c r="CS201" s="242"/>
      <c r="CT201" s="242"/>
      <c r="CU201" s="242"/>
      <c r="CV201" s="242"/>
      <c r="CW201" s="242"/>
      <c r="CX201" s="242"/>
      <c r="CY201" s="242"/>
      <c r="CZ201" s="242"/>
      <c r="DA201" s="242"/>
      <c r="DB201" s="242"/>
      <c r="DC201" s="242"/>
      <c r="DD201" s="242"/>
      <c r="DE201" s="242"/>
      <c r="DF201" s="242"/>
      <c r="DG201" s="257"/>
      <c r="DH201" s="242"/>
      <c r="DI201" s="242"/>
      <c r="DJ201" s="242"/>
      <c r="DK201" s="242"/>
      <c r="DL201" s="242"/>
      <c r="DM201" s="242"/>
      <c r="DN201" s="242"/>
      <c r="DO201" s="242"/>
      <c r="DP201" s="242"/>
      <c r="DQ201" s="242"/>
      <c r="DR201" s="242"/>
      <c r="DS201" s="242"/>
      <c r="DT201" s="242"/>
      <c r="DU201" s="242"/>
      <c r="DV201" s="242"/>
      <c r="DW201" s="242"/>
      <c r="DX201" s="242"/>
      <c r="DY201" s="242"/>
      <c r="DZ201" s="242"/>
      <c r="EA201" s="242"/>
      <c r="EB201" s="242"/>
      <c r="EC201" s="242"/>
      <c r="ED201" s="242"/>
      <c r="EE201" s="242"/>
      <c r="EF201" s="242"/>
      <c r="EG201" s="242"/>
      <c r="EH201" s="242"/>
      <c r="EI201" s="242"/>
      <c r="EJ201" s="242"/>
      <c r="EK201" s="242"/>
      <c r="EL201" s="242"/>
      <c r="EM201" s="242"/>
      <c r="EN201" s="242"/>
      <c r="EO201" s="242"/>
      <c r="EP201" s="242"/>
      <c r="EQ201" s="242"/>
      <c r="ER201" s="242"/>
      <c r="ES201" s="242"/>
      <c r="ET201" s="242"/>
      <c r="EU201" s="242"/>
      <c r="EV201" s="242"/>
      <c r="EW201" s="242"/>
      <c r="EX201" s="242"/>
      <c r="EY201" s="242"/>
      <c r="EZ201" s="242"/>
      <c r="FA201" s="242"/>
      <c r="FB201" s="242"/>
      <c r="FC201" s="242"/>
      <c r="FD201" s="242"/>
      <c r="FE201" s="242"/>
      <c r="FF201" s="242"/>
      <c r="FG201" s="242"/>
      <c r="FH201" s="257"/>
      <c r="FI201" s="257"/>
      <c r="FJ201" s="257"/>
      <c r="FK201" s="257"/>
      <c r="FL201" s="257"/>
      <c r="FM201" s="257"/>
      <c r="FN201" s="257"/>
      <c r="FO201" s="257"/>
      <c r="FP201" s="257"/>
      <c r="FQ201" s="257"/>
      <c r="FR201" s="257"/>
      <c r="FS201" s="257"/>
      <c r="FT201" s="257"/>
      <c r="FU201" s="257"/>
      <c r="FV201" s="257"/>
      <c r="FW201" s="257"/>
      <c r="FX201" s="257"/>
      <c r="FY201" s="242"/>
      <c r="FZ201" s="242"/>
      <c r="GA201" s="242"/>
      <c r="GB201" s="242"/>
      <c r="GC201" s="242"/>
      <c r="GD201" s="242"/>
      <c r="GE201" s="242"/>
      <c r="GF201" s="242"/>
      <c r="GG201" s="242"/>
      <c r="GH201" s="242"/>
      <c r="GI201" s="242"/>
      <c r="GJ201" s="242"/>
      <c r="GK201" s="242"/>
      <c r="GL201" s="242"/>
      <c r="GM201" s="242"/>
      <c r="GN201" s="242"/>
      <c r="GO201" s="242"/>
      <c r="GP201" s="242"/>
      <c r="GQ201" s="242"/>
      <c r="GR201" s="242"/>
      <c r="GS201" s="242"/>
      <c r="GT201" s="242"/>
      <c r="GU201" s="242"/>
      <c r="GV201" s="242"/>
      <c r="GW201" s="242"/>
      <c r="GX201" s="242"/>
      <c r="GY201" s="242"/>
      <c r="GZ201" s="242"/>
      <c r="HA201" s="242"/>
      <c r="HB201" s="242"/>
      <c r="HC201" s="242"/>
      <c r="HD201" s="242"/>
      <c r="HE201" s="242"/>
      <c r="HF201" s="242"/>
      <c r="HG201" s="242"/>
      <c r="HH201" s="242"/>
      <c r="HI201" s="242"/>
      <c r="HJ201" s="242"/>
      <c r="HK201" s="242"/>
      <c r="HL201" s="242"/>
      <c r="HM201" s="242"/>
      <c r="HN201" s="242"/>
      <c r="HO201" s="242"/>
      <c r="HP201" s="242"/>
      <c r="HQ201" s="242"/>
      <c r="HR201" s="242"/>
      <c r="HS201" s="242"/>
      <c r="HT201" s="242"/>
      <c r="HU201" s="242"/>
      <c r="HV201" s="242"/>
      <c r="HW201" s="242"/>
      <c r="HX201" s="257"/>
      <c r="HY201" s="257"/>
      <c r="HZ201" s="257"/>
      <c r="IA201" s="257"/>
      <c r="IB201" s="257"/>
      <c r="IC201" s="257"/>
      <c r="ID201" s="257"/>
      <c r="IE201" s="257"/>
      <c r="IF201" s="257"/>
      <c r="IG201" s="257"/>
      <c r="IH201" s="257"/>
      <c r="II201" s="257"/>
      <c r="IJ201" s="257"/>
      <c r="IK201" s="257"/>
      <c r="IL201" s="257"/>
      <c r="IM201" s="257"/>
      <c r="IN201" s="257"/>
      <c r="IO201" s="257"/>
      <c r="IP201" s="257"/>
      <c r="IQ201" s="257"/>
      <c r="IR201" s="257"/>
      <c r="IS201" s="257"/>
      <c r="IT201" s="257"/>
      <c r="IU201" s="257"/>
      <c r="IV201" s="257"/>
      <c r="IW201" s="257"/>
      <c r="IX201" s="257"/>
      <c r="IY201" s="257"/>
      <c r="IZ201" s="257"/>
      <c r="JA201" s="257"/>
      <c r="JB201" s="257"/>
      <c r="JC201" s="257"/>
      <c r="JD201" s="257"/>
      <c r="JE201" s="257"/>
      <c r="JF201" s="242"/>
      <c r="JG201" s="242"/>
      <c r="JH201" s="242"/>
      <c r="JI201" s="242"/>
      <c r="JJ201" s="242"/>
      <c r="JK201" s="242"/>
      <c r="JL201" s="242"/>
      <c r="JM201" s="242"/>
      <c r="JN201" s="242"/>
      <c r="JO201" s="242"/>
      <c r="JP201" s="242"/>
      <c r="JQ201" s="242"/>
      <c r="JR201" s="242"/>
      <c r="JS201" s="242"/>
      <c r="JT201" s="242"/>
      <c r="JU201" s="242"/>
      <c r="JV201" s="242"/>
      <c r="JW201" s="242"/>
      <c r="JX201" s="242"/>
      <c r="JY201" s="242"/>
      <c r="JZ201" s="242"/>
      <c r="KA201" s="242"/>
      <c r="KB201" s="242"/>
      <c r="KC201" s="242"/>
      <c r="KD201" s="242"/>
      <c r="KE201" s="242"/>
      <c r="KF201" s="242"/>
      <c r="KG201" s="242"/>
      <c r="KH201" s="242"/>
      <c r="KI201" s="242"/>
      <c r="KJ201" s="242"/>
      <c r="KK201" s="242"/>
      <c r="KL201" s="242"/>
      <c r="KM201" s="242"/>
      <c r="KN201" s="242"/>
      <c r="KO201" s="242"/>
      <c r="KP201" s="242"/>
      <c r="KQ201" s="242"/>
      <c r="KR201" s="242"/>
      <c r="KS201" s="242"/>
      <c r="KT201" s="242"/>
      <c r="KU201" s="242"/>
      <c r="KV201" s="242"/>
      <c r="KW201" s="242"/>
      <c r="KX201" s="242"/>
      <c r="KY201" s="242"/>
      <c r="KZ201" s="242"/>
      <c r="LA201" s="242"/>
      <c r="LB201" s="242"/>
      <c r="LC201" s="242"/>
      <c r="LD201" s="242"/>
      <c r="LE201" s="242"/>
      <c r="LF201" s="242"/>
      <c r="LG201" s="242"/>
      <c r="LH201" s="242"/>
      <c r="LI201" s="242"/>
      <c r="LJ201" s="242"/>
      <c r="LK201" s="242"/>
      <c r="LL201" s="242"/>
      <c r="LM201" s="242"/>
      <c r="LN201" s="242"/>
      <c r="LO201" s="242"/>
      <c r="LP201" s="242"/>
      <c r="LQ201" s="242"/>
      <c r="LR201" s="242"/>
      <c r="LS201" s="242"/>
      <c r="LT201" s="242"/>
      <c r="LU201" s="242"/>
      <c r="LV201" s="242"/>
      <c r="LW201" s="242"/>
      <c r="LX201" s="242"/>
      <c r="LY201" s="242"/>
      <c r="LZ201" s="242"/>
      <c r="MA201" s="242"/>
      <c r="MB201" s="242"/>
      <c r="MC201" s="242"/>
      <c r="MD201" s="242"/>
      <c r="ME201" s="242"/>
      <c r="MF201" s="242"/>
      <c r="MG201" s="242"/>
      <c r="MH201" s="242"/>
      <c r="MI201" s="242"/>
      <c r="MJ201" s="242"/>
      <c r="MK201" s="242"/>
      <c r="ML201" s="242"/>
    </row>
    <row r="202" ht="18.75" customHeight="1">
      <c r="A202" s="283"/>
      <c r="B202" s="234" t="str">
        <f>'Building Bill of Materials_SLIM'!P202</f>
        <v/>
      </c>
      <c r="C202" s="234" t="str">
        <f>'Building Bill of Materials_SLIM'!Q202</f>
        <v/>
      </c>
      <c r="D202" s="234" t="str">
        <f>'Building Bill of Materials_SLIM'!R202</f>
        <v/>
      </c>
      <c r="E202" s="234" t="str">
        <f>'Building Bill of Materials_SLIM'!S202</f>
        <v/>
      </c>
      <c r="F202" s="234" t="str">
        <f>'Building Bill of Materials_SLIM'!U202</f>
        <v/>
      </c>
      <c r="G202" s="234"/>
      <c r="H202" s="234"/>
      <c r="I202" s="234"/>
      <c r="J202" s="234" t="str">
        <f>'Building Bill of Materials_SLIM'!V202</f>
        <v/>
      </c>
      <c r="K202" s="242"/>
      <c r="L202" s="242"/>
      <c r="M202" s="242"/>
      <c r="N202" s="242"/>
      <c r="O202" s="242"/>
      <c r="P202" s="242"/>
      <c r="Q202" s="242"/>
      <c r="R202" s="242"/>
      <c r="S202" s="242"/>
      <c r="T202" s="242"/>
      <c r="U202" s="242"/>
      <c r="V202" s="242"/>
      <c r="W202" s="242"/>
      <c r="X202" s="242"/>
      <c r="Y202" s="242"/>
      <c r="Z202" s="242"/>
      <c r="AA202" s="192"/>
      <c r="AB202" s="257"/>
      <c r="AC202" s="257"/>
      <c r="AD202" s="257"/>
      <c r="AE202" s="257"/>
      <c r="AF202" s="257"/>
      <c r="AG202" s="257"/>
      <c r="AH202" s="257"/>
      <c r="AI202" s="257"/>
      <c r="AJ202" s="257"/>
      <c r="AK202" s="257"/>
      <c r="AL202" s="257"/>
      <c r="AM202" s="257"/>
      <c r="AN202" s="257"/>
      <c r="AO202" s="257"/>
      <c r="AP202" s="257"/>
      <c r="AQ202" s="257"/>
      <c r="AR202" s="257"/>
      <c r="AS202" s="257"/>
      <c r="AT202" s="257"/>
      <c r="AU202" s="257"/>
      <c r="AV202" s="257"/>
      <c r="AW202" s="257"/>
      <c r="AX202" s="257"/>
      <c r="AY202" s="257"/>
      <c r="AZ202" s="257"/>
      <c r="BA202" s="257"/>
      <c r="BB202" s="257"/>
      <c r="BC202" s="257"/>
      <c r="BD202" s="257"/>
      <c r="BE202" s="257"/>
      <c r="BF202" s="257"/>
      <c r="BG202" s="257"/>
      <c r="BH202" s="257"/>
      <c r="BI202" s="257"/>
      <c r="BJ202" s="242"/>
      <c r="BK202" s="242"/>
      <c r="BL202" s="242"/>
      <c r="BM202" s="242"/>
      <c r="BN202" s="242"/>
      <c r="BO202" s="242"/>
      <c r="BP202" s="242"/>
      <c r="BQ202" s="242"/>
      <c r="BR202" s="242"/>
      <c r="BS202" s="242"/>
      <c r="BT202" s="242"/>
      <c r="BU202" s="242"/>
      <c r="BV202" s="242"/>
      <c r="BW202" s="242"/>
      <c r="BX202" s="242"/>
      <c r="BY202" s="242"/>
      <c r="BZ202" s="242"/>
      <c r="CA202" s="242"/>
      <c r="CB202" s="242"/>
      <c r="CC202" s="242"/>
      <c r="CD202" s="242"/>
      <c r="CE202" s="257"/>
      <c r="CF202" s="257"/>
      <c r="CG202" s="242"/>
      <c r="CH202" s="242"/>
      <c r="CI202" s="242"/>
      <c r="CJ202" s="242"/>
      <c r="CK202" s="242"/>
      <c r="CL202" s="242"/>
      <c r="CM202" s="242"/>
      <c r="CN202" s="242"/>
      <c r="CO202" s="242"/>
      <c r="CP202" s="242"/>
      <c r="CQ202" s="242"/>
      <c r="CR202" s="242"/>
      <c r="CS202" s="242"/>
      <c r="CT202" s="242"/>
      <c r="CU202" s="242"/>
      <c r="CV202" s="242"/>
      <c r="CW202" s="242"/>
      <c r="CX202" s="242"/>
      <c r="CY202" s="242"/>
      <c r="CZ202" s="242"/>
      <c r="DA202" s="242"/>
      <c r="DB202" s="242"/>
      <c r="DC202" s="242"/>
      <c r="DD202" s="242"/>
      <c r="DE202" s="242"/>
      <c r="DF202" s="242"/>
      <c r="DG202" s="257"/>
      <c r="DH202" s="242"/>
      <c r="DI202" s="242"/>
      <c r="DJ202" s="242"/>
      <c r="DK202" s="242"/>
      <c r="DL202" s="242"/>
      <c r="DM202" s="242"/>
      <c r="DN202" s="242"/>
      <c r="DO202" s="242"/>
      <c r="DP202" s="242"/>
      <c r="DQ202" s="242"/>
      <c r="DR202" s="242"/>
      <c r="DS202" s="242"/>
      <c r="DT202" s="242"/>
      <c r="DU202" s="242"/>
      <c r="DV202" s="242"/>
      <c r="DW202" s="242"/>
      <c r="DX202" s="242"/>
      <c r="DY202" s="242"/>
      <c r="DZ202" s="242"/>
      <c r="EA202" s="242"/>
      <c r="EB202" s="242"/>
      <c r="EC202" s="242"/>
      <c r="ED202" s="242"/>
      <c r="EE202" s="242"/>
      <c r="EF202" s="242"/>
      <c r="EG202" s="242"/>
      <c r="EH202" s="242"/>
      <c r="EI202" s="242"/>
      <c r="EJ202" s="242"/>
      <c r="EK202" s="242"/>
      <c r="EL202" s="242"/>
      <c r="EM202" s="242"/>
      <c r="EN202" s="242"/>
      <c r="EO202" s="242"/>
      <c r="EP202" s="242"/>
      <c r="EQ202" s="242"/>
      <c r="ER202" s="242"/>
      <c r="ES202" s="242"/>
      <c r="ET202" s="242"/>
      <c r="EU202" s="242"/>
      <c r="EV202" s="242"/>
      <c r="EW202" s="242"/>
      <c r="EX202" s="242"/>
      <c r="EY202" s="242"/>
      <c r="EZ202" s="242"/>
      <c r="FA202" s="242"/>
      <c r="FB202" s="242"/>
      <c r="FC202" s="242"/>
      <c r="FD202" s="242"/>
      <c r="FE202" s="242"/>
      <c r="FF202" s="242"/>
      <c r="FG202" s="242"/>
      <c r="FH202" s="257"/>
      <c r="FI202" s="257"/>
      <c r="FJ202" s="257"/>
      <c r="FK202" s="257"/>
      <c r="FL202" s="257"/>
      <c r="FM202" s="257"/>
      <c r="FN202" s="257"/>
      <c r="FO202" s="257"/>
      <c r="FP202" s="257"/>
      <c r="FQ202" s="257"/>
      <c r="FR202" s="257"/>
      <c r="FS202" s="257"/>
      <c r="FT202" s="257"/>
      <c r="FU202" s="257"/>
      <c r="FV202" s="257"/>
      <c r="FW202" s="257"/>
      <c r="FX202" s="257"/>
      <c r="FY202" s="242"/>
      <c r="FZ202" s="242"/>
      <c r="GA202" s="242"/>
      <c r="GB202" s="242"/>
      <c r="GC202" s="242"/>
      <c r="GD202" s="242"/>
      <c r="GE202" s="242"/>
      <c r="GF202" s="242"/>
      <c r="GG202" s="242"/>
      <c r="GH202" s="242"/>
      <c r="GI202" s="242"/>
      <c r="GJ202" s="242"/>
      <c r="GK202" s="242"/>
      <c r="GL202" s="242"/>
      <c r="GM202" s="242"/>
      <c r="GN202" s="242"/>
      <c r="GO202" s="242"/>
      <c r="GP202" s="242"/>
      <c r="GQ202" s="242"/>
      <c r="GR202" s="242"/>
      <c r="GS202" s="242"/>
      <c r="GT202" s="242"/>
      <c r="GU202" s="242"/>
      <c r="GV202" s="242"/>
      <c r="GW202" s="242"/>
      <c r="GX202" s="242"/>
      <c r="GY202" s="242"/>
      <c r="GZ202" s="242"/>
      <c r="HA202" s="242"/>
      <c r="HB202" s="242"/>
      <c r="HC202" s="242"/>
      <c r="HD202" s="242"/>
      <c r="HE202" s="242"/>
      <c r="HF202" s="242"/>
      <c r="HG202" s="242"/>
      <c r="HH202" s="242"/>
      <c r="HI202" s="242"/>
      <c r="HJ202" s="242"/>
      <c r="HK202" s="242"/>
      <c r="HL202" s="242"/>
      <c r="HM202" s="242"/>
      <c r="HN202" s="242"/>
      <c r="HO202" s="242"/>
      <c r="HP202" s="242"/>
      <c r="HQ202" s="242"/>
      <c r="HR202" s="242"/>
      <c r="HS202" s="242"/>
      <c r="HT202" s="242"/>
      <c r="HU202" s="242"/>
      <c r="HV202" s="242"/>
      <c r="HW202" s="242"/>
      <c r="HX202" s="257"/>
      <c r="HY202" s="257"/>
      <c r="HZ202" s="257"/>
      <c r="IA202" s="257"/>
      <c r="IB202" s="257"/>
      <c r="IC202" s="257"/>
      <c r="ID202" s="257"/>
      <c r="IE202" s="257"/>
      <c r="IF202" s="257"/>
      <c r="IG202" s="257"/>
      <c r="IH202" s="257"/>
      <c r="II202" s="257"/>
      <c r="IJ202" s="257"/>
      <c r="IK202" s="257"/>
      <c r="IL202" s="257"/>
      <c r="IM202" s="257"/>
      <c r="IN202" s="257"/>
      <c r="IO202" s="257"/>
      <c r="IP202" s="257"/>
      <c r="IQ202" s="257"/>
      <c r="IR202" s="257"/>
      <c r="IS202" s="257"/>
      <c r="IT202" s="257"/>
      <c r="IU202" s="257"/>
      <c r="IV202" s="257"/>
      <c r="IW202" s="257"/>
      <c r="IX202" s="257"/>
      <c r="IY202" s="257"/>
      <c r="IZ202" s="257"/>
      <c r="JA202" s="257"/>
      <c r="JB202" s="257"/>
      <c r="JC202" s="257"/>
      <c r="JD202" s="257"/>
      <c r="JE202" s="257"/>
      <c r="JF202" s="242"/>
      <c r="JG202" s="242"/>
      <c r="JH202" s="242"/>
      <c r="JI202" s="242"/>
      <c r="JJ202" s="242"/>
      <c r="JK202" s="242"/>
      <c r="JL202" s="242"/>
      <c r="JM202" s="242"/>
      <c r="JN202" s="242"/>
      <c r="JO202" s="242"/>
      <c r="JP202" s="242"/>
      <c r="JQ202" s="242"/>
      <c r="JR202" s="242"/>
      <c r="JS202" s="242"/>
      <c r="JT202" s="242"/>
      <c r="JU202" s="242"/>
      <c r="JV202" s="242"/>
      <c r="JW202" s="242"/>
      <c r="JX202" s="242"/>
      <c r="JY202" s="242"/>
      <c r="JZ202" s="242"/>
      <c r="KA202" s="242"/>
      <c r="KB202" s="242"/>
      <c r="KC202" s="242"/>
      <c r="KD202" s="242"/>
      <c r="KE202" s="242"/>
      <c r="KF202" s="242"/>
      <c r="KG202" s="242"/>
      <c r="KH202" s="242"/>
      <c r="KI202" s="242"/>
      <c r="KJ202" s="242"/>
      <c r="KK202" s="242"/>
      <c r="KL202" s="242"/>
      <c r="KM202" s="242"/>
      <c r="KN202" s="242"/>
      <c r="KO202" s="242"/>
      <c r="KP202" s="242"/>
      <c r="KQ202" s="242"/>
      <c r="KR202" s="242"/>
      <c r="KS202" s="242"/>
      <c r="KT202" s="242"/>
      <c r="KU202" s="242"/>
      <c r="KV202" s="242"/>
      <c r="KW202" s="242"/>
      <c r="KX202" s="242"/>
      <c r="KY202" s="242"/>
      <c r="KZ202" s="242"/>
      <c r="LA202" s="242"/>
      <c r="LB202" s="242"/>
      <c r="LC202" s="242"/>
      <c r="LD202" s="242"/>
      <c r="LE202" s="242"/>
      <c r="LF202" s="242"/>
      <c r="LG202" s="242"/>
      <c r="LH202" s="242"/>
      <c r="LI202" s="242"/>
      <c r="LJ202" s="242"/>
      <c r="LK202" s="242"/>
      <c r="LL202" s="242"/>
      <c r="LM202" s="242"/>
      <c r="LN202" s="242"/>
      <c r="LO202" s="242"/>
      <c r="LP202" s="242"/>
      <c r="LQ202" s="242"/>
      <c r="LR202" s="242"/>
      <c r="LS202" s="242"/>
      <c r="LT202" s="242"/>
      <c r="LU202" s="242"/>
      <c r="LV202" s="242"/>
      <c r="LW202" s="242"/>
      <c r="LX202" s="242"/>
      <c r="LY202" s="242"/>
      <c r="LZ202" s="242"/>
      <c r="MA202" s="242"/>
      <c r="MB202" s="242"/>
      <c r="MC202" s="242"/>
      <c r="MD202" s="242"/>
      <c r="ME202" s="242"/>
      <c r="MF202" s="242"/>
      <c r="MG202" s="242"/>
      <c r="MH202" s="242"/>
      <c r="MI202" s="242"/>
      <c r="MJ202" s="242"/>
      <c r="MK202" s="242"/>
      <c r="ML202" s="242"/>
    </row>
    <row r="203" ht="18.75" customHeight="1">
      <c r="A203" s="283"/>
      <c r="B203" s="234" t="str">
        <f>'Building Bill of Materials_SLIM'!P203</f>
        <v/>
      </c>
      <c r="C203" s="234" t="str">
        <f>'Building Bill of Materials_SLIM'!Q203</f>
        <v/>
      </c>
      <c r="D203" s="234" t="str">
        <f>'Building Bill of Materials_SLIM'!R203</f>
        <v/>
      </c>
      <c r="E203" s="234" t="str">
        <f>'Building Bill of Materials_SLIM'!S203</f>
        <v/>
      </c>
      <c r="F203" s="234" t="str">
        <f>'Building Bill of Materials_SLIM'!U203</f>
        <v/>
      </c>
      <c r="G203" s="234"/>
      <c r="H203" s="234"/>
      <c r="I203" s="234"/>
      <c r="J203" s="234" t="str">
        <f>'Building Bill of Materials_SLIM'!V203</f>
        <v/>
      </c>
      <c r="K203" s="242"/>
      <c r="L203" s="242"/>
      <c r="M203" s="242"/>
      <c r="N203" s="242"/>
      <c r="O203" s="242"/>
      <c r="P203" s="242"/>
      <c r="Q203" s="242"/>
      <c r="R203" s="242"/>
      <c r="S203" s="242"/>
      <c r="T203" s="242"/>
      <c r="U203" s="242"/>
      <c r="V203" s="242"/>
      <c r="W203" s="242"/>
      <c r="X203" s="242"/>
      <c r="Y203" s="242"/>
      <c r="Z203" s="242"/>
      <c r="AA203" s="192"/>
      <c r="AB203" s="257"/>
      <c r="AC203" s="257"/>
      <c r="AD203" s="257"/>
      <c r="AE203" s="257"/>
      <c r="AF203" s="257"/>
      <c r="AG203" s="257"/>
      <c r="AH203" s="257"/>
      <c r="AI203" s="257"/>
      <c r="AJ203" s="257"/>
      <c r="AK203" s="257"/>
      <c r="AL203" s="257"/>
      <c r="AM203" s="257"/>
      <c r="AN203" s="257"/>
      <c r="AO203" s="257"/>
      <c r="AP203" s="257"/>
      <c r="AQ203" s="257"/>
      <c r="AR203" s="257"/>
      <c r="AS203" s="257"/>
      <c r="AT203" s="257"/>
      <c r="AU203" s="257"/>
      <c r="AV203" s="257"/>
      <c r="AW203" s="257"/>
      <c r="AX203" s="257"/>
      <c r="AY203" s="257"/>
      <c r="AZ203" s="257"/>
      <c r="BA203" s="257"/>
      <c r="BB203" s="257"/>
      <c r="BC203" s="257"/>
      <c r="BD203" s="257"/>
      <c r="BE203" s="257"/>
      <c r="BF203" s="257"/>
      <c r="BG203" s="257"/>
      <c r="BH203" s="257"/>
      <c r="BI203" s="257"/>
      <c r="BJ203" s="242"/>
      <c r="BK203" s="242"/>
      <c r="BL203" s="242"/>
      <c r="BM203" s="242"/>
      <c r="BN203" s="242"/>
      <c r="BO203" s="242"/>
      <c r="BP203" s="242"/>
      <c r="BQ203" s="242"/>
      <c r="BR203" s="242"/>
      <c r="BS203" s="242"/>
      <c r="BT203" s="242"/>
      <c r="BU203" s="242"/>
      <c r="BV203" s="242"/>
      <c r="BW203" s="242"/>
      <c r="BX203" s="242"/>
      <c r="BY203" s="242"/>
      <c r="BZ203" s="242"/>
      <c r="CA203" s="242"/>
      <c r="CB203" s="242"/>
      <c r="CC203" s="242"/>
      <c r="CD203" s="242"/>
      <c r="CE203" s="257"/>
      <c r="CF203" s="257"/>
      <c r="CG203" s="242"/>
      <c r="CH203" s="242"/>
      <c r="CI203" s="242"/>
      <c r="CJ203" s="242"/>
      <c r="CK203" s="242"/>
      <c r="CL203" s="242"/>
      <c r="CM203" s="242"/>
      <c r="CN203" s="242"/>
      <c r="CO203" s="242"/>
      <c r="CP203" s="242"/>
      <c r="CQ203" s="242"/>
      <c r="CR203" s="242"/>
      <c r="CS203" s="242"/>
      <c r="CT203" s="242"/>
      <c r="CU203" s="242"/>
      <c r="CV203" s="242"/>
      <c r="CW203" s="242"/>
      <c r="CX203" s="242"/>
      <c r="CY203" s="242"/>
      <c r="CZ203" s="242"/>
      <c r="DA203" s="242"/>
      <c r="DB203" s="242"/>
      <c r="DC203" s="242"/>
      <c r="DD203" s="242"/>
      <c r="DE203" s="242"/>
      <c r="DF203" s="242"/>
      <c r="DG203" s="257"/>
      <c r="DH203" s="242"/>
      <c r="DI203" s="242"/>
      <c r="DJ203" s="242"/>
      <c r="DK203" s="242"/>
      <c r="DL203" s="242"/>
      <c r="DM203" s="242"/>
      <c r="DN203" s="242"/>
      <c r="DO203" s="242"/>
      <c r="DP203" s="242"/>
      <c r="DQ203" s="242"/>
      <c r="DR203" s="242"/>
      <c r="DS203" s="242"/>
      <c r="DT203" s="242"/>
      <c r="DU203" s="242"/>
      <c r="DV203" s="242"/>
      <c r="DW203" s="242"/>
      <c r="DX203" s="242"/>
      <c r="DY203" s="242"/>
      <c r="DZ203" s="242"/>
      <c r="EA203" s="242"/>
      <c r="EB203" s="242"/>
      <c r="EC203" s="242"/>
      <c r="ED203" s="242"/>
      <c r="EE203" s="242"/>
      <c r="EF203" s="242"/>
      <c r="EG203" s="242"/>
      <c r="EH203" s="242"/>
      <c r="EI203" s="242"/>
      <c r="EJ203" s="242"/>
      <c r="EK203" s="242"/>
      <c r="EL203" s="242"/>
      <c r="EM203" s="242"/>
      <c r="EN203" s="242"/>
      <c r="EO203" s="242"/>
      <c r="EP203" s="242"/>
      <c r="EQ203" s="242"/>
      <c r="ER203" s="242"/>
      <c r="ES203" s="242"/>
      <c r="ET203" s="242"/>
      <c r="EU203" s="242"/>
      <c r="EV203" s="242"/>
      <c r="EW203" s="242"/>
      <c r="EX203" s="242"/>
      <c r="EY203" s="242"/>
      <c r="EZ203" s="242"/>
      <c r="FA203" s="242"/>
      <c r="FB203" s="242"/>
      <c r="FC203" s="242"/>
      <c r="FD203" s="242"/>
      <c r="FE203" s="242"/>
      <c r="FF203" s="242"/>
      <c r="FG203" s="242"/>
      <c r="FH203" s="257"/>
      <c r="FI203" s="257"/>
      <c r="FJ203" s="257"/>
      <c r="FK203" s="257"/>
      <c r="FL203" s="257"/>
      <c r="FM203" s="257"/>
      <c r="FN203" s="257"/>
      <c r="FO203" s="257"/>
      <c r="FP203" s="257"/>
      <c r="FQ203" s="257"/>
      <c r="FR203" s="257"/>
      <c r="FS203" s="257"/>
      <c r="FT203" s="257"/>
      <c r="FU203" s="257"/>
      <c r="FV203" s="257"/>
      <c r="FW203" s="257"/>
      <c r="FX203" s="257"/>
      <c r="FY203" s="242"/>
      <c r="FZ203" s="242"/>
      <c r="GA203" s="242"/>
      <c r="GB203" s="242"/>
      <c r="GC203" s="242"/>
      <c r="GD203" s="242"/>
      <c r="GE203" s="242"/>
      <c r="GF203" s="242"/>
      <c r="GG203" s="242"/>
      <c r="GH203" s="242"/>
      <c r="GI203" s="242"/>
      <c r="GJ203" s="242"/>
      <c r="GK203" s="242"/>
      <c r="GL203" s="242"/>
      <c r="GM203" s="242"/>
      <c r="GN203" s="242"/>
      <c r="GO203" s="242"/>
      <c r="GP203" s="242"/>
      <c r="GQ203" s="242"/>
      <c r="GR203" s="242"/>
      <c r="GS203" s="242"/>
      <c r="GT203" s="242"/>
      <c r="GU203" s="242"/>
      <c r="GV203" s="242"/>
      <c r="GW203" s="242"/>
      <c r="GX203" s="242"/>
      <c r="GY203" s="242"/>
      <c r="GZ203" s="242"/>
      <c r="HA203" s="242"/>
      <c r="HB203" s="242"/>
      <c r="HC203" s="242"/>
      <c r="HD203" s="242"/>
      <c r="HE203" s="242"/>
      <c r="HF203" s="242"/>
      <c r="HG203" s="242"/>
      <c r="HH203" s="242"/>
      <c r="HI203" s="242"/>
      <c r="HJ203" s="242"/>
      <c r="HK203" s="242"/>
      <c r="HL203" s="242"/>
      <c r="HM203" s="242"/>
      <c r="HN203" s="242"/>
      <c r="HO203" s="242"/>
      <c r="HP203" s="242"/>
      <c r="HQ203" s="242"/>
      <c r="HR203" s="242"/>
      <c r="HS203" s="242"/>
      <c r="HT203" s="242"/>
      <c r="HU203" s="242"/>
      <c r="HV203" s="242"/>
      <c r="HW203" s="242"/>
      <c r="HX203" s="257"/>
      <c r="HY203" s="257"/>
      <c r="HZ203" s="257"/>
      <c r="IA203" s="257"/>
      <c r="IB203" s="257"/>
      <c r="IC203" s="257"/>
      <c r="ID203" s="257"/>
      <c r="IE203" s="257"/>
      <c r="IF203" s="257"/>
      <c r="IG203" s="257"/>
      <c r="IH203" s="257"/>
      <c r="II203" s="257"/>
      <c r="IJ203" s="257"/>
      <c r="IK203" s="257"/>
      <c r="IL203" s="257"/>
      <c r="IM203" s="257"/>
      <c r="IN203" s="257"/>
      <c r="IO203" s="257"/>
      <c r="IP203" s="257"/>
      <c r="IQ203" s="257"/>
      <c r="IR203" s="257"/>
      <c r="IS203" s="257"/>
      <c r="IT203" s="257"/>
      <c r="IU203" s="257"/>
      <c r="IV203" s="257"/>
      <c r="IW203" s="257"/>
      <c r="IX203" s="257"/>
      <c r="IY203" s="257"/>
      <c r="IZ203" s="257"/>
      <c r="JA203" s="257"/>
      <c r="JB203" s="257"/>
      <c r="JC203" s="257"/>
      <c r="JD203" s="257"/>
      <c r="JE203" s="257"/>
      <c r="JF203" s="242"/>
      <c r="JG203" s="242"/>
      <c r="JH203" s="242"/>
      <c r="JI203" s="242"/>
      <c r="JJ203" s="242"/>
      <c r="JK203" s="242"/>
      <c r="JL203" s="242"/>
      <c r="JM203" s="242"/>
      <c r="JN203" s="242"/>
      <c r="JO203" s="242"/>
      <c r="JP203" s="242"/>
      <c r="JQ203" s="242"/>
      <c r="JR203" s="242"/>
      <c r="JS203" s="242"/>
      <c r="JT203" s="242"/>
      <c r="JU203" s="242"/>
      <c r="JV203" s="242"/>
      <c r="JW203" s="242"/>
      <c r="JX203" s="242"/>
      <c r="JY203" s="242"/>
      <c r="JZ203" s="242"/>
      <c r="KA203" s="242"/>
      <c r="KB203" s="242"/>
      <c r="KC203" s="242"/>
      <c r="KD203" s="242"/>
      <c r="KE203" s="242"/>
      <c r="KF203" s="242"/>
      <c r="KG203" s="242"/>
      <c r="KH203" s="242"/>
      <c r="KI203" s="242"/>
      <c r="KJ203" s="242"/>
      <c r="KK203" s="242"/>
      <c r="KL203" s="242"/>
      <c r="KM203" s="242"/>
      <c r="KN203" s="242"/>
      <c r="KO203" s="242"/>
      <c r="KP203" s="242"/>
      <c r="KQ203" s="242"/>
      <c r="KR203" s="242"/>
      <c r="KS203" s="242"/>
      <c r="KT203" s="242"/>
      <c r="KU203" s="242"/>
      <c r="KV203" s="242"/>
      <c r="KW203" s="242"/>
      <c r="KX203" s="242"/>
      <c r="KY203" s="242"/>
      <c r="KZ203" s="242"/>
      <c r="LA203" s="242"/>
      <c r="LB203" s="242"/>
      <c r="LC203" s="242"/>
      <c r="LD203" s="242"/>
      <c r="LE203" s="242"/>
      <c r="LF203" s="242"/>
      <c r="LG203" s="242"/>
      <c r="LH203" s="242"/>
      <c r="LI203" s="242"/>
      <c r="LJ203" s="242"/>
      <c r="LK203" s="242"/>
      <c r="LL203" s="242"/>
      <c r="LM203" s="242"/>
      <c r="LN203" s="242"/>
      <c r="LO203" s="242"/>
      <c r="LP203" s="242"/>
      <c r="LQ203" s="242"/>
      <c r="LR203" s="242"/>
      <c r="LS203" s="242"/>
      <c r="LT203" s="242"/>
      <c r="LU203" s="242"/>
      <c r="LV203" s="242"/>
      <c r="LW203" s="242"/>
      <c r="LX203" s="242"/>
      <c r="LY203" s="242"/>
      <c r="LZ203" s="242"/>
      <c r="MA203" s="242"/>
      <c r="MB203" s="242"/>
      <c r="MC203" s="242"/>
      <c r="MD203" s="242"/>
      <c r="ME203" s="242"/>
      <c r="MF203" s="242"/>
      <c r="MG203" s="242"/>
      <c r="MH203" s="242"/>
      <c r="MI203" s="242"/>
      <c r="MJ203" s="242"/>
      <c r="MK203" s="242"/>
      <c r="ML203" s="242"/>
    </row>
    <row r="204" ht="18.75" customHeight="1">
      <c r="A204" s="283"/>
      <c r="B204" s="234" t="str">
        <f>'Building Bill of Materials_SLIM'!P204</f>
        <v/>
      </c>
      <c r="C204" s="234" t="str">
        <f>'Building Bill of Materials_SLIM'!Q204</f>
        <v/>
      </c>
      <c r="D204" s="234" t="str">
        <f>'Building Bill of Materials_SLIM'!R204</f>
        <v/>
      </c>
      <c r="E204" s="234" t="str">
        <f>'Building Bill of Materials_SLIM'!S204</f>
        <v/>
      </c>
      <c r="F204" s="234" t="str">
        <f>'Building Bill of Materials_SLIM'!U204</f>
        <v/>
      </c>
      <c r="G204" s="234"/>
      <c r="H204" s="234"/>
      <c r="I204" s="234"/>
      <c r="J204" s="234" t="str">
        <f>'Building Bill of Materials_SLIM'!V204</f>
        <v/>
      </c>
      <c r="K204" s="242"/>
      <c r="L204" s="242"/>
      <c r="M204" s="242"/>
      <c r="N204" s="242"/>
      <c r="O204" s="242"/>
      <c r="P204" s="242"/>
      <c r="Q204" s="242"/>
      <c r="R204" s="242"/>
      <c r="S204" s="242"/>
      <c r="T204" s="242"/>
      <c r="U204" s="242"/>
      <c r="V204" s="242"/>
      <c r="W204" s="242"/>
      <c r="X204" s="242"/>
      <c r="Y204" s="242"/>
      <c r="Z204" s="242"/>
      <c r="AA204" s="192"/>
      <c r="AB204" s="257"/>
      <c r="AC204" s="257"/>
      <c r="AD204" s="257"/>
      <c r="AE204" s="257"/>
      <c r="AF204" s="257"/>
      <c r="AG204" s="257"/>
      <c r="AH204" s="257"/>
      <c r="AI204" s="257"/>
      <c r="AJ204" s="257"/>
      <c r="AK204" s="257"/>
      <c r="AL204" s="257"/>
      <c r="AM204" s="257"/>
      <c r="AN204" s="257"/>
      <c r="AO204" s="257"/>
      <c r="AP204" s="257"/>
      <c r="AQ204" s="257"/>
      <c r="AR204" s="257"/>
      <c r="AS204" s="257"/>
      <c r="AT204" s="257"/>
      <c r="AU204" s="257"/>
      <c r="AV204" s="257"/>
      <c r="AW204" s="257"/>
      <c r="AX204" s="257"/>
      <c r="AY204" s="257"/>
      <c r="AZ204" s="257"/>
      <c r="BA204" s="257"/>
      <c r="BB204" s="257"/>
      <c r="BC204" s="257"/>
      <c r="BD204" s="257"/>
      <c r="BE204" s="257"/>
      <c r="BF204" s="257"/>
      <c r="BG204" s="257"/>
      <c r="BH204" s="257"/>
      <c r="BI204" s="257"/>
      <c r="BJ204" s="242"/>
      <c r="BK204" s="242"/>
      <c r="BL204" s="242"/>
      <c r="BM204" s="242"/>
      <c r="BN204" s="242"/>
      <c r="BO204" s="242"/>
      <c r="BP204" s="242"/>
      <c r="BQ204" s="242"/>
      <c r="BR204" s="242"/>
      <c r="BS204" s="242"/>
      <c r="BT204" s="242"/>
      <c r="BU204" s="242"/>
      <c r="BV204" s="242"/>
      <c r="BW204" s="242"/>
      <c r="BX204" s="242"/>
      <c r="BY204" s="242"/>
      <c r="BZ204" s="242"/>
      <c r="CA204" s="242"/>
      <c r="CB204" s="242"/>
      <c r="CC204" s="242"/>
      <c r="CD204" s="242"/>
      <c r="CE204" s="257"/>
      <c r="CF204" s="257"/>
      <c r="CG204" s="242"/>
      <c r="CH204" s="242"/>
      <c r="CI204" s="242"/>
      <c r="CJ204" s="242"/>
      <c r="CK204" s="242"/>
      <c r="CL204" s="242"/>
      <c r="CM204" s="242"/>
      <c r="CN204" s="242"/>
      <c r="CO204" s="242"/>
      <c r="CP204" s="242"/>
      <c r="CQ204" s="242"/>
      <c r="CR204" s="242"/>
      <c r="CS204" s="242"/>
      <c r="CT204" s="242"/>
      <c r="CU204" s="242"/>
      <c r="CV204" s="242"/>
      <c r="CW204" s="242"/>
      <c r="CX204" s="242"/>
      <c r="CY204" s="242"/>
      <c r="CZ204" s="242"/>
      <c r="DA204" s="242"/>
      <c r="DB204" s="242"/>
      <c r="DC204" s="242"/>
      <c r="DD204" s="242"/>
      <c r="DE204" s="242"/>
      <c r="DF204" s="242"/>
      <c r="DG204" s="257"/>
      <c r="DH204" s="242"/>
      <c r="DI204" s="242"/>
      <c r="DJ204" s="242"/>
      <c r="DK204" s="242"/>
      <c r="DL204" s="242"/>
      <c r="DM204" s="242"/>
      <c r="DN204" s="242"/>
      <c r="DO204" s="242"/>
      <c r="DP204" s="242"/>
      <c r="DQ204" s="242"/>
      <c r="DR204" s="242"/>
      <c r="DS204" s="242"/>
      <c r="DT204" s="242"/>
      <c r="DU204" s="242"/>
      <c r="DV204" s="242"/>
      <c r="DW204" s="242"/>
      <c r="DX204" s="242"/>
      <c r="DY204" s="242"/>
      <c r="DZ204" s="242"/>
      <c r="EA204" s="242"/>
      <c r="EB204" s="242"/>
      <c r="EC204" s="242"/>
      <c r="ED204" s="242"/>
      <c r="EE204" s="242"/>
      <c r="EF204" s="242"/>
      <c r="EG204" s="242"/>
      <c r="EH204" s="242"/>
      <c r="EI204" s="242"/>
      <c r="EJ204" s="242"/>
      <c r="EK204" s="242"/>
      <c r="EL204" s="242"/>
      <c r="EM204" s="242"/>
      <c r="EN204" s="242"/>
      <c r="EO204" s="242"/>
      <c r="EP204" s="242"/>
      <c r="EQ204" s="242"/>
      <c r="ER204" s="242"/>
      <c r="ES204" s="242"/>
      <c r="ET204" s="242"/>
      <c r="EU204" s="242"/>
      <c r="EV204" s="242"/>
      <c r="EW204" s="242"/>
      <c r="EX204" s="242"/>
      <c r="EY204" s="242"/>
      <c r="EZ204" s="242"/>
      <c r="FA204" s="242"/>
      <c r="FB204" s="242"/>
      <c r="FC204" s="242"/>
      <c r="FD204" s="242"/>
      <c r="FE204" s="242"/>
      <c r="FF204" s="242"/>
      <c r="FG204" s="242"/>
      <c r="FH204" s="257"/>
      <c r="FI204" s="257"/>
      <c r="FJ204" s="257"/>
      <c r="FK204" s="257"/>
      <c r="FL204" s="257"/>
      <c r="FM204" s="257"/>
      <c r="FN204" s="257"/>
      <c r="FO204" s="257"/>
      <c r="FP204" s="257"/>
      <c r="FQ204" s="257"/>
      <c r="FR204" s="257"/>
      <c r="FS204" s="257"/>
      <c r="FT204" s="257"/>
      <c r="FU204" s="257"/>
      <c r="FV204" s="257"/>
      <c r="FW204" s="257"/>
      <c r="FX204" s="257"/>
      <c r="FY204" s="242"/>
      <c r="FZ204" s="242"/>
      <c r="GA204" s="242"/>
      <c r="GB204" s="242"/>
      <c r="GC204" s="242"/>
      <c r="GD204" s="242"/>
      <c r="GE204" s="242"/>
      <c r="GF204" s="242"/>
      <c r="GG204" s="242"/>
      <c r="GH204" s="242"/>
      <c r="GI204" s="242"/>
      <c r="GJ204" s="242"/>
      <c r="GK204" s="242"/>
      <c r="GL204" s="242"/>
      <c r="GM204" s="242"/>
      <c r="GN204" s="242"/>
      <c r="GO204" s="242"/>
      <c r="GP204" s="242"/>
      <c r="GQ204" s="242"/>
      <c r="GR204" s="242"/>
      <c r="GS204" s="242"/>
      <c r="GT204" s="242"/>
      <c r="GU204" s="242"/>
      <c r="GV204" s="242"/>
      <c r="GW204" s="242"/>
      <c r="GX204" s="242"/>
      <c r="GY204" s="242"/>
      <c r="GZ204" s="242"/>
      <c r="HA204" s="242"/>
      <c r="HB204" s="242"/>
      <c r="HC204" s="242"/>
      <c r="HD204" s="242"/>
      <c r="HE204" s="242"/>
      <c r="HF204" s="242"/>
      <c r="HG204" s="242"/>
      <c r="HH204" s="242"/>
      <c r="HI204" s="242"/>
      <c r="HJ204" s="242"/>
      <c r="HK204" s="242"/>
      <c r="HL204" s="242"/>
      <c r="HM204" s="242"/>
      <c r="HN204" s="242"/>
      <c r="HO204" s="242"/>
      <c r="HP204" s="242"/>
      <c r="HQ204" s="242"/>
      <c r="HR204" s="242"/>
      <c r="HS204" s="242"/>
      <c r="HT204" s="242"/>
      <c r="HU204" s="242"/>
      <c r="HV204" s="242"/>
      <c r="HW204" s="242"/>
      <c r="HX204" s="257"/>
      <c r="HY204" s="257"/>
      <c r="HZ204" s="257"/>
      <c r="IA204" s="257"/>
      <c r="IB204" s="257"/>
      <c r="IC204" s="257"/>
      <c r="ID204" s="257"/>
      <c r="IE204" s="257"/>
      <c r="IF204" s="257"/>
      <c r="IG204" s="257"/>
      <c r="IH204" s="257"/>
      <c r="II204" s="257"/>
      <c r="IJ204" s="257"/>
      <c r="IK204" s="257"/>
      <c r="IL204" s="257"/>
      <c r="IM204" s="257"/>
      <c r="IN204" s="257"/>
      <c r="IO204" s="257"/>
      <c r="IP204" s="257"/>
      <c r="IQ204" s="257"/>
      <c r="IR204" s="257"/>
      <c r="IS204" s="257"/>
      <c r="IT204" s="257"/>
      <c r="IU204" s="257"/>
      <c r="IV204" s="257"/>
      <c r="IW204" s="257"/>
      <c r="IX204" s="257"/>
      <c r="IY204" s="257"/>
      <c r="IZ204" s="257"/>
      <c r="JA204" s="257"/>
      <c r="JB204" s="257"/>
      <c r="JC204" s="257"/>
      <c r="JD204" s="257"/>
      <c r="JE204" s="257"/>
      <c r="JF204" s="242"/>
      <c r="JG204" s="242"/>
      <c r="JH204" s="242"/>
      <c r="JI204" s="242"/>
      <c r="JJ204" s="242"/>
      <c r="JK204" s="242"/>
      <c r="JL204" s="242"/>
      <c r="JM204" s="242"/>
      <c r="JN204" s="242"/>
      <c r="JO204" s="242"/>
      <c r="JP204" s="242"/>
      <c r="JQ204" s="242"/>
      <c r="JR204" s="242"/>
      <c r="JS204" s="242"/>
      <c r="JT204" s="242"/>
      <c r="JU204" s="242"/>
      <c r="JV204" s="242"/>
      <c r="JW204" s="242"/>
      <c r="JX204" s="242"/>
      <c r="JY204" s="242"/>
      <c r="JZ204" s="242"/>
      <c r="KA204" s="242"/>
      <c r="KB204" s="242"/>
      <c r="KC204" s="242"/>
      <c r="KD204" s="242"/>
      <c r="KE204" s="242"/>
      <c r="KF204" s="242"/>
      <c r="KG204" s="242"/>
      <c r="KH204" s="242"/>
      <c r="KI204" s="242"/>
      <c r="KJ204" s="242"/>
      <c r="KK204" s="242"/>
      <c r="KL204" s="242"/>
      <c r="KM204" s="242"/>
      <c r="KN204" s="242"/>
      <c r="KO204" s="242"/>
      <c r="KP204" s="242"/>
      <c r="KQ204" s="242"/>
      <c r="KR204" s="242"/>
      <c r="KS204" s="242"/>
      <c r="KT204" s="242"/>
      <c r="KU204" s="242"/>
      <c r="KV204" s="242"/>
      <c r="KW204" s="242"/>
      <c r="KX204" s="242"/>
      <c r="KY204" s="242"/>
      <c r="KZ204" s="242"/>
      <c r="LA204" s="242"/>
      <c r="LB204" s="242"/>
      <c r="LC204" s="242"/>
      <c r="LD204" s="242"/>
      <c r="LE204" s="242"/>
      <c r="LF204" s="242"/>
      <c r="LG204" s="242"/>
      <c r="LH204" s="242"/>
      <c r="LI204" s="242"/>
      <c r="LJ204" s="242"/>
      <c r="LK204" s="242"/>
      <c r="LL204" s="242"/>
      <c r="LM204" s="242"/>
      <c r="LN204" s="242"/>
      <c r="LO204" s="242"/>
      <c r="LP204" s="242"/>
      <c r="LQ204" s="242"/>
      <c r="LR204" s="242"/>
      <c r="LS204" s="242"/>
      <c r="LT204" s="242"/>
      <c r="LU204" s="242"/>
      <c r="LV204" s="242"/>
      <c r="LW204" s="242"/>
      <c r="LX204" s="242"/>
      <c r="LY204" s="242"/>
      <c r="LZ204" s="242"/>
      <c r="MA204" s="242"/>
      <c r="MB204" s="242"/>
      <c r="MC204" s="242"/>
      <c r="MD204" s="242"/>
      <c r="ME204" s="242"/>
      <c r="MF204" s="242"/>
      <c r="MG204" s="242"/>
      <c r="MH204" s="242"/>
      <c r="MI204" s="242"/>
      <c r="MJ204" s="242"/>
      <c r="MK204" s="242"/>
      <c r="ML204" s="242"/>
    </row>
    <row r="205" ht="18.75" customHeight="1">
      <c r="A205" s="283"/>
      <c r="B205" s="234" t="str">
        <f>'Building Bill of Materials_SLIM'!P205</f>
        <v/>
      </c>
      <c r="C205" s="234" t="str">
        <f>'Building Bill of Materials_SLIM'!Q205</f>
        <v/>
      </c>
      <c r="D205" s="234" t="str">
        <f>'Building Bill of Materials_SLIM'!R205</f>
        <v/>
      </c>
      <c r="E205" s="234" t="str">
        <f>'Building Bill of Materials_SLIM'!S205</f>
        <v/>
      </c>
      <c r="F205" s="234" t="str">
        <f>'Building Bill of Materials_SLIM'!U205</f>
        <v/>
      </c>
      <c r="G205" s="234"/>
      <c r="H205" s="234"/>
      <c r="I205" s="234"/>
      <c r="J205" s="234" t="str">
        <f>'Building Bill of Materials_SLIM'!V205</f>
        <v/>
      </c>
      <c r="K205" s="242"/>
      <c r="L205" s="242"/>
      <c r="M205" s="242"/>
      <c r="N205" s="242"/>
      <c r="O205" s="242"/>
      <c r="P205" s="242"/>
      <c r="Q205" s="242"/>
      <c r="R205" s="242"/>
      <c r="S205" s="242"/>
      <c r="T205" s="242"/>
      <c r="U205" s="242"/>
      <c r="V205" s="242"/>
      <c r="W205" s="242"/>
      <c r="X205" s="242"/>
      <c r="Y205" s="242"/>
      <c r="Z205" s="242"/>
      <c r="AA205" s="192"/>
      <c r="AB205" s="257"/>
      <c r="AC205" s="257"/>
      <c r="AD205" s="257"/>
      <c r="AE205" s="257"/>
      <c r="AF205" s="257"/>
      <c r="AG205" s="257"/>
      <c r="AH205" s="257"/>
      <c r="AI205" s="257"/>
      <c r="AJ205" s="257"/>
      <c r="AK205" s="257"/>
      <c r="AL205" s="257"/>
      <c r="AM205" s="257"/>
      <c r="AN205" s="257"/>
      <c r="AO205" s="257"/>
      <c r="AP205" s="257"/>
      <c r="AQ205" s="257"/>
      <c r="AR205" s="257"/>
      <c r="AS205" s="257"/>
      <c r="AT205" s="257"/>
      <c r="AU205" s="257"/>
      <c r="AV205" s="257"/>
      <c r="AW205" s="257"/>
      <c r="AX205" s="257"/>
      <c r="AY205" s="257"/>
      <c r="AZ205" s="257"/>
      <c r="BA205" s="257"/>
      <c r="BB205" s="257"/>
      <c r="BC205" s="257"/>
      <c r="BD205" s="257"/>
      <c r="BE205" s="257"/>
      <c r="BF205" s="257"/>
      <c r="BG205" s="257"/>
      <c r="BH205" s="257"/>
      <c r="BI205" s="257"/>
      <c r="BJ205" s="242"/>
      <c r="BK205" s="242"/>
      <c r="BL205" s="242"/>
      <c r="BM205" s="242"/>
      <c r="BN205" s="242"/>
      <c r="BO205" s="242"/>
      <c r="BP205" s="242"/>
      <c r="BQ205" s="242"/>
      <c r="BR205" s="242"/>
      <c r="BS205" s="242"/>
      <c r="BT205" s="242"/>
      <c r="BU205" s="242"/>
      <c r="BV205" s="242"/>
      <c r="BW205" s="242"/>
      <c r="BX205" s="242"/>
      <c r="BY205" s="242"/>
      <c r="BZ205" s="242"/>
      <c r="CA205" s="242"/>
      <c r="CB205" s="242"/>
      <c r="CC205" s="242"/>
      <c r="CD205" s="242"/>
      <c r="CE205" s="257"/>
      <c r="CF205" s="257"/>
      <c r="CG205" s="242"/>
      <c r="CH205" s="242"/>
      <c r="CI205" s="242"/>
      <c r="CJ205" s="242"/>
      <c r="CK205" s="242"/>
      <c r="CL205" s="242"/>
      <c r="CM205" s="242"/>
      <c r="CN205" s="242"/>
      <c r="CO205" s="242"/>
      <c r="CP205" s="242"/>
      <c r="CQ205" s="242"/>
      <c r="CR205" s="242"/>
      <c r="CS205" s="242"/>
      <c r="CT205" s="242"/>
      <c r="CU205" s="242"/>
      <c r="CV205" s="242"/>
      <c r="CW205" s="242"/>
      <c r="CX205" s="242"/>
      <c r="CY205" s="242"/>
      <c r="CZ205" s="242"/>
      <c r="DA205" s="242"/>
      <c r="DB205" s="242"/>
      <c r="DC205" s="242"/>
      <c r="DD205" s="242"/>
      <c r="DE205" s="242"/>
      <c r="DF205" s="242"/>
      <c r="DG205" s="257"/>
      <c r="DH205" s="242"/>
      <c r="DI205" s="242"/>
      <c r="DJ205" s="242"/>
      <c r="DK205" s="242"/>
      <c r="DL205" s="242"/>
      <c r="DM205" s="242"/>
      <c r="DN205" s="242"/>
      <c r="DO205" s="242"/>
      <c r="DP205" s="242"/>
      <c r="DQ205" s="242"/>
      <c r="DR205" s="242"/>
      <c r="DS205" s="242"/>
      <c r="DT205" s="242"/>
      <c r="DU205" s="242"/>
      <c r="DV205" s="242"/>
      <c r="DW205" s="242"/>
      <c r="DX205" s="242"/>
      <c r="DY205" s="242"/>
      <c r="DZ205" s="242"/>
      <c r="EA205" s="242"/>
      <c r="EB205" s="242"/>
      <c r="EC205" s="242"/>
      <c r="ED205" s="242"/>
      <c r="EE205" s="242"/>
      <c r="EF205" s="242"/>
      <c r="EG205" s="242"/>
      <c r="EH205" s="242"/>
      <c r="EI205" s="242"/>
      <c r="EJ205" s="242"/>
      <c r="EK205" s="242"/>
      <c r="EL205" s="242"/>
      <c r="EM205" s="242"/>
      <c r="EN205" s="242"/>
      <c r="EO205" s="242"/>
      <c r="EP205" s="242"/>
      <c r="EQ205" s="242"/>
      <c r="ER205" s="242"/>
      <c r="ES205" s="242"/>
      <c r="ET205" s="242"/>
      <c r="EU205" s="242"/>
      <c r="EV205" s="242"/>
      <c r="EW205" s="242"/>
      <c r="EX205" s="242"/>
      <c r="EY205" s="242"/>
      <c r="EZ205" s="242"/>
      <c r="FA205" s="242"/>
      <c r="FB205" s="242"/>
      <c r="FC205" s="242"/>
      <c r="FD205" s="242"/>
      <c r="FE205" s="242"/>
      <c r="FF205" s="242"/>
      <c r="FG205" s="242"/>
      <c r="FH205" s="257"/>
      <c r="FI205" s="257"/>
      <c r="FJ205" s="257"/>
      <c r="FK205" s="257"/>
      <c r="FL205" s="257"/>
      <c r="FM205" s="257"/>
      <c r="FN205" s="257"/>
      <c r="FO205" s="257"/>
      <c r="FP205" s="257"/>
      <c r="FQ205" s="257"/>
      <c r="FR205" s="257"/>
      <c r="FS205" s="257"/>
      <c r="FT205" s="257"/>
      <c r="FU205" s="257"/>
      <c r="FV205" s="257"/>
      <c r="FW205" s="257"/>
      <c r="FX205" s="257"/>
      <c r="FY205" s="242"/>
      <c r="FZ205" s="242"/>
      <c r="GA205" s="242"/>
      <c r="GB205" s="242"/>
      <c r="GC205" s="242"/>
      <c r="GD205" s="242"/>
      <c r="GE205" s="242"/>
      <c r="GF205" s="242"/>
      <c r="GG205" s="242"/>
      <c r="GH205" s="242"/>
      <c r="GI205" s="242"/>
      <c r="GJ205" s="242"/>
      <c r="GK205" s="242"/>
      <c r="GL205" s="242"/>
      <c r="GM205" s="242"/>
      <c r="GN205" s="242"/>
      <c r="GO205" s="242"/>
      <c r="GP205" s="242"/>
      <c r="GQ205" s="242"/>
      <c r="GR205" s="242"/>
      <c r="GS205" s="242"/>
      <c r="GT205" s="242"/>
      <c r="GU205" s="242"/>
      <c r="GV205" s="242"/>
      <c r="GW205" s="242"/>
      <c r="GX205" s="242"/>
      <c r="GY205" s="242"/>
      <c r="GZ205" s="242"/>
      <c r="HA205" s="242"/>
      <c r="HB205" s="242"/>
      <c r="HC205" s="242"/>
      <c r="HD205" s="242"/>
      <c r="HE205" s="242"/>
      <c r="HF205" s="242"/>
      <c r="HG205" s="242"/>
      <c r="HH205" s="242"/>
      <c r="HI205" s="242"/>
      <c r="HJ205" s="242"/>
      <c r="HK205" s="242"/>
      <c r="HL205" s="242"/>
      <c r="HM205" s="242"/>
      <c r="HN205" s="242"/>
      <c r="HO205" s="242"/>
      <c r="HP205" s="242"/>
      <c r="HQ205" s="242"/>
      <c r="HR205" s="242"/>
      <c r="HS205" s="242"/>
      <c r="HT205" s="242"/>
      <c r="HU205" s="242"/>
      <c r="HV205" s="242"/>
      <c r="HW205" s="242"/>
      <c r="HX205" s="257"/>
      <c r="HY205" s="257"/>
      <c r="HZ205" s="257"/>
      <c r="IA205" s="257"/>
      <c r="IB205" s="257"/>
      <c r="IC205" s="257"/>
      <c r="ID205" s="257"/>
      <c r="IE205" s="257"/>
      <c r="IF205" s="257"/>
      <c r="IG205" s="257"/>
      <c r="IH205" s="257"/>
      <c r="II205" s="257"/>
      <c r="IJ205" s="257"/>
      <c r="IK205" s="257"/>
      <c r="IL205" s="257"/>
      <c r="IM205" s="257"/>
      <c r="IN205" s="257"/>
      <c r="IO205" s="257"/>
      <c r="IP205" s="257"/>
      <c r="IQ205" s="257"/>
      <c r="IR205" s="257"/>
      <c r="IS205" s="257"/>
      <c r="IT205" s="257"/>
      <c r="IU205" s="257"/>
      <c r="IV205" s="257"/>
      <c r="IW205" s="257"/>
      <c r="IX205" s="257"/>
      <c r="IY205" s="257"/>
      <c r="IZ205" s="257"/>
      <c r="JA205" s="257"/>
      <c r="JB205" s="257"/>
      <c r="JC205" s="257"/>
      <c r="JD205" s="257"/>
      <c r="JE205" s="257"/>
      <c r="JF205" s="242"/>
      <c r="JG205" s="242"/>
      <c r="JH205" s="242"/>
      <c r="JI205" s="242"/>
      <c r="JJ205" s="242"/>
      <c r="JK205" s="242"/>
      <c r="JL205" s="242"/>
      <c r="JM205" s="242"/>
      <c r="JN205" s="242"/>
      <c r="JO205" s="242"/>
      <c r="JP205" s="242"/>
      <c r="JQ205" s="242"/>
      <c r="JR205" s="242"/>
      <c r="JS205" s="242"/>
      <c r="JT205" s="242"/>
      <c r="JU205" s="242"/>
      <c r="JV205" s="242"/>
      <c r="JW205" s="242"/>
      <c r="JX205" s="242"/>
      <c r="JY205" s="242"/>
      <c r="JZ205" s="242"/>
      <c r="KA205" s="242"/>
      <c r="KB205" s="242"/>
      <c r="KC205" s="242"/>
      <c r="KD205" s="242"/>
      <c r="KE205" s="242"/>
      <c r="KF205" s="242"/>
      <c r="KG205" s="242"/>
      <c r="KH205" s="242"/>
      <c r="KI205" s="242"/>
      <c r="KJ205" s="242"/>
      <c r="KK205" s="242"/>
      <c r="KL205" s="242"/>
      <c r="KM205" s="242"/>
      <c r="KN205" s="242"/>
      <c r="KO205" s="242"/>
      <c r="KP205" s="242"/>
      <c r="KQ205" s="242"/>
      <c r="KR205" s="242"/>
      <c r="KS205" s="242"/>
      <c r="KT205" s="242"/>
      <c r="KU205" s="242"/>
      <c r="KV205" s="242"/>
      <c r="KW205" s="242"/>
      <c r="KX205" s="242"/>
      <c r="KY205" s="242"/>
      <c r="KZ205" s="242"/>
      <c r="LA205" s="242"/>
      <c r="LB205" s="242"/>
      <c r="LC205" s="242"/>
      <c r="LD205" s="242"/>
      <c r="LE205" s="242"/>
      <c r="LF205" s="242"/>
      <c r="LG205" s="242"/>
      <c r="LH205" s="242"/>
      <c r="LI205" s="242"/>
      <c r="LJ205" s="242"/>
      <c r="LK205" s="242"/>
      <c r="LL205" s="242"/>
      <c r="LM205" s="242"/>
      <c r="LN205" s="242"/>
      <c r="LO205" s="242"/>
      <c r="LP205" s="242"/>
      <c r="LQ205" s="242"/>
      <c r="LR205" s="242"/>
      <c r="LS205" s="242"/>
      <c r="LT205" s="242"/>
      <c r="LU205" s="242"/>
      <c r="LV205" s="242"/>
      <c r="LW205" s="242"/>
      <c r="LX205" s="242"/>
      <c r="LY205" s="242"/>
      <c r="LZ205" s="242"/>
      <c r="MA205" s="242"/>
      <c r="MB205" s="242"/>
      <c r="MC205" s="242"/>
      <c r="MD205" s="242"/>
      <c r="ME205" s="242"/>
      <c r="MF205" s="242"/>
      <c r="MG205" s="242"/>
      <c r="MH205" s="242"/>
      <c r="MI205" s="242"/>
      <c r="MJ205" s="242"/>
      <c r="MK205" s="242"/>
      <c r="ML205" s="242"/>
    </row>
    <row r="206" ht="18.75" customHeight="1">
      <c r="A206" s="283"/>
      <c r="B206" s="234" t="str">
        <f>'Building Bill of Materials_SLIM'!P206</f>
        <v/>
      </c>
      <c r="C206" s="234" t="str">
        <f>'Building Bill of Materials_SLIM'!Q206</f>
        <v/>
      </c>
      <c r="D206" s="234" t="str">
        <f>'Building Bill of Materials_SLIM'!R206</f>
        <v/>
      </c>
      <c r="E206" s="234" t="str">
        <f>'Building Bill of Materials_SLIM'!S206</f>
        <v/>
      </c>
      <c r="F206" s="234" t="str">
        <f>'Building Bill of Materials_SLIM'!U206</f>
        <v/>
      </c>
      <c r="G206" s="234"/>
      <c r="H206" s="234"/>
      <c r="I206" s="234"/>
      <c r="J206" s="234" t="str">
        <f>'Building Bill of Materials_SLIM'!V206</f>
        <v/>
      </c>
      <c r="K206" s="242"/>
      <c r="L206" s="242"/>
      <c r="M206" s="242"/>
      <c r="N206" s="242"/>
      <c r="O206" s="242"/>
      <c r="P206" s="242"/>
      <c r="Q206" s="242"/>
      <c r="R206" s="242"/>
      <c r="S206" s="242"/>
      <c r="T206" s="242"/>
      <c r="U206" s="242"/>
      <c r="V206" s="242"/>
      <c r="W206" s="242"/>
      <c r="X206" s="242"/>
      <c r="Y206" s="242"/>
      <c r="Z206" s="242"/>
      <c r="AA206" s="192"/>
      <c r="AB206" s="257"/>
      <c r="AC206" s="257"/>
      <c r="AD206" s="257"/>
      <c r="AE206" s="257"/>
      <c r="AF206" s="257"/>
      <c r="AG206" s="257"/>
      <c r="AH206" s="257"/>
      <c r="AI206" s="257"/>
      <c r="AJ206" s="257"/>
      <c r="AK206" s="257"/>
      <c r="AL206" s="257"/>
      <c r="AM206" s="257"/>
      <c r="AN206" s="257"/>
      <c r="AO206" s="257"/>
      <c r="AP206" s="257"/>
      <c r="AQ206" s="257"/>
      <c r="AR206" s="257"/>
      <c r="AS206" s="257"/>
      <c r="AT206" s="257"/>
      <c r="AU206" s="257"/>
      <c r="AV206" s="257"/>
      <c r="AW206" s="257"/>
      <c r="AX206" s="257"/>
      <c r="AY206" s="257"/>
      <c r="AZ206" s="257"/>
      <c r="BA206" s="257"/>
      <c r="BB206" s="257"/>
      <c r="BC206" s="257"/>
      <c r="BD206" s="257"/>
      <c r="BE206" s="257"/>
      <c r="BF206" s="257"/>
      <c r="BG206" s="257"/>
      <c r="BH206" s="257"/>
      <c r="BI206" s="257"/>
      <c r="BJ206" s="242"/>
      <c r="BK206" s="242"/>
      <c r="BL206" s="242"/>
      <c r="BM206" s="242"/>
      <c r="BN206" s="242"/>
      <c r="BO206" s="242"/>
      <c r="BP206" s="242"/>
      <c r="BQ206" s="242"/>
      <c r="BR206" s="242"/>
      <c r="BS206" s="242"/>
      <c r="BT206" s="242"/>
      <c r="BU206" s="242"/>
      <c r="BV206" s="242"/>
      <c r="BW206" s="242"/>
      <c r="BX206" s="242"/>
      <c r="BY206" s="242"/>
      <c r="BZ206" s="242"/>
      <c r="CA206" s="242"/>
      <c r="CB206" s="242"/>
      <c r="CC206" s="242"/>
      <c r="CD206" s="242"/>
      <c r="CE206" s="257"/>
      <c r="CF206" s="257"/>
      <c r="CG206" s="242"/>
      <c r="CH206" s="242"/>
      <c r="CI206" s="242"/>
      <c r="CJ206" s="242"/>
      <c r="CK206" s="242"/>
      <c r="CL206" s="242"/>
      <c r="CM206" s="242"/>
      <c r="CN206" s="242"/>
      <c r="CO206" s="242"/>
      <c r="CP206" s="242"/>
      <c r="CQ206" s="242"/>
      <c r="CR206" s="242"/>
      <c r="CS206" s="242"/>
      <c r="CT206" s="242"/>
      <c r="CU206" s="242"/>
      <c r="CV206" s="242"/>
      <c r="CW206" s="242"/>
      <c r="CX206" s="242"/>
      <c r="CY206" s="242"/>
      <c r="CZ206" s="242"/>
      <c r="DA206" s="242"/>
      <c r="DB206" s="242"/>
      <c r="DC206" s="242"/>
      <c r="DD206" s="242"/>
      <c r="DE206" s="242"/>
      <c r="DF206" s="242"/>
      <c r="DG206" s="257"/>
      <c r="DH206" s="242"/>
      <c r="DI206" s="242"/>
      <c r="DJ206" s="242"/>
      <c r="DK206" s="242"/>
      <c r="DL206" s="242"/>
      <c r="DM206" s="242"/>
      <c r="DN206" s="242"/>
      <c r="DO206" s="242"/>
      <c r="DP206" s="242"/>
      <c r="DQ206" s="242"/>
      <c r="DR206" s="242"/>
      <c r="DS206" s="242"/>
      <c r="DT206" s="242"/>
      <c r="DU206" s="242"/>
      <c r="DV206" s="242"/>
      <c r="DW206" s="242"/>
      <c r="DX206" s="242"/>
      <c r="DY206" s="242"/>
      <c r="DZ206" s="242"/>
      <c r="EA206" s="242"/>
      <c r="EB206" s="242"/>
      <c r="EC206" s="242"/>
      <c r="ED206" s="242"/>
      <c r="EE206" s="242"/>
      <c r="EF206" s="242"/>
      <c r="EG206" s="242"/>
      <c r="EH206" s="242"/>
      <c r="EI206" s="242"/>
      <c r="EJ206" s="242"/>
      <c r="EK206" s="242"/>
      <c r="EL206" s="242"/>
      <c r="EM206" s="242"/>
      <c r="EN206" s="242"/>
      <c r="EO206" s="242"/>
      <c r="EP206" s="242"/>
      <c r="EQ206" s="242"/>
      <c r="ER206" s="242"/>
      <c r="ES206" s="242"/>
      <c r="ET206" s="242"/>
      <c r="EU206" s="242"/>
      <c r="EV206" s="242"/>
      <c r="EW206" s="242"/>
      <c r="EX206" s="242"/>
      <c r="EY206" s="242"/>
      <c r="EZ206" s="242"/>
      <c r="FA206" s="242"/>
      <c r="FB206" s="242"/>
      <c r="FC206" s="242"/>
      <c r="FD206" s="242"/>
      <c r="FE206" s="242"/>
      <c r="FF206" s="242"/>
      <c r="FG206" s="242"/>
      <c r="FH206" s="257"/>
      <c r="FI206" s="257"/>
      <c r="FJ206" s="257"/>
      <c r="FK206" s="257"/>
      <c r="FL206" s="257"/>
      <c r="FM206" s="257"/>
      <c r="FN206" s="257"/>
      <c r="FO206" s="257"/>
      <c r="FP206" s="257"/>
      <c r="FQ206" s="257"/>
      <c r="FR206" s="257"/>
      <c r="FS206" s="257"/>
      <c r="FT206" s="257"/>
      <c r="FU206" s="257"/>
      <c r="FV206" s="257"/>
      <c r="FW206" s="257"/>
      <c r="FX206" s="257"/>
      <c r="FY206" s="242"/>
      <c r="FZ206" s="242"/>
      <c r="GA206" s="242"/>
      <c r="GB206" s="242"/>
      <c r="GC206" s="242"/>
      <c r="GD206" s="242"/>
      <c r="GE206" s="242"/>
      <c r="GF206" s="242"/>
      <c r="GG206" s="242"/>
      <c r="GH206" s="242"/>
      <c r="GI206" s="242"/>
      <c r="GJ206" s="242"/>
      <c r="GK206" s="242"/>
      <c r="GL206" s="242"/>
      <c r="GM206" s="242"/>
      <c r="GN206" s="242"/>
      <c r="GO206" s="242"/>
      <c r="GP206" s="242"/>
      <c r="GQ206" s="242"/>
      <c r="GR206" s="242"/>
      <c r="GS206" s="242"/>
      <c r="GT206" s="242"/>
      <c r="GU206" s="242"/>
      <c r="GV206" s="242"/>
      <c r="GW206" s="242"/>
      <c r="GX206" s="242"/>
      <c r="GY206" s="242"/>
      <c r="GZ206" s="242"/>
      <c r="HA206" s="242"/>
      <c r="HB206" s="242"/>
      <c r="HC206" s="242"/>
      <c r="HD206" s="242"/>
      <c r="HE206" s="242"/>
      <c r="HF206" s="242"/>
      <c r="HG206" s="242"/>
      <c r="HH206" s="242"/>
      <c r="HI206" s="242"/>
      <c r="HJ206" s="242"/>
      <c r="HK206" s="242"/>
      <c r="HL206" s="242"/>
      <c r="HM206" s="242"/>
      <c r="HN206" s="242"/>
      <c r="HO206" s="242"/>
      <c r="HP206" s="242"/>
      <c r="HQ206" s="242"/>
      <c r="HR206" s="242"/>
      <c r="HS206" s="242"/>
      <c r="HT206" s="242"/>
      <c r="HU206" s="242"/>
      <c r="HV206" s="242"/>
      <c r="HW206" s="242"/>
      <c r="HX206" s="257"/>
      <c r="HY206" s="257"/>
      <c r="HZ206" s="257"/>
      <c r="IA206" s="257"/>
      <c r="IB206" s="257"/>
      <c r="IC206" s="257"/>
      <c r="ID206" s="257"/>
      <c r="IE206" s="257"/>
      <c r="IF206" s="257"/>
      <c r="IG206" s="257"/>
      <c r="IH206" s="257"/>
      <c r="II206" s="257"/>
      <c r="IJ206" s="257"/>
      <c r="IK206" s="257"/>
      <c r="IL206" s="257"/>
      <c r="IM206" s="257"/>
      <c r="IN206" s="257"/>
      <c r="IO206" s="257"/>
      <c r="IP206" s="257"/>
      <c r="IQ206" s="257"/>
      <c r="IR206" s="257"/>
      <c r="IS206" s="257"/>
      <c r="IT206" s="257"/>
      <c r="IU206" s="257"/>
      <c r="IV206" s="257"/>
      <c r="IW206" s="257"/>
      <c r="IX206" s="257"/>
      <c r="IY206" s="257"/>
      <c r="IZ206" s="257"/>
      <c r="JA206" s="257"/>
      <c r="JB206" s="257"/>
      <c r="JC206" s="257"/>
      <c r="JD206" s="257"/>
      <c r="JE206" s="257"/>
      <c r="JF206" s="242"/>
      <c r="JG206" s="242"/>
      <c r="JH206" s="242"/>
      <c r="JI206" s="242"/>
      <c r="JJ206" s="242"/>
      <c r="JK206" s="242"/>
      <c r="JL206" s="242"/>
      <c r="JM206" s="242"/>
      <c r="JN206" s="242"/>
      <c r="JO206" s="242"/>
      <c r="JP206" s="242"/>
      <c r="JQ206" s="242"/>
      <c r="JR206" s="242"/>
      <c r="JS206" s="242"/>
      <c r="JT206" s="242"/>
      <c r="JU206" s="242"/>
      <c r="JV206" s="242"/>
      <c r="JW206" s="242"/>
      <c r="JX206" s="242"/>
      <c r="JY206" s="242"/>
      <c r="JZ206" s="242"/>
      <c r="KA206" s="242"/>
      <c r="KB206" s="242"/>
      <c r="KC206" s="242"/>
      <c r="KD206" s="242"/>
      <c r="KE206" s="242"/>
      <c r="KF206" s="242"/>
      <c r="KG206" s="242"/>
      <c r="KH206" s="242"/>
      <c r="KI206" s="242"/>
      <c r="KJ206" s="242"/>
      <c r="KK206" s="242"/>
      <c r="KL206" s="242"/>
      <c r="KM206" s="242"/>
      <c r="KN206" s="242"/>
      <c r="KO206" s="242"/>
      <c r="KP206" s="242"/>
      <c r="KQ206" s="242"/>
      <c r="KR206" s="242"/>
      <c r="KS206" s="242"/>
      <c r="KT206" s="242"/>
      <c r="KU206" s="242"/>
      <c r="KV206" s="242"/>
      <c r="KW206" s="242"/>
      <c r="KX206" s="242"/>
      <c r="KY206" s="242"/>
      <c r="KZ206" s="242"/>
      <c r="LA206" s="242"/>
      <c r="LB206" s="242"/>
      <c r="LC206" s="242"/>
      <c r="LD206" s="242"/>
      <c r="LE206" s="242"/>
      <c r="LF206" s="242"/>
      <c r="LG206" s="242"/>
      <c r="LH206" s="242"/>
      <c r="LI206" s="242"/>
      <c r="LJ206" s="242"/>
      <c r="LK206" s="242"/>
      <c r="LL206" s="242"/>
      <c r="LM206" s="242"/>
      <c r="LN206" s="242"/>
      <c r="LO206" s="242"/>
      <c r="LP206" s="242"/>
      <c r="LQ206" s="242"/>
      <c r="LR206" s="242"/>
      <c r="LS206" s="242"/>
      <c r="LT206" s="242"/>
      <c r="LU206" s="242"/>
      <c r="LV206" s="242"/>
      <c r="LW206" s="242"/>
      <c r="LX206" s="242"/>
      <c r="LY206" s="242"/>
      <c r="LZ206" s="242"/>
      <c r="MA206" s="242"/>
      <c r="MB206" s="242"/>
      <c r="MC206" s="242"/>
      <c r="MD206" s="242"/>
      <c r="ME206" s="242"/>
      <c r="MF206" s="242"/>
      <c r="MG206" s="242"/>
      <c r="MH206" s="242"/>
      <c r="MI206" s="242"/>
      <c r="MJ206" s="242"/>
      <c r="MK206" s="242"/>
      <c r="ML206" s="242"/>
    </row>
    <row r="207" ht="18.75" customHeight="1">
      <c r="A207" s="283"/>
      <c r="B207" s="234" t="str">
        <f>'Building Bill of Materials_SLIM'!P207</f>
        <v/>
      </c>
      <c r="C207" s="234" t="str">
        <f>'Building Bill of Materials_SLIM'!Q207</f>
        <v/>
      </c>
      <c r="D207" s="234" t="str">
        <f>'Building Bill of Materials_SLIM'!R207</f>
        <v/>
      </c>
      <c r="E207" s="234" t="str">
        <f>'Building Bill of Materials_SLIM'!S207</f>
        <v/>
      </c>
      <c r="F207" s="234" t="str">
        <f>'Building Bill of Materials_SLIM'!U207</f>
        <v/>
      </c>
      <c r="G207" s="234"/>
      <c r="H207" s="234"/>
      <c r="I207" s="234"/>
      <c r="J207" s="234" t="str">
        <f>'Building Bill of Materials_SLIM'!V207</f>
        <v/>
      </c>
      <c r="K207" s="242"/>
      <c r="L207" s="242"/>
      <c r="M207" s="242"/>
      <c r="N207" s="242"/>
      <c r="O207" s="242"/>
      <c r="P207" s="242"/>
      <c r="Q207" s="242"/>
      <c r="R207" s="242"/>
      <c r="S207" s="242"/>
      <c r="T207" s="242"/>
      <c r="U207" s="242"/>
      <c r="V207" s="242"/>
      <c r="W207" s="242"/>
      <c r="X207" s="242"/>
      <c r="Y207" s="242"/>
      <c r="Z207" s="242"/>
      <c r="AA207" s="192"/>
      <c r="AB207" s="257"/>
      <c r="AC207" s="257"/>
      <c r="AD207" s="257"/>
      <c r="AE207" s="257"/>
      <c r="AF207" s="257"/>
      <c r="AG207" s="257"/>
      <c r="AH207" s="257"/>
      <c r="AI207" s="257"/>
      <c r="AJ207" s="257"/>
      <c r="AK207" s="257"/>
      <c r="AL207" s="257"/>
      <c r="AM207" s="257"/>
      <c r="AN207" s="257"/>
      <c r="AO207" s="257"/>
      <c r="AP207" s="257"/>
      <c r="AQ207" s="257"/>
      <c r="AR207" s="257"/>
      <c r="AS207" s="257"/>
      <c r="AT207" s="257"/>
      <c r="AU207" s="257"/>
      <c r="AV207" s="257"/>
      <c r="AW207" s="257"/>
      <c r="AX207" s="257"/>
      <c r="AY207" s="257"/>
      <c r="AZ207" s="257"/>
      <c r="BA207" s="257"/>
      <c r="BB207" s="257"/>
      <c r="BC207" s="257"/>
      <c r="BD207" s="257"/>
      <c r="BE207" s="257"/>
      <c r="BF207" s="257"/>
      <c r="BG207" s="257"/>
      <c r="BH207" s="257"/>
      <c r="BI207" s="257"/>
      <c r="BJ207" s="242"/>
      <c r="BK207" s="242"/>
      <c r="BL207" s="242"/>
      <c r="BM207" s="242"/>
      <c r="BN207" s="242"/>
      <c r="BO207" s="242"/>
      <c r="BP207" s="242"/>
      <c r="BQ207" s="242"/>
      <c r="BR207" s="242"/>
      <c r="BS207" s="242"/>
      <c r="BT207" s="242"/>
      <c r="BU207" s="242"/>
      <c r="BV207" s="242"/>
      <c r="BW207" s="242"/>
      <c r="BX207" s="242"/>
      <c r="BY207" s="242"/>
      <c r="BZ207" s="242"/>
      <c r="CA207" s="242"/>
      <c r="CB207" s="242"/>
      <c r="CC207" s="242"/>
      <c r="CD207" s="242"/>
      <c r="CE207" s="257"/>
      <c r="CF207" s="257"/>
      <c r="CG207" s="242"/>
      <c r="CH207" s="242"/>
      <c r="CI207" s="242"/>
      <c r="CJ207" s="242"/>
      <c r="CK207" s="242"/>
      <c r="CL207" s="242"/>
      <c r="CM207" s="242"/>
      <c r="CN207" s="242"/>
      <c r="CO207" s="242"/>
      <c r="CP207" s="242"/>
      <c r="CQ207" s="242"/>
      <c r="CR207" s="242"/>
      <c r="CS207" s="242"/>
      <c r="CT207" s="242"/>
      <c r="CU207" s="242"/>
      <c r="CV207" s="242"/>
      <c r="CW207" s="242"/>
      <c r="CX207" s="242"/>
      <c r="CY207" s="242"/>
      <c r="CZ207" s="242"/>
      <c r="DA207" s="242"/>
      <c r="DB207" s="242"/>
      <c r="DC207" s="242"/>
      <c r="DD207" s="242"/>
      <c r="DE207" s="242"/>
      <c r="DF207" s="242"/>
      <c r="DG207" s="257"/>
      <c r="DH207" s="242"/>
      <c r="DI207" s="242"/>
      <c r="DJ207" s="242"/>
      <c r="DK207" s="242"/>
      <c r="DL207" s="242"/>
      <c r="DM207" s="242"/>
      <c r="DN207" s="242"/>
      <c r="DO207" s="242"/>
      <c r="DP207" s="242"/>
      <c r="DQ207" s="242"/>
      <c r="DR207" s="242"/>
      <c r="DS207" s="242"/>
      <c r="DT207" s="242"/>
      <c r="DU207" s="242"/>
      <c r="DV207" s="242"/>
      <c r="DW207" s="242"/>
      <c r="DX207" s="242"/>
      <c r="DY207" s="242"/>
      <c r="DZ207" s="242"/>
      <c r="EA207" s="242"/>
      <c r="EB207" s="242"/>
      <c r="EC207" s="242"/>
      <c r="ED207" s="242"/>
      <c r="EE207" s="242"/>
      <c r="EF207" s="242"/>
      <c r="EG207" s="242"/>
      <c r="EH207" s="242"/>
      <c r="EI207" s="242"/>
      <c r="EJ207" s="242"/>
      <c r="EK207" s="242"/>
      <c r="EL207" s="242"/>
      <c r="EM207" s="242"/>
      <c r="EN207" s="242"/>
      <c r="EO207" s="242"/>
      <c r="EP207" s="242"/>
      <c r="EQ207" s="242"/>
      <c r="ER207" s="242"/>
      <c r="ES207" s="242"/>
      <c r="ET207" s="242"/>
      <c r="EU207" s="242"/>
      <c r="EV207" s="242"/>
      <c r="EW207" s="242"/>
      <c r="EX207" s="242"/>
      <c r="EY207" s="242"/>
      <c r="EZ207" s="242"/>
      <c r="FA207" s="242"/>
      <c r="FB207" s="242"/>
      <c r="FC207" s="242"/>
      <c r="FD207" s="242"/>
      <c r="FE207" s="242"/>
      <c r="FF207" s="242"/>
      <c r="FG207" s="242"/>
      <c r="FH207" s="257"/>
      <c r="FI207" s="257"/>
      <c r="FJ207" s="257"/>
      <c r="FK207" s="257"/>
      <c r="FL207" s="257"/>
      <c r="FM207" s="257"/>
      <c r="FN207" s="257"/>
      <c r="FO207" s="257"/>
      <c r="FP207" s="257"/>
      <c r="FQ207" s="257"/>
      <c r="FR207" s="257"/>
      <c r="FS207" s="257"/>
      <c r="FT207" s="257"/>
      <c r="FU207" s="257"/>
      <c r="FV207" s="257"/>
      <c r="FW207" s="257"/>
      <c r="FX207" s="257"/>
      <c r="FY207" s="242"/>
      <c r="FZ207" s="242"/>
      <c r="GA207" s="242"/>
      <c r="GB207" s="242"/>
      <c r="GC207" s="242"/>
      <c r="GD207" s="242"/>
      <c r="GE207" s="242"/>
      <c r="GF207" s="242"/>
      <c r="GG207" s="242"/>
      <c r="GH207" s="242"/>
      <c r="GI207" s="242"/>
      <c r="GJ207" s="242"/>
      <c r="GK207" s="242"/>
      <c r="GL207" s="242"/>
      <c r="GM207" s="242"/>
      <c r="GN207" s="242"/>
      <c r="GO207" s="242"/>
      <c r="GP207" s="242"/>
      <c r="GQ207" s="242"/>
      <c r="GR207" s="242"/>
      <c r="GS207" s="242"/>
      <c r="GT207" s="242"/>
      <c r="GU207" s="242"/>
      <c r="GV207" s="242"/>
      <c r="GW207" s="242"/>
      <c r="GX207" s="242"/>
      <c r="GY207" s="242"/>
      <c r="GZ207" s="242"/>
      <c r="HA207" s="242"/>
      <c r="HB207" s="242"/>
      <c r="HC207" s="242"/>
      <c r="HD207" s="242"/>
      <c r="HE207" s="242"/>
      <c r="HF207" s="242"/>
      <c r="HG207" s="242"/>
      <c r="HH207" s="242"/>
      <c r="HI207" s="242"/>
      <c r="HJ207" s="242"/>
      <c r="HK207" s="242"/>
      <c r="HL207" s="242"/>
      <c r="HM207" s="242"/>
      <c r="HN207" s="242"/>
      <c r="HO207" s="242"/>
      <c r="HP207" s="242"/>
      <c r="HQ207" s="242"/>
      <c r="HR207" s="242"/>
      <c r="HS207" s="242"/>
      <c r="HT207" s="242"/>
      <c r="HU207" s="242"/>
      <c r="HV207" s="242"/>
      <c r="HW207" s="242"/>
      <c r="HX207" s="257"/>
      <c r="HY207" s="257"/>
      <c r="HZ207" s="257"/>
      <c r="IA207" s="257"/>
      <c r="IB207" s="257"/>
      <c r="IC207" s="257"/>
      <c r="ID207" s="257"/>
      <c r="IE207" s="257"/>
      <c r="IF207" s="257"/>
      <c r="IG207" s="257"/>
      <c r="IH207" s="257"/>
      <c r="II207" s="257"/>
      <c r="IJ207" s="257"/>
      <c r="IK207" s="257"/>
      <c r="IL207" s="257"/>
      <c r="IM207" s="257"/>
      <c r="IN207" s="257"/>
      <c r="IO207" s="257"/>
      <c r="IP207" s="257"/>
      <c r="IQ207" s="257"/>
      <c r="IR207" s="257"/>
      <c r="IS207" s="257"/>
      <c r="IT207" s="257"/>
      <c r="IU207" s="257"/>
      <c r="IV207" s="257"/>
      <c r="IW207" s="257"/>
      <c r="IX207" s="257"/>
      <c r="IY207" s="257"/>
      <c r="IZ207" s="257"/>
      <c r="JA207" s="257"/>
      <c r="JB207" s="257"/>
      <c r="JC207" s="257"/>
      <c r="JD207" s="257"/>
      <c r="JE207" s="257"/>
      <c r="JF207" s="242"/>
      <c r="JG207" s="242"/>
      <c r="JH207" s="242"/>
      <c r="JI207" s="242"/>
      <c r="JJ207" s="242"/>
      <c r="JK207" s="242"/>
      <c r="JL207" s="242"/>
      <c r="JM207" s="242"/>
      <c r="JN207" s="242"/>
      <c r="JO207" s="242"/>
      <c r="JP207" s="242"/>
      <c r="JQ207" s="242"/>
      <c r="JR207" s="242"/>
      <c r="JS207" s="242"/>
      <c r="JT207" s="242"/>
      <c r="JU207" s="242"/>
      <c r="JV207" s="242"/>
      <c r="JW207" s="242"/>
      <c r="JX207" s="242"/>
      <c r="JY207" s="242"/>
      <c r="JZ207" s="242"/>
      <c r="KA207" s="242"/>
      <c r="KB207" s="242"/>
      <c r="KC207" s="242"/>
      <c r="KD207" s="242"/>
      <c r="KE207" s="242"/>
      <c r="KF207" s="242"/>
      <c r="KG207" s="242"/>
      <c r="KH207" s="242"/>
      <c r="KI207" s="242"/>
      <c r="KJ207" s="242"/>
      <c r="KK207" s="242"/>
      <c r="KL207" s="242"/>
      <c r="KM207" s="242"/>
      <c r="KN207" s="242"/>
      <c r="KO207" s="242"/>
      <c r="KP207" s="242"/>
      <c r="KQ207" s="242"/>
      <c r="KR207" s="242"/>
      <c r="KS207" s="242"/>
      <c r="KT207" s="242"/>
      <c r="KU207" s="242"/>
      <c r="KV207" s="242"/>
      <c r="KW207" s="242"/>
      <c r="KX207" s="242"/>
      <c r="KY207" s="242"/>
      <c r="KZ207" s="242"/>
      <c r="LA207" s="242"/>
      <c r="LB207" s="242"/>
      <c r="LC207" s="242"/>
      <c r="LD207" s="242"/>
      <c r="LE207" s="242"/>
      <c r="LF207" s="242"/>
      <c r="LG207" s="242"/>
      <c r="LH207" s="242"/>
      <c r="LI207" s="242"/>
      <c r="LJ207" s="242"/>
      <c r="LK207" s="242"/>
      <c r="LL207" s="242"/>
      <c r="LM207" s="242"/>
      <c r="LN207" s="242"/>
      <c r="LO207" s="242"/>
      <c r="LP207" s="242"/>
      <c r="LQ207" s="242"/>
      <c r="LR207" s="242"/>
      <c r="LS207" s="242"/>
      <c r="LT207" s="242"/>
      <c r="LU207" s="242"/>
      <c r="LV207" s="242"/>
      <c r="LW207" s="242"/>
      <c r="LX207" s="242"/>
      <c r="LY207" s="242"/>
      <c r="LZ207" s="242"/>
      <c r="MA207" s="242"/>
      <c r="MB207" s="242"/>
      <c r="MC207" s="242"/>
      <c r="MD207" s="242"/>
      <c r="ME207" s="242"/>
      <c r="MF207" s="242"/>
      <c r="MG207" s="242"/>
      <c r="MH207" s="242"/>
      <c r="MI207" s="242"/>
      <c r="MJ207" s="242"/>
      <c r="MK207" s="242"/>
      <c r="ML207" s="242"/>
    </row>
    <row r="208" ht="18.75" customHeight="1">
      <c r="A208" s="283"/>
      <c r="B208" s="234" t="str">
        <f>'Building Bill of Materials_SLIM'!P208</f>
        <v/>
      </c>
      <c r="C208" s="234" t="str">
        <f>'Building Bill of Materials_SLIM'!Q208</f>
        <v/>
      </c>
      <c r="D208" s="234" t="str">
        <f>'Building Bill of Materials_SLIM'!R208</f>
        <v/>
      </c>
      <c r="E208" s="234" t="str">
        <f>'Building Bill of Materials_SLIM'!S208</f>
        <v/>
      </c>
      <c r="F208" s="234" t="str">
        <f>'Building Bill of Materials_SLIM'!U208</f>
        <v/>
      </c>
      <c r="G208" s="234"/>
      <c r="H208" s="234"/>
      <c r="I208" s="234"/>
      <c r="J208" s="234" t="str">
        <f>'Building Bill of Materials_SLIM'!V208</f>
        <v/>
      </c>
      <c r="K208" s="242"/>
      <c r="L208" s="242"/>
      <c r="M208" s="242"/>
      <c r="N208" s="242"/>
      <c r="O208" s="242"/>
      <c r="P208" s="242"/>
      <c r="Q208" s="242"/>
      <c r="R208" s="242"/>
      <c r="S208" s="242"/>
      <c r="T208" s="242"/>
      <c r="U208" s="242"/>
      <c r="V208" s="242"/>
      <c r="W208" s="242"/>
      <c r="X208" s="242"/>
      <c r="Y208" s="242"/>
      <c r="Z208" s="242"/>
      <c r="AA208" s="192"/>
      <c r="AB208" s="257"/>
      <c r="AC208" s="257"/>
      <c r="AD208" s="257"/>
      <c r="AE208" s="257"/>
      <c r="AF208" s="257"/>
      <c r="AG208" s="257"/>
      <c r="AH208" s="257"/>
      <c r="AI208" s="257"/>
      <c r="AJ208" s="257"/>
      <c r="AK208" s="257"/>
      <c r="AL208" s="257"/>
      <c r="AM208" s="257"/>
      <c r="AN208" s="257"/>
      <c r="AO208" s="257"/>
      <c r="AP208" s="257"/>
      <c r="AQ208" s="257"/>
      <c r="AR208" s="257"/>
      <c r="AS208" s="257"/>
      <c r="AT208" s="257"/>
      <c r="AU208" s="257"/>
      <c r="AV208" s="257"/>
      <c r="AW208" s="257"/>
      <c r="AX208" s="257"/>
      <c r="AY208" s="257"/>
      <c r="AZ208" s="257"/>
      <c r="BA208" s="257"/>
      <c r="BB208" s="257"/>
      <c r="BC208" s="257"/>
      <c r="BD208" s="257"/>
      <c r="BE208" s="257"/>
      <c r="BF208" s="257"/>
      <c r="BG208" s="257"/>
      <c r="BH208" s="257"/>
      <c r="BI208" s="257"/>
      <c r="BJ208" s="242"/>
      <c r="BK208" s="242"/>
      <c r="BL208" s="242"/>
      <c r="BM208" s="242"/>
      <c r="BN208" s="242"/>
      <c r="BO208" s="242"/>
      <c r="BP208" s="242"/>
      <c r="BQ208" s="242"/>
      <c r="BR208" s="242"/>
      <c r="BS208" s="242"/>
      <c r="BT208" s="242"/>
      <c r="BU208" s="242"/>
      <c r="BV208" s="242"/>
      <c r="BW208" s="242"/>
      <c r="BX208" s="242"/>
      <c r="BY208" s="242"/>
      <c r="BZ208" s="242"/>
      <c r="CA208" s="242"/>
      <c r="CB208" s="242"/>
      <c r="CC208" s="242"/>
      <c r="CD208" s="242"/>
      <c r="CE208" s="257"/>
      <c r="CF208" s="257"/>
      <c r="CG208" s="242"/>
      <c r="CH208" s="242"/>
      <c r="CI208" s="242"/>
      <c r="CJ208" s="242"/>
      <c r="CK208" s="242"/>
      <c r="CL208" s="242"/>
      <c r="CM208" s="242"/>
      <c r="CN208" s="242"/>
      <c r="CO208" s="242"/>
      <c r="CP208" s="242"/>
      <c r="CQ208" s="242"/>
      <c r="CR208" s="242"/>
      <c r="CS208" s="242"/>
      <c r="CT208" s="242"/>
      <c r="CU208" s="242"/>
      <c r="CV208" s="242"/>
      <c r="CW208" s="242"/>
      <c r="CX208" s="242"/>
      <c r="CY208" s="242"/>
      <c r="CZ208" s="242"/>
      <c r="DA208" s="242"/>
      <c r="DB208" s="242"/>
      <c r="DC208" s="242"/>
      <c r="DD208" s="242"/>
      <c r="DE208" s="242"/>
      <c r="DF208" s="242"/>
      <c r="DG208" s="257"/>
      <c r="DH208" s="242"/>
      <c r="DI208" s="242"/>
      <c r="DJ208" s="242"/>
      <c r="DK208" s="242"/>
      <c r="DL208" s="242"/>
      <c r="DM208" s="242"/>
      <c r="DN208" s="242"/>
      <c r="DO208" s="242"/>
      <c r="DP208" s="242"/>
      <c r="DQ208" s="242"/>
      <c r="DR208" s="242"/>
      <c r="DS208" s="242"/>
      <c r="DT208" s="242"/>
      <c r="DU208" s="242"/>
      <c r="DV208" s="242"/>
      <c r="DW208" s="242"/>
      <c r="DX208" s="242"/>
      <c r="DY208" s="242"/>
      <c r="DZ208" s="242"/>
      <c r="EA208" s="242"/>
      <c r="EB208" s="242"/>
      <c r="EC208" s="242"/>
      <c r="ED208" s="242"/>
      <c r="EE208" s="242"/>
      <c r="EF208" s="242"/>
      <c r="EG208" s="242"/>
      <c r="EH208" s="242"/>
      <c r="EI208" s="242"/>
      <c r="EJ208" s="242"/>
      <c r="EK208" s="242"/>
      <c r="EL208" s="242"/>
      <c r="EM208" s="242"/>
      <c r="EN208" s="242"/>
      <c r="EO208" s="242"/>
      <c r="EP208" s="242"/>
      <c r="EQ208" s="242"/>
      <c r="ER208" s="242"/>
      <c r="ES208" s="242"/>
      <c r="ET208" s="242"/>
      <c r="EU208" s="242"/>
      <c r="EV208" s="242"/>
      <c r="EW208" s="242"/>
      <c r="EX208" s="242"/>
      <c r="EY208" s="242"/>
      <c r="EZ208" s="242"/>
      <c r="FA208" s="242"/>
      <c r="FB208" s="242"/>
      <c r="FC208" s="242"/>
      <c r="FD208" s="242"/>
      <c r="FE208" s="242"/>
      <c r="FF208" s="242"/>
      <c r="FG208" s="242"/>
      <c r="FH208" s="257"/>
      <c r="FI208" s="257"/>
      <c r="FJ208" s="257"/>
      <c r="FK208" s="257"/>
      <c r="FL208" s="257"/>
      <c r="FM208" s="257"/>
      <c r="FN208" s="257"/>
      <c r="FO208" s="257"/>
      <c r="FP208" s="257"/>
      <c r="FQ208" s="257"/>
      <c r="FR208" s="257"/>
      <c r="FS208" s="257"/>
      <c r="FT208" s="257"/>
      <c r="FU208" s="257"/>
      <c r="FV208" s="257"/>
      <c r="FW208" s="257"/>
      <c r="FX208" s="257"/>
      <c r="FY208" s="242"/>
      <c r="FZ208" s="242"/>
      <c r="GA208" s="242"/>
      <c r="GB208" s="242"/>
      <c r="GC208" s="242"/>
      <c r="GD208" s="242"/>
      <c r="GE208" s="242"/>
      <c r="GF208" s="242"/>
      <c r="GG208" s="242"/>
      <c r="GH208" s="242"/>
      <c r="GI208" s="242"/>
      <c r="GJ208" s="242"/>
      <c r="GK208" s="242"/>
      <c r="GL208" s="242"/>
      <c r="GM208" s="242"/>
      <c r="GN208" s="242"/>
      <c r="GO208" s="242"/>
      <c r="GP208" s="242"/>
      <c r="GQ208" s="242"/>
      <c r="GR208" s="242"/>
      <c r="GS208" s="242"/>
      <c r="GT208" s="242"/>
      <c r="GU208" s="242"/>
      <c r="GV208" s="242"/>
      <c r="GW208" s="242"/>
      <c r="GX208" s="242"/>
      <c r="GY208" s="242"/>
      <c r="GZ208" s="242"/>
      <c r="HA208" s="242"/>
      <c r="HB208" s="242"/>
      <c r="HC208" s="242"/>
      <c r="HD208" s="242"/>
      <c r="HE208" s="242"/>
      <c r="HF208" s="242"/>
      <c r="HG208" s="242"/>
      <c r="HH208" s="242"/>
      <c r="HI208" s="242"/>
      <c r="HJ208" s="242"/>
      <c r="HK208" s="242"/>
      <c r="HL208" s="242"/>
      <c r="HM208" s="242"/>
      <c r="HN208" s="242"/>
      <c r="HO208" s="242"/>
      <c r="HP208" s="242"/>
      <c r="HQ208" s="242"/>
      <c r="HR208" s="242"/>
      <c r="HS208" s="242"/>
      <c r="HT208" s="242"/>
      <c r="HU208" s="242"/>
      <c r="HV208" s="242"/>
      <c r="HW208" s="242"/>
      <c r="HX208" s="257"/>
      <c r="HY208" s="257"/>
      <c r="HZ208" s="257"/>
      <c r="IA208" s="257"/>
      <c r="IB208" s="257"/>
      <c r="IC208" s="257"/>
      <c r="ID208" s="257"/>
      <c r="IE208" s="257"/>
      <c r="IF208" s="257"/>
      <c r="IG208" s="257"/>
      <c r="IH208" s="257"/>
      <c r="II208" s="257"/>
      <c r="IJ208" s="257"/>
      <c r="IK208" s="257"/>
      <c r="IL208" s="257"/>
      <c r="IM208" s="257"/>
      <c r="IN208" s="257"/>
      <c r="IO208" s="257"/>
      <c r="IP208" s="257"/>
      <c r="IQ208" s="257"/>
      <c r="IR208" s="257"/>
      <c r="IS208" s="257"/>
      <c r="IT208" s="257"/>
      <c r="IU208" s="257"/>
      <c r="IV208" s="257"/>
      <c r="IW208" s="257"/>
      <c r="IX208" s="257"/>
      <c r="IY208" s="257"/>
      <c r="IZ208" s="257"/>
      <c r="JA208" s="257"/>
      <c r="JB208" s="257"/>
      <c r="JC208" s="257"/>
      <c r="JD208" s="257"/>
      <c r="JE208" s="257"/>
      <c r="JF208" s="242"/>
      <c r="JG208" s="242"/>
      <c r="JH208" s="242"/>
      <c r="JI208" s="242"/>
      <c r="JJ208" s="242"/>
      <c r="JK208" s="242"/>
      <c r="JL208" s="242"/>
      <c r="JM208" s="242"/>
      <c r="JN208" s="242"/>
      <c r="JO208" s="242"/>
      <c r="JP208" s="242"/>
      <c r="JQ208" s="242"/>
      <c r="JR208" s="242"/>
      <c r="JS208" s="242"/>
      <c r="JT208" s="242"/>
      <c r="JU208" s="242"/>
      <c r="JV208" s="242"/>
      <c r="JW208" s="242"/>
      <c r="JX208" s="242"/>
      <c r="JY208" s="242"/>
      <c r="JZ208" s="242"/>
      <c r="KA208" s="242"/>
      <c r="KB208" s="242"/>
      <c r="KC208" s="242"/>
      <c r="KD208" s="242"/>
      <c r="KE208" s="242"/>
      <c r="KF208" s="242"/>
      <c r="KG208" s="242"/>
      <c r="KH208" s="242"/>
      <c r="KI208" s="242"/>
      <c r="KJ208" s="242"/>
      <c r="KK208" s="242"/>
      <c r="KL208" s="242"/>
      <c r="KM208" s="242"/>
      <c r="KN208" s="242"/>
      <c r="KO208" s="242"/>
      <c r="KP208" s="242"/>
      <c r="KQ208" s="242"/>
      <c r="KR208" s="242"/>
      <c r="KS208" s="242"/>
      <c r="KT208" s="242"/>
      <c r="KU208" s="242"/>
      <c r="KV208" s="242"/>
      <c r="KW208" s="242"/>
      <c r="KX208" s="242"/>
      <c r="KY208" s="242"/>
      <c r="KZ208" s="242"/>
      <c r="LA208" s="242"/>
      <c r="LB208" s="242"/>
      <c r="LC208" s="242"/>
      <c r="LD208" s="242"/>
      <c r="LE208" s="242"/>
      <c r="LF208" s="242"/>
      <c r="LG208" s="242"/>
      <c r="LH208" s="242"/>
      <c r="LI208" s="242"/>
      <c r="LJ208" s="242"/>
      <c r="LK208" s="242"/>
      <c r="LL208" s="242"/>
      <c r="LM208" s="242"/>
      <c r="LN208" s="242"/>
      <c r="LO208" s="242"/>
      <c r="LP208" s="242"/>
      <c r="LQ208" s="242"/>
      <c r="LR208" s="242"/>
      <c r="LS208" s="242"/>
      <c r="LT208" s="242"/>
      <c r="LU208" s="242"/>
      <c r="LV208" s="242"/>
      <c r="LW208" s="242"/>
      <c r="LX208" s="242"/>
      <c r="LY208" s="242"/>
      <c r="LZ208" s="242"/>
      <c r="MA208" s="242"/>
      <c r="MB208" s="242"/>
      <c r="MC208" s="242"/>
      <c r="MD208" s="242"/>
      <c r="ME208" s="242"/>
      <c r="MF208" s="242"/>
      <c r="MG208" s="242"/>
      <c r="MH208" s="242"/>
      <c r="MI208" s="242"/>
      <c r="MJ208" s="242"/>
      <c r="MK208" s="242"/>
      <c r="ML208" s="242"/>
    </row>
    <row r="209" ht="18.75" customHeight="1">
      <c r="A209" s="283"/>
      <c r="B209" s="234" t="str">
        <f>'Building Bill of Materials_SLIM'!P209</f>
        <v/>
      </c>
      <c r="C209" s="234" t="str">
        <f>'Building Bill of Materials_SLIM'!Q209</f>
        <v/>
      </c>
      <c r="D209" s="234" t="str">
        <f>'Building Bill of Materials_SLIM'!R209</f>
        <v/>
      </c>
      <c r="E209" s="234" t="str">
        <f>'Building Bill of Materials_SLIM'!S209</f>
        <v/>
      </c>
      <c r="F209" s="234" t="str">
        <f>'Building Bill of Materials_SLIM'!U209</f>
        <v/>
      </c>
      <c r="G209" s="234"/>
      <c r="H209" s="234"/>
      <c r="I209" s="234"/>
      <c r="J209" s="234" t="str">
        <f>'Building Bill of Materials_SLIM'!V209</f>
        <v/>
      </c>
      <c r="K209" s="242"/>
      <c r="L209" s="242"/>
      <c r="M209" s="242"/>
      <c r="N209" s="242"/>
      <c r="O209" s="242"/>
      <c r="P209" s="242"/>
      <c r="Q209" s="242"/>
      <c r="R209" s="242"/>
      <c r="S209" s="242"/>
      <c r="T209" s="242"/>
      <c r="U209" s="242"/>
      <c r="V209" s="242"/>
      <c r="W209" s="242"/>
      <c r="X209" s="242"/>
      <c r="Y209" s="242"/>
      <c r="Z209" s="242"/>
      <c r="AA209" s="192"/>
      <c r="AB209" s="257"/>
      <c r="AC209" s="257"/>
      <c r="AD209" s="257"/>
      <c r="AE209" s="257"/>
      <c r="AF209" s="257"/>
      <c r="AG209" s="257"/>
      <c r="AH209" s="257"/>
      <c r="AI209" s="257"/>
      <c r="AJ209" s="257"/>
      <c r="AK209" s="257"/>
      <c r="AL209" s="257"/>
      <c r="AM209" s="257"/>
      <c r="AN209" s="257"/>
      <c r="AO209" s="257"/>
      <c r="AP209" s="257"/>
      <c r="AQ209" s="257"/>
      <c r="AR209" s="257"/>
      <c r="AS209" s="257"/>
      <c r="AT209" s="257"/>
      <c r="AU209" s="257"/>
      <c r="AV209" s="257"/>
      <c r="AW209" s="257"/>
      <c r="AX209" s="257"/>
      <c r="AY209" s="257"/>
      <c r="AZ209" s="257"/>
      <c r="BA209" s="257"/>
      <c r="BB209" s="257"/>
      <c r="BC209" s="257"/>
      <c r="BD209" s="257"/>
      <c r="BE209" s="257"/>
      <c r="BF209" s="257"/>
      <c r="BG209" s="257"/>
      <c r="BH209" s="257"/>
      <c r="BI209" s="257"/>
      <c r="BJ209" s="242"/>
      <c r="BK209" s="242"/>
      <c r="BL209" s="242"/>
      <c r="BM209" s="242"/>
      <c r="BN209" s="242"/>
      <c r="BO209" s="242"/>
      <c r="BP209" s="242"/>
      <c r="BQ209" s="242"/>
      <c r="BR209" s="242"/>
      <c r="BS209" s="242"/>
      <c r="BT209" s="242"/>
      <c r="BU209" s="242"/>
      <c r="BV209" s="242"/>
      <c r="BW209" s="242"/>
      <c r="BX209" s="242"/>
      <c r="BY209" s="242"/>
      <c r="BZ209" s="242"/>
      <c r="CA209" s="242"/>
      <c r="CB209" s="242"/>
      <c r="CC209" s="242"/>
      <c r="CD209" s="242"/>
      <c r="CE209" s="257"/>
      <c r="CF209" s="257"/>
      <c r="CG209" s="242"/>
      <c r="CH209" s="242"/>
      <c r="CI209" s="242"/>
      <c r="CJ209" s="242"/>
      <c r="CK209" s="242"/>
      <c r="CL209" s="242"/>
      <c r="CM209" s="242"/>
      <c r="CN209" s="242"/>
      <c r="CO209" s="242"/>
      <c r="CP209" s="242"/>
      <c r="CQ209" s="242"/>
      <c r="CR209" s="242"/>
      <c r="CS209" s="242"/>
      <c r="CT209" s="242"/>
      <c r="CU209" s="242"/>
      <c r="CV209" s="242"/>
      <c r="CW209" s="242"/>
      <c r="CX209" s="242"/>
      <c r="CY209" s="242"/>
      <c r="CZ209" s="242"/>
      <c r="DA209" s="242"/>
      <c r="DB209" s="242"/>
      <c r="DC209" s="242"/>
      <c r="DD209" s="242"/>
      <c r="DE209" s="242"/>
      <c r="DF209" s="242"/>
      <c r="DG209" s="257"/>
      <c r="DH209" s="242"/>
      <c r="DI209" s="242"/>
      <c r="DJ209" s="242"/>
      <c r="DK209" s="242"/>
      <c r="DL209" s="242"/>
      <c r="DM209" s="242"/>
      <c r="DN209" s="242"/>
      <c r="DO209" s="242"/>
      <c r="DP209" s="242"/>
      <c r="DQ209" s="242"/>
      <c r="DR209" s="242"/>
      <c r="DS209" s="242"/>
      <c r="DT209" s="242"/>
      <c r="DU209" s="242"/>
      <c r="DV209" s="242"/>
      <c r="DW209" s="242"/>
      <c r="DX209" s="242"/>
      <c r="DY209" s="242"/>
      <c r="DZ209" s="242"/>
      <c r="EA209" s="242"/>
      <c r="EB209" s="242"/>
      <c r="EC209" s="242"/>
      <c r="ED209" s="242"/>
      <c r="EE209" s="242"/>
      <c r="EF209" s="242"/>
      <c r="EG209" s="242"/>
      <c r="EH209" s="242"/>
      <c r="EI209" s="242"/>
      <c r="EJ209" s="242"/>
      <c r="EK209" s="242"/>
      <c r="EL209" s="242"/>
      <c r="EM209" s="242"/>
      <c r="EN209" s="242"/>
      <c r="EO209" s="242"/>
      <c r="EP209" s="242"/>
      <c r="EQ209" s="242"/>
      <c r="ER209" s="242"/>
      <c r="ES209" s="242"/>
      <c r="ET209" s="242"/>
      <c r="EU209" s="242"/>
      <c r="EV209" s="242"/>
      <c r="EW209" s="242"/>
      <c r="EX209" s="242"/>
      <c r="EY209" s="242"/>
      <c r="EZ209" s="242"/>
      <c r="FA209" s="242"/>
      <c r="FB209" s="242"/>
      <c r="FC209" s="242"/>
      <c r="FD209" s="242"/>
      <c r="FE209" s="242"/>
      <c r="FF209" s="242"/>
      <c r="FG209" s="242"/>
      <c r="FH209" s="257"/>
      <c r="FI209" s="257"/>
      <c r="FJ209" s="257"/>
      <c r="FK209" s="257"/>
      <c r="FL209" s="257"/>
      <c r="FM209" s="257"/>
      <c r="FN209" s="257"/>
      <c r="FO209" s="257"/>
      <c r="FP209" s="257"/>
      <c r="FQ209" s="257"/>
      <c r="FR209" s="257"/>
      <c r="FS209" s="257"/>
      <c r="FT209" s="257"/>
      <c r="FU209" s="257"/>
      <c r="FV209" s="257"/>
      <c r="FW209" s="257"/>
      <c r="FX209" s="257"/>
      <c r="FY209" s="242"/>
      <c r="FZ209" s="242"/>
      <c r="GA209" s="242"/>
      <c r="GB209" s="242"/>
      <c r="GC209" s="242"/>
      <c r="GD209" s="242"/>
      <c r="GE209" s="242"/>
      <c r="GF209" s="242"/>
      <c r="GG209" s="242"/>
      <c r="GH209" s="242"/>
      <c r="GI209" s="242"/>
      <c r="GJ209" s="242"/>
      <c r="GK209" s="242"/>
      <c r="GL209" s="242"/>
      <c r="GM209" s="242"/>
      <c r="GN209" s="242"/>
      <c r="GO209" s="242"/>
      <c r="GP209" s="242"/>
      <c r="GQ209" s="242"/>
      <c r="GR209" s="242"/>
      <c r="GS209" s="242"/>
      <c r="GT209" s="242"/>
      <c r="GU209" s="242"/>
      <c r="GV209" s="242"/>
      <c r="GW209" s="242"/>
      <c r="GX209" s="242"/>
      <c r="GY209" s="242"/>
      <c r="GZ209" s="242"/>
      <c r="HA209" s="242"/>
      <c r="HB209" s="242"/>
      <c r="HC209" s="242"/>
      <c r="HD209" s="242"/>
      <c r="HE209" s="242"/>
      <c r="HF209" s="242"/>
      <c r="HG209" s="242"/>
      <c r="HH209" s="242"/>
      <c r="HI209" s="242"/>
      <c r="HJ209" s="242"/>
      <c r="HK209" s="242"/>
      <c r="HL209" s="242"/>
      <c r="HM209" s="242"/>
      <c r="HN209" s="242"/>
      <c r="HO209" s="242"/>
      <c r="HP209" s="242"/>
      <c r="HQ209" s="242"/>
      <c r="HR209" s="242"/>
      <c r="HS209" s="242"/>
      <c r="HT209" s="242"/>
      <c r="HU209" s="242"/>
      <c r="HV209" s="242"/>
      <c r="HW209" s="242"/>
      <c r="HX209" s="257"/>
      <c r="HY209" s="257"/>
      <c r="HZ209" s="257"/>
      <c r="IA209" s="257"/>
      <c r="IB209" s="257"/>
      <c r="IC209" s="257"/>
      <c r="ID209" s="257"/>
      <c r="IE209" s="257"/>
      <c r="IF209" s="257"/>
      <c r="IG209" s="257"/>
      <c r="IH209" s="257"/>
      <c r="II209" s="257"/>
      <c r="IJ209" s="257"/>
      <c r="IK209" s="257"/>
      <c r="IL209" s="257"/>
      <c r="IM209" s="257"/>
      <c r="IN209" s="257"/>
      <c r="IO209" s="257"/>
      <c r="IP209" s="257"/>
      <c r="IQ209" s="257"/>
      <c r="IR209" s="257"/>
      <c r="IS209" s="257"/>
      <c r="IT209" s="257"/>
      <c r="IU209" s="257"/>
      <c r="IV209" s="257"/>
      <c r="IW209" s="257"/>
      <c r="IX209" s="257"/>
      <c r="IY209" s="257"/>
      <c r="IZ209" s="257"/>
      <c r="JA209" s="257"/>
      <c r="JB209" s="257"/>
      <c r="JC209" s="257"/>
      <c r="JD209" s="257"/>
      <c r="JE209" s="257"/>
      <c r="JF209" s="242"/>
      <c r="JG209" s="242"/>
      <c r="JH209" s="242"/>
      <c r="JI209" s="242"/>
      <c r="JJ209" s="242"/>
      <c r="JK209" s="242"/>
      <c r="JL209" s="242"/>
      <c r="JM209" s="242"/>
      <c r="JN209" s="242"/>
      <c r="JO209" s="242"/>
      <c r="JP209" s="242"/>
      <c r="JQ209" s="242"/>
      <c r="JR209" s="242"/>
      <c r="JS209" s="242"/>
      <c r="JT209" s="242"/>
      <c r="JU209" s="242"/>
      <c r="JV209" s="242"/>
      <c r="JW209" s="242"/>
      <c r="JX209" s="242"/>
      <c r="JY209" s="242"/>
      <c r="JZ209" s="242"/>
      <c r="KA209" s="242"/>
      <c r="KB209" s="242"/>
      <c r="KC209" s="242"/>
      <c r="KD209" s="242"/>
      <c r="KE209" s="242"/>
      <c r="KF209" s="242"/>
      <c r="KG209" s="242"/>
      <c r="KH209" s="242"/>
      <c r="KI209" s="242"/>
      <c r="KJ209" s="242"/>
      <c r="KK209" s="242"/>
      <c r="KL209" s="242"/>
      <c r="KM209" s="242"/>
      <c r="KN209" s="242"/>
      <c r="KO209" s="242"/>
      <c r="KP209" s="242"/>
      <c r="KQ209" s="242"/>
      <c r="KR209" s="242"/>
      <c r="KS209" s="242"/>
      <c r="KT209" s="242"/>
      <c r="KU209" s="242"/>
      <c r="KV209" s="242"/>
      <c r="KW209" s="242"/>
      <c r="KX209" s="242"/>
      <c r="KY209" s="242"/>
      <c r="KZ209" s="242"/>
      <c r="LA209" s="242"/>
      <c r="LB209" s="242"/>
      <c r="LC209" s="242"/>
      <c r="LD209" s="242"/>
      <c r="LE209" s="242"/>
      <c r="LF209" s="242"/>
      <c r="LG209" s="242"/>
      <c r="LH209" s="242"/>
      <c r="LI209" s="242"/>
      <c r="LJ209" s="242"/>
      <c r="LK209" s="242"/>
      <c r="LL209" s="242"/>
      <c r="LM209" s="242"/>
      <c r="LN209" s="242"/>
      <c r="LO209" s="242"/>
      <c r="LP209" s="242"/>
      <c r="LQ209" s="242"/>
      <c r="LR209" s="242"/>
      <c r="LS209" s="242"/>
      <c r="LT209" s="242"/>
      <c r="LU209" s="242"/>
      <c r="LV209" s="242"/>
      <c r="LW209" s="242"/>
      <c r="LX209" s="242"/>
      <c r="LY209" s="242"/>
      <c r="LZ209" s="242"/>
      <c r="MA209" s="242"/>
      <c r="MB209" s="242"/>
      <c r="MC209" s="242"/>
      <c r="MD209" s="242"/>
      <c r="ME209" s="242"/>
      <c r="MF209" s="242"/>
      <c r="MG209" s="242"/>
      <c r="MH209" s="242"/>
      <c r="MI209" s="242"/>
      <c r="MJ209" s="242"/>
      <c r="MK209" s="242"/>
      <c r="ML209" s="242"/>
    </row>
    <row r="210" ht="18.75" customHeight="1">
      <c r="A210" s="283"/>
      <c r="B210" s="234" t="str">
        <f>'Building Bill of Materials_SLIM'!P210</f>
        <v/>
      </c>
      <c r="C210" s="234" t="str">
        <f>'Building Bill of Materials_SLIM'!Q210</f>
        <v/>
      </c>
      <c r="D210" s="234" t="str">
        <f>'Building Bill of Materials_SLIM'!R210</f>
        <v/>
      </c>
      <c r="E210" s="234" t="str">
        <f>'Building Bill of Materials_SLIM'!S210</f>
        <v/>
      </c>
      <c r="F210" s="234" t="str">
        <f>'Building Bill of Materials_SLIM'!U210</f>
        <v/>
      </c>
      <c r="G210" s="234"/>
      <c r="H210" s="234"/>
      <c r="I210" s="234"/>
      <c r="J210" s="234" t="str">
        <f>'Building Bill of Materials_SLIM'!V210</f>
        <v/>
      </c>
      <c r="K210" s="242"/>
      <c r="L210" s="242"/>
      <c r="M210" s="242"/>
      <c r="N210" s="242"/>
      <c r="O210" s="242"/>
      <c r="P210" s="242"/>
      <c r="Q210" s="242"/>
      <c r="R210" s="242"/>
      <c r="S210" s="242"/>
      <c r="T210" s="242"/>
      <c r="U210" s="242"/>
      <c r="V210" s="242"/>
      <c r="W210" s="242"/>
      <c r="X210" s="242"/>
      <c r="Y210" s="242"/>
      <c r="Z210" s="242"/>
      <c r="AA210" s="192"/>
      <c r="AB210" s="257"/>
      <c r="AC210" s="257"/>
      <c r="AD210" s="257"/>
      <c r="AE210" s="257"/>
      <c r="AF210" s="257"/>
      <c r="AG210" s="257"/>
      <c r="AH210" s="257"/>
      <c r="AI210" s="257"/>
      <c r="AJ210" s="257"/>
      <c r="AK210" s="257"/>
      <c r="AL210" s="257"/>
      <c r="AM210" s="257"/>
      <c r="AN210" s="257"/>
      <c r="AO210" s="257"/>
      <c r="AP210" s="257"/>
      <c r="AQ210" s="257"/>
      <c r="AR210" s="257"/>
      <c r="AS210" s="257"/>
      <c r="AT210" s="257"/>
      <c r="AU210" s="257"/>
      <c r="AV210" s="257"/>
      <c r="AW210" s="257"/>
      <c r="AX210" s="257"/>
      <c r="AY210" s="257"/>
      <c r="AZ210" s="257"/>
      <c r="BA210" s="257"/>
      <c r="BB210" s="257"/>
      <c r="BC210" s="257"/>
      <c r="BD210" s="257"/>
      <c r="BE210" s="257"/>
      <c r="BF210" s="257"/>
      <c r="BG210" s="257"/>
      <c r="BH210" s="257"/>
      <c r="BI210" s="257"/>
      <c r="BJ210" s="242"/>
      <c r="BK210" s="242"/>
      <c r="BL210" s="242"/>
      <c r="BM210" s="242"/>
      <c r="BN210" s="242"/>
      <c r="BO210" s="242"/>
      <c r="BP210" s="242"/>
      <c r="BQ210" s="242"/>
      <c r="BR210" s="242"/>
      <c r="BS210" s="242"/>
      <c r="BT210" s="242"/>
      <c r="BU210" s="242"/>
      <c r="BV210" s="242"/>
      <c r="BW210" s="242"/>
      <c r="BX210" s="242"/>
      <c r="BY210" s="242"/>
      <c r="BZ210" s="242"/>
      <c r="CA210" s="242"/>
      <c r="CB210" s="242"/>
      <c r="CC210" s="242"/>
      <c r="CD210" s="242"/>
      <c r="CE210" s="257"/>
      <c r="CF210" s="257"/>
      <c r="CG210" s="242"/>
      <c r="CH210" s="242"/>
      <c r="CI210" s="242"/>
      <c r="CJ210" s="242"/>
      <c r="CK210" s="242"/>
      <c r="CL210" s="242"/>
      <c r="CM210" s="242"/>
      <c r="CN210" s="242"/>
      <c r="CO210" s="242"/>
      <c r="CP210" s="242"/>
      <c r="CQ210" s="242"/>
      <c r="CR210" s="242"/>
      <c r="CS210" s="242"/>
      <c r="CT210" s="242"/>
      <c r="CU210" s="242"/>
      <c r="CV210" s="242"/>
      <c r="CW210" s="242"/>
      <c r="CX210" s="242"/>
      <c r="CY210" s="242"/>
      <c r="CZ210" s="242"/>
      <c r="DA210" s="242"/>
      <c r="DB210" s="242"/>
      <c r="DC210" s="242"/>
      <c r="DD210" s="242"/>
      <c r="DE210" s="242"/>
      <c r="DF210" s="242"/>
      <c r="DG210" s="257"/>
      <c r="DH210" s="242"/>
      <c r="DI210" s="242"/>
      <c r="DJ210" s="242"/>
      <c r="DK210" s="242"/>
      <c r="DL210" s="242"/>
      <c r="DM210" s="242"/>
      <c r="DN210" s="242"/>
      <c r="DO210" s="242"/>
      <c r="DP210" s="242"/>
      <c r="DQ210" s="242"/>
      <c r="DR210" s="242"/>
      <c r="DS210" s="242"/>
      <c r="DT210" s="242"/>
      <c r="DU210" s="242"/>
      <c r="DV210" s="242"/>
      <c r="DW210" s="242"/>
      <c r="DX210" s="242"/>
      <c r="DY210" s="242"/>
      <c r="DZ210" s="242"/>
      <c r="EA210" s="242"/>
      <c r="EB210" s="242"/>
      <c r="EC210" s="242"/>
      <c r="ED210" s="242"/>
      <c r="EE210" s="242"/>
      <c r="EF210" s="242"/>
      <c r="EG210" s="242"/>
      <c r="EH210" s="242"/>
      <c r="EI210" s="242"/>
      <c r="EJ210" s="242"/>
      <c r="EK210" s="242"/>
      <c r="EL210" s="242"/>
      <c r="EM210" s="242"/>
      <c r="EN210" s="242"/>
      <c r="EO210" s="242"/>
      <c r="EP210" s="242"/>
      <c r="EQ210" s="242"/>
      <c r="ER210" s="242"/>
      <c r="ES210" s="242"/>
      <c r="ET210" s="242"/>
      <c r="EU210" s="242"/>
      <c r="EV210" s="242"/>
      <c r="EW210" s="242"/>
      <c r="EX210" s="242"/>
      <c r="EY210" s="242"/>
      <c r="EZ210" s="242"/>
      <c r="FA210" s="242"/>
      <c r="FB210" s="242"/>
      <c r="FC210" s="242"/>
      <c r="FD210" s="242"/>
      <c r="FE210" s="242"/>
      <c r="FF210" s="242"/>
      <c r="FG210" s="242"/>
      <c r="FH210" s="257"/>
      <c r="FI210" s="257"/>
      <c r="FJ210" s="257"/>
      <c r="FK210" s="257"/>
      <c r="FL210" s="257"/>
      <c r="FM210" s="257"/>
      <c r="FN210" s="257"/>
      <c r="FO210" s="257"/>
      <c r="FP210" s="257"/>
      <c r="FQ210" s="257"/>
      <c r="FR210" s="257"/>
      <c r="FS210" s="257"/>
      <c r="FT210" s="257"/>
      <c r="FU210" s="257"/>
      <c r="FV210" s="257"/>
      <c r="FW210" s="257"/>
      <c r="FX210" s="257"/>
      <c r="FY210" s="242"/>
      <c r="FZ210" s="242"/>
      <c r="GA210" s="242"/>
      <c r="GB210" s="242"/>
      <c r="GC210" s="242"/>
      <c r="GD210" s="242"/>
      <c r="GE210" s="242"/>
      <c r="GF210" s="242"/>
      <c r="GG210" s="242"/>
      <c r="GH210" s="242"/>
      <c r="GI210" s="242"/>
      <c r="GJ210" s="242"/>
      <c r="GK210" s="242"/>
      <c r="GL210" s="242"/>
      <c r="GM210" s="242"/>
      <c r="GN210" s="242"/>
      <c r="GO210" s="242"/>
      <c r="GP210" s="242"/>
      <c r="GQ210" s="242"/>
      <c r="GR210" s="242"/>
      <c r="GS210" s="242"/>
      <c r="GT210" s="242"/>
      <c r="GU210" s="242"/>
      <c r="GV210" s="242"/>
      <c r="GW210" s="242"/>
      <c r="GX210" s="242"/>
      <c r="GY210" s="242"/>
      <c r="GZ210" s="242"/>
      <c r="HA210" s="242"/>
      <c r="HB210" s="242"/>
      <c r="HC210" s="242"/>
      <c r="HD210" s="242"/>
      <c r="HE210" s="242"/>
      <c r="HF210" s="242"/>
      <c r="HG210" s="242"/>
      <c r="HH210" s="242"/>
      <c r="HI210" s="242"/>
      <c r="HJ210" s="242"/>
      <c r="HK210" s="242"/>
      <c r="HL210" s="242"/>
      <c r="HM210" s="242"/>
      <c r="HN210" s="242"/>
      <c r="HO210" s="242"/>
      <c r="HP210" s="242"/>
      <c r="HQ210" s="242"/>
      <c r="HR210" s="242"/>
      <c r="HS210" s="242"/>
      <c r="HT210" s="242"/>
      <c r="HU210" s="242"/>
      <c r="HV210" s="242"/>
      <c r="HW210" s="242"/>
      <c r="HX210" s="257"/>
      <c r="HY210" s="257"/>
      <c r="HZ210" s="257"/>
      <c r="IA210" s="257"/>
      <c r="IB210" s="257"/>
      <c r="IC210" s="257"/>
      <c r="ID210" s="257"/>
      <c r="IE210" s="257"/>
      <c r="IF210" s="257"/>
      <c r="IG210" s="257"/>
      <c r="IH210" s="257"/>
      <c r="II210" s="257"/>
      <c r="IJ210" s="257"/>
      <c r="IK210" s="257"/>
      <c r="IL210" s="257"/>
      <c r="IM210" s="257"/>
      <c r="IN210" s="257"/>
      <c r="IO210" s="257"/>
      <c r="IP210" s="257"/>
      <c r="IQ210" s="257"/>
      <c r="IR210" s="257"/>
      <c r="IS210" s="257"/>
      <c r="IT210" s="257"/>
      <c r="IU210" s="257"/>
      <c r="IV210" s="257"/>
      <c r="IW210" s="257"/>
      <c r="IX210" s="257"/>
      <c r="IY210" s="257"/>
      <c r="IZ210" s="257"/>
      <c r="JA210" s="257"/>
      <c r="JB210" s="257"/>
      <c r="JC210" s="257"/>
      <c r="JD210" s="257"/>
      <c r="JE210" s="257"/>
      <c r="JF210" s="242"/>
      <c r="JG210" s="242"/>
      <c r="JH210" s="242"/>
      <c r="JI210" s="242"/>
      <c r="JJ210" s="242"/>
      <c r="JK210" s="242"/>
      <c r="JL210" s="242"/>
      <c r="JM210" s="242"/>
      <c r="JN210" s="242"/>
      <c r="JO210" s="242"/>
      <c r="JP210" s="242"/>
      <c r="JQ210" s="242"/>
      <c r="JR210" s="242"/>
      <c r="JS210" s="242"/>
      <c r="JT210" s="242"/>
      <c r="JU210" s="242"/>
      <c r="JV210" s="242"/>
      <c r="JW210" s="242"/>
      <c r="JX210" s="242"/>
      <c r="JY210" s="242"/>
      <c r="JZ210" s="242"/>
      <c r="KA210" s="242"/>
      <c r="KB210" s="242"/>
      <c r="KC210" s="242"/>
      <c r="KD210" s="242"/>
      <c r="KE210" s="242"/>
      <c r="KF210" s="242"/>
      <c r="KG210" s="242"/>
      <c r="KH210" s="242"/>
      <c r="KI210" s="242"/>
      <c r="KJ210" s="242"/>
      <c r="KK210" s="242"/>
      <c r="KL210" s="242"/>
      <c r="KM210" s="242"/>
      <c r="KN210" s="242"/>
      <c r="KO210" s="242"/>
      <c r="KP210" s="242"/>
      <c r="KQ210" s="242"/>
      <c r="KR210" s="242"/>
      <c r="KS210" s="242"/>
      <c r="KT210" s="242"/>
      <c r="KU210" s="242"/>
      <c r="KV210" s="242"/>
      <c r="KW210" s="242"/>
      <c r="KX210" s="242"/>
      <c r="KY210" s="242"/>
      <c r="KZ210" s="242"/>
      <c r="LA210" s="242"/>
      <c r="LB210" s="242"/>
      <c r="LC210" s="242"/>
      <c r="LD210" s="242"/>
      <c r="LE210" s="242"/>
      <c r="LF210" s="242"/>
      <c r="LG210" s="242"/>
      <c r="LH210" s="242"/>
      <c r="LI210" s="242"/>
      <c r="LJ210" s="242"/>
      <c r="LK210" s="242"/>
      <c r="LL210" s="242"/>
      <c r="LM210" s="242"/>
      <c r="LN210" s="242"/>
      <c r="LO210" s="242"/>
      <c r="LP210" s="242"/>
      <c r="LQ210" s="242"/>
      <c r="LR210" s="242"/>
      <c r="LS210" s="242"/>
      <c r="LT210" s="242"/>
      <c r="LU210" s="242"/>
      <c r="LV210" s="242"/>
      <c r="LW210" s="242"/>
      <c r="LX210" s="242"/>
      <c r="LY210" s="242"/>
      <c r="LZ210" s="242"/>
      <c r="MA210" s="242"/>
      <c r="MB210" s="242"/>
      <c r="MC210" s="242"/>
      <c r="MD210" s="242"/>
      <c r="ME210" s="242"/>
      <c r="MF210" s="242"/>
      <c r="MG210" s="242"/>
      <c r="MH210" s="242"/>
      <c r="MI210" s="242"/>
      <c r="MJ210" s="242"/>
      <c r="MK210" s="242"/>
      <c r="ML210" s="242"/>
    </row>
    <row r="211" ht="18.75" customHeight="1">
      <c r="A211" s="283"/>
      <c r="B211" s="234" t="str">
        <f>'Building Bill of Materials_SLIM'!P211</f>
        <v/>
      </c>
      <c r="C211" s="234" t="str">
        <f>'Building Bill of Materials_SLIM'!Q211</f>
        <v/>
      </c>
      <c r="D211" s="234" t="str">
        <f>'Building Bill of Materials_SLIM'!R211</f>
        <v/>
      </c>
      <c r="E211" s="234" t="str">
        <f>'Building Bill of Materials_SLIM'!S211</f>
        <v/>
      </c>
      <c r="F211" s="234" t="str">
        <f>'Building Bill of Materials_SLIM'!U211</f>
        <v/>
      </c>
      <c r="G211" s="234"/>
      <c r="H211" s="234"/>
      <c r="I211" s="234"/>
      <c r="J211" s="234" t="str">
        <f>'Building Bill of Materials_SLIM'!V211</f>
        <v/>
      </c>
      <c r="K211" s="242"/>
      <c r="L211" s="242"/>
      <c r="M211" s="242"/>
      <c r="N211" s="242"/>
      <c r="O211" s="242"/>
      <c r="P211" s="242"/>
      <c r="Q211" s="242"/>
      <c r="R211" s="242"/>
      <c r="S211" s="242"/>
      <c r="T211" s="242"/>
      <c r="U211" s="242"/>
      <c r="V211" s="242"/>
      <c r="W211" s="242"/>
      <c r="X211" s="242"/>
      <c r="Y211" s="242"/>
      <c r="Z211" s="242"/>
      <c r="AA211" s="192"/>
      <c r="AB211" s="257"/>
      <c r="AC211" s="257"/>
      <c r="AD211" s="257"/>
      <c r="AE211" s="257"/>
      <c r="AF211" s="257"/>
      <c r="AG211" s="257"/>
      <c r="AH211" s="257"/>
      <c r="AI211" s="257"/>
      <c r="AJ211" s="257"/>
      <c r="AK211" s="257"/>
      <c r="AL211" s="257"/>
      <c r="AM211" s="257"/>
      <c r="AN211" s="257"/>
      <c r="AO211" s="257"/>
      <c r="AP211" s="257"/>
      <c r="AQ211" s="257"/>
      <c r="AR211" s="257"/>
      <c r="AS211" s="257"/>
      <c r="AT211" s="257"/>
      <c r="AU211" s="257"/>
      <c r="AV211" s="257"/>
      <c r="AW211" s="257"/>
      <c r="AX211" s="257"/>
      <c r="AY211" s="257"/>
      <c r="AZ211" s="257"/>
      <c r="BA211" s="257"/>
      <c r="BB211" s="257"/>
      <c r="BC211" s="257"/>
      <c r="BD211" s="257"/>
      <c r="BE211" s="257"/>
      <c r="BF211" s="257"/>
      <c r="BG211" s="257"/>
      <c r="BH211" s="257"/>
      <c r="BI211" s="257"/>
      <c r="BJ211" s="242"/>
      <c r="BK211" s="242"/>
      <c r="BL211" s="242"/>
      <c r="BM211" s="242"/>
      <c r="BN211" s="242"/>
      <c r="BO211" s="242"/>
      <c r="BP211" s="242"/>
      <c r="BQ211" s="242"/>
      <c r="BR211" s="242"/>
      <c r="BS211" s="242"/>
      <c r="BT211" s="242"/>
      <c r="BU211" s="242"/>
      <c r="BV211" s="242"/>
      <c r="BW211" s="242"/>
      <c r="BX211" s="242"/>
      <c r="BY211" s="242"/>
      <c r="BZ211" s="242"/>
      <c r="CA211" s="242"/>
      <c r="CB211" s="242"/>
      <c r="CC211" s="242"/>
      <c r="CD211" s="242"/>
      <c r="CE211" s="257"/>
      <c r="CF211" s="257"/>
      <c r="CG211" s="242"/>
      <c r="CH211" s="242"/>
      <c r="CI211" s="242"/>
      <c r="CJ211" s="242"/>
      <c r="CK211" s="242"/>
      <c r="CL211" s="242"/>
      <c r="CM211" s="242"/>
      <c r="CN211" s="242"/>
      <c r="CO211" s="242"/>
      <c r="CP211" s="242"/>
      <c r="CQ211" s="242"/>
      <c r="CR211" s="242"/>
      <c r="CS211" s="242"/>
      <c r="CT211" s="242"/>
      <c r="CU211" s="242"/>
      <c r="CV211" s="242"/>
      <c r="CW211" s="242"/>
      <c r="CX211" s="242"/>
      <c r="CY211" s="242"/>
      <c r="CZ211" s="242"/>
      <c r="DA211" s="242"/>
      <c r="DB211" s="242"/>
      <c r="DC211" s="242"/>
      <c r="DD211" s="242"/>
      <c r="DE211" s="242"/>
      <c r="DF211" s="242"/>
      <c r="DG211" s="257"/>
      <c r="DH211" s="242"/>
      <c r="DI211" s="242"/>
      <c r="DJ211" s="242"/>
      <c r="DK211" s="242"/>
      <c r="DL211" s="242"/>
      <c r="DM211" s="242"/>
      <c r="DN211" s="242"/>
      <c r="DO211" s="242"/>
      <c r="DP211" s="242"/>
      <c r="DQ211" s="242"/>
      <c r="DR211" s="242"/>
      <c r="DS211" s="242"/>
      <c r="DT211" s="242"/>
      <c r="DU211" s="242"/>
      <c r="DV211" s="242"/>
      <c r="DW211" s="242"/>
      <c r="DX211" s="242"/>
      <c r="DY211" s="242"/>
      <c r="DZ211" s="242"/>
      <c r="EA211" s="242"/>
      <c r="EB211" s="242"/>
      <c r="EC211" s="242"/>
      <c r="ED211" s="242"/>
      <c r="EE211" s="242"/>
      <c r="EF211" s="242"/>
      <c r="EG211" s="242"/>
      <c r="EH211" s="242"/>
      <c r="EI211" s="242"/>
      <c r="EJ211" s="242"/>
      <c r="EK211" s="242"/>
      <c r="EL211" s="242"/>
      <c r="EM211" s="242"/>
      <c r="EN211" s="242"/>
      <c r="EO211" s="242"/>
      <c r="EP211" s="242"/>
      <c r="EQ211" s="242"/>
      <c r="ER211" s="242"/>
      <c r="ES211" s="242"/>
      <c r="ET211" s="242"/>
      <c r="EU211" s="242"/>
      <c r="EV211" s="242"/>
      <c r="EW211" s="242"/>
      <c r="EX211" s="242"/>
      <c r="EY211" s="242"/>
      <c r="EZ211" s="242"/>
      <c r="FA211" s="242"/>
      <c r="FB211" s="242"/>
      <c r="FC211" s="242"/>
      <c r="FD211" s="242"/>
      <c r="FE211" s="242"/>
      <c r="FF211" s="242"/>
      <c r="FG211" s="242"/>
      <c r="FH211" s="257"/>
      <c r="FI211" s="257"/>
      <c r="FJ211" s="257"/>
      <c r="FK211" s="257"/>
      <c r="FL211" s="257"/>
      <c r="FM211" s="257"/>
      <c r="FN211" s="257"/>
      <c r="FO211" s="257"/>
      <c r="FP211" s="257"/>
      <c r="FQ211" s="257"/>
      <c r="FR211" s="257"/>
      <c r="FS211" s="257"/>
      <c r="FT211" s="257"/>
      <c r="FU211" s="257"/>
      <c r="FV211" s="257"/>
      <c r="FW211" s="257"/>
      <c r="FX211" s="257"/>
      <c r="FY211" s="242"/>
      <c r="FZ211" s="242"/>
      <c r="GA211" s="242"/>
      <c r="GB211" s="242"/>
      <c r="GC211" s="242"/>
      <c r="GD211" s="242"/>
      <c r="GE211" s="242"/>
      <c r="GF211" s="242"/>
      <c r="GG211" s="242"/>
      <c r="GH211" s="242"/>
      <c r="GI211" s="242"/>
      <c r="GJ211" s="242"/>
      <c r="GK211" s="242"/>
      <c r="GL211" s="242"/>
      <c r="GM211" s="242"/>
      <c r="GN211" s="242"/>
      <c r="GO211" s="242"/>
      <c r="GP211" s="242"/>
      <c r="GQ211" s="242"/>
      <c r="GR211" s="242"/>
      <c r="GS211" s="242"/>
      <c r="GT211" s="242"/>
      <c r="GU211" s="242"/>
      <c r="GV211" s="242"/>
      <c r="GW211" s="242"/>
      <c r="GX211" s="242"/>
      <c r="GY211" s="242"/>
      <c r="GZ211" s="242"/>
      <c r="HA211" s="242"/>
      <c r="HB211" s="242"/>
      <c r="HC211" s="242"/>
      <c r="HD211" s="242"/>
      <c r="HE211" s="242"/>
      <c r="HF211" s="242"/>
      <c r="HG211" s="242"/>
      <c r="HH211" s="242"/>
      <c r="HI211" s="242"/>
      <c r="HJ211" s="242"/>
      <c r="HK211" s="242"/>
      <c r="HL211" s="242"/>
      <c r="HM211" s="242"/>
      <c r="HN211" s="242"/>
      <c r="HO211" s="242"/>
      <c r="HP211" s="242"/>
      <c r="HQ211" s="242"/>
      <c r="HR211" s="242"/>
      <c r="HS211" s="242"/>
      <c r="HT211" s="242"/>
      <c r="HU211" s="242"/>
      <c r="HV211" s="242"/>
      <c r="HW211" s="242"/>
      <c r="HX211" s="257"/>
      <c r="HY211" s="257"/>
      <c r="HZ211" s="257"/>
      <c r="IA211" s="257"/>
      <c r="IB211" s="257"/>
      <c r="IC211" s="257"/>
      <c r="ID211" s="257"/>
      <c r="IE211" s="257"/>
      <c r="IF211" s="257"/>
      <c r="IG211" s="257"/>
      <c r="IH211" s="257"/>
      <c r="II211" s="257"/>
      <c r="IJ211" s="257"/>
      <c r="IK211" s="257"/>
      <c r="IL211" s="257"/>
      <c r="IM211" s="257"/>
      <c r="IN211" s="257"/>
      <c r="IO211" s="257"/>
      <c r="IP211" s="257"/>
      <c r="IQ211" s="257"/>
      <c r="IR211" s="257"/>
      <c r="IS211" s="257"/>
      <c r="IT211" s="257"/>
      <c r="IU211" s="257"/>
      <c r="IV211" s="257"/>
      <c r="IW211" s="257"/>
      <c r="IX211" s="257"/>
      <c r="IY211" s="257"/>
      <c r="IZ211" s="257"/>
      <c r="JA211" s="257"/>
      <c r="JB211" s="257"/>
      <c r="JC211" s="257"/>
      <c r="JD211" s="257"/>
      <c r="JE211" s="257"/>
      <c r="JF211" s="242"/>
      <c r="JG211" s="242"/>
      <c r="JH211" s="242"/>
      <c r="JI211" s="242"/>
      <c r="JJ211" s="242"/>
      <c r="JK211" s="242"/>
      <c r="JL211" s="242"/>
      <c r="JM211" s="242"/>
      <c r="JN211" s="242"/>
      <c r="JO211" s="242"/>
      <c r="JP211" s="242"/>
      <c r="JQ211" s="242"/>
      <c r="JR211" s="242"/>
      <c r="JS211" s="242"/>
      <c r="JT211" s="242"/>
      <c r="JU211" s="242"/>
      <c r="JV211" s="242"/>
      <c r="JW211" s="242"/>
      <c r="JX211" s="242"/>
      <c r="JY211" s="242"/>
      <c r="JZ211" s="242"/>
      <c r="KA211" s="242"/>
      <c r="KB211" s="242"/>
      <c r="KC211" s="242"/>
      <c r="KD211" s="242"/>
      <c r="KE211" s="242"/>
      <c r="KF211" s="242"/>
      <c r="KG211" s="242"/>
      <c r="KH211" s="242"/>
      <c r="KI211" s="242"/>
      <c r="KJ211" s="242"/>
      <c r="KK211" s="242"/>
      <c r="KL211" s="242"/>
      <c r="KM211" s="242"/>
      <c r="KN211" s="242"/>
      <c r="KO211" s="242"/>
      <c r="KP211" s="242"/>
      <c r="KQ211" s="242"/>
      <c r="KR211" s="242"/>
      <c r="KS211" s="242"/>
      <c r="KT211" s="242"/>
      <c r="KU211" s="242"/>
      <c r="KV211" s="242"/>
      <c r="KW211" s="242"/>
      <c r="KX211" s="242"/>
      <c r="KY211" s="242"/>
      <c r="KZ211" s="242"/>
      <c r="LA211" s="242"/>
      <c r="LB211" s="242"/>
      <c r="LC211" s="242"/>
      <c r="LD211" s="242"/>
      <c r="LE211" s="242"/>
      <c r="LF211" s="242"/>
      <c r="LG211" s="242"/>
      <c r="LH211" s="242"/>
      <c r="LI211" s="242"/>
      <c r="LJ211" s="242"/>
      <c r="LK211" s="242"/>
      <c r="LL211" s="242"/>
      <c r="LM211" s="242"/>
      <c r="LN211" s="242"/>
      <c r="LO211" s="242"/>
      <c r="LP211" s="242"/>
      <c r="LQ211" s="242"/>
      <c r="LR211" s="242"/>
      <c r="LS211" s="242"/>
      <c r="LT211" s="242"/>
      <c r="LU211" s="242"/>
      <c r="LV211" s="242"/>
      <c r="LW211" s="242"/>
      <c r="LX211" s="242"/>
      <c r="LY211" s="242"/>
      <c r="LZ211" s="242"/>
      <c r="MA211" s="242"/>
      <c r="MB211" s="242"/>
      <c r="MC211" s="242"/>
      <c r="MD211" s="242"/>
      <c r="ME211" s="242"/>
      <c r="MF211" s="242"/>
      <c r="MG211" s="242"/>
      <c r="MH211" s="242"/>
      <c r="MI211" s="242"/>
      <c r="MJ211" s="242"/>
      <c r="MK211" s="242"/>
      <c r="ML211" s="242"/>
    </row>
    <row r="212" ht="18.75" customHeight="1">
      <c r="A212" s="283"/>
      <c r="B212" s="234" t="str">
        <f>'Building Bill of Materials_SLIM'!P212</f>
        <v/>
      </c>
      <c r="C212" s="234" t="str">
        <f>'Building Bill of Materials_SLIM'!Q212</f>
        <v/>
      </c>
      <c r="D212" s="234" t="str">
        <f>'Building Bill of Materials_SLIM'!R212</f>
        <v/>
      </c>
      <c r="E212" s="234" t="str">
        <f>'Building Bill of Materials_SLIM'!S212</f>
        <v/>
      </c>
      <c r="F212" s="234" t="str">
        <f>'Building Bill of Materials_SLIM'!U212</f>
        <v/>
      </c>
      <c r="G212" s="234"/>
      <c r="H212" s="234"/>
      <c r="I212" s="234"/>
      <c r="J212" s="234" t="str">
        <f>'Building Bill of Materials_SLIM'!V212</f>
        <v/>
      </c>
      <c r="K212" s="242"/>
      <c r="L212" s="242"/>
      <c r="M212" s="242"/>
      <c r="N212" s="242"/>
      <c r="O212" s="242"/>
      <c r="P212" s="242"/>
      <c r="Q212" s="242"/>
      <c r="R212" s="242"/>
      <c r="S212" s="242"/>
      <c r="T212" s="242"/>
      <c r="U212" s="242"/>
      <c r="V212" s="242"/>
      <c r="W212" s="242"/>
      <c r="X212" s="242"/>
      <c r="Y212" s="242"/>
      <c r="Z212" s="242"/>
      <c r="AA212" s="192"/>
      <c r="AB212" s="257"/>
      <c r="AC212" s="257"/>
      <c r="AD212" s="257"/>
      <c r="AE212" s="257"/>
      <c r="AF212" s="257"/>
      <c r="AG212" s="257"/>
      <c r="AH212" s="257"/>
      <c r="AI212" s="257"/>
      <c r="AJ212" s="257"/>
      <c r="AK212" s="257"/>
      <c r="AL212" s="257"/>
      <c r="AM212" s="257"/>
      <c r="AN212" s="257"/>
      <c r="AO212" s="257"/>
      <c r="AP212" s="257"/>
      <c r="AQ212" s="257"/>
      <c r="AR212" s="257"/>
      <c r="AS212" s="257"/>
      <c r="AT212" s="257"/>
      <c r="AU212" s="257"/>
      <c r="AV212" s="257"/>
      <c r="AW212" s="257"/>
      <c r="AX212" s="257"/>
      <c r="AY212" s="257"/>
      <c r="AZ212" s="257"/>
      <c r="BA212" s="257"/>
      <c r="BB212" s="257"/>
      <c r="BC212" s="257"/>
      <c r="BD212" s="257"/>
      <c r="BE212" s="257"/>
      <c r="BF212" s="257"/>
      <c r="BG212" s="257"/>
      <c r="BH212" s="257"/>
      <c r="BI212" s="257"/>
      <c r="BJ212" s="242"/>
      <c r="BK212" s="242"/>
      <c r="BL212" s="242"/>
      <c r="BM212" s="242"/>
      <c r="BN212" s="242"/>
      <c r="BO212" s="242"/>
      <c r="BP212" s="242"/>
      <c r="BQ212" s="242"/>
      <c r="BR212" s="242"/>
      <c r="BS212" s="242"/>
      <c r="BT212" s="242"/>
      <c r="BU212" s="242"/>
      <c r="BV212" s="242"/>
      <c r="BW212" s="242"/>
      <c r="BX212" s="242"/>
      <c r="BY212" s="242"/>
      <c r="BZ212" s="242"/>
      <c r="CA212" s="242"/>
      <c r="CB212" s="242"/>
      <c r="CC212" s="242"/>
      <c r="CD212" s="242"/>
      <c r="CE212" s="257"/>
      <c r="CF212" s="257"/>
      <c r="CG212" s="242"/>
      <c r="CH212" s="242"/>
      <c r="CI212" s="242"/>
      <c r="CJ212" s="242"/>
      <c r="CK212" s="242"/>
      <c r="CL212" s="242"/>
      <c r="CM212" s="242"/>
      <c r="CN212" s="242"/>
      <c r="CO212" s="242"/>
      <c r="CP212" s="242"/>
      <c r="CQ212" s="242"/>
      <c r="CR212" s="242"/>
      <c r="CS212" s="242"/>
      <c r="CT212" s="242"/>
      <c r="CU212" s="242"/>
      <c r="CV212" s="242"/>
      <c r="CW212" s="242"/>
      <c r="CX212" s="242"/>
      <c r="CY212" s="242"/>
      <c r="CZ212" s="242"/>
      <c r="DA212" s="242"/>
      <c r="DB212" s="242"/>
      <c r="DC212" s="242"/>
      <c r="DD212" s="242"/>
      <c r="DE212" s="242"/>
      <c r="DF212" s="242"/>
      <c r="DG212" s="257"/>
      <c r="DH212" s="242"/>
      <c r="DI212" s="242"/>
      <c r="DJ212" s="242"/>
      <c r="DK212" s="242"/>
      <c r="DL212" s="242"/>
      <c r="DM212" s="242"/>
      <c r="DN212" s="242"/>
      <c r="DO212" s="242"/>
      <c r="DP212" s="242"/>
      <c r="DQ212" s="242"/>
      <c r="DR212" s="242"/>
      <c r="DS212" s="242"/>
      <c r="DT212" s="242"/>
      <c r="DU212" s="242"/>
      <c r="DV212" s="242"/>
      <c r="DW212" s="242"/>
      <c r="DX212" s="242"/>
      <c r="DY212" s="242"/>
      <c r="DZ212" s="242"/>
      <c r="EA212" s="242"/>
      <c r="EB212" s="242"/>
      <c r="EC212" s="242"/>
      <c r="ED212" s="242"/>
      <c r="EE212" s="242"/>
      <c r="EF212" s="242"/>
      <c r="EG212" s="242"/>
      <c r="EH212" s="242"/>
      <c r="EI212" s="242"/>
      <c r="EJ212" s="242"/>
      <c r="EK212" s="242"/>
      <c r="EL212" s="242"/>
      <c r="EM212" s="242"/>
      <c r="EN212" s="242"/>
      <c r="EO212" s="242"/>
      <c r="EP212" s="242"/>
      <c r="EQ212" s="242"/>
      <c r="ER212" s="242"/>
      <c r="ES212" s="242"/>
      <c r="ET212" s="242"/>
      <c r="EU212" s="242"/>
      <c r="EV212" s="242"/>
      <c r="EW212" s="242"/>
      <c r="EX212" s="242"/>
      <c r="EY212" s="242"/>
      <c r="EZ212" s="242"/>
      <c r="FA212" s="242"/>
      <c r="FB212" s="242"/>
      <c r="FC212" s="242"/>
      <c r="FD212" s="242"/>
      <c r="FE212" s="242"/>
      <c r="FF212" s="242"/>
      <c r="FG212" s="242"/>
      <c r="FH212" s="257"/>
      <c r="FI212" s="257"/>
      <c r="FJ212" s="257"/>
      <c r="FK212" s="257"/>
      <c r="FL212" s="257"/>
      <c r="FM212" s="257"/>
      <c r="FN212" s="257"/>
      <c r="FO212" s="257"/>
      <c r="FP212" s="257"/>
      <c r="FQ212" s="257"/>
      <c r="FR212" s="257"/>
      <c r="FS212" s="257"/>
      <c r="FT212" s="257"/>
      <c r="FU212" s="257"/>
      <c r="FV212" s="257"/>
      <c r="FW212" s="257"/>
      <c r="FX212" s="257"/>
      <c r="FY212" s="242"/>
      <c r="FZ212" s="242"/>
      <c r="GA212" s="242"/>
      <c r="GB212" s="242"/>
      <c r="GC212" s="242"/>
      <c r="GD212" s="242"/>
      <c r="GE212" s="242"/>
      <c r="GF212" s="242"/>
      <c r="GG212" s="242"/>
      <c r="GH212" s="242"/>
      <c r="GI212" s="242"/>
      <c r="GJ212" s="242"/>
      <c r="GK212" s="242"/>
      <c r="GL212" s="242"/>
      <c r="GM212" s="242"/>
      <c r="GN212" s="242"/>
      <c r="GO212" s="242"/>
      <c r="GP212" s="242"/>
      <c r="GQ212" s="242"/>
      <c r="GR212" s="242"/>
      <c r="GS212" s="242"/>
      <c r="GT212" s="242"/>
      <c r="GU212" s="242"/>
      <c r="GV212" s="242"/>
      <c r="GW212" s="242"/>
      <c r="GX212" s="242"/>
      <c r="GY212" s="242"/>
      <c r="GZ212" s="242"/>
      <c r="HA212" s="242"/>
      <c r="HB212" s="242"/>
      <c r="HC212" s="242"/>
      <c r="HD212" s="242"/>
      <c r="HE212" s="242"/>
      <c r="HF212" s="242"/>
      <c r="HG212" s="242"/>
      <c r="HH212" s="242"/>
      <c r="HI212" s="242"/>
      <c r="HJ212" s="242"/>
      <c r="HK212" s="242"/>
      <c r="HL212" s="242"/>
      <c r="HM212" s="242"/>
      <c r="HN212" s="242"/>
      <c r="HO212" s="242"/>
      <c r="HP212" s="242"/>
      <c r="HQ212" s="242"/>
      <c r="HR212" s="242"/>
      <c r="HS212" s="242"/>
      <c r="HT212" s="242"/>
      <c r="HU212" s="242"/>
      <c r="HV212" s="242"/>
      <c r="HW212" s="242"/>
      <c r="HX212" s="257"/>
      <c r="HY212" s="257"/>
      <c r="HZ212" s="257"/>
      <c r="IA212" s="257"/>
      <c r="IB212" s="257"/>
      <c r="IC212" s="257"/>
      <c r="ID212" s="257"/>
      <c r="IE212" s="257"/>
      <c r="IF212" s="257"/>
      <c r="IG212" s="257"/>
      <c r="IH212" s="257"/>
      <c r="II212" s="257"/>
      <c r="IJ212" s="257"/>
      <c r="IK212" s="257"/>
      <c r="IL212" s="257"/>
      <c r="IM212" s="257"/>
      <c r="IN212" s="257"/>
      <c r="IO212" s="257"/>
      <c r="IP212" s="257"/>
      <c r="IQ212" s="257"/>
      <c r="IR212" s="257"/>
      <c r="IS212" s="257"/>
      <c r="IT212" s="257"/>
      <c r="IU212" s="257"/>
      <c r="IV212" s="257"/>
      <c r="IW212" s="257"/>
      <c r="IX212" s="257"/>
      <c r="IY212" s="257"/>
      <c r="IZ212" s="257"/>
      <c r="JA212" s="257"/>
      <c r="JB212" s="257"/>
      <c r="JC212" s="257"/>
      <c r="JD212" s="257"/>
      <c r="JE212" s="257"/>
      <c r="JF212" s="242"/>
      <c r="JG212" s="242"/>
      <c r="JH212" s="242"/>
      <c r="JI212" s="242"/>
      <c r="JJ212" s="242"/>
      <c r="JK212" s="242"/>
      <c r="JL212" s="242"/>
      <c r="JM212" s="242"/>
      <c r="JN212" s="242"/>
      <c r="JO212" s="242"/>
      <c r="JP212" s="242"/>
      <c r="JQ212" s="242"/>
      <c r="JR212" s="242"/>
      <c r="JS212" s="242"/>
      <c r="JT212" s="242"/>
      <c r="JU212" s="242"/>
      <c r="JV212" s="242"/>
      <c r="JW212" s="242"/>
      <c r="JX212" s="242"/>
      <c r="JY212" s="242"/>
      <c r="JZ212" s="242"/>
      <c r="KA212" s="242"/>
      <c r="KB212" s="242"/>
      <c r="KC212" s="242"/>
      <c r="KD212" s="242"/>
      <c r="KE212" s="242"/>
      <c r="KF212" s="242"/>
      <c r="KG212" s="242"/>
      <c r="KH212" s="242"/>
      <c r="KI212" s="242"/>
      <c r="KJ212" s="242"/>
      <c r="KK212" s="242"/>
      <c r="KL212" s="242"/>
      <c r="KM212" s="242"/>
      <c r="KN212" s="242"/>
      <c r="KO212" s="242"/>
      <c r="KP212" s="242"/>
      <c r="KQ212" s="242"/>
      <c r="KR212" s="242"/>
      <c r="KS212" s="242"/>
      <c r="KT212" s="242"/>
      <c r="KU212" s="242"/>
      <c r="KV212" s="242"/>
      <c r="KW212" s="242"/>
      <c r="KX212" s="242"/>
      <c r="KY212" s="242"/>
      <c r="KZ212" s="242"/>
      <c r="LA212" s="242"/>
      <c r="LB212" s="242"/>
      <c r="LC212" s="242"/>
      <c r="LD212" s="242"/>
      <c r="LE212" s="242"/>
      <c r="LF212" s="242"/>
      <c r="LG212" s="242"/>
      <c r="LH212" s="242"/>
      <c r="LI212" s="242"/>
      <c r="LJ212" s="242"/>
      <c r="LK212" s="242"/>
      <c r="LL212" s="242"/>
      <c r="LM212" s="242"/>
      <c r="LN212" s="242"/>
      <c r="LO212" s="242"/>
      <c r="LP212" s="242"/>
      <c r="LQ212" s="242"/>
      <c r="LR212" s="242"/>
      <c r="LS212" s="242"/>
      <c r="LT212" s="242"/>
      <c r="LU212" s="242"/>
      <c r="LV212" s="242"/>
      <c r="LW212" s="242"/>
      <c r="LX212" s="242"/>
      <c r="LY212" s="242"/>
      <c r="LZ212" s="242"/>
      <c r="MA212" s="242"/>
      <c r="MB212" s="242"/>
      <c r="MC212" s="242"/>
      <c r="MD212" s="242"/>
      <c r="ME212" s="242"/>
      <c r="MF212" s="242"/>
      <c r="MG212" s="242"/>
      <c r="MH212" s="242"/>
      <c r="MI212" s="242"/>
      <c r="MJ212" s="242"/>
      <c r="MK212" s="242"/>
      <c r="ML212" s="242"/>
    </row>
    <row r="213" ht="18.75" customHeight="1">
      <c r="A213" s="283"/>
      <c r="B213" s="234" t="str">
        <f>'Building Bill of Materials_SLIM'!P213</f>
        <v/>
      </c>
      <c r="C213" s="234" t="str">
        <f>'Building Bill of Materials_SLIM'!Q213</f>
        <v/>
      </c>
      <c r="D213" s="234" t="str">
        <f>'Building Bill of Materials_SLIM'!R213</f>
        <v/>
      </c>
      <c r="E213" s="234" t="str">
        <f>'Building Bill of Materials_SLIM'!S213</f>
        <v/>
      </c>
      <c r="F213" s="234" t="str">
        <f>'Building Bill of Materials_SLIM'!U213</f>
        <v/>
      </c>
      <c r="G213" s="234"/>
      <c r="H213" s="234"/>
      <c r="I213" s="234"/>
      <c r="J213" s="234" t="str">
        <f>'Building Bill of Materials_SLIM'!V213</f>
        <v/>
      </c>
      <c r="K213" s="242"/>
      <c r="L213" s="242"/>
      <c r="M213" s="242"/>
      <c r="N213" s="242"/>
      <c r="O213" s="242"/>
      <c r="P213" s="242"/>
      <c r="Q213" s="242"/>
      <c r="R213" s="242"/>
      <c r="S213" s="242"/>
      <c r="T213" s="242"/>
      <c r="U213" s="242"/>
      <c r="V213" s="242"/>
      <c r="W213" s="242"/>
      <c r="X213" s="242"/>
      <c r="Y213" s="242"/>
      <c r="Z213" s="242"/>
      <c r="AA213" s="192"/>
      <c r="AB213" s="257"/>
      <c r="AC213" s="257"/>
      <c r="AD213" s="257"/>
      <c r="AE213" s="257"/>
      <c r="AF213" s="257"/>
      <c r="AG213" s="257"/>
      <c r="AH213" s="257"/>
      <c r="AI213" s="257"/>
      <c r="AJ213" s="257"/>
      <c r="AK213" s="257"/>
      <c r="AL213" s="257"/>
      <c r="AM213" s="257"/>
      <c r="AN213" s="257"/>
      <c r="AO213" s="257"/>
      <c r="AP213" s="257"/>
      <c r="AQ213" s="257"/>
      <c r="AR213" s="257"/>
      <c r="AS213" s="257"/>
      <c r="AT213" s="257"/>
      <c r="AU213" s="257"/>
      <c r="AV213" s="257"/>
      <c r="AW213" s="257"/>
      <c r="AX213" s="257"/>
      <c r="AY213" s="257"/>
      <c r="AZ213" s="257"/>
      <c r="BA213" s="257"/>
      <c r="BB213" s="257"/>
      <c r="BC213" s="257"/>
      <c r="BD213" s="257"/>
      <c r="BE213" s="257"/>
      <c r="BF213" s="257"/>
      <c r="BG213" s="257"/>
      <c r="BH213" s="257"/>
      <c r="BI213" s="257"/>
      <c r="BJ213" s="242"/>
      <c r="BK213" s="242"/>
      <c r="BL213" s="242"/>
      <c r="BM213" s="242"/>
      <c r="BN213" s="242"/>
      <c r="BO213" s="242"/>
      <c r="BP213" s="242"/>
      <c r="BQ213" s="242"/>
      <c r="BR213" s="242"/>
      <c r="BS213" s="242"/>
      <c r="BT213" s="242"/>
      <c r="BU213" s="242"/>
      <c r="BV213" s="242"/>
      <c r="BW213" s="242"/>
      <c r="BX213" s="242"/>
      <c r="BY213" s="242"/>
      <c r="BZ213" s="242"/>
      <c r="CA213" s="242"/>
      <c r="CB213" s="242"/>
      <c r="CC213" s="242"/>
      <c r="CD213" s="242"/>
      <c r="CE213" s="257"/>
      <c r="CF213" s="257"/>
      <c r="CG213" s="242"/>
      <c r="CH213" s="242"/>
      <c r="CI213" s="242"/>
      <c r="CJ213" s="242"/>
      <c r="CK213" s="242"/>
      <c r="CL213" s="242"/>
      <c r="CM213" s="242"/>
      <c r="CN213" s="242"/>
      <c r="CO213" s="242"/>
      <c r="CP213" s="242"/>
      <c r="CQ213" s="242"/>
      <c r="CR213" s="242"/>
      <c r="CS213" s="242"/>
      <c r="CT213" s="242"/>
      <c r="CU213" s="242"/>
      <c r="CV213" s="242"/>
      <c r="CW213" s="242"/>
      <c r="CX213" s="242"/>
      <c r="CY213" s="242"/>
      <c r="CZ213" s="242"/>
      <c r="DA213" s="242"/>
      <c r="DB213" s="242"/>
      <c r="DC213" s="242"/>
      <c r="DD213" s="242"/>
      <c r="DE213" s="242"/>
      <c r="DF213" s="242"/>
      <c r="DG213" s="257"/>
      <c r="DH213" s="242"/>
      <c r="DI213" s="242"/>
      <c r="DJ213" s="242"/>
      <c r="DK213" s="242"/>
      <c r="DL213" s="242"/>
      <c r="DM213" s="242"/>
      <c r="DN213" s="242"/>
      <c r="DO213" s="242"/>
      <c r="DP213" s="242"/>
      <c r="DQ213" s="242"/>
      <c r="DR213" s="242"/>
      <c r="DS213" s="242"/>
      <c r="DT213" s="242"/>
      <c r="DU213" s="242"/>
      <c r="DV213" s="242"/>
      <c r="DW213" s="242"/>
      <c r="DX213" s="242"/>
      <c r="DY213" s="242"/>
      <c r="DZ213" s="242"/>
      <c r="EA213" s="242"/>
      <c r="EB213" s="242"/>
      <c r="EC213" s="242"/>
      <c r="ED213" s="242"/>
      <c r="EE213" s="242"/>
      <c r="EF213" s="242"/>
      <c r="EG213" s="242"/>
      <c r="EH213" s="242"/>
      <c r="EI213" s="242"/>
      <c r="EJ213" s="242"/>
      <c r="EK213" s="242"/>
      <c r="EL213" s="242"/>
      <c r="EM213" s="242"/>
      <c r="EN213" s="242"/>
      <c r="EO213" s="242"/>
      <c r="EP213" s="242"/>
      <c r="EQ213" s="242"/>
      <c r="ER213" s="242"/>
      <c r="ES213" s="242"/>
      <c r="ET213" s="242"/>
      <c r="EU213" s="242"/>
      <c r="EV213" s="242"/>
      <c r="EW213" s="242"/>
      <c r="EX213" s="242"/>
      <c r="EY213" s="242"/>
      <c r="EZ213" s="242"/>
      <c r="FA213" s="242"/>
      <c r="FB213" s="242"/>
      <c r="FC213" s="242"/>
      <c r="FD213" s="242"/>
      <c r="FE213" s="242"/>
      <c r="FF213" s="242"/>
      <c r="FG213" s="242"/>
      <c r="FH213" s="257"/>
      <c r="FI213" s="257"/>
      <c r="FJ213" s="257"/>
      <c r="FK213" s="257"/>
      <c r="FL213" s="257"/>
      <c r="FM213" s="257"/>
      <c r="FN213" s="257"/>
      <c r="FO213" s="257"/>
      <c r="FP213" s="257"/>
      <c r="FQ213" s="257"/>
      <c r="FR213" s="257"/>
      <c r="FS213" s="257"/>
      <c r="FT213" s="257"/>
      <c r="FU213" s="257"/>
      <c r="FV213" s="257"/>
      <c r="FW213" s="257"/>
      <c r="FX213" s="257"/>
      <c r="FY213" s="242"/>
      <c r="FZ213" s="242"/>
      <c r="GA213" s="242"/>
      <c r="GB213" s="242"/>
      <c r="GC213" s="242"/>
      <c r="GD213" s="242"/>
      <c r="GE213" s="242"/>
      <c r="GF213" s="242"/>
      <c r="GG213" s="242"/>
      <c r="GH213" s="242"/>
      <c r="GI213" s="242"/>
      <c r="GJ213" s="242"/>
      <c r="GK213" s="242"/>
      <c r="GL213" s="242"/>
      <c r="GM213" s="242"/>
      <c r="GN213" s="242"/>
      <c r="GO213" s="242"/>
      <c r="GP213" s="242"/>
      <c r="GQ213" s="242"/>
      <c r="GR213" s="242"/>
      <c r="GS213" s="242"/>
      <c r="GT213" s="242"/>
      <c r="GU213" s="242"/>
      <c r="GV213" s="242"/>
      <c r="GW213" s="242"/>
      <c r="GX213" s="242"/>
      <c r="GY213" s="242"/>
      <c r="GZ213" s="242"/>
      <c r="HA213" s="242"/>
      <c r="HB213" s="242"/>
      <c r="HC213" s="242"/>
      <c r="HD213" s="242"/>
      <c r="HE213" s="242"/>
      <c r="HF213" s="242"/>
      <c r="HG213" s="242"/>
      <c r="HH213" s="242"/>
      <c r="HI213" s="242"/>
      <c r="HJ213" s="242"/>
      <c r="HK213" s="242"/>
      <c r="HL213" s="242"/>
      <c r="HM213" s="242"/>
      <c r="HN213" s="242"/>
      <c r="HO213" s="242"/>
      <c r="HP213" s="242"/>
      <c r="HQ213" s="242"/>
      <c r="HR213" s="242"/>
      <c r="HS213" s="242"/>
      <c r="HT213" s="242"/>
      <c r="HU213" s="242"/>
      <c r="HV213" s="242"/>
      <c r="HW213" s="242"/>
      <c r="HX213" s="257"/>
      <c r="HY213" s="257"/>
      <c r="HZ213" s="257"/>
      <c r="IA213" s="257"/>
      <c r="IB213" s="257"/>
      <c r="IC213" s="257"/>
      <c r="ID213" s="257"/>
      <c r="IE213" s="257"/>
      <c r="IF213" s="257"/>
      <c r="IG213" s="257"/>
      <c r="IH213" s="257"/>
      <c r="II213" s="257"/>
      <c r="IJ213" s="257"/>
      <c r="IK213" s="257"/>
      <c r="IL213" s="257"/>
      <c r="IM213" s="257"/>
      <c r="IN213" s="257"/>
      <c r="IO213" s="257"/>
      <c r="IP213" s="257"/>
      <c r="IQ213" s="257"/>
      <c r="IR213" s="257"/>
      <c r="IS213" s="257"/>
      <c r="IT213" s="257"/>
      <c r="IU213" s="257"/>
      <c r="IV213" s="257"/>
      <c r="IW213" s="257"/>
      <c r="IX213" s="257"/>
      <c r="IY213" s="257"/>
      <c r="IZ213" s="257"/>
      <c r="JA213" s="257"/>
      <c r="JB213" s="257"/>
      <c r="JC213" s="257"/>
      <c r="JD213" s="257"/>
      <c r="JE213" s="257"/>
      <c r="JF213" s="242"/>
      <c r="JG213" s="242"/>
      <c r="JH213" s="242"/>
      <c r="JI213" s="242"/>
      <c r="JJ213" s="242"/>
      <c r="JK213" s="242"/>
      <c r="JL213" s="242"/>
      <c r="JM213" s="242"/>
      <c r="JN213" s="242"/>
      <c r="JO213" s="242"/>
      <c r="JP213" s="242"/>
      <c r="JQ213" s="242"/>
      <c r="JR213" s="242"/>
      <c r="JS213" s="242"/>
      <c r="JT213" s="242"/>
      <c r="JU213" s="242"/>
      <c r="JV213" s="242"/>
      <c r="JW213" s="242"/>
      <c r="JX213" s="242"/>
      <c r="JY213" s="242"/>
      <c r="JZ213" s="242"/>
      <c r="KA213" s="242"/>
      <c r="KB213" s="242"/>
      <c r="KC213" s="242"/>
      <c r="KD213" s="242"/>
      <c r="KE213" s="242"/>
      <c r="KF213" s="242"/>
      <c r="KG213" s="242"/>
      <c r="KH213" s="242"/>
      <c r="KI213" s="242"/>
      <c r="KJ213" s="242"/>
      <c r="KK213" s="242"/>
      <c r="KL213" s="242"/>
      <c r="KM213" s="242"/>
      <c r="KN213" s="242"/>
      <c r="KO213" s="242"/>
      <c r="KP213" s="242"/>
      <c r="KQ213" s="242"/>
      <c r="KR213" s="242"/>
      <c r="KS213" s="242"/>
      <c r="KT213" s="242"/>
      <c r="KU213" s="242"/>
      <c r="KV213" s="242"/>
      <c r="KW213" s="242"/>
      <c r="KX213" s="242"/>
      <c r="KY213" s="242"/>
      <c r="KZ213" s="242"/>
      <c r="LA213" s="242"/>
      <c r="LB213" s="242"/>
      <c r="LC213" s="242"/>
      <c r="LD213" s="242"/>
      <c r="LE213" s="242"/>
      <c r="LF213" s="242"/>
      <c r="LG213" s="242"/>
      <c r="LH213" s="242"/>
      <c r="LI213" s="242"/>
      <c r="LJ213" s="242"/>
      <c r="LK213" s="242"/>
      <c r="LL213" s="242"/>
      <c r="LM213" s="242"/>
      <c r="LN213" s="242"/>
      <c r="LO213" s="242"/>
      <c r="LP213" s="242"/>
      <c r="LQ213" s="242"/>
      <c r="LR213" s="242"/>
      <c r="LS213" s="242"/>
      <c r="LT213" s="242"/>
      <c r="LU213" s="242"/>
      <c r="LV213" s="242"/>
      <c r="LW213" s="242"/>
      <c r="LX213" s="242"/>
      <c r="LY213" s="242"/>
      <c r="LZ213" s="242"/>
      <c r="MA213" s="242"/>
      <c r="MB213" s="242"/>
      <c r="MC213" s="242"/>
      <c r="MD213" s="242"/>
      <c r="ME213" s="242"/>
      <c r="MF213" s="242"/>
      <c r="MG213" s="242"/>
      <c r="MH213" s="242"/>
      <c r="MI213" s="242"/>
      <c r="MJ213" s="242"/>
      <c r="MK213" s="242"/>
      <c r="ML213" s="242"/>
    </row>
    <row r="214" ht="18.75" customHeight="1">
      <c r="A214" s="283"/>
      <c r="B214" s="234" t="str">
        <f>'Building Bill of Materials_SLIM'!P214</f>
        <v/>
      </c>
      <c r="C214" s="234" t="str">
        <f>'Building Bill of Materials_SLIM'!Q214</f>
        <v/>
      </c>
      <c r="D214" s="234" t="str">
        <f>'Building Bill of Materials_SLIM'!R214</f>
        <v/>
      </c>
      <c r="E214" s="234" t="str">
        <f>'Building Bill of Materials_SLIM'!S214</f>
        <v/>
      </c>
      <c r="F214" s="234" t="str">
        <f>'Building Bill of Materials_SLIM'!U214</f>
        <v/>
      </c>
      <c r="G214" s="234"/>
      <c r="H214" s="234"/>
      <c r="I214" s="234"/>
      <c r="J214" s="234" t="str">
        <f>'Building Bill of Materials_SLIM'!V214</f>
        <v/>
      </c>
      <c r="K214" s="242"/>
      <c r="L214" s="242"/>
      <c r="M214" s="242"/>
      <c r="N214" s="242"/>
      <c r="O214" s="242"/>
      <c r="P214" s="242"/>
      <c r="Q214" s="242"/>
      <c r="R214" s="242"/>
      <c r="S214" s="242"/>
      <c r="T214" s="242"/>
      <c r="U214" s="242"/>
      <c r="V214" s="242"/>
      <c r="W214" s="242"/>
      <c r="X214" s="242"/>
      <c r="Y214" s="242"/>
      <c r="Z214" s="242"/>
      <c r="AA214" s="192"/>
      <c r="AB214" s="257"/>
      <c r="AC214" s="257"/>
      <c r="AD214" s="257"/>
      <c r="AE214" s="257"/>
      <c r="AF214" s="257"/>
      <c r="AG214" s="257"/>
      <c r="AH214" s="257"/>
      <c r="AI214" s="257"/>
      <c r="AJ214" s="257"/>
      <c r="AK214" s="257"/>
      <c r="AL214" s="257"/>
      <c r="AM214" s="257"/>
      <c r="AN214" s="257"/>
      <c r="AO214" s="257"/>
      <c r="AP214" s="257"/>
      <c r="AQ214" s="257"/>
      <c r="AR214" s="257"/>
      <c r="AS214" s="257"/>
      <c r="AT214" s="257"/>
      <c r="AU214" s="257"/>
      <c r="AV214" s="257"/>
      <c r="AW214" s="257"/>
      <c r="AX214" s="257"/>
      <c r="AY214" s="257"/>
      <c r="AZ214" s="257"/>
      <c r="BA214" s="257"/>
      <c r="BB214" s="257"/>
      <c r="BC214" s="257"/>
      <c r="BD214" s="257"/>
      <c r="BE214" s="257"/>
      <c r="BF214" s="257"/>
      <c r="BG214" s="257"/>
      <c r="BH214" s="257"/>
      <c r="BI214" s="257"/>
      <c r="BJ214" s="242"/>
      <c r="BK214" s="242"/>
      <c r="BL214" s="242"/>
      <c r="BM214" s="242"/>
      <c r="BN214" s="242"/>
      <c r="BO214" s="242"/>
      <c r="BP214" s="242"/>
      <c r="BQ214" s="242"/>
      <c r="BR214" s="242"/>
      <c r="BS214" s="242"/>
      <c r="BT214" s="242"/>
      <c r="BU214" s="242"/>
      <c r="BV214" s="242"/>
      <c r="BW214" s="242"/>
      <c r="BX214" s="242"/>
      <c r="BY214" s="242"/>
      <c r="BZ214" s="242"/>
      <c r="CA214" s="242"/>
      <c r="CB214" s="242"/>
      <c r="CC214" s="242"/>
      <c r="CD214" s="242"/>
      <c r="CE214" s="257"/>
      <c r="CF214" s="257"/>
      <c r="CG214" s="242"/>
      <c r="CH214" s="242"/>
      <c r="CI214" s="242"/>
      <c r="CJ214" s="242"/>
      <c r="CK214" s="242"/>
      <c r="CL214" s="242"/>
      <c r="CM214" s="242"/>
      <c r="CN214" s="242"/>
      <c r="CO214" s="242"/>
      <c r="CP214" s="242"/>
      <c r="CQ214" s="242"/>
      <c r="CR214" s="242"/>
      <c r="CS214" s="242"/>
      <c r="CT214" s="242"/>
      <c r="CU214" s="242"/>
      <c r="CV214" s="242"/>
      <c r="CW214" s="242"/>
      <c r="CX214" s="242"/>
      <c r="CY214" s="242"/>
      <c r="CZ214" s="242"/>
      <c r="DA214" s="242"/>
      <c r="DB214" s="242"/>
      <c r="DC214" s="242"/>
      <c r="DD214" s="242"/>
      <c r="DE214" s="242"/>
      <c r="DF214" s="242"/>
      <c r="DG214" s="257"/>
      <c r="DH214" s="242"/>
      <c r="DI214" s="242"/>
      <c r="DJ214" s="242"/>
      <c r="DK214" s="242"/>
      <c r="DL214" s="242"/>
      <c r="DM214" s="242"/>
      <c r="DN214" s="242"/>
      <c r="DO214" s="242"/>
      <c r="DP214" s="242"/>
      <c r="DQ214" s="242"/>
      <c r="DR214" s="242"/>
      <c r="DS214" s="242"/>
      <c r="DT214" s="242"/>
      <c r="DU214" s="242"/>
      <c r="DV214" s="242"/>
      <c r="DW214" s="242"/>
      <c r="DX214" s="242"/>
      <c r="DY214" s="242"/>
      <c r="DZ214" s="242"/>
      <c r="EA214" s="242"/>
      <c r="EB214" s="242"/>
      <c r="EC214" s="242"/>
      <c r="ED214" s="242"/>
      <c r="EE214" s="242"/>
      <c r="EF214" s="242"/>
      <c r="EG214" s="242"/>
      <c r="EH214" s="242"/>
      <c r="EI214" s="242"/>
      <c r="EJ214" s="242"/>
      <c r="EK214" s="242"/>
      <c r="EL214" s="242"/>
      <c r="EM214" s="242"/>
      <c r="EN214" s="242"/>
      <c r="EO214" s="242"/>
      <c r="EP214" s="242"/>
      <c r="EQ214" s="242"/>
      <c r="ER214" s="242"/>
      <c r="ES214" s="242"/>
      <c r="ET214" s="242"/>
      <c r="EU214" s="242"/>
      <c r="EV214" s="242"/>
      <c r="EW214" s="242"/>
      <c r="EX214" s="242"/>
      <c r="EY214" s="242"/>
      <c r="EZ214" s="242"/>
      <c r="FA214" s="242"/>
      <c r="FB214" s="242"/>
      <c r="FC214" s="242"/>
      <c r="FD214" s="242"/>
      <c r="FE214" s="242"/>
      <c r="FF214" s="242"/>
      <c r="FG214" s="242"/>
      <c r="FH214" s="257"/>
      <c r="FI214" s="257"/>
      <c r="FJ214" s="257"/>
      <c r="FK214" s="257"/>
      <c r="FL214" s="257"/>
      <c r="FM214" s="257"/>
      <c r="FN214" s="257"/>
      <c r="FO214" s="257"/>
      <c r="FP214" s="257"/>
      <c r="FQ214" s="257"/>
      <c r="FR214" s="257"/>
      <c r="FS214" s="257"/>
      <c r="FT214" s="257"/>
      <c r="FU214" s="257"/>
      <c r="FV214" s="257"/>
      <c r="FW214" s="257"/>
      <c r="FX214" s="257"/>
      <c r="FY214" s="242"/>
      <c r="FZ214" s="242"/>
      <c r="GA214" s="242"/>
      <c r="GB214" s="242"/>
      <c r="GC214" s="242"/>
      <c r="GD214" s="242"/>
      <c r="GE214" s="242"/>
      <c r="GF214" s="242"/>
      <c r="GG214" s="242"/>
      <c r="GH214" s="242"/>
      <c r="GI214" s="242"/>
      <c r="GJ214" s="242"/>
      <c r="GK214" s="242"/>
      <c r="GL214" s="242"/>
      <c r="GM214" s="242"/>
      <c r="GN214" s="242"/>
      <c r="GO214" s="242"/>
      <c r="GP214" s="242"/>
      <c r="GQ214" s="242"/>
      <c r="GR214" s="242"/>
      <c r="GS214" s="242"/>
      <c r="GT214" s="242"/>
      <c r="GU214" s="242"/>
      <c r="GV214" s="242"/>
      <c r="GW214" s="242"/>
      <c r="GX214" s="242"/>
      <c r="GY214" s="242"/>
      <c r="GZ214" s="242"/>
      <c r="HA214" s="242"/>
      <c r="HB214" s="242"/>
      <c r="HC214" s="242"/>
      <c r="HD214" s="242"/>
      <c r="HE214" s="242"/>
      <c r="HF214" s="242"/>
      <c r="HG214" s="242"/>
      <c r="HH214" s="242"/>
      <c r="HI214" s="242"/>
      <c r="HJ214" s="242"/>
      <c r="HK214" s="242"/>
      <c r="HL214" s="242"/>
      <c r="HM214" s="242"/>
      <c r="HN214" s="242"/>
      <c r="HO214" s="242"/>
      <c r="HP214" s="242"/>
      <c r="HQ214" s="242"/>
      <c r="HR214" s="242"/>
      <c r="HS214" s="242"/>
      <c r="HT214" s="242"/>
      <c r="HU214" s="242"/>
      <c r="HV214" s="242"/>
      <c r="HW214" s="242"/>
      <c r="HX214" s="257"/>
      <c r="HY214" s="257"/>
      <c r="HZ214" s="257"/>
      <c r="IA214" s="257"/>
      <c r="IB214" s="257"/>
      <c r="IC214" s="257"/>
      <c r="ID214" s="257"/>
      <c r="IE214" s="257"/>
      <c r="IF214" s="257"/>
      <c r="IG214" s="257"/>
      <c r="IH214" s="257"/>
      <c r="II214" s="257"/>
      <c r="IJ214" s="257"/>
      <c r="IK214" s="257"/>
      <c r="IL214" s="257"/>
      <c r="IM214" s="257"/>
      <c r="IN214" s="257"/>
      <c r="IO214" s="257"/>
      <c r="IP214" s="257"/>
      <c r="IQ214" s="257"/>
      <c r="IR214" s="257"/>
      <c r="IS214" s="257"/>
      <c r="IT214" s="257"/>
      <c r="IU214" s="257"/>
      <c r="IV214" s="257"/>
      <c r="IW214" s="257"/>
      <c r="IX214" s="257"/>
      <c r="IY214" s="257"/>
      <c r="IZ214" s="257"/>
      <c r="JA214" s="257"/>
      <c r="JB214" s="257"/>
      <c r="JC214" s="257"/>
      <c r="JD214" s="257"/>
      <c r="JE214" s="257"/>
      <c r="JF214" s="242"/>
      <c r="JG214" s="242"/>
      <c r="JH214" s="242"/>
      <c r="JI214" s="242"/>
      <c r="JJ214" s="242"/>
      <c r="JK214" s="242"/>
      <c r="JL214" s="242"/>
      <c r="JM214" s="242"/>
      <c r="JN214" s="242"/>
      <c r="JO214" s="242"/>
      <c r="JP214" s="242"/>
      <c r="JQ214" s="242"/>
      <c r="JR214" s="242"/>
      <c r="JS214" s="242"/>
      <c r="JT214" s="242"/>
      <c r="JU214" s="242"/>
      <c r="JV214" s="242"/>
      <c r="JW214" s="242"/>
      <c r="JX214" s="242"/>
      <c r="JY214" s="242"/>
      <c r="JZ214" s="242"/>
      <c r="KA214" s="242"/>
      <c r="KB214" s="242"/>
      <c r="KC214" s="242"/>
      <c r="KD214" s="242"/>
      <c r="KE214" s="242"/>
      <c r="KF214" s="242"/>
      <c r="KG214" s="242"/>
      <c r="KH214" s="242"/>
      <c r="KI214" s="242"/>
      <c r="KJ214" s="242"/>
      <c r="KK214" s="242"/>
      <c r="KL214" s="242"/>
      <c r="KM214" s="242"/>
      <c r="KN214" s="242"/>
      <c r="KO214" s="242"/>
      <c r="KP214" s="242"/>
      <c r="KQ214" s="242"/>
      <c r="KR214" s="242"/>
      <c r="KS214" s="242"/>
      <c r="KT214" s="242"/>
      <c r="KU214" s="242"/>
      <c r="KV214" s="242"/>
      <c r="KW214" s="242"/>
      <c r="KX214" s="242"/>
      <c r="KY214" s="242"/>
      <c r="KZ214" s="242"/>
      <c r="LA214" s="242"/>
      <c r="LB214" s="242"/>
      <c r="LC214" s="242"/>
      <c r="LD214" s="242"/>
      <c r="LE214" s="242"/>
      <c r="LF214" s="242"/>
      <c r="LG214" s="242"/>
      <c r="LH214" s="242"/>
      <c r="LI214" s="242"/>
      <c r="LJ214" s="242"/>
      <c r="LK214" s="242"/>
      <c r="LL214" s="242"/>
      <c r="LM214" s="242"/>
      <c r="LN214" s="242"/>
      <c r="LO214" s="242"/>
      <c r="LP214" s="242"/>
      <c r="LQ214" s="242"/>
      <c r="LR214" s="242"/>
      <c r="LS214" s="242"/>
      <c r="LT214" s="242"/>
      <c r="LU214" s="242"/>
      <c r="LV214" s="242"/>
      <c r="LW214" s="242"/>
      <c r="LX214" s="242"/>
      <c r="LY214" s="242"/>
      <c r="LZ214" s="242"/>
      <c r="MA214" s="242"/>
      <c r="MB214" s="242"/>
      <c r="MC214" s="242"/>
      <c r="MD214" s="242"/>
      <c r="ME214" s="242"/>
      <c r="MF214" s="242"/>
      <c r="MG214" s="242"/>
      <c r="MH214" s="242"/>
      <c r="MI214" s="242"/>
      <c r="MJ214" s="242"/>
      <c r="MK214" s="242"/>
      <c r="ML214" s="242"/>
    </row>
    <row r="215" ht="18.75" customHeight="1">
      <c r="A215" s="283"/>
      <c r="B215" s="234" t="str">
        <f>'Building Bill of Materials_SLIM'!P215</f>
        <v/>
      </c>
      <c r="C215" s="234" t="str">
        <f>'Building Bill of Materials_SLIM'!Q215</f>
        <v/>
      </c>
      <c r="D215" s="234" t="str">
        <f>'Building Bill of Materials_SLIM'!R215</f>
        <v/>
      </c>
      <c r="E215" s="234" t="str">
        <f>'Building Bill of Materials_SLIM'!S215</f>
        <v/>
      </c>
      <c r="F215" s="234" t="str">
        <f>'Building Bill of Materials_SLIM'!U215</f>
        <v/>
      </c>
      <c r="G215" s="234"/>
      <c r="H215" s="234"/>
      <c r="I215" s="234"/>
      <c r="J215" s="234" t="str">
        <f>'Building Bill of Materials_SLIM'!V215</f>
        <v/>
      </c>
      <c r="K215" s="242"/>
      <c r="L215" s="242"/>
      <c r="M215" s="242"/>
      <c r="N215" s="242"/>
      <c r="O215" s="242"/>
      <c r="P215" s="242"/>
      <c r="Q215" s="242"/>
      <c r="R215" s="242"/>
      <c r="S215" s="242"/>
      <c r="T215" s="242"/>
      <c r="U215" s="242"/>
      <c r="V215" s="242"/>
      <c r="W215" s="242"/>
      <c r="X215" s="242"/>
      <c r="Y215" s="242"/>
      <c r="Z215" s="242"/>
      <c r="AA215" s="192"/>
      <c r="AB215" s="257"/>
      <c r="AC215" s="257"/>
      <c r="AD215" s="257"/>
      <c r="AE215" s="257"/>
      <c r="AF215" s="257"/>
      <c r="AG215" s="257"/>
      <c r="AH215" s="257"/>
      <c r="AI215" s="257"/>
      <c r="AJ215" s="257"/>
      <c r="AK215" s="257"/>
      <c r="AL215" s="257"/>
      <c r="AM215" s="257"/>
      <c r="AN215" s="257"/>
      <c r="AO215" s="257"/>
      <c r="AP215" s="257"/>
      <c r="AQ215" s="257"/>
      <c r="AR215" s="257"/>
      <c r="AS215" s="257"/>
      <c r="AT215" s="257"/>
      <c r="AU215" s="257"/>
      <c r="AV215" s="257"/>
      <c r="AW215" s="257"/>
      <c r="AX215" s="257"/>
      <c r="AY215" s="257"/>
      <c r="AZ215" s="257"/>
      <c r="BA215" s="257"/>
      <c r="BB215" s="257"/>
      <c r="BC215" s="257"/>
      <c r="BD215" s="257"/>
      <c r="BE215" s="257"/>
      <c r="BF215" s="257"/>
      <c r="BG215" s="257"/>
      <c r="BH215" s="257"/>
      <c r="BI215" s="257"/>
      <c r="BJ215" s="242"/>
      <c r="BK215" s="242"/>
      <c r="BL215" s="242"/>
      <c r="BM215" s="242"/>
      <c r="BN215" s="242"/>
      <c r="BO215" s="242"/>
      <c r="BP215" s="242"/>
      <c r="BQ215" s="242"/>
      <c r="BR215" s="242"/>
      <c r="BS215" s="242"/>
      <c r="BT215" s="242"/>
      <c r="BU215" s="242"/>
      <c r="BV215" s="242"/>
      <c r="BW215" s="242"/>
      <c r="BX215" s="242"/>
      <c r="BY215" s="242"/>
      <c r="BZ215" s="242"/>
      <c r="CA215" s="242"/>
      <c r="CB215" s="242"/>
      <c r="CC215" s="242"/>
      <c r="CD215" s="242"/>
      <c r="CE215" s="257"/>
      <c r="CF215" s="257"/>
      <c r="CG215" s="242"/>
      <c r="CH215" s="242"/>
      <c r="CI215" s="242"/>
      <c r="CJ215" s="242"/>
      <c r="CK215" s="242"/>
      <c r="CL215" s="242"/>
      <c r="CM215" s="242"/>
      <c r="CN215" s="242"/>
      <c r="CO215" s="242"/>
      <c r="CP215" s="242"/>
      <c r="CQ215" s="242"/>
      <c r="CR215" s="242"/>
      <c r="CS215" s="242"/>
      <c r="CT215" s="242"/>
      <c r="CU215" s="242"/>
      <c r="CV215" s="242"/>
      <c r="CW215" s="242"/>
      <c r="CX215" s="242"/>
      <c r="CY215" s="242"/>
      <c r="CZ215" s="242"/>
      <c r="DA215" s="242"/>
      <c r="DB215" s="242"/>
      <c r="DC215" s="242"/>
      <c r="DD215" s="242"/>
      <c r="DE215" s="242"/>
      <c r="DF215" s="242"/>
      <c r="DG215" s="257"/>
      <c r="DH215" s="242"/>
      <c r="DI215" s="242"/>
      <c r="DJ215" s="242"/>
      <c r="DK215" s="242"/>
      <c r="DL215" s="242"/>
      <c r="DM215" s="242"/>
      <c r="DN215" s="242"/>
      <c r="DO215" s="242"/>
      <c r="DP215" s="242"/>
      <c r="DQ215" s="242"/>
      <c r="DR215" s="242"/>
      <c r="DS215" s="242"/>
      <c r="DT215" s="242"/>
      <c r="DU215" s="242"/>
      <c r="DV215" s="242"/>
      <c r="DW215" s="242"/>
      <c r="DX215" s="242"/>
      <c r="DY215" s="242"/>
      <c r="DZ215" s="242"/>
      <c r="EA215" s="242"/>
      <c r="EB215" s="242"/>
      <c r="EC215" s="242"/>
      <c r="ED215" s="242"/>
      <c r="EE215" s="242"/>
      <c r="EF215" s="242"/>
      <c r="EG215" s="242"/>
      <c r="EH215" s="242"/>
      <c r="EI215" s="242"/>
      <c r="EJ215" s="242"/>
      <c r="EK215" s="242"/>
      <c r="EL215" s="242"/>
      <c r="EM215" s="242"/>
      <c r="EN215" s="242"/>
      <c r="EO215" s="242"/>
      <c r="EP215" s="242"/>
      <c r="EQ215" s="242"/>
      <c r="ER215" s="242"/>
      <c r="ES215" s="242"/>
      <c r="ET215" s="242"/>
      <c r="EU215" s="242"/>
      <c r="EV215" s="242"/>
      <c r="EW215" s="242"/>
      <c r="EX215" s="242"/>
      <c r="EY215" s="242"/>
      <c r="EZ215" s="242"/>
      <c r="FA215" s="242"/>
      <c r="FB215" s="242"/>
      <c r="FC215" s="242"/>
      <c r="FD215" s="242"/>
      <c r="FE215" s="242"/>
      <c r="FF215" s="242"/>
      <c r="FG215" s="242"/>
      <c r="FH215" s="257"/>
      <c r="FI215" s="257"/>
      <c r="FJ215" s="257"/>
      <c r="FK215" s="257"/>
      <c r="FL215" s="257"/>
      <c r="FM215" s="257"/>
      <c r="FN215" s="257"/>
      <c r="FO215" s="257"/>
      <c r="FP215" s="257"/>
      <c r="FQ215" s="257"/>
      <c r="FR215" s="257"/>
      <c r="FS215" s="257"/>
      <c r="FT215" s="257"/>
      <c r="FU215" s="257"/>
      <c r="FV215" s="257"/>
      <c r="FW215" s="257"/>
      <c r="FX215" s="257"/>
      <c r="FY215" s="242"/>
      <c r="FZ215" s="242"/>
      <c r="GA215" s="242"/>
      <c r="GB215" s="242"/>
      <c r="GC215" s="242"/>
      <c r="GD215" s="242"/>
      <c r="GE215" s="242"/>
      <c r="GF215" s="242"/>
      <c r="GG215" s="242"/>
      <c r="GH215" s="242"/>
      <c r="GI215" s="242"/>
      <c r="GJ215" s="242"/>
      <c r="GK215" s="242"/>
      <c r="GL215" s="242"/>
      <c r="GM215" s="242"/>
      <c r="GN215" s="242"/>
      <c r="GO215" s="242"/>
      <c r="GP215" s="242"/>
      <c r="GQ215" s="242"/>
      <c r="GR215" s="242"/>
      <c r="GS215" s="242"/>
      <c r="GT215" s="242"/>
      <c r="GU215" s="242"/>
      <c r="GV215" s="242"/>
      <c r="GW215" s="242"/>
      <c r="GX215" s="242"/>
      <c r="GY215" s="242"/>
      <c r="GZ215" s="242"/>
      <c r="HA215" s="242"/>
      <c r="HB215" s="242"/>
      <c r="HC215" s="242"/>
      <c r="HD215" s="242"/>
      <c r="HE215" s="242"/>
      <c r="HF215" s="242"/>
      <c r="HG215" s="242"/>
      <c r="HH215" s="242"/>
      <c r="HI215" s="242"/>
      <c r="HJ215" s="242"/>
      <c r="HK215" s="242"/>
      <c r="HL215" s="242"/>
      <c r="HM215" s="242"/>
      <c r="HN215" s="242"/>
      <c r="HO215" s="242"/>
      <c r="HP215" s="242"/>
      <c r="HQ215" s="242"/>
      <c r="HR215" s="242"/>
      <c r="HS215" s="242"/>
      <c r="HT215" s="242"/>
      <c r="HU215" s="242"/>
      <c r="HV215" s="242"/>
      <c r="HW215" s="242"/>
      <c r="HX215" s="257"/>
      <c r="HY215" s="257"/>
      <c r="HZ215" s="257"/>
      <c r="IA215" s="257"/>
      <c r="IB215" s="257"/>
      <c r="IC215" s="257"/>
      <c r="ID215" s="257"/>
      <c r="IE215" s="257"/>
      <c r="IF215" s="257"/>
      <c r="IG215" s="257"/>
      <c r="IH215" s="257"/>
      <c r="II215" s="257"/>
      <c r="IJ215" s="257"/>
      <c r="IK215" s="257"/>
      <c r="IL215" s="257"/>
      <c r="IM215" s="257"/>
      <c r="IN215" s="257"/>
      <c r="IO215" s="257"/>
      <c r="IP215" s="257"/>
      <c r="IQ215" s="257"/>
      <c r="IR215" s="257"/>
      <c r="IS215" s="257"/>
      <c r="IT215" s="257"/>
      <c r="IU215" s="257"/>
      <c r="IV215" s="257"/>
      <c r="IW215" s="257"/>
      <c r="IX215" s="257"/>
      <c r="IY215" s="257"/>
      <c r="IZ215" s="257"/>
      <c r="JA215" s="257"/>
      <c r="JB215" s="257"/>
      <c r="JC215" s="257"/>
      <c r="JD215" s="257"/>
      <c r="JE215" s="257"/>
      <c r="JF215" s="242"/>
      <c r="JG215" s="242"/>
      <c r="JH215" s="242"/>
      <c r="JI215" s="242"/>
      <c r="JJ215" s="242"/>
      <c r="JK215" s="242"/>
      <c r="JL215" s="242"/>
      <c r="JM215" s="242"/>
      <c r="JN215" s="242"/>
      <c r="JO215" s="242"/>
      <c r="JP215" s="242"/>
      <c r="JQ215" s="242"/>
      <c r="JR215" s="242"/>
      <c r="JS215" s="242"/>
      <c r="JT215" s="242"/>
      <c r="JU215" s="242"/>
      <c r="JV215" s="242"/>
      <c r="JW215" s="242"/>
      <c r="JX215" s="242"/>
      <c r="JY215" s="242"/>
      <c r="JZ215" s="242"/>
      <c r="KA215" s="242"/>
      <c r="KB215" s="242"/>
      <c r="KC215" s="242"/>
      <c r="KD215" s="242"/>
      <c r="KE215" s="242"/>
      <c r="KF215" s="242"/>
      <c r="KG215" s="242"/>
      <c r="KH215" s="242"/>
      <c r="KI215" s="242"/>
      <c r="KJ215" s="242"/>
      <c r="KK215" s="242"/>
      <c r="KL215" s="242"/>
      <c r="KM215" s="242"/>
      <c r="KN215" s="242"/>
      <c r="KO215" s="242"/>
      <c r="KP215" s="242"/>
      <c r="KQ215" s="242"/>
      <c r="KR215" s="242"/>
      <c r="KS215" s="242"/>
      <c r="KT215" s="242"/>
      <c r="KU215" s="242"/>
      <c r="KV215" s="242"/>
      <c r="KW215" s="242"/>
      <c r="KX215" s="242"/>
      <c r="KY215" s="242"/>
      <c r="KZ215" s="242"/>
      <c r="LA215" s="242"/>
      <c r="LB215" s="242"/>
      <c r="LC215" s="242"/>
      <c r="LD215" s="242"/>
      <c r="LE215" s="242"/>
      <c r="LF215" s="242"/>
      <c r="LG215" s="242"/>
      <c r="LH215" s="242"/>
      <c r="LI215" s="242"/>
      <c r="LJ215" s="242"/>
      <c r="LK215" s="242"/>
      <c r="LL215" s="242"/>
      <c r="LM215" s="242"/>
      <c r="LN215" s="242"/>
      <c r="LO215" s="242"/>
      <c r="LP215" s="242"/>
      <c r="LQ215" s="242"/>
      <c r="LR215" s="242"/>
      <c r="LS215" s="242"/>
      <c r="LT215" s="242"/>
      <c r="LU215" s="242"/>
      <c r="LV215" s="242"/>
      <c r="LW215" s="242"/>
      <c r="LX215" s="242"/>
      <c r="LY215" s="242"/>
      <c r="LZ215" s="242"/>
      <c r="MA215" s="242"/>
      <c r="MB215" s="242"/>
      <c r="MC215" s="242"/>
      <c r="MD215" s="242"/>
      <c r="ME215" s="242"/>
      <c r="MF215" s="242"/>
      <c r="MG215" s="242"/>
      <c r="MH215" s="242"/>
      <c r="MI215" s="242"/>
      <c r="MJ215" s="242"/>
      <c r="MK215" s="242"/>
      <c r="ML215" s="242"/>
    </row>
    <row r="216" ht="18.75" customHeight="1">
      <c r="A216" s="283"/>
      <c r="B216" s="234" t="str">
        <f>'Building Bill of Materials_SLIM'!P216</f>
        <v/>
      </c>
      <c r="C216" s="234" t="str">
        <f>'Building Bill of Materials_SLIM'!Q216</f>
        <v/>
      </c>
      <c r="D216" s="234" t="str">
        <f>'Building Bill of Materials_SLIM'!R216</f>
        <v/>
      </c>
      <c r="E216" s="234" t="str">
        <f>'Building Bill of Materials_SLIM'!S216</f>
        <v/>
      </c>
      <c r="F216" s="234" t="str">
        <f>'Building Bill of Materials_SLIM'!U216</f>
        <v/>
      </c>
      <c r="G216" s="234"/>
      <c r="H216" s="234"/>
      <c r="I216" s="234"/>
      <c r="J216" s="234" t="str">
        <f>'Building Bill of Materials_SLIM'!V216</f>
        <v/>
      </c>
      <c r="K216" s="242"/>
      <c r="L216" s="242"/>
      <c r="M216" s="242"/>
      <c r="N216" s="242"/>
      <c r="O216" s="242"/>
      <c r="P216" s="242"/>
      <c r="Q216" s="242"/>
      <c r="R216" s="242"/>
      <c r="S216" s="242"/>
      <c r="T216" s="242"/>
      <c r="U216" s="242"/>
      <c r="V216" s="242"/>
      <c r="W216" s="242"/>
      <c r="X216" s="242"/>
      <c r="Y216" s="242"/>
      <c r="Z216" s="242"/>
      <c r="AA216" s="192"/>
      <c r="AB216" s="257"/>
      <c r="AC216" s="257"/>
      <c r="AD216" s="257"/>
      <c r="AE216" s="257"/>
      <c r="AF216" s="257"/>
      <c r="AG216" s="257"/>
      <c r="AH216" s="257"/>
      <c r="AI216" s="257"/>
      <c r="AJ216" s="257"/>
      <c r="AK216" s="257"/>
      <c r="AL216" s="257"/>
      <c r="AM216" s="257"/>
      <c r="AN216" s="257"/>
      <c r="AO216" s="257"/>
      <c r="AP216" s="257"/>
      <c r="AQ216" s="257"/>
      <c r="AR216" s="257"/>
      <c r="AS216" s="257"/>
      <c r="AT216" s="257"/>
      <c r="AU216" s="257"/>
      <c r="AV216" s="257"/>
      <c r="AW216" s="257"/>
      <c r="AX216" s="257"/>
      <c r="AY216" s="257"/>
      <c r="AZ216" s="257"/>
      <c r="BA216" s="257"/>
      <c r="BB216" s="257"/>
      <c r="BC216" s="257"/>
      <c r="BD216" s="257"/>
      <c r="BE216" s="257"/>
      <c r="BF216" s="257"/>
      <c r="BG216" s="257"/>
      <c r="BH216" s="257"/>
      <c r="BI216" s="257"/>
      <c r="BJ216" s="242"/>
      <c r="BK216" s="242"/>
      <c r="BL216" s="242"/>
      <c r="BM216" s="242"/>
      <c r="BN216" s="242"/>
      <c r="BO216" s="242"/>
      <c r="BP216" s="242"/>
      <c r="BQ216" s="242"/>
      <c r="BR216" s="242"/>
      <c r="BS216" s="242"/>
      <c r="BT216" s="242"/>
      <c r="BU216" s="242"/>
      <c r="BV216" s="242"/>
      <c r="BW216" s="242"/>
      <c r="BX216" s="242"/>
      <c r="BY216" s="242"/>
      <c r="BZ216" s="242"/>
      <c r="CA216" s="242"/>
      <c r="CB216" s="242"/>
      <c r="CC216" s="242"/>
      <c r="CD216" s="242"/>
      <c r="CE216" s="257"/>
      <c r="CF216" s="257"/>
      <c r="CG216" s="242"/>
      <c r="CH216" s="242"/>
      <c r="CI216" s="242"/>
      <c r="CJ216" s="242"/>
      <c r="CK216" s="242"/>
      <c r="CL216" s="242"/>
      <c r="CM216" s="242"/>
      <c r="CN216" s="242"/>
      <c r="CO216" s="242"/>
      <c r="CP216" s="242"/>
      <c r="CQ216" s="242"/>
      <c r="CR216" s="242"/>
      <c r="CS216" s="242"/>
      <c r="CT216" s="242"/>
      <c r="CU216" s="242"/>
      <c r="CV216" s="242"/>
      <c r="CW216" s="242"/>
      <c r="CX216" s="242"/>
      <c r="CY216" s="242"/>
      <c r="CZ216" s="242"/>
      <c r="DA216" s="242"/>
      <c r="DB216" s="242"/>
      <c r="DC216" s="242"/>
      <c r="DD216" s="242"/>
      <c r="DE216" s="242"/>
      <c r="DF216" s="242"/>
      <c r="DG216" s="257"/>
      <c r="DH216" s="242"/>
      <c r="DI216" s="242"/>
      <c r="DJ216" s="242"/>
      <c r="DK216" s="242"/>
      <c r="DL216" s="242"/>
      <c r="DM216" s="242"/>
      <c r="DN216" s="242"/>
      <c r="DO216" s="242"/>
      <c r="DP216" s="242"/>
      <c r="DQ216" s="242"/>
      <c r="DR216" s="242"/>
      <c r="DS216" s="242"/>
      <c r="DT216" s="242"/>
      <c r="DU216" s="242"/>
      <c r="DV216" s="242"/>
      <c r="DW216" s="242"/>
      <c r="DX216" s="242"/>
      <c r="DY216" s="242"/>
      <c r="DZ216" s="242"/>
      <c r="EA216" s="242"/>
      <c r="EB216" s="242"/>
      <c r="EC216" s="242"/>
      <c r="ED216" s="242"/>
      <c r="EE216" s="242"/>
      <c r="EF216" s="242"/>
      <c r="EG216" s="242"/>
      <c r="EH216" s="242"/>
      <c r="EI216" s="242"/>
      <c r="EJ216" s="242"/>
      <c r="EK216" s="242"/>
      <c r="EL216" s="242"/>
      <c r="EM216" s="242"/>
      <c r="EN216" s="242"/>
      <c r="EO216" s="242"/>
      <c r="EP216" s="242"/>
      <c r="EQ216" s="242"/>
      <c r="ER216" s="242"/>
      <c r="ES216" s="242"/>
      <c r="ET216" s="242"/>
      <c r="EU216" s="242"/>
      <c r="EV216" s="242"/>
      <c r="EW216" s="242"/>
      <c r="EX216" s="242"/>
      <c r="EY216" s="242"/>
      <c r="EZ216" s="242"/>
      <c r="FA216" s="242"/>
      <c r="FB216" s="242"/>
      <c r="FC216" s="242"/>
      <c r="FD216" s="242"/>
      <c r="FE216" s="242"/>
      <c r="FF216" s="242"/>
      <c r="FG216" s="242"/>
      <c r="FH216" s="257"/>
      <c r="FI216" s="257"/>
      <c r="FJ216" s="257"/>
      <c r="FK216" s="257"/>
      <c r="FL216" s="257"/>
      <c r="FM216" s="257"/>
      <c r="FN216" s="257"/>
      <c r="FO216" s="257"/>
      <c r="FP216" s="257"/>
      <c r="FQ216" s="257"/>
      <c r="FR216" s="257"/>
      <c r="FS216" s="257"/>
      <c r="FT216" s="257"/>
      <c r="FU216" s="257"/>
      <c r="FV216" s="257"/>
      <c r="FW216" s="257"/>
      <c r="FX216" s="257"/>
      <c r="FY216" s="242"/>
      <c r="FZ216" s="242"/>
      <c r="GA216" s="242"/>
      <c r="GB216" s="242"/>
      <c r="GC216" s="242"/>
      <c r="GD216" s="242"/>
      <c r="GE216" s="242"/>
      <c r="GF216" s="242"/>
      <c r="GG216" s="242"/>
      <c r="GH216" s="242"/>
      <c r="GI216" s="242"/>
      <c r="GJ216" s="242"/>
      <c r="GK216" s="242"/>
      <c r="GL216" s="242"/>
      <c r="GM216" s="242"/>
      <c r="GN216" s="242"/>
      <c r="GO216" s="242"/>
      <c r="GP216" s="242"/>
      <c r="GQ216" s="242"/>
      <c r="GR216" s="242"/>
      <c r="GS216" s="242"/>
      <c r="GT216" s="242"/>
      <c r="GU216" s="242"/>
      <c r="GV216" s="242"/>
      <c r="GW216" s="242"/>
      <c r="GX216" s="242"/>
      <c r="GY216" s="242"/>
      <c r="GZ216" s="242"/>
      <c r="HA216" s="242"/>
      <c r="HB216" s="242"/>
      <c r="HC216" s="242"/>
      <c r="HD216" s="242"/>
      <c r="HE216" s="242"/>
      <c r="HF216" s="242"/>
      <c r="HG216" s="242"/>
      <c r="HH216" s="242"/>
      <c r="HI216" s="242"/>
      <c r="HJ216" s="242"/>
      <c r="HK216" s="242"/>
      <c r="HL216" s="242"/>
      <c r="HM216" s="242"/>
      <c r="HN216" s="242"/>
      <c r="HO216" s="242"/>
      <c r="HP216" s="242"/>
      <c r="HQ216" s="242"/>
      <c r="HR216" s="242"/>
      <c r="HS216" s="242"/>
      <c r="HT216" s="242"/>
      <c r="HU216" s="242"/>
      <c r="HV216" s="242"/>
      <c r="HW216" s="242"/>
      <c r="HX216" s="257"/>
      <c r="HY216" s="257"/>
      <c r="HZ216" s="257"/>
      <c r="IA216" s="257"/>
      <c r="IB216" s="257"/>
      <c r="IC216" s="257"/>
      <c r="ID216" s="257"/>
      <c r="IE216" s="257"/>
      <c r="IF216" s="257"/>
      <c r="IG216" s="257"/>
      <c r="IH216" s="257"/>
      <c r="II216" s="257"/>
      <c r="IJ216" s="257"/>
      <c r="IK216" s="257"/>
      <c r="IL216" s="257"/>
      <c r="IM216" s="257"/>
      <c r="IN216" s="257"/>
      <c r="IO216" s="257"/>
      <c r="IP216" s="257"/>
      <c r="IQ216" s="257"/>
      <c r="IR216" s="257"/>
      <c r="IS216" s="257"/>
      <c r="IT216" s="257"/>
      <c r="IU216" s="257"/>
      <c r="IV216" s="257"/>
      <c r="IW216" s="257"/>
      <c r="IX216" s="257"/>
      <c r="IY216" s="257"/>
      <c r="IZ216" s="257"/>
      <c r="JA216" s="257"/>
      <c r="JB216" s="257"/>
      <c r="JC216" s="257"/>
      <c r="JD216" s="257"/>
      <c r="JE216" s="257"/>
      <c r="JF216" s="242"/>
      <c r="JG216" s="242"/>
      <c r="JH216" s="242"/>
      <c r="JI216" s="242"/>
      <c r="JJ216" s="242"/>
      <c r="JK216" s="242"/>
      <c r="JL216" s="242"/>
      <c r="JM216" s="242"/>
      <c r="JN216" s="242"/>
      <c r="JO216" s="242"/>
      <c r="JP216" s="242"/>
      <c r="JQ216" s="242"/>
      <c r="JR216" s="242"/>
      <c r="JS216" s="242"/>
      <c r="JT216" s="242"/>
      <c r="JU216" s="242"/>
      <c r="JV216" s="242"/>
      <c r="JW216" s="242"/>
      <c r="JX216" s="242"/>
      <c r="JY216" s="242"/>
      <c r="JZ216" s="242"/>
      <c r="KA216" s="242"/>
      <c r="KB216" s="242"/>
      <c r="KC216" s="242"/>
      <c r="KD216" s="242"/>
      <c r="KE216" s="242"/>
      <c r="KF216" s="242"/>
      <c r="KG216" s="242"/>
      <c r="KH216" s="242"/>
      <c r="KI216" s="242"/>
      <c r="KJ216" s="242"/>
      <c r="KK216" s="242"/>
      <c r="KL216" s="242"/>
      <c r="KM216" s="242"/>
      <c r="KN216" s="242"/>
      <c r="KO216" s="242"/>
      <c r="KP216" s="242"/>
      <c r="KQ216" s="242"/>
      <c r="KR216" s="242"/>
      <c r="KS216" s="242"/>
      <c r="KT216" s="242"/>
      <c r="KU216" s="242"/>
      <c r="KV216" s="242"/>
      <c r="KW216" s="242"/>
      <c r="KX216" s="242"/>
      <c r="KY216" s="242"/>
      <c r="KZ216" s="242"/>
      <c r="LA216" s="242"/>
      <c r="LB216" s="242"/>
      <c r="LC216" s="242"/>
      <c r="LD216" s="242"/>
      <c r="LE216" s="242"/>
      <c r="LF216" s="242"/>
      <c r="LG216" s="242"/>
      <c r="LH216" s="242"/>
      <c r="LI216" s="242"/>
      <c r="LJ216" s="242"/>
      <c r="LK216" s="242"/>
      <c r="LL216" s="242"/>
      <c r="LM216" s="242"/>
      <c r="LN216" s="242"/>
      <c r="LO216" s="242"/>
      <c r="LP216" s="242"/>
      <c r="LQ216" s="242"/>
      <c r="LR216" s="242"/>
      <c r="LS216" s="242"/>
      <c r="LT216" s="242"/>
      <c r="LU216" s="242"/>
      <c r="LV216" s="242"/>
      <c r="LW216" s="242"/>
      <c r="LX216" s="242"/>
      <c r="LY216" s="242"/>
      <c r="LZ216" s="242"/>
      <c r="MA216" s="242"/>
      <c r="MB216" s="242"/>
      <c r="MC216" s="242"/>
      <c r="MD216" s="242"/>
      <c r="ME216" s="242"/>
      <c r="MF216" s="242"/>
      <c r="MG216" s="242"/>
      <c r="MH216" s="242"/>
      <c r="MI216" s="242"/>
      <c r="MJ216" s="242"/>
      <c r="MK216" s="242"/>
      <c r="ML216" s="242"/>
    </row>
    <row r="217" ht="18.75" customHeight="1">
      <c r="A217" s="283"/>
      <c r="B217" s="234" t="str">
        <f>'Building Bill of Materials_SLIM'!P217</f>
        <v/>
      </c>
      <c r="C217" s="234" t="str">
        <f>'Building Bill of Materials_SLIM'!Q217</f>
        <v/>
      </c>
      <c r="D217" s="234" t="str">
        <f>'Building Bill of Materials_SLIM'!R217</f>
        <v/>
      </c>
      <c r="E217" s="234" t="str">
        <f>'Building Bill of Materials_SLIM'!S217</f>
        <v/>
      </c>
      <c r="F217" s="234" t="str">
        <f>'Building Bill of Materials_SLIM'!U217</f>
        <v/>
      </c>
      <c r="G217" s="234"/>
      <c r="H217" s="234"/>
      <c r="I217" s="234"/>
      <c r="J217" s="234" t="str">
        <f>'Building Bill of Materials_SLIM'!V217</f>
        <v/>
      </c>
      <c r="K217" s="242"/>
      <c r="L217" s="242"/>
      <c r="M217" s="242"/>
      <c r="N217" s="242"/>
      <c r="O217" s="242"/>
      <c r="P217" s="242"/>
      <c r="Q217" s="242"/>
      <c r="R217" s="242"/>
      <c r="S217" s="242"/>
      <c r="T217" s="242"/>
      <c r="U217" s="242"/>
      <c r="V217" s="242"/>
      <c r="W217" s="242"/>
      <c r="X217" s="242"/>
      <c r="Y217" s="242"/>
      <c r="Z217" s="242"/>
      <c r="AA217" s="192"/>
      <c r="AB217" s="257"/>
      <c r="AC217" s="257"/>
      <c r="AD217" s="257"/>
      <c r="AE217" s="257"/>
      <c r="AF217" s="257"/>
      <c r="AG217" s="257"/>
      <c r="AH217" s="257"/>
      <c r="AI217" s="257"/>
      <c r="AJ217" s="257"/>
      <c r="AK217" s="257"/>
      <c r="AL217" s="257"/>
      <c r="AM217" s="257"/>
      <c r="AN217" s="257"/>
      <c r="AO217" s="257"/>
      <c r="AP217" s="257"/>
      <c r="AQ217" s="257"/>
      <c r="AR217" s="257"/>
      <c r="AS217" s="257"/>
      <c r="AT217" s="257"/>
      <c r="AU217" s="257"/>
      <c r="AV217" s="257"/>
      <c r="AW217" s="257"/>
      <c r="AX217" s="257"/>
      <c r="AY217" s="257"/>
      <c r="AZ217" s="257"/>
      <c r="BA217" s="257"/>
      <c r="BB217" s="257"/>
      <c r="BC217" s="257"/>
      <c r="BD217" s="257"/>
      <c r="BE217" s="257"/>
      <c r="BF217" s="257"/>
      <c r="BG217" s="257"/>
      <c r="BH217" s="257"/>
      <c r="BI217" s="257"/>
      <c r="BJ217" s="242"/>
      <c r="BK217" s="242"/>
      <c r="BL217" s="242"/>
      <c r="BM217" s="242"/>
      <c r="BN217" s="242"/>
      <c r="BO217" s="242"/>
      <c r="BP217" s="242"/>
      <c r="BQ217" s="242"/>
      <c r="BR217" s="242"/>
      <c r="BS217" s="242"/>
      <c r="BT217" s="242"/>
      <c r="BU217" s="242"/>
      <c r="BV217" s="242"/>
      <c r="BW217" s="242"/>
      <c r="BX217" s="242"/>
      <c r="BY217" s="242"/>
      <c r="BZ217" s="242"/>
      <c r="CA217" s="242"/>
      <c r="CB217" s="242"/>
      <c r="CC217" s="242"/>
      <c r="CD217" s="242"/>
      <c r="CE217" s="257"/>
      <c r="CF217" s="257"/>
      <c r="CG217" s="242"/>
      <c r="CH217" s="242"/>
      <c r="CI217" s="242"/>
      <c r="CJ217" s="242"/>
      <c r="CK217" s="242"/>
      <c r="CL217" s="242"/>
      <c r="CM217" s="242"/>
      <c r="CN217" s="242"/>
      <c r="CO217" s="242"/>
      <c r="CP217" s="242"/>
      <c r="CQ217" s="242"/>
      <c r="CR217" s="242"/>
      <c r="CS217" s="242"/>
      <c r="CT217" s="242"/>
      <c r="CU217" s="242"/>
      <c r="CV217" s="242"/>
      <c r="CW217" s="242"/>
      <c r="CX217" s="242"/>
      <c r="CY217" s="242"/>
      <c r="CZ217" s="242"/>
      <c r="DA217" s="242"/>
      <c r="DB217" s="242"/>
      <c r="DC217" s="242"/>
      <c r="DD217" s="242"/>
      <c r="DE217" s="242"/>
      <c r="DF217" s="242"/>
      <c r="DG217" s="257"/>
      <c r="DH217" s="242"/>
      <c r="DI217" s="242"/>
      <c r="DJ217" s="242"/>
      <c r="DK217" s="242"/>
      <c r="DL217" s="242"/>
      <c r="DM217" s="242"/>
      <c r="DN217" s="242"/>
      <c r="DO217" s="242"/>
      <c r="DP217" s="242"/>
      <c r="DQ217" s="242"/>
      <c r="DR217" s="242"/>
      <c r="DS217" s="242"/>
      <c r="DT217" s="242"/>
      <c r="DU217" s="242"/>
      <c r="DV217" s="242"/>
      <c r="DW217" s="242"/>
      <c r="DX217" s="242"/>
      <c r="DY217" s="242"/>
      <c r="DZ217" s="242"/>
      <c r="EA217" s="242"/>
      <c r="EB217" s="242"/>
      <c r="EC217" s="242"/>
      <c r="ED217" s="242"/>
      <c r="EE217" s="242"/>
      <c r="EF217" s="242"/>
      <c r="EG217" s="242"/>
      <c r="EH217" s="242"/>
      <c r="EI217" s="242"/>
      <c r="EJ217" s="242"/>
      <c r="EK217" s="242"/>
      <c r="EL217" s="242"/>
      <c r="EM217" s="242"/>
      <c r="EN217" s="242"/>
      <c r="EO217" s="242"/>
      <c r="EP217" s="242"/>
      <c r="EQ217" s="242"/>
      <c r="ER217" s="242"/>
      <c r="ES217" s="242"/>
      <c r="ET217" s="242"/>
      <c r="EU217" s="242"/>
      <c r="EV217" s="242"/>
      <c r="EW217" s="242"/>
      <c r="EX217" s="242"/>
      <c r="EY217" s="242"/>
      <c r="EZ217" s="242"/>
      <c r="FA217" s="242"/>
      <c r="FB217" s="242"/>
      <c r="FC217" s="242"/>
      <c r="FD217" s="242"/>
      <c r="FE217" s="242"/>
      <c r="FF217" s="242"/>
      <c r="FG217" s="242"/>
      <c r="FH217" s="257"/>
      <c r="FI217" s="257"/>
      <c r="FJ217" s="257"/>
      <c r="FK217" s="257"/>
      <c r="FL217" s="257"/>
      <c r="FM217" s="257"/>
      <c r="FN217" s="257"/>
      <c r="FO217" s="257"/>
      <c r="FP217" s="257"/>
      <c r="FQ217" s="257"/>
      <c r="FR217" s="257"/>
      <c r="FS217" s="257"/>
      <c r="FT217" s="257"/>
      <c r="FU217" s="257"/>
      <c r="FV217" s="257"/>
      <c r="FW217" s="257"/>
      <c r="FX217" s="257"/>
      <c r="FY217" s="242"/>
      <c r="FZ217" s="242"/>
      <c r="GA217" s="242"/>
      <c r="GB217" s="242"/>
      <c r="GC217" s="242"/>
      <c r="GD217" s="242"/>
      <c r="GE217" s="242"/>
      <c r="GF217" s="242"/>
      <c r="GG217" s="242"/>
      <c r="GH217" s="242"/>
      <c r="GI217" s="242"/>
      <c r="GJ217" s="242"/>
      <c r="GK217" s="242"/>
      <c r="GL217" s="242"/>
      <c r="GM217" s="242"/>
      <c r="GN217" s="242"/>
      <c r="GO217" s="242"/>
      <c r="GP217" s="242"/>
      <c r="GQ217" s="242"/>
      <c r="GR217" s="242"/>
      <c r="GS217" s="242"/>
      <c r="GT217" s="242"/>
      <c r="GU217" s="242"/>
      <c r="GV217" s="242"/>
      <c r="GW217" s="242"/>
      <c r="GX217" s="242"/>
      <c r="GY217" s="242"/>
      <c r="GZ217" s="242"/>
      <c r="HA217" s="242"/>
      <c r="HB217" s="242"/>
      <c r="HC217" s="242"/>
      <c r="HD217" s="242"/>
      <c r="HE217" s="242"/>
      <c r="HF217" s="242"/>
      <c r="HG217" s="242"/>
      <c r="HH217" s="242"/>
      <c r="HI217" s="242"/>
      <c r="HJ217" s="242"/>
      <c r="HK217" s="242"/>
      <c r="HL217" s="242"/>
      <c r="HM217" s="242"/>
      <c r="HN217" s="242"/>
      <c r="HO217" s="242"/>
      <c r="HP217" s="242"/>
      <c r="HQ217" s="242"/>
      <c r="HR217" s="242"/>
      <c r="HS217" s="242"/>
      <c r="HT217" s="242"/>
      <c r="HU217" s="242"/>
      <c r="HV217" s="242"/>
      <c r="HW217" s="242"/>
      <c r="HX217" s="257"/>
      <c r="HY217" s="257"/>
      <c r="HZ217" s="257"/>
      <c r="IA217" s="257"/>
      <c r="IB217" s="257"/>
      <c r="IC217" s="257"/>
      <c r="ID217" s="257"/>
      <c r="IE217" s="257"/>
      <c r="IF217" s="257"/>
      <c r="IG217" s="257"/>
      <c r="IH217" s="257"/>
      <c r="II217" s="257"/>
      <c r="IJ217" s="257"/>
      <c r="IK217" s="257"/>
      <c r="IL217" s="257"/>
      <c r="IM217" s="257"/>
      <c r="IN217" s="257"/>
      <c r="IO217" s="257"/>
      <c r="IP217" s="257"/>
      <c r="IQ217" s="257"/>
      <c r="IR217" s="257"/>
      <c r="IS217" s="257"/>
      <c r="IT217" s="257"/>
      <c r="IU217" s="257"/>
      <c r="IV217" s="257"/>
      <c r="IW217" s="257"/>
      <c r="IX217" s="257"/>
      <c r="IY217" s="257"/>
      <c r="IZ217" s="257"/>
      <c r="JA217" s="257"/>
      <c r="JB217" s="257"/>
      <c r="JC217" s="257"/>
      <c r="JD217" s="257"/>
      <c r="JE217" s="257"/>
      <c r="JF217" s="242"/>
      <c r="JG217" s="242"/>
      <c r="JH217" s="242"/>
      <c r="JI217" s="242"/>
      <c r="JJ217" s="242"/>
      <c r="JK217" s="242"/>
      <c r="JL217" s="242"/>
      <c r="JM217" s="242"/>
      <c r="JN217" s="242"/>
      <c r="JO217" s="242"/>
      <c r="JP217" s="242"/>
      <c r="JQ217" s="242"/>
      <c r="JR217" s="242"/>
      <c r="JS217" s="242"/>
      <c r="JT217" s="242"/>
      <c r="JU217" s="242"/>
      <c r="JV217" s="242"/>
      <c r="JW217" s="242"/>
      <c r="JX217" s="242"/>
      <c r="JY217" s="242"/>
      <c r="JZ217" s="242"/>
      <c r="KA217" s="242"/>
      <c r="KB217" s="242"/>
      <c r="KC217" s="242"/>
      <c r="KD217" s="242"/>
      <c r="KE217" s="242"/>
      <c r="KF217" s="242"/>
      <c r="KG217" s="242"/>
      <c r="KH217" s="242"/>
      <c r="KI217" s="242"/>
      <c r="KJ217" s="242"/>
      <c r="KK217" s="242"/>
      <c r="KL217" s="242"/>
      <c r="KM217" s="242"/>
      <c r="KN217" s="242"/>
      <c r="KO217" s="242"/>
      <c r="KP217" s="242"/>
      <c r="KQ217" s="242"/>
      <c r="KR217" s="242"/>
      <c r="KS217" s="242"/>
      <c r="KT217" s="242"/>
      <c r="KU217" s="242"/>
      <c r="KV217" s="242"/>
      <c r="KW217" s="242"/>
      <c r="KX217" s="242"/>
      <c r="KY217" s="242"/>
      <c r="KZ217" s="242"/>
      <c r="LA217" s="242"/>
      <c r="LB217" s="242"/>
      <c r="LC217" s="242"/>
      <c r="LD217" s="242"/>
      <c r="LE217" s="242"/>
      <c r="LF217" s="242"/>
      <c r="LG217" s="242"/>
      <c r="LH217" s="242"/>
      <c r="LI217" s="242"/>
      <c r="LJ217" s="242"/>
      <c r="LK217" s="242"/>
      <c r="LL217" s="242"/>
      <c r="LM217" s="242"/>
      <c r="LN217" s="242"/>
      <c r="LO217" s="242"/>
      <c r="LP217" s="242"/>
      <c r="LQ217" s="242"/>
      <c r="LR217" s="242"/>
      <c r="LS217" s="242"/>
      <c r="LT217" s="242"/>
      <c r="LU217" s="242"/>
      <c r="LV217" s="242"/>
      <c r="LW217" s="242"/>
      <c r="LX217" s="242"/>
      <c r="LY217" s="242"/>
      <c r="LZ217" s="242"/>
      <c r="MA217" s="242"/>
      <c r="MB217" s="242"/>
      <c r="MC217" s="242"/>
      <c r="MD217" s="242"/>
      <c r="ME217" s="242"/>
      <c r="MF217" s="242"/>
      <c r="MG217" s="242"/>
      <c r="MH217" s="242"/>
      <c r="MI217" s="242"/>
      <c r="MJ217" s="242"/>
      <c r="MK217" s="242"/>
      <c r="ML217" s="242"/>
    </row>
    <row r="218" ht="18.75" customHeight="1">
      <c r="A218" s="283"/>
      <c r="B218" s="234" t="str">
        <f>'Building Bill of Materials_SLIM'!P218</f>
        <v/>
      </c>
      <c r="C218" s="234" t="str">
        <f>'Building Bill of Materials_SLIM'!Q218</f>
        <v/>
      </c>
      <c r="D218" s="234" t="str">
        <f>'Building Bill of Materials_SLIM'!R218</f>
        <v/>
      </c>
      <c r="E218" s="234" t="str">
        <f>'Building Bill of Materials_SLIM'!S218</f>
        <v/>
      </c>
      <c r="F218" s="234" t="str">
        <f>'Building Bill of Materials_SLIM'!U218</f>
        <v/>
      </c>
      <c r="G218" s="234"/>
      <c r="H218" s="234"/>
      <c r="I218" s="234"/>
      <c r="J218" s="234" t="str">
        <f>'Building Bill of Materials_SLIM'!V218</f>
        <v/>
      </c>
      <c r="K218" s="242"/>
      <c r="L218" s="242"/>
      <c r="M218" s="242"/>
      <c r="N218" s="242"/>
      <c r="O218" s="242"/>
      <c r="P218" s="242"/>
      <c r="Q218" s="242"/>
      <c r="R218" s="242"/>
      <c r="S218" s="242"/>
      <c r="T218" s="242"/>
      <c r="U218" s="242"/>
      <c r="V218" s="242"/>
      <c r="W218" s="242"/>
      <c r="X218" s="242"/>
      <c r="Y218" s="242"/>
      <c r="Z218" s="242"/>
      <c r="AA218" s="192"/>
      <c r="AB218" s="257"/>
      <c r="AC218" s="257"/>
      <c r="AD218" s="257"/>
      <c r="AE218" s="257"/>
      <c r="AF218" s="257"/>
      <c r="AG218" s="257"/>
      <c r="AH218" s="257"/>
      <c r="AI218" s="257"/>
      <c r="AJ218" s="257"/>
      <c r="AK218" s="257"/>
      <c r="AL218" s="257"/>
      <c r="AM218" s="257"/>
      <c r="AN218" s="257"/>
      <c r="AO218" s="257"/>
      <c r="AP218" s="257"/>
      <c r="AQ218" s="257"/>
      <c r="AR218" s="257"/>
      <c r="AS218" s="257"/>
      <c r="AT218" s="257"/>
      <c r="AU218" s="257"/>
      <c r="AV218" s="257"/>
      <c r="AW218" s="257"/>
      <c r="AX218" s="257"/>
      <c r="AY218" s="257"/>
      <c r="AZ218" s="257"/>
      <c r="BA218" s="257"/>
      <c r="BB218" s="257"/>
      <c r="BC218" s="257"/>
      <c r="BD218" s="257"/>
      <c r="BE218" s="257"/>
      <c r="BF218" s="257"/>
      <c r="BG218" s="257"/>
      <c r="BH218" s="257"/>
      <c r="BI218" s="257"/>
      <c r="BJ218" s="242"/>
      <c r="BK218" s="242"/>
      <c r="BL218" s="242"/>
      <c r="BM218" s="242"/>
      <c r="BN218" s="242"/>
      <c r="BO218" s="242"/>
      <c r="BP218" s="242"/>
      <c r="BQ218" s="242"/>
      <c r="BR218" s="242"/>
      <c r="BS218" s="242"/>
      <c r="BT218" s="242"/>
      <c r="BU218" s="242"/>
      <c r="BV218" s="242"/>
      <c r="BW218" s="242"/>
      <c r="BX218" s="242"/>
      <c r="BY218" s="242"/>
      <c r="BZ218" s="242"/>
      <c r="CA218" s="242"/>
      <c r="CB218" s="242"/>
      <c r="CC218" s="242"/>
      <c r="CD218" s="242"/>
      <c r="CE218" s="257"/>
      <c r="CF218" s="257"/>
      <c r="CG218" s="242"/>
      <c r="CH218" s="242"/>
      <c r="CI218" s="242"/>
      <c r="CJ218" s="242"/>
      <c r="CK218" s="242"/>
      <c r="CL218" s="242"/>
      <c r="CM218" s="242"/>
      <c r="CN218" s="242"/>
      <c r="CO218" s="242"/>
      <c r="CP218" s="242"/>
      <c r="CQ218" s="242"/>
      <c r="CR218" s="242"/>
      <c r="CS218" s="242"/>
      <c r="CT218" s="242"/>
      <c r="CU218" s="242"/>
      <c r="CV218" s="242"/>
      <c r="CW218" s="242"/>
      <c r="CX218" s="242"/>
      <c r="CY218" s="242"/>
      <c r="CZ218" s="242"/>
      <c r="DA218" s="242"/>
      <c r="DB218" s="242"/>
      <c r="DC218" s="242"/>
      <c r="DD218" s="242"/>
      <c r="DE218" s="242"/>
      <c r="DF218" s="242"/>
      <c r="DG218" s="257"/>
      <c r="DH218" s="242"/>
      <c r="DI218" s="242"/>
      <c r="DJ218" s="242"/>
      <c r="DK218" s="242"/>
      <c r="DL218" s="242"/>
      <c r="DM218" s="242"/>
      <c r="DN218" s="242"/>
      <c r="DO218" s="242"/>
      <c r="DP218" s="242"/>
      <c r="DQ218" s="242"/>
      <c r="DR218" s="242"/>
      <c r="DS218" s="242"/>
      <c r="DT218" s="242"/>
      <c r="DU218" s="242"/>
      <c r="DV218" s="242"/>
      <c r="DW218" s="242"/>
      <c r="DX218" s="242"/>
      <c r="DY218" s="242"/>
      <c r="DZ218" s="242"/>
      <c r="EA218" s="242"/>
      <c r="EB218" s="242"/>
      <c r="EC218" s="242"/>
      <c r="ED218" s="242"/>
      <c r="EE218" s="242"/>
      <c r="EF218" s="242"/>
      <c r="EG218" s="242"/>
      <c r="EH218" s="242"/>
      <c r="EI218" s="242"/>
      <c r="EJ218" s="242"/>
      <c r="EK218" s="242"/>
      <c r="EL218" s="242"/>
      <c r="EM218" s="242"/>
      <c r="EN218" s="242"/>
      <c r="EO218" s="242"/>
      <c r="EP218" s="242"/>
      <c r="EQ218" s="242"/>
      <c r="ER218" s="242"/>
      <c r="ES218" s="242"/>
      <c r="ET218" s="242"/>
      <c r="EU218" s="242"/>
      <c r="EV218" s="242"/>
      <c r="EW218" s="242"/>
      <c r="EX218" s="242"/>
      <c r="EY218" s="242"/>
      <c r="EZ218" s="242"/>
      <c r="FA218" s="242"/>
      <c r="FB218" s="242"/>
      <c r="FC218" s="242"/>
      <c r="FD218" s="242"/>
      <c r="FE218" s="242"/>
      <c r="FF218" s="242"/>
      <c r="FG218" s="242"/>
      <c r="FH218" s="257"/>
      <c r="FI218" s="257"/>
      <c r="FJ218" s="257"/>
      <c r="FK218" s="257"/>
      <c r="FL218" s="257"/>
      <c r="FM218" s="257"/>
      <c r="FN218" s="257"/>
      <c r="FO218" s="257"/>
      <c r="FP218" s="257"/>
      <c r="FQ218" s="257"/>
      <c r="FR218" s="257"/>
      <c r="FS218" s="257"/>
      <c r="FT218" s="257"/>
      <c r="FU218" s="257"/>
      <c r="FV218" s="257"/>
      <c r="FW218" s="257"/>
      <c r="FX218" s="257"/>
      <c r="FY218" s="242"/>
      <c r="FZ218" s="242"/>
      <c r="GA218" s="242"/>
      <c r="GB218" s="242"/>
      <c r="GC218" s="242"/>
      <c r="GD218" s="242"/>
      <c r="GE218" s="242"/>
      <c r="GF218" s="242"/>
      <c r="GG218" s="242"/>
      <c r="GH218" s="242"/>
      <c r="GI218" s="242"/>
      <c r="GJ218" s="242"/>
      <c r="GK218" s="242"/>
      <c r="GL218" s="242"/>
      <c r="GM218" s="242"/>
      <c r="GN218" s="242"/>
      <c r="GO218" s="242"/>
      <c r="GP218" s="242"/>
      <c r="GQ218" s="242"/>
      <c r="GR218" s="242"/>
      <c r="GS218" s="242"/>
      <c r="GT218" s="242"/>
      <c r="GU218" s="242"/>
      <c r="GV218" s="242"/>
      <c r="GW218" s="242"/>
      <c r="GX218" s="242"/>
      <c r="GY218" s="242"/>
      <c r="GZ218" s="242"/>
      <c r="HA218" s="242"/>
      <c r="HB218" s="242"/>
      <c r="HC218" s="242"/>
      <c r="HD218" s="242"/>
      <c r="HE218" s="242"/>
      <c r="HF218" s="242"/>
      <c r="HG218" s="242"/>
      <c r="HH218" s="242"/>
      <c r="HI218" s="242"/>
      <c r="HJ218" s="242"/>
      <c r="HK218" s="242"/>
      <c r="HL218" s="242"/>
      <c r="HM218" s="242"/>
      <c r="HN218" s="242"/>
      <c r="HO218" s="242"/>
      <c r="HP218" s="242"/>
      <c r="HQ218" s="242"/>
      <c r="HR218" s="242"/>
      <c r="HS218" s="242"/>
      <c r="HT218" s="242"/>
      <c r="HU218" s="242"/>
      <c r="HV218" s="242"/>
      <c r="HW218" s="242"/>
      <c r="HX218" s="257"/>
      <c r="HY218" s="257"/>
      <c r="HZ218" s="257"/>
      <c r="IA218" s="257"/>
      <c r="IB218" s="257"/>
      <c r="IC218" s="257"/>
      <c r="ID218" s="257"/>
      <c r="IE218" s="257"/>
      <c r="IF218" s="257"/>
      <c r="IG218" s="257"/>
      <c r="IH218" s="257"/>
      <c r="II218" s="257"/>
      <c r="IJ218" s="257"/>
      <c r="IK218" s="257"/>
      <c r="IL218" s="257"/>
      <c r="IM218" s="257"/>
      <c r="IN218" s="257"/>
      <c r="IO218" s="257"/>
      <c r="IP218" s="257"/>
      <c r="IQ218" s="257"/>
      <c r="IR218" s="257"/>
      <c r="IS218" s="257"/>
      <c r="IT218" s="257"/>
      <c r="IU218" s="257"/>
      <c r="IV218" s="257"/>
      <c r="IW218" s="257"/>
      <c r="IX218" s="257"/>
      <c r="IY218" s="257"/>
      <c r="IZ218" s="257"/>
      <c r="JA218" s="257"/>
      <c r="JB218" s="257"/>
      <c r="JC218" s="257"/>
      <c r="JD218" s="257"/>
      <c r="JE218" s="257"/>
      <c r="JF218" s="242"/>
      <c r="JG218" s="242"/>
      <c r="JH218" s="242"/>
      <c r="JI218" s="242"/>
      <c r="JJ218" s="242"/>
      <c r="JK218" s="242"/>
      <c r="JL218" s="242"/>
      <c r="JM218" s="242"/>
      <c r="JN218" s="242"/>
      <c r="JO218" s="242"/>
      <c r="JP218" s="242"/>
      <c r="JQ218" s="242"/>
      <c r="JR218" s="242"/>
      <c r="JS218" s="242"/>
      <c r="JT218" s="242"/>
      <c r="JU218" s="242"/>
      <c r="JV218" s="242"/>
      <c r="JW218" s="242"/>
      <c r="JX218" s="242"/>
      <c r="JY218" s="242"/>
      <c r="JZ218" s="242"/>
      <c r="KA218" s="242"/>
      <c r="KB218" s="242"/>
      <c r="KC218" s="242"/>
      <c r="KD218" s="242"/>
      <c r="KE218" s="242"/>
      <c r="KF218" s="242"/>
      <c r="KG218" s="242"/>
      <c r="KH218" s="242"/>
      <c r="KI218" s="242"/>
      <c r="KJ218" s="242"/>
      <c r="KK218" s="242"/>
      <c r="KL218" s="242"/>
      <c r="KM218" s="242"/>
      <c r="KN218" s="242"/>
      <c r="KO218" s="242"/>
      <c r="KP218" s="242"/>
      <c r="KQ218" s="242"/>
      <c r="KR218" s="242"/>
      <c r="KS218" s="242"/>
      <c r="KT218" s="242"/>
      <c r="KU218" s="242"/>
      <c r="KV218" s="242"/>
      <c r="KW218" s="242"/>
      <c r="KX218" s="242"/>
      <c r="KY218" s="242"/>
      <c r="KZ218" s="242"/>
      <c r="LA218" s="242"/>
      <c r="LB218" s="242"/>
      <c r="LC218" s="242"/>
      <c r="LD218" s="242"/>
      <c r="LE218" s="242"/>
      <c r="LF218" s="242"/>
      <c r="LG218" s="242"/>
      <c r="LH218" s="242"/>
      <c r="LI218" s="242"/>
      <c r="LJ218" s="242"/>
      <c r="LK218" s="242"/>
      <c r="LL218" s="242"/>
      <c r="LM218" s="242"/>
      <c r="LN218" s="242"/>
      <c r="LO218" s="242"/>
      <c r="LP218" s="242"/>
      <c r="LQ218" s="242"/>
      <c r="LR218" s="242"/>
      <c r="LS218" s="242"/>
      <c r="LT218" s="242"/>
      <c r="LU218" s="242"/>
      <c r="LV218" s="242"/>
      <c r="LW218" s="242"/>
      <c r="LX218" s="242"/>
      <c r="LY218" s="242"/>
      <c r="LZ218" s="242"/>
      <c r="MA218" s="242"/>
      <c r="MB218" s="242"/>
      <c r="MC218" s="242"/>
      <c r="MD218" s="242"/>
      <c r="ME218" s="242"/>
      <c r="MF218" s="242"/>
      <c r="MG218" s="242"/>
      <c r="MH218" s="242"/>
      <c r="MI218" s="242"/>
      <c r="MJ218" s="242"/>
      <c r="MK218" s="242"/>
      <c r="ML218" s="242"/>
    </row>
    <row r="219" ht="18.75" customHeight="1">
      <c r="A219" s="283"/>
      <c r="B219" s="234" t="str">
        <f>'Building Bill of Materials_SLIM'!P219</f>
        <v/>
      </c>
      <c r="C219" s="234" t="str">
        <f>'Building Bill of Materials_SLIM'!Q219</f>
        <v/>
      </c>
      <c r="D219" s="234" t="str">
        <f>'Building Bill of Materials_SLIM'!R219</f>
        <v/>
      </c>
      <c r="E219" s="234" t="str">
        <f>'Building Bill of Materials_SLIM'!S219</f>
        <v/>
      </c>
      <c r="F219" s="234" t="str">
        <f>'Building Bill of Materials_SLIM'!U219</f>
        <v/>
      </c>
      <c r="G219" s="234"/>
      <c r="H219" s="234"/>
      <c r="I219" s="234"/>
      <c r="J219" s="234" t="str">
        <f>'Building Bill of Materials_SLIM'!V219</f>
        <v/>
      </c>
      <c r="K219" s="242"/>
      <c r="L219" s="242"/>
      <c r="M219" s="242"/>
      <c r="N219" s="242"/>
      <c r="O219" s="242"/>
      <c r="P219" s="242"/>
      <c r="Q219" s="242"/>
      <c r="R219" s="242"/>
      <c r="S219" s="242"/>
      <c r="T219" s="242"/>
      <c r="U219" s="242"/>
      <c r="V219" s="242"/>
      <c r="W219" s="242"/>
      <c r="X219" s="242"/>
      <c r="Y219" s="242"/>
      <c r="Z219" s="242"/>
      <c r="AA219" s="192"/>
      <c r="AB219" s="257"/>
      <c r="AC219" s="257"/>
      <c r="AD219" s="257"/>
      <c r="AE219" s="257"/>
      <c r="AF219" s="257"/>
      <c r="AG219" s="257"/>
      <c r="AH219" s="257"/>
      <c r="AI219" s="257"/>
      <c r="AJ219" s="257"/>
      <c r="AK219" s="257"/>
      <c r="AL219" s="257"/>
      <c r="AM219" s="257"/>
      <c r="AN219" s="257"/>
      <c r="AO219" s="257"/>
      <c r="AP219" s="257"/>
      <c r="AQ219" s="257"/>
      <c r="AR219" s="257"/>
      <c r="AS219" s="257"/>
      <c r="AT219" s="257"/>
      <c r="AU219" s="257"/>
      <c r="AV219" s="257"/>
      <c r="AW219" s="257"/>
      <c r="AX219" s="257"/>
      <c r="AY219" s="257"/>
      <c r="AZ219" s="257"/>
      <c r="BA219" s="257"/>
      <c r="BB219" s="257"/>
      <c r="BC219" s="257"/>
      <c r="BD219" s="257"/>
      <c r="BE219" s="257"/>
      <c r="BF219" s="257"/>
      <c r="BG219" s="257"/>
      <c r="BH219" s="257"/>
      <c r="BI219" s="257"/>
      <c r="BJ219" s="242"/>
      <c r="BK219" s="242"/>
      <c r="BL219" s="242"/>
      <c r="BM219" s="242"/>
      <c r="BN219" s="242"/>
      <c r="BO219" s="242"/>
      <c r="BP219" s="242"/>
      <c r="BQ219" s="242"/>
      <c r="BR219" s="242"/>
      <c r="BS219" s="242"/>
      <c r="BT219" s="242"/>
      <c r="BU219" s="242"/>
      <c r="BV219" s="242"/>
      <c r="BW219" s="242"/>
      <c r="BX219" s="242"/>
      <c r="BY219" s="242"/>
      <c r="BZ219" s="242"/>
      <c r="CA219" s="242"/>
      <c r="CB219" s="242"/>
      <c r="CC219" s="242"/>
      <c r="CD219" s="242"/>
      <c r="CE219" s="257"/>
      <c r="CF219" s="257"/>
      <c r="CG219" s="242"/>
      <c r="CH219" s="242"/>
      <c r="CI219" s="242"/>
      <c r="CJ219" s="242"/>
      <c r="CK219" s="242"/>
      <c r="CL219" s="242"/>
      <c r="CM219" s="242"/>
      <c r="CN219" s="242"/>
      <c r="CO219" s="242"/>
      <c r="CP219" s="242"/>
      <c r="CQ219" s="242"/>
      <c r="CR219" s="242"/>
      <c r="CS219" s="242"/>
      <c r="CT219" s="242"/>
      <c r="CU219" s="242"/>
      <c r="CV219" s="242"/>
      <c r="CW219" s="242"/>
      <c r="CX219" s="242"/>
      <c r="CY219" s="242"/>
      <c r="CZ219" s="242"/>
      <c r="DA219" s="242"/>
      <c r="DB219" s="242"/>
      <c r="DC219" s="242"/>
      <c r="DD219" s="242"/>
      <c r="DE219" s="242"/>
      <c r="DF219" s="242"/>
      <c r="DG219" s="257"/>
      <c r="DH219" s="242"/>
      <c r="DI219" s="242"/>
      <c r="DJ219" s="242"/>
      <c r="DK219" s="242"/>
      <c r="DL219" s="242"/>
      <c r="DM219" s="242"/>
      <c r="DN219" s="242"/>
      <c r="DO219" s="242"/>
      <c r="DP219" s="242"/>
      <c r="DQ219" s="242"/>
      <c r="DR219" s="242"/>
      <c r="DS219" s="242"/>
      <c r="DT219" s="242"/>
      <c r="DU219" s="242"/>
      <c r="DV219" s="242"/>
      <c r="DW219" s="242"/>
      <c r="DX219" s="242"/>
      <c r="DY219" s="242"/>
      <c r="DZ219" s="242"/>
      <c r="EA219" s="242"/>
      <c r="EB219" s="242"/>
      <c r="EC219" s="242"/>
      <c r="ED219" s="242"/>
      <c r="EE219" s="242"/>
      <c r="EF219" s="242"/>
      <c r="EG219" s="242"/>
      <c r="EH219" s="242"/>
      <c r="EI219" s="242"/>
      <c r="EJ219" s="242"/>
      <c r="EK219" s="242"/>
      <c r="EL219" s="242"/>
      <c r="EM219" s="242"/>
      <c r="EN219" s="242"/>
      <c r="EO219" s="242"/>
      <c r="EP219" s="242"/>
      <c r="EQ219" s="242"/>
      <c r="ER219" s="242"/>
      <c r="ES219" s="242"/>
      <c r="ET219" s="242"/>
      <c r="EU219" s="242"/>
      <c r="EV219" s="242"/>
      <c r="EW219" s="242"/>
      <c r="EX219" s="242"/>
      <c r="EY219" s="242"/>
      <c r="EZ219" s="242"/>
      <c r="FA219" s="242"/>
      <c r="FB219" s="242"/>
      <c r="FC219" s="242"/>
      <c r="FD219" s="242"/>
      <c r="FE219" s="242"/>
      <c r="FF219" s="242"/>
      <c r="FG219" s="242"/>
      <c r="FH219" s="257"/>
      <c r="FI219" s="257"/>
      <c r="FJ219" s="257"/>
      <c r="FK219" s="257"/>
      <c r="FL219" s="257"/>
      <c r="FM219" s="257"/>
      <c r="FN219" s="257"/>
      <c r="FO219" s="257"/>
      <c r="FP219" s="257"/>
      <c r="FQ219" s="257"/>
      <c r="FR219" s="257"/>
      <c r="FS219" s="257"/>
      <c r="FT219" s="257"/>
      <c r="FU219" s="257"/>
      <c r="FV219" s="257"/>
      <c r="FW219" s="257"/>
      <c r="FX219" s="257"/>
      <c r="FY219" s="242"/>
      <c r="FZ219" s="242"/>
      <c r="GA219" s="242"/>
      <c r="GB219" s="242"/>
      <c r="GC219" s="242"/>
      <c r="GD219" s="242"/>
      <c r="GE219" s="242"/>
      <c r="GF219" s="242"/>
      <c r="GG219" s="242"/>
      <c r="GH219" s="242"/>
      <c r="GI219" s="242"/>
      <c r="GJ219" s="242"/>
      <c r="GK219" s="242"/>
      <c r="GL219" s="242"/>
      <c r="GM219" s="242"/>
      <c r="GN219" s="242"/>
      <c r="GO219" s="242"/>
      <c r="GP219" s="242"/>
      <c r="GQ219" s="242"/>
      <c r="GR219" s="242"/>
      <c r="GS219" s="242"/>
      <c r="GT219" s="242"/>
      <c r="GU219" s="242"/>
      <c r="GV219" s="242"/>
      <c r="GW219" s="242"/>
      <c r="GX219" s="242"/>
      <c r="GY219" s="242"/>
      <c r="GZ219" s="242"/>
      <c r="HA219" s="242"/>
      <c r="HB219" s="242"/>
      <c r="HC219" s="242"/>
      <c r="HD219" s="242"/>
      <c r="HE219" s="242"/>
      <c r="HF219" s="242"/>
      <c r="HG219" s="242"/>
      <c r="HH219" s="242"/>
      <c r="HI219" s="242"/>
      <c r="HJ219" s="242"/>
      <c r="HK219" s="242"/>
      <c r="HL219" s="242"/>
      <c r="HM219" s="242"/>
      <c r="HN219" s="242"/>
      <c r="HO219" s="242"/>
      <c r="HP219" s="242"/>
      <c r="HQ219" s="242"/>
      <c r="HR219" s="242"/>
      <c r="HS219" s="242"/>
      <c r="HT219" s="242"/>
      <c r="HU219" s="242"/>
      <c r="HV219" s="242"/>
      <c r="HW219" s="242"/>
      <c r="HX219" s="257"/>
      <c r="HY219" s="257"/>
      <c r="HZ219" s="257"/>
      <c r="IA219" s="257"/>
      <c r="IB219" s="257"/>
      <c r="IC219" s="257"/>
      <c r="ID219" s="257"/>
      <c r="IE219" s="257"/>
      <c r="IF219" s="257"/>
      <c r="IG219" s="257"/>
      <c r="IH219" s="257"/>
      <c r="II219" s="257"/>
      <c r="IJ219" s="257"/>
      <c r="IK219" s="257"/>
      <c r="IL219" s="257"/>
      <c r="IM219" s="257"/>
      <c r="IN219" s="257"/>
      <c r="IO219" s="257"/>
      <c r="IP219" s="257"/>
      <c r="IQ219" s="257"/>
      <c r="IR219" s="257"/>
      <c r="IS219" s="257"/>
      <c r="IT219" s="257"/>
      <c r="IU219" s="257"/>
      <c r="IV219" s="257"/>
      <c r="IW219" s="257"/>
      <c r="IX219" s="257"/>
      <c r="IY219" s="257"/>
      <c r="IZ219" s="257"/>
      <c r="JA219" s="257"/>
      <c r="JB219" s="257"/>
      <c r="JC219" s="257"/>
      <c r="JD219" s="257"/>
      <c r="JE219" s="257"/>
      <c r="JF219" s="242"/>
      <c r="JG219" s="242"/>
      <c r="JH219" s="242"/>
      <c r="JI219" s="242"/>
      <c r="JJ219" s="242"/>
      <c r="JK219" s="242"/>
      <c r="JL219" s="242"/>
      <c r="JM219" s="242"/>
      <c r="JN219" s="242"/>
      <c r="JO219" s="242"/>
      <c r="JP219" s="242"/>
      <c r="JQ219" s="242"/>
      <c r="JR219" s="242"/>
      <c r="JS219" s="242"/>
      <c r="JT219" s="242"/>
      <c r="JU219" s="242"/>
      <c r="JV219" s="242"/>
      <c r="JW219" s="242"/>
      <c r="JX219" s="242"/>
      <c r="JY219" s="242"/>
      <c r="JZ219" s="242"/>
      <c r="KA219" s="242"/>
      <c r="KB219" s="242"/>
      <c r="KC219" s="242"/>
      <c r="KD219" s="242"/>
      <c r="KE219" s="242"/>
      <c r="KF219" s="242"/>
      <c r="KG219" s="242"/>
      <c r="KH219" s="242"/>
      <c r="KI219" s="242"/>
      <c r="KJ219" s="242"/>
      <c r="KK219" s="242"/>
      <c r="KL219" s="242"/>
      <c r="KM219" s="242"/>
      <c r="KN219" s="242"/>
      <c r="KO219" s="242"/>
      <c r="KP219" s="242"/>
      <c r="KQ219" s="242"/>
      <c r="KR219" s="242"/>
      <c r="KS219" s="242"/>
      <c r="KT219" s="242"/>
      <c r="KU219" s="242"/>
      <c r="KV219" s="242"/>
      <c r="KW219" s="242"/>
      <c r="KX219" s="242"/>
      <c r="KY219" s="242"/>
      <c r="KZ219" s="242"/>
      <c r="LA219" s="242"/>
      <c r="LB219" s="242"/>
      <c r="LC219" s="242"/>
      <c r="LD219" s="242"/>
      <c r="LE219" s="242"/>
      <c r="LF219" s="242"/>
      <c r="LG219" s="242"/>
      <c r="LH219" s="242"/>
      <c r="LI219" s="242"/>
      <c r="LJ219" s="242"/>
      <c r="LK219" s="242"/>
      <c r="LL219" s="242"/>
      <c r="LM219" s="242"/>
      <c r="LN219" s="242"/>
      <c r="LO219" s="242"/>
      <c r="LP219" s="242"/>
      <c r="LQ219" s="242"/>
      <c r="LR219" s="242"/>
      <c r="LS219" s="242"/>
      <c r="LT219" s="242"/>
      <c r="LU219" s="242"/>
      <c r="LV219" s="242"/>
      <c r="LW219" s="242"/>
      <c r="LX219" s="242"/>
      <c r="LY219" s="242"/>
      <c r="LZ219" s="242"/>
      <c r="MA219" s="242"/>
      <c r="MB219" s="242"/>
      <c r="MC219" s="242"/>
      <c r="MD219" s="242"/>
      <c r="ME219" s="242"/>
      <c r="MF219" s="242"/>
      <c r="MG219" s="242"/>
      <c r="MH219" s="242"/>
      <c r="MI219" s="242"/>
      <c r="MJ219" s="242"/>
      <c r="MK219" s="242"/>
      <c r="ML219" s="242"/>
    </row>
    <row r="220" ht="18.75" customHeight="1">
      <c r="A220" s="283"/>
      <c r="B220" s="234" t="str">
        <f>'Building Bill of Materials_SLIM'!P220</f>
        <v/>
      </c>
      <c r="C220" s="234" t="str">
        <f>'Building Bill of Materials_SLIM'!Q220</f>
        <v/>
      </c>
      <c r="D220" s="234" t="str">
        <f>'Building Bill of Materials_SLIM'!R220</f>
        <v/>
      </c>
      <c r="E220" s="234" t="str">
        <f>'Building Bill of Materials_SLIM'!S220</f>
        <v/>
      </c>
      <c r="F220" s="234" t="str">
        <f>'Building Bill of Materials_SLIM'!U220</f>
        <v/>
      </c>
      <c r="G220" s="234"/>
      <c r="H220" s="234"/>
      <c r="I220" s="234"/>
      <c r="J220" s="234" t="str">
        <f>'Building Bill of Materials_SLIM'!V220</f>
        <v/>
      </c>
      <c r="K220" s="242"/>
      <c r="L220" s="242"/>
      <c r="M220" s="242"/>
      <c r="N220" s="242"/>
      <c r="O220" s="242"/>
      <c r="P220" s="242"/>
      <c r="Q220" s="242"/>
      <c r="R220" s="242"/>
      <c r="S220" s="242"/>
      <c r="T220" s="242"/>
      <c r="U220" s="242"/>
      <c r="V220" s="242"/>
      <c r="W220" s="242"/>
      <c r="X220" s="242"/>
      <c r="Y220" s="242"/>
      <c r="Z220" s="242"/>
      <c r="AA220" s="192"/>
      <c r="AB220" s="257"/>
      <c r="AC220" s="257"/>
      <c r="AD220" s="257"/>
      <c r="AE220" s="257"/>
      <c r="AF220" s="257"/>
      <c r="AG220" s="257"/>
      <c r="AH220" s="257"/>
      <c r="AI220" s="257"/>
      <c r="AJ220" s="257"/>
      <c r="AK220" s="257"/>
      <c r="AL220" s="257"/>
      <c r="AM220" s="257"/>
      <c r="AN220" s="257"/>
      <c r="AO220" s="257"/>
      <c r="AP220" s="257"/>
      <c r="AQ220" s="257"/>
      <c r="AR220" s="257"/>
      <c r="AS220" s="257"/>
      <c r="AT220" s="257"/>
      <c r="AU220" s="257"/>
      <c r="AV220" s="257"/>
      <c r="AW220" s="257"/>
      <c r="AX220" s="257"/>
      <c r="AY220" s="257"/>
      <c r="AZ220" s="257"/>
      <c r="BA220" s="257"/>
      <c r="BB220" s="257"/>
      <c r="BC220" s="257"/>
      <c r="BD220" s="257"/>
      <c r="BE220" s="257"/>
      <c r="BF220" s="257"/>
      <c r="BG220" s="257"/>
      <c r="BH220" s="257"/>
      <c r="BI220" s="257"/>
      <c r="BJ220" s="242"/>
      <c r="BK220" s="242"/>
      <c r="BL220" s="242"/>
      <c r="BM220" s="242"/>
      <c r="BN220" s="242"/>
      <c r="BO220" s="242"/>
      <c r="BP220" s="242"/>
      <c r="BQ220" s="242"/>
      <c r="BR220" s="242"/>
      <c r="BS220" s="242"/>
      <c r="BT220" s="242"/>
      <c r="BU220" s="242"/>
      <c r="BV220" s="242"/>
      <c r="BW220" s="242"/>
      <c r="BX220" s="242"/>
      <c r="BY220" s="242"/>
      <c r="BZ220" s="242"/>
      <c r="CA220" s="242"/>
      <c r="CB220" s="242"/>
      <c r="CC220" s="242"/>
      <c r="CD220" s="242"/>
      <c r="CE220" s="257"/>
      <c r="CF220" s="257"/>
      <c r="CG220" s="242"/>
      <c r="CH220" s="242"/>
      <c r="CI220" s="242"/>
      <c r="CJ220" s="242"/>
      <c r="CK220" s="242"/>
      <c r="CL220" s="242"/>
      <c r="CM220" s="242"/>
      <c r="CN220" s="242"/>
      <c r="CO220" s="242"/>
      <c r="CP220" s="242"/>
      <c r="CQ220" s="242"/>
      <c r="CR220" s="242"/>
      <c r="CS220" s="242"/>
      <c r="CT220" s="242"/>
      <c r="CU220" s="242"/>
      <c r="CV220" s="242"/>
      <c r="CW220" s="242"/>
      <c r="CX220" s="242"/>
      <c r="CY220" s="242"/>
      <c r="CZ220" s="242"/>
      <c r="DA220" s="242"/>
      <c r="DB220" s="242"/>
      <c r="DC220" s="242"/>
      <c r="DD220" s="242"/>
      <c r="DE220" s="242"/>
      <c r="DF220" s="242"/>
      <c r="DG220" s="257"/>
      <c r="DH220" s="242"/>
      <c r="DI220" s="242"/>
      <c r="DJ220" s="242"/>
      <c r="DK220" s="242"/>
      <c r="DL220" s="242"/>
      <c r="DM220" s="242"/>
      <c r="DN220" s="242"/>
      <c r="DO220" s="242"/>
      <c r="DP220" s="242"/>
      <c r="DQ220" s="242"/>
      <c r="DR220" s="242"/>
      <c r="DS220" s="242"/>
      <c r="DT220" s="242"/>
      <c r="DU220" s="242"/>
      <c r="DV220" s="242"/>
      <c r="DW220" s="242"/>
      <c r="DX220" s="242"/>
      <c r="DY220" s="242"/>
      <c r="DZ220" s="242"/>
      <c r="EA220" s="242"/>
      <c r="EB220" s="242"/>
      <c r="EC220" s="242"/>
      <c r="ED220" s="242"/>
      <c r="EE220" s="242"/>
      <c r="EF220" s="242"/>
      <c r="EG220" s="242"/>
      <c r="EH220" s="242"/>
      <c r="EI220" s="242"/>
      <c r="EJ220" s="242"/>
      <c r="EK220" s="242"/>
      <c r="EL220" s="242"/>
      <c r="EM220" s="242"/>
      <c r="EN220" s="242"/>
      <c r="EO220" s="242"/>
      <c r="EP220" s="242"/>
      <c r="EQ220" s="242"/>
      <c r="ER220" s="242"/>
      <c r="ES220" s="242"/>
      <c r="ET220" s="242"/>
      <c r="EU220" s="242"/>
      <c r="EV220" s="242"/>
      <c r="EW220" s="242"/>
      <c r="EX220" s="242"/>
      <c r="EY220" s="242"/>
      <c r="EZ220" s="242"/>
      <c r="FA220" s="242"/>
      <c r="FB220" s="242"/>
      <c r="FC220" s="242"/>
      <c r="FD220" s="242"/>
      <c r="FE220" s="242"/>
      <c r="FF220" s="242"/>
      <c r="FG220" s="242"/>
      <c r="FH220" s="257"/>
      <c r="FI220" s="257"/>
      <c r="FJ220" s="257"/>
      <c r="FK220" s="257"/>
      <c r="FL220" s="257"/>
      <c r="FM220" s="257"/>
      <c r="FN220" s="257"/>
      <c r="FO220" s="257"/>
      <c r="FP220" s="257"/>
      <c r="FQ220" s="257"/>
      <c r="FR220" s="257"/>
      <c r="FS220" s="257"/>
      <c r="FT220" s="257"/>
      <c r="FU220" s="257"/>
      <c r="FV220" s="257"/>
      <c r="FW220" s="257"/>
      <c r="FX220" s="257"/>
      <c r="FY220" s="242"/>
      <c r="FZ220" s="242"/>
      <c r="GA220" s="242"/>
      <c r="GB220" s="242"/>
      <c r="GC220" s="242"/>
      <c r="GD220" s="242"/>
      <c r="GE220" s="242"/>
      <c r="GF220" s="242"/>
      <c r="GG220" s="242"/>
      <c r="GH220" s="242"/>
      <c r="GI220" s="242"/>
      <c r="GJ220" s="242"/>
      <c r="GK220" s="242"/>
      <c r="GL220" s="242"/>
      <c r="GM220" s="242"/>
      <c r="GN220" s="242"/>
      <c r="GO220" s="242"/>
      <c r="GP220" s="242"/>
      <c r="GQ220" s="242"/>
      <c r="GR220" s="242"/>
      <c r="GS220" s="242"/>
      <c r="GT220" s="242"/>
      <c r="GU220" s="242"/>
      <c r="GV220" s="242"/>
      <c r="GW220" s="242"/>
      <c r="GX220" s="242"/>
      <c r="GY220" s="242"/>
      <c r="GZ220" s="242"/>
      <c r="HA220" s="242"/>
      <c r="HB220" s="242"/>
      <c r="HC220" s="242"/>
      <c r="HD220" s="242"/>
      <c r="HE220" s="242"/>
      <c r="HF220" s="242"/>
      <c r="HG220" s="242"/>
      <c r="HH220" s="242"/>
      <c r="HI220" s="242"/>
      <c r="HJ220" s="242"/>
      <c r="HK220" s="242"/>
      <c r="HL220" s="242"/>
      <c r="HM220" s="242"/>
      <c r="HN220" s="242"/>
      <c r="HO220" s="242"/>
      <c r="HP220" s="242"/>
      <c r="HQ220" s="242"/>
      <c r="HR220" s="242"/>
      <c r="HS220" s="242"/>
      <c r="HT220" s="242"/>
      <c r="HU220" s="242"/>
      <c r="HV220" s="242"/>
      <c r="HW220" s="242"/>
      <c r="HX220" s="257"/>
      <c r="HY220" s="257"/>
      <c r="HZ220" s="257"/>
      <c r="IA220" s="257"/>
      <c r="IB220" s="257"/>
      <c r="IC220" s="257"/>
      <c r="ID220" s="257"/>
      <c r="IE220" s="257"/>
      <c r="IF220" s="257"/>
      <c r="IG220" s="257"/>
      <c r="IH220" s="257"/>
      <c r="II220" s="257"/>
      <c r="IJ220" s="257"/>
      <c r="IK220" s="257"/>
      <c r="IL220" s="257"/>
      <c r="IM220" s="257"/>
      <c r="IN220" s="257"/>
      <c r="IO220" s="257"/>
      <c r="IP220" s="257"/>
      <c r="IQ220" s="257"/>
      <c r="IR220" s="257"/>
      <c r="IS220" s="257"/>
      <c r="IT220" s="257"/>
      <c r="IU220" s="257"/>
      <c r="IV220" s="257"/>
      <c r="IW220" s="257"/>
      <c r="IX220" s="257"/>
      <c r="IY220" s="257"/>
      <c r="IZ220" s="257"/>
      <c r="JA220" s="257"/>
      <c r="JB220" s="257"/>
      <c r="JC220" s="257"/>
      <c r="JD220" s="257"/>
      <c r="JE220" s="257"/>
      <c r="JF220" s="242"/>
      <c r="JG220" s="242"/>
      <c r="JH220" s="242"/>
      <c r="JI220" s="242"/>
      <c r="JJ220" s="242"/>
      <c r="JK220" s="242"/>
      <c r="JL220" s="242"/>
      <c r="JM220" s="242"/>
      <c r="JN220" s="242"/>
      <c r="JO220" s="242"/>
      <c r="JP220" s="242"/>
      <c r="JQ220" s="242"/>
      <c r="JR220" s="242"/>
      <c r="JS220" s="242"/>
      <c r="JT220" s="242"/>
      <c r="JU220" s="242"/>
      <c r="JV220" s="242"/>
      <c r="JW220" s="242"/>
      <c r="JX220" s="242"/>
      <c r="JY220" s="242"/>
      <c r="JZ220" s="242"/>
      <c r="KA220" s="242"/>
      <c r="KB220" s="242"/>
      <c r="KC220" s="242"/>
      <c r="KD220" s="242"/>
      <c r="KE220" s="242"/>
      <c r="KF220" s="242"/>
      <c r="KG220" s="242"/>
      <c r="KH220" s="242"/>
      <c r="KI220" s="242"/>
      <c r="KJ220" s="242"/>
      <c r="KK220" s="242"/>
      <c r="KL220" s="242"/>
      <c r="KM220" s="242"/>
      <c r="KN220" s="242"/>
      <c r="KO220" s="242"/>
      <c r="KP220" s="242"/>
      <c r="KQ220" s="242"/>
      <c r="KR220" s="242"/>
      <c r="KS220" s="242"/>
      <c r="KT220" s="242"/>
      <c r="KU220" s="242"/>
      <c r="KV220" s="242"/>
      <c r="KW220" s="242"/>
      <c r="KX220" s="242"/>
      <c r="KY220" s="242"/>
      <c r="KZ220" s="242"/>
      <c r="LA220" s="242"/>
      <c r="LB220" s="242"/>
      <c r="LC220" s="242"/>
      <c r="LD220" s="242"/>
      <c r="LE220" s="242"/>
      <c r="LF220" s="242"/>
      <c r="LG220" s="242"/>
      <c r="LH220" s="242"/>
      <c r="LI220" s="242"/>
      <c r="LJ220" s="242"/>
      <c r="LK220" s="242"/>
      <c r="LL220" s="242"/>
      <c r="LM220" s="242"/>
      <c r="LN220" s="242"/>
      <c r="LO220" s="242"/>
      <c r="LP220" s="242"/>
      <c r="LQ220" s="242"/>
      <c r="LR220" s="242"/>
      <c r="LS220" s="242"/>
      <c r="LT220" s="242"/>
      <c r="LU220" s="242"/>
      <c r="LV220" s="242"/>
      <c r="LW220" s="242"/>
      <c r="LX220" s="242"/>
      <c r="LY220" s="242"/>
      <c r="LZ220" s="242"/>
      <c r="MA220" s="242"/>
      <c r="MB220" s="242"/>
      <c r="MC220" s="242"/>
      <c r="MD220" s="242"/>
      <c r="ME220" s="242"/>
      <c r="MF220" s="242"/>
      <c r="MG220" s="242"/>
      <c r="MH220" s="242"/>
      <c r="MI220" s="242"/>
      <c r="MJ220" s="242"/>
      <c r="MK220" s="242"/>
      <c r="ML220" s="242"/>
    </row>
    <row r="221" ht="18.75" customHeight="1">
      <c r="A221" s="283"/>
      <c r="B221" s="234" t="str">
        <f>'Building Bill of Materials_SLIM'!P221</f>
        <v/>
      </c>
      <c r="C221" s="234" t="str">
        <f>'Building Bill of Materials_SLIM'!Q221</f>
        <v/>
      </c>
      <c r="D221" s="234" t="str">
        <f>'Building Bill of Materials_SLIM'!R221</f>
        <v/>
      </c>
      <c r="E221" s="234" t="str">
        <f>'Building Bill of Materials_SLIM'!S221</f>
        <v/>
      </c>
      <c r="F221" s="234" t="str">
        <f>'Building Bill of Materials_SLIM'!U221</f>
        <v/>
      </c>
      <c r="G221" s="234"/>
      <c r="H221" s="234"/>
      <c r="I221" s="234"/>
      <c r="J221" s="234" t="str">
        <f>'Building Bill of Materials_SLIM'!V221</f>
        <v/>
      </c>
      <c r="K221" s="242"/>
      <c r="L221" s="242"/>
      <c r="M221" s="242"/>
      <c r="N221" s="242"/>
      <c r="O221" s="242"/>
      <c r="P221" s="242"/>
      <c r="Q221" s="242"/>
      <c r="R221" s="242"/>
      <c r="S221" s="242"/>
      <c r="T221" s="242"/>
      <c r="U221" s="242"/>
      <c r="V221" s="242"/>
      <c r="W221" s="242"/>
      <c r="X221" s="242"/>
      <c r="Y221" s="242"/>
      <c r="Z221" s="242"/>
      <c r="AA221" s="192"/>
      <c r="AB221" s="257"/>
      <c r="AC221" s="257"/>
      <c r="AD221" s="257"/>
      <c r="AE221" s="257"/>
      <c r="AF221" s="257"/>
      <c r="AG221" s="257"/>
      <c r="AH221" s="257"/>
      <c r="AI221" s="257"/>
      <c r="AJ221" s="257"/>
      <c r="AK221" s="257"/>
      <c r="AL221" s="257"/>
      <c r="AM221" s="257"/>
      <c r="AN221" s="257"/>
      <c r="AO221" s="257"/>
      <c r="AP221" s="257"/>
      <c r="AQ221" s="257"/>
      <c r="AR221" s="257"/>
      <c r="AS221" s="257"/>
      <c r="AT221" s="257"/>
      <c r="AU221" s="257"/>
      <c r="AV221" s="257"/>
      <c r="AW221" s="257"/>
      <c r="AX221" s="257"/>
      <c r="AY221" s="257"/>
      <c r="AZ221" s="257"/>
      <c r="BA221" s="257"/>
      <c r="BB221" s="257"/>
      <c r="BC221" s="257"/>
      <c r="BD221" s="257"/>
      <c r="BE221" s="257"/>
      <c r="BF221" s="257"/>
      <c r="BG221" s="257"/>
      <c r="BH221" s="257"/>
      <c r="BI221" s="257"/>
      <c r="BJ221" s="242"/>
      <c r="BK221" s="242"/>
      <c r="BL221" s="242"/>
      <c r="BM221" s="242"/>
      <c r="BN221" s="242"/>
      <c r="BO221" s="242"/>
      <c r="BP221" s="242"/>
      <c r="BQ221" s="242"/>
      <c r="BR221" s="242"/>
      <c r="BS221" s="242"/>
      <c r="BT221" s="242"/>
      <c r="BU221" s="242"/>
      <c r="BV221" s="242"/>
      <c r="BW221" s="242"/>
      <c r="BX221" s="242"/>
      <c r="BY221" s="242"/>
      <c r="BZ221" s="242"/>
      <c r="CA221" s="242"/>
      <c r="CB221" s="242"/>
      <c r="CC221" s="242"/>
      <c r="CD221" s="242"/>
      <c r="CE221" s="257"/>
      <c r="CF221" s="257"/>
      <c r="CG221" s="242"/>
      <c r="CH221" s="242"/>
      <c r="CI221" s="242"/>
      <c r="CJ221" s="242"/>
      <c r="CK221" s="242"/>
      <c r="CL221" s="242"/>
      <c r="CM221" s="242"/>
      <c r="CN221" s="242"/>
      <c r="CO221" s="242"/>
      <c r="CP221" s="242"/>
      <c r="CQ221" s="242"/>
      <c r="CR221" s="242"/>
      <c r="CS221" s="242"/>
      <c r="CT221" s="242"/>
      <c r="CU221" s="242"/>
      <c r="CV221" s="242"/>
      <c r="CW221" s="242"/>
      <c r="CX221" s="242"/>
      <c r="CY221" s="242"/>
      <c r="CZ221" s="242"/>
      <c r="DA221" s="242"/>
      <c r="DB221" s="242"/>
      <c r="DC221" s="242"/>
      <c r="DD221" s="242"/>
      <c r="DE221" s="242"/>
      <c r="DF221" s="242"/>
      <c r="DG221" s="257"/>
      <c r="DH221" s="242"/>
      <c r="DI221" s="242"/>
      <c r="DJ221" s="242"/>
      <c r="DK221" s="242"/>
      <c r="DL221" s="242"/>
      <c r="DM221" s="242"/>
      <c r="DN221" s="242"/>
      <c r="DO221" s="242"/>
      <c r="DP221" s="242"/>
      <c r="DQ221" s="242"/>
      <c r="DR221" s="242"/>
      <c r="DS221" s="242"/>
      <c r="DT221" s="242"/>
      <c r="DU221" s="242"/>
      <c r="DV221" s="242"/>
      <c r="DW221" s="242"/>
      <c r="DX221" s="242"/>
      <c r="DY221" s="242"/>
      <c r="DZ221" s="242"/>
      <c r="EA221" s="242"/>
      <c r="EB221" s="242"/>
      <c r="EC221" s="242"/>
      <c r="ED221" s="242"/>
      <c r="EE221" s="242"/>
      <c r="EF221" s="242"/>
      <c r="EG221" s="242"/>
      <c r="EH221" s="242"/>
      <c r="EI221" s="242"/>
      <c r="EJ221" s="242"/>
      <c r="EK221" s="242"/>
      <c r="EL221" s="242"/>
      <c r="EM221" s="242"/>
      <c r="EN221" s="242"/>
      <c r="EO221" s="242"/>
      <c r="EP221" s="242"/>
      <c r="EQ221" s="242"/>
      <c r="ER221" s="242"/>
      <c r="ES221" s="242"/>
      <c r="ET221" s="242"/>
      <c r="EU221" s="242"/>
      <c r="EV221" s="242"/>
      <c r="EW221" s="242"/>
      <c r="EX221" s="242"/>
      <c r="EY221" s="242"/>
      <c r="EZ221" s="242"/>
      <c r="FA221" s="242"/>
      <c r="FB221" s="242"/>
      <c r="FC221" s="242"/>
      <c r="FD221" s="242"/>
      <c r="FE221" s="242"/>
      <c r="FF221" s="242"/>
      <c r="FG221" s="242"/>
      <c r="FH221" s="257"/>
      <c r="FI221" s="257"/>
      <c r="FJ221" s="257"/>
      <c r="FK221" s="257"/>
      <c r="FL221" s="257"/>
      <c r="FM221" s="257"/>
      <c r="FN221" s="257"/>
      <c r="FO221" s="257"/>
      <c r="FP221" s="257"/>
      <c r="FQ221" s="257"/>
      <c r="FR221" s="257"/>
      <c r="FS221" s="257"/>
      <c r="FT221" s="257"/>
      <c r="FU221" s="257"/>
      <c r="FV221" s="257"/>
      <c r="FW221" s="257"/>
      <c r="FX221" s="257"/>
      <c r="FY221" s="242"/>
      <c r="FZ221" s="242"/>
      <c r="GA221" s="242"/>
      <c r="GB221" s="242"/>
      <c r="GC221" s="242"/>
      <c r="GD221" s="242"/>
      <c r="GE221" s="242"/>
      <c r="GF221" s="242"/>
      <c r="GG221" s="242"/>
      <c r="GH221" s="242"/>
      <c r="GI221" s="242"/>
      <c r="GJ221" s="242"/>
      <c r="GK221" s="242"/>
      <c r="GL221" s="242"/>
      <c r="GM221" s="242"/>
      <c r="GN221" s="242"/>
      <c r="GO221" s="242"/>
      <c r="GP221" s="242"/>
      <c r="GQ221" s="242"/>
      <c r="GR221" s="242"/>
      <c r="GS221" s="242"/>
      <c r="GT221" s="242"/>
      <c r="GU221" s="242"/>
      <c r="GV221" s="242"/>
      <c r="GW221" s="242"/>
      <c r="GX221" s="242"/>
      <c r="GY221" s="242"/>
      <c r="GZ221" s="242"/>
      <c r="HA221" s="242"/>
      <c r="HB221" s="242"/>
      <c r="HC221" s="242"/>
      <c r="HD221" s="242"/>
      <c r="HE221" s="242"/>
      <c r="HF221" s="242"/>
      <c r="HG221" s="242"/>
      <c r="HH221" s="242"/>
      <c r="HI221" s="242"/>
      <c r="HJ221" s="242"/>
      <c r="HK221" s="242"/>
      <c r="HL221" s="242"/>
      <c r="HM221" s="242"/>
      <c r="HN221" s="242"/>
      <c r="HO221" s="242"/>
      <c r="HP221" s="242"/>
      <c r="HQ221" s="242"/>
      <c r="HR221" s="242"/>
      <c r="HS221" s="242"/>
      <c r="HT221" s="242"/>
      <c r="HU221" s="242"/>
      <c r="HV221" s="242"/>
      <c r="HW221" s="242"/>
      <c r="HX221" s="257"/>
      <c r="HY221" s="257"/>
      <c r="HZ221" s="257"/>
      <c r="IA221" s="257"/>
      <c r="IB221" s="257"/>
      <c r="IC221" s="257"/>
      <c r="ID221" s="257"/>
      <c r="IE221" s="257"/>
      <c r="IF221" s="257"/>
      <c r="IG221" s="257"/>
      <c r="IH221" s="257"/>
      <c r="II221" s="257"/>
      <c r="IJ221" s="257"/>
      <c r="IK221" s="257"/>
      <c r="IL221" s="257"/>
      <c r="IM221" s="257"/>
      <c r="IN221" s="257"/>
      <c r="IO221" s="257"/>
      <c r="IP221" s="257"/>
      <c r="IQ221" s="257"/>
      <c r="IR221" s="257"/>
      <c r="IS221" s="257"/>
      <c r="IT221" s="257"/>
      <c r="IU221" s="257"/>
      <c r="IV221" s="257"/>
      <c r="IW221" s="257"/>
      <c r="IX221" s="257"/>
      <c r="IY221" s="257"/>
      <c r="IZ221" s="257"/>
      <c r="JA221" s="257"/>
      <c r="JB221" s="257"/>
      <c r="JC221" s="257"/>
      <c r="JD221" s="257"/>
      <c r="JE221" s="257"/>
      <c r="JF221" s="242"/>
      <c r="JG221" s="242"/>
      <c r="JH221" s="242"/>
      <c r="JI221" s="242"/>
      <c r="JJ221" s="242"/>
      <c r="JK221" s="242"/>
      <c r="JL221" s="242"/>
      <c r="JM221" s="242"/>
      <c r="JN221" s="242"/>
      <c r="JO221" s="242"/>
      <c r="JP221" s="242"/>
      <c r="JQ221" s="242"/>
      <c r="JR221" s="242"/>
      <c r="JS221" s="242"/>
      <c r="JT221" s="242"/>
      <c r="JU221" s="242"/>
      <c r="JV221" s="242"/>
      <c r="JW221" s="242"/>
      <c r="JX221" s="242"/>
      <c r="JY221" s="242"/>
      <c r="JZ221" s="242"/>
      <c r="KA221" s="242"/>
      <c r="KB221" s="242"/>
      <c r="KC221" s="242"/>
      <c r="KD221" s="242"/>
      <c r="KE221" s="242"/>
      <c r="KF221" s="242"/>
      <c r="KG221" s="242"/>
      <c r="KH221" s="242"/>
      <c r="KI221" s="242"/>
      <c r="KJ221" s="242"/>
      <c r="KK221" s="242"/>
      <c r="KL221" s="242"/>
      <c r="KM221" s="242"/>
      <c r="KN221" s="242"/>
      <c r="KO221" s="242"/>
      <c r="KP221" s="242"/>
      <c r="KQ221" s="242"/>
      <c r="KR221" s="242"/>
      <c r="KS221" s="242"/>
      <c r="KT221" s="242"/>
      <c r="KU221" s="242"/>
      <c r="KV221" s="242"/>
      <c r="KW221" s="242"/>
      <c r="KX221" s="242"/>
      <c r="KY221" s="242"/>
      <c r="KZ221" s="242"/>
      <c r="LA221" s="242"/>
      <c r="LB221" s="242"/>
      <c r="LC221" s="242"/>
      <c r="LD221" s="242"/>
      <c r="LE221" s="242"/>
      <c r="LF221" s="242"/>
      <c r="LG221" s="242"/>
      <c r="LH221" s="242"/>
      <c r="LI221" s="242"/>
      <c r="LJ221" s="242"/>
      <c r="LK221" s="242"/>
      <c r="LL221" s="242"/>
      <c r="LM221" s="242"/>
      <c r="LN221" s="242"/>
      <c r="LO221" s="242"/>
      <c r="LP221" s="242"/>
      <c r="LQ221" s="242"/>
      <c r="LR221" s="242"/>
      <c r="LS221" s="242"/>
      <c r="LT221" s="242"/>
      <c r="LU221" s="242"/>
      <c r="LV221" s="242"/>
      <c r="LW221" s="242"/>
      <c r="LX221" s="242"/>
      <c r="LY221" s="242"/>
      <c r="LZ221" s="242"/>
      <c r="MA221" s="242"/>
      <c r="MB221" s="242"/>
      <c r="MC221" s="242"/>
      <c r="MD221" s="242"/>
      <c r="ME221" s="242"/>
      <c r="MF221" s="242"/>
      <c r="MG221" s="242"/>
      <c r="MH221" s="242"/>
      <c r="MI221" s="242"/>
      <c r="MJ221" s="242"/>
      <c r="MK221" s="242"/>
      <c r="ML221" s="242"/>
    </row>
    <row r="222" ht="18.75" customHeight="1">
      <c r="A222" s="283"/>
      <c r="B222" s="234" t="str">
        <f>'Building Bill of Materials_SLIM'!P222</f>
        <v/>
      </c>
      <c r="C222" s="234" t="str">
        <f>'Building Bill of Materials_SLIM'!Q222</f>
        <v/>
      </c>
      <c r="D222" s="234" t="str">
        <f>'Building Bill of Materials_SLIM'!R222</f>
        <v/>
      </c>
      <c r="E222" s="234" t="str">
        <f>'Building Bill of Materials_SLIM'!S222</f>
        <v/>
      </c>
      <c r="F222" s="234" t="str">
        <f>'Building Bill of Materials_SLIM'!U222</f>
        <v/>
      </c>
      <c r="G222" s="234"/>
      <c r="H222" s="234"/>
      <c r="I222" s="234"/>
      <c r="J222" s="234" t="str">
        <f>'Building Bill of Materials_SLIM'!V222</f>
        <v/>
      </c>
      <c r="K222" s="242"/>
      <c r="L222" s="242"/>
      <c r="M222" s="242"/>
      <c r="N222" s="242"/>
      <c r="O222" s="242"/>
      <c r="P222" s="242"/>
      <c r="Q222" s="242"/>
      <c r="R222" s="242"/>
      <c r="S222" s="242"/>
      <c r="T222" s="242"/>
      <c r="U222" s="242"/>
      <c r="V222" s="242"/>
      <c r="W222" s="242"/>
      <c r="X222" s="242"/>
      <c r="Y222" s="242"/>
      <c r="Z222" s="242"/>
      <c r="AA222" s="192"/>
      <c r="AB222" s="257"/>
      <c r="AC222" s="257"/>
      <c r="AD222" s="257"/>
      <c r="AE222" s="257"/>
      <c r="AF222" s="257"/>
      <c r="AG222" s="257"/>
      <c r="AH222" s="257"/>
      <c r="AI222" s="257"/>
      <c r="AJ222" s="257"/>
      <c r="AK222" s="257"/>
      <c r="AL222" s="257"/>
      <c r="AM222" s="257"/>
      <c r="AN222" s="257"/>
      <c r="AO222" s="257"/>
      <c r="AP222" s="257"/>
      <c r="AQ222" s="257"/>
      <c r="AR222" s="257"/>
      <c r="AS222" s="257"/>
      <c r="AT222" s="257"/>
      <c r="AU222" s="257"/>
      <c r="AV222" s="257"/>
      <c r="AW222" s="257"/>
      <c r="AX222" s="257"/>
      <c r="AY222" s="257"/>
      <c r="AZ222" s="257"/>
      <c r="BA222" s="257"/>
      <c r="BB222" s="257"/>
      <c r="BC222" s="257"/>
      <c r="BD222" s="257"/>
      <c r="BE222" s="257"/>
      <c r="BF222" s="257"/>
      <c r="BG222" s="257"/>
      <c r="BH222" s="257"/>
      <c r="BI222" s="257"/>
      <c r="BJ222" s="242"/>
      <c r="BK222" s="242"/>
      <c r="BL222" s="242"/>
      <c r="BM222" s="242"/>
      <c r="BN222" s="242"/>
      <c r="BO222" s="242"/>
      <c r="BP222" s="242"/>
      <c r="BQ222" s="242"/>
      <c r="BR222" s="242"/>
      <c r="BS222" s="242"/>
      <c r="BT222" s="242"/>
      <c r="BU222" s="242"/>
      <c r="BV222" s="242"/>
      <c r="BW222" s="242"/>
      <c r="BX222" s="242"/>
      <c r="BY222" s="242"/>
      <c r="BZ222" s="242"/>
      <c r="CA222" s="242"/>
      <c r="CB222" s="242"/>
      <c r="CC222" s="242"/>
      <c r="CD222" s="242"/>
      <c r="CE222" s="257"/>
      <c r="CF222" s="257"/>
      <c r="CG222" s="242"/>
      <c r="CH222" s="242"/>
      <c r="CI222" s="242"/>
      <c r="CJ222" s="242"/>
      <c r="CK222" s="242"/>
      <c r="CL222" s="242"/>
      <c r="CM222" s="242"/>
      <c r="CN222" s="242"/>
      <c r="CO222" s="242"/>
      <c r="CP222" s="242"/>
      <c r="CQ222" s="242"/>
      <c r="CR222" s="242"/>
      <c r="CS222" s="242"/>
      <c r="CT222" s="242"/>
      <c r="CU222" s="242"/>
      <c r="CV222" s="242"/>
      <c r="CW222" s="242"/>
      <c r="CX222" s="242"/>
      <c r="CY222" s="242"/>
      <c r="CZ222" s="242"/>
      <c r="DA222" s="242"/>
      <c r="DB222" s="242"/>
      <c r="DC222" s="242"/>
      <c r="DD222" s="242"/>
      <c r="DE222" s="242"/>
      <c r="DF222" s="242"/>
      <c r="DG222" s="257"/>
      <c r="DH222" s="242"/>
      <c r="DI222" s="242"/>
      <c r="DJ222" s="242"/>
      <c r="DK222" s="242"/>
      <c r="DL222" s="242"/>
      <c r="DM222" s="242"/>
      <c r="DN222" s="242"/>
      <c r="DO222" s="242"/>
      <c r="DP222" s="242"/>
      <c r="DQ222" s="242"/>
      <c r="DR222" s="242"/>
      <c r="DS222" s="242"/>
      <c r="DT222" s="242"/>
      <c r="DU222" s="242"/>
      <c r="DV222" s="242"/>
      <c r="DW222" s="242"/>
      <c r="DX222" s="242"/>
      <c r="DY222" s="242"/>
      <c r="DZ222" s="242"/>
      <c r="EA222" s="242"/>
      <c r="EB222" s="242"/>
      <c r="EC222" s="242"/>
      <c r="ED222" s="242"/>
      <c r="EE222" s="242"/>
      <c r="EF222" s="242"/>
      <c r="EG222" s="242"/>
      <c r="EH222" s="242"/>
      <c r="EI222" s="242"/>
      <c r="EJ222" s="242"/>
      <c r="EK222" s="242"/>
      <c r="EL222" s="242"/>
      <c r="EM222" s="242"/>
      <c r="EN222" s="242"/>
      <c r="EO222" s="242"/>
      <c r="EP222" s="242"/>
      <c r="EQ222" s="242"/>
      <c r="ER222" s="242"/>
      <c r="ES222" s="242"/>
      <c r="ET222" s="242"/>
      <c r="EU222" s="242"/>
      <c r="EV222" s="242"/>
      <c r="EW222" s="242"/>
      <c r="EX222" s="242"/>
      <c r="EY222" s="242"/>
      <c r="EZ222" s="242"/>
      <c r="FA222" s="242"/>
      <c r="FB222" s="242"/>
      <c r="FC222" s="242"/>
      <c r="FD222" s="242"/>
      <c r="FE222" s="242"/>
      <c r="FF222" s="242"/>
      <c r="FG222" s="242"/>
      <c r="FH222" s="257"/>
      <c r="FI222" s="257"/>
      <c r="FJ222" s="257"/>
      <c r="FK222" s="257"/>
      <c r="FL222" s="257"/>
      <c r="FM222" s="257"/>
      <c r="FN222" s="257"/>
      <c r="FO222" s="257"/>
      <c r="FP222" s="257"/>
      <c r="FQ222" s="257"/>
      <c r="FR222" s="257"/>
      <c r="FS222" s="257"/>
      <c r="FT222" s="257"/>
      <c r="FU222" s="257"/>
      <c r="FV222" s="257"/>
      <c r="FW222" s="257"/>
      <c r="FX222" s="257"/>
      <c r="FY222" s="242"/>
      <c r="FZ222" s="242"/>
      <c r="GA222" s="242"/>
      <c r="GB222" s="242"/>
      <c r="GC222" s="242"/>
      <c r="GD222" s="242"/>
      <c r="GE222" s="242"/>
      <c r="GF222" s="242"/>
      <c r="GG222" s="242"/>
      <c r="GH222" s="242"/>
      <c r="GI222" s="242"/>
      <c r="GJ222" s="242"/>
      <c r="GK222" s="242"/>
      <c r="GL222" s="242"/>
      <c r="GM222" s="242"/>
      <c r="GN222" s="242"/>
      <c r="GO222" s="242"/>
      <c r="GP222" s="242"/>
      <c r="GQ222" s="242"/>
      <c r="GR222" s="242"/>
      <c r="GS222" s="242"/>
      <c r="GT222" s="242"/>
      <c r="GU222" s="242"/>
      <c r="GV222" s="242"/>
      <c r="GW222" s="242"/>
      <c r="GX222" s="242"/>
      <c r="GY222" s="242"/>
      <c r="GZ222" s="242"/>
      <c r="HA222" s="242"/>
      <c r="HB222" s="242"/>
      <c r="HC222" s="242"/>
      <c r="HD222" s="242"/>
      <c r="HE222" s="242"/>
      <c r="HF222" s="242"/>
      <c r="HG222" s="242"/>
      <c r="HH222" s="242"/>
      <c r="HI222" s="242"/>
      <c r="HJ222" s="242"/>
      <c r="HK222" s="242"/>
      <c r="HL222" s="242"/>
      <c r="HM222" s="242"/>
      <c r="HN222" s="242"/>
      <c r="HO222" s="242"/>
      <c r="HP222" s="242"/>
      <c r="HQ222" s="242"/>
      <c r="HR222" s="242"/>
      <c r="HS222" s="242"/>
      <c r="HT222" s="242"/>
      <c r="HU222" s="242"/>
      <c r="HV222" s="242"/>
      <c r="HW222" s="242"/>
      <c r="HX222" s="257"/>
      <c r="HY222" s="257"/>
      <c r="HZ222" s="257"/>
      <c r="IA222" s="257"/>
      <c r="IB222" s="257"/>
      <c r="IC222" s="257"/>
      <c r="ID222" s="257"/>
      <c r="IE222" s="257"/>
      <c r="IF222" s="257"/>
      <c r="IG222" s="257"/>
      <c r="IH222" s="257"/>
      <c r="II222" s="257"/>
      <c r="IJ222" s="257"/>
      <c r="IK222" s="257"/>
      <c r="IL222" s="257"/>
      <c r="IM222" s="257"/>
      <c r="IN222" s="257"/>
      <c r="IO222" s="257"/>
      <c r="IP222" s="257"/>
      <c r="IQ222" s="257"/>
      <c r="IR222" s="257"/>
      <c r="IS222" s="257"/>
      <c r="IT222" s="257"/>
      <c r="IU222" s="257"/>
      <c r="IV222" s="257"/>
      <c r="IW222" s="257"/>
      <c r="IX222" s="257"/>
      <c r="IY222" s="257"/>
      <c r="IZ222" s="257"/>
      <c r="JA222" s="257"/>
      <c r="JB222" s="257"/>
      <c r="JC222" s="257"/>
      <c r="JD222" s="257"/>
      <c r="JE222" s="257"/>
      <c r="JF222" s="242"/>
      <c r="JG222" s="242"/>
      <c r="JH222" s="242"/>
      <c r="JI222" s="242"/>
      <c r="JJ222" s="242"/>
      <c r="JK222" s="242"/>
      <c r="JL222" s="242"/>
      <c r="JM222" s="242"/>
      <c r="JN222" s="242"/>
      <c r="JO222" s="242"/>
      <c r="JP222" s="242"/>
      <c r="JQ222" s="242"/>
      <c r="JR222" s="242"/>
      <c r="JS222" s="242"/>
      <c r="JT222" s="242"/>
      <c r="JU222" s="242"/>
      <c r="JV222" s="242"/>
      <c r="JW222" s="242"/>
      <c r="JX222" s="242"/>
      <c r="JY222" s="242"/>
      <c r="JZ222" s="242"/>
      <c r="KA222" s="242"/>
      <c r="KB222" s="242"/>
      <c r="KC222" s="242"/>
      <c r="KD222" s="242"/>
      <c r="KE222" s="242"/>
      <c r="KF222" s="242"/>
      <c r="KG222" s="242"/>
      <c r="KH222" s="242"/>
      <c r="KI222" s="242"/>
      <c r="KJ222" s="242"/>
      <c r="KK222" s="242"/>
      <c r="KL222" s="242"/>
      <c r="KM222" s="242"/>
      <c r="KN222" s="242"/>
      <c r="KO222" s="242"/>
      <c r="KP222" s="242"/>
      <c r="KQ222" s="242"/>
      <c r="KR222" s="242"/>
      <c r="KS222" s="242"/>
      <c r="KT222" s="242"/>
      <c r="KU222" s="242"/>
      <c r="KV222" s="242"/>
      <c r="KW222" s="242"/>
      <c r="KX222" s="242"/>
      <c r="KY222" s="242"/>
      <c r="KZ222" s="242"/>
      <c r="LA222" s="242"/>
      <c r="LB222" s="242"/>
      <c r="LC222" s="242"/>
      <c r="LD222" s="242"/>
      <c r="LE222" s="242"/>
      <c r="LF222" s="242"/>
      <c r="LG222" s="242"/>
      <c r="LH222" s="242"/>
      <c r="LI222" s="242"/>
      <c r="LJ222" s="242"/>
      <c r="LK222" s="242"/>
      <c r="LL222" s="242"/>
      <c r="LM222" s="242"/>
      <c r="LN222" s="242"/>
      <c r="LO222" s="242"/>
      <c r="LP222" s="242"/>
      <c r="LQ222" s="242"/>
      <c r="LR222" s="242"/>
      <c r="LS222" s="242"/>
      <c r="LT222" s="242"/>
      <c r="LU222" s="242"/>
      <c r="LV222" s="242"/>
      <c r="LW222" s="242"/>
      <c r="LX222" s="242"/>
      <c r="LY222" s="242"/>
      <c r="LZ222" s="242"/>
      <c r="MA222" s="242"/>
      <c r="MB222" s="242"/>
      <c r="MC222" s="242"/>
      <c r="MD222" s="242"/>
      <c r="ME222" s="242"/>
      <c r="MF222" s="242"/>
      <c r="MG222" s="242"/>
      <c r="MH222" s="242"/>
      <c r="MI222" s="242"/>
      <c r="MJ222" s="242"/>
      <c r="MK222" s="242"/>
      <c r="ML222" s="242"/>
    </row>
    <row r="223" ht="18.75" customHeight="1">
      <c r="A223" s="283"/>
      <c r="B223" s="234" t="str">
        <f>'Building Bill of Materials_SLIM'!P223</f>
        <v/>
      </c>
      <c r="C223" s="234" t="str">
        <f>'Building Bill of Materials_SLIM'!Q223</f>
        <v/>
      </c>
      <c r="D223" s="234" t="str">
        <f>'Building Bill of Materials_SLIM'!R223</f>
        <v/>
      </c>
      <c r="E223" s="234" t="str">
        <f>'Building Bill of Materials_SLIM'!S223</f>
        <v/>
      </c>
      <c r="F223" s="234" t="str">
        <f>'Building Bill of Materials_SLIM'!U223</f>
        <v/>
      </c>
      <c r="G223" s="234"/>
      <c r="H223" s="234"/>
      <c r="I223" s="234"/>
      <c r="J223" s="234" t="str">
        <f>'Building Bill of Materials_SLIM'!V223</f>
        <v/>
      </c>
      <c r="K223" s="242"/>
      <c r="L223" s="242"/>
      <c r="M223" s="242"/>
      <c r="N223" s="242"/>
      <c r="O223" s="242"/>
      <c r="P223" s="242"/>
      <c r="Q223" s="242"/>
      <c r="R223" s="242"/>
      <c r="S223" s="242"/>
      <c r="T223" s="242"/>
      <c r="U223" s="242"/>
      <c r="V223" s="242"/>
      <c r="W223" s="242"/>
      <c r="X223" s="242"/>
      <c r="Y223" s="242"/>
      <c r="Z223" s="242"/>
      <c r="AA223" s="192"/>
      <c r="AB223" s="257"/>
      <c r="AC223" s="257"/>
      <c r="AD223" s="257"/>
      <c r="AE223" s="257"/>
      <c r="AF223" s="257"/>
      <c r="AG223" s="257"/>
      <c r="AH223" s="257"/>
      <c r="AI223" s="257"/>
      <c r="AJ223" s="257"/>
      <c r="AK223" s="257"/>
      <c r="AL223" s="257"/>
      <c r="AM223" s="257"/>
      <c r="AN223" s="257"/>
      <c r="AO223" s="257"/>
      <c r="AP223" s="257"/>
      <c r="AQ223" s="257"/>
      <c r="AR223" s="257"/>
      <c r="AS223" s="257"/>
      <c r="AT223" s="257"/>
      <c r="AU223" s="257"/>
      <c r="AV223" s="257"/>
      <c r="AW223" s="257"/>
      <c r="AX223" s="257"/>
      <c r="AY223" s="257"/>
      <c r="AZ223" s="257"/>
      <c r="BA223" s="257"/>
      <c r="BB223" s="257"/>
      <c r="BC223" s="257"/>
      <c r="BD223" s="257"/>
      <c r="BE223" s="257"/>
      <c r="BF223" s="257"/>
      <c r="BG223" s="257"/>
      <c r="BH223" s="257"/>
      <c r="BI223" s="257"/>
      <c r="BJ223" s="242"/>
      <c r="BK223" s="242"/>
      <c r="BL223" s="242"/>
      <c r="BM223" s="242"/>
      <c r="BN223" s="242"/>
      <c r="BO223" s="242"/>
      <c r="BP223" s="242"/>
      <c r="BQ223" s="242"/>
      <c r="BR223" s="242"/>
      <c r="BS223" s="242"/>
      <c r="BT223" s="242"/>
      <c r="BU223" s="242"/>
      <c r="BV223" s="242"/>
      <c r="BW223" s="242"/>
      <c r="BX223" s="242"/>
      <c r="BY223" s="242"/>
      <c r="BZ223" s="242"/>
      <c r="CA223" s="242"/>
      <c r="CB223" s="242"/>
      <c r="CC223" s="242"/>
      <c r="CD223" s="242"/>
      <c r="CE223" s="257"/>
      <c r="CF223" s="257"/>
      <c r="CG223" s="242"/>
      <c r="CH223" s="242"/>
      <c r="CI223" s="242"/>
      <c r="CJ223" s="242"/>
      <c r="CK223" s="242"/>
      <c r="CL223" s="242"/>
      <c r="CM223" s="242"/>
      <c r="CN223" s="242"/>
      <c r="CO223" s="242"/>
      <c r="CP223" s="242"/>
      <c r="CQ223" s="242"/>
      <c r="CR223" s="242"/>
      <c r="CS223" s="242"/>
      <c r="CT223" s="242"/>
      <c r="CU223" s="242"/>
      <c r="CV223" s="242"/>
      <c r="CW223" s="242"/>
      <c r="CX223" s="242"/>
      <c r="CY223" s="242"/>
      <c r="CZ223" s="242"/>
      <c r="DA223" s="242"/>
      <c r="DB223" s="242"/>
      <c r="DC223" s="242"/>
      <c r="DD223" s="242"/>
      <c r="DE223" s="242"/>
      <c r="DF223" s="242"/>
      <c r="DG223" s="257"/>
      <c r="DH223" s="242"/>
      <c r="DI223" s="242"/>
      <c r="DJ223" s="242"/>
      <c r="DK223" s="242"/>
      <c r="DL223" s="242"/>
      <c r="DM223" s="242"/>
      <c r="DN223" s="242"/>
      <c r="DO223" s="242"/>
      <c r="DP223" s="242"/>
      <c r="DQ223" s="242"/>
      <c r="DR223" s="242"/>
      <c r="DS223" s="242"/>
      <c r="DT223" s="242"/>
      <c r="DU223" s="242"/>
      <c r="DV223" s="242"/>
      <c r="DW223" s="242"/>
      <c r="DX223" s="242"/>
      <c r="DY223" s="242"/>
      <c r="DZ223" s="242"/>
      <c r="EA223" s="242"/>
      <c r="EB223" s="242"/>
      <c r="EC223" s="242"/>
      <c r="ED223" s="242"/>
      <c r="EE223" s="242"/>
      <c r="EF223" s="242"/>
      <c r="EG223" s="242"/>
      <c r="EH223" s="242"/>
      <c r="EI223" s="242"/>
      <c r="EJ223" s="242"/>
      <c r="EK223" s="242"/>
      <c r="EL223" s="242"/>
      <c r="EM223" s="242"/>
      <c r="EN223" s="242"/>
      <c r="EO223" s="242"/>
      <c r="EP223" s="242"/>
      <c r="EQ223" s="242"/>
      <c r="ER223" s="242"/>
      <c r="ES223" s="242"/>
      <c r="ET223" s="242"/>
      <c r="EU223" s="242"/>
      <c r="EV223" s="242"/>
      <c r="EW223" s="242"/>
      <c r="EX223" s="242"/>
      <c r="EY223" s="242"/>
      <c r="EZ223" s="242"/>
      <c r="FA223" s="242"/>
      <c r="FB223" s="242"/>
      <c r="FC223" s="242"/>
      <c r="FD223" s="242"/>
      <c r="FE223" s="242"/>
      <c r="FF223" s="242"/>
      <c r="FG223" s="242"/>
      <c r="FH223" s="257"/>
      <c r="FI223" s="257"/>
      <c r="FJ223" s="257"/>
      <c r="FK223" s="257"/>
      <c r="FL223" s="257"/>
      <c r="FM223" s="257"/>
      <c r="FN223" s="257"/>
      <c r="FO223" s="257"/>
      <c r="FP223" s="257"/>
      <c r="FQ223" s="257"/>
      <c r="FR223" s="257"/>
      <c r="FS223" s="257"/>
      <c r="FT223" s="257"/>
      <c r="FU223" s="257"/>
      <c r="FV223" s="257"/>
      <c r="FW223" s="257"/>
      <c r="FX223" s="257"/>
      <c r="FY223" s="242"/>
      <c r="FZ223" s="242"/>
      <c r="GA223" s="242"/>
      <c r="GB223" s="242"/>
      <c r="GC223" s="242"/>
      <c r="GD223" s="242"/>
      <c r="GE223" s="242"/>
      <c r="GF223" s="242"/>
      <c r="GG223" s="242"/>
      <c r="GH223" s="242"/>
      <c r="GI223" s="242"/>
      <c r="GJ223" s="242"/>
      <c r="GK223" s="242"/>
      <c r="GL223" s="242"/>
      <c r="GM223" s="242"/>
      <c r="GN223" s="242"/>
      <c r="GO223" s="242"/>
      <c r="GP223" s="242"/>
      <c r="GQ223" s="242"/>
      <c r="GR223" s="242"/>
      <c r="GS223" s="242"/>
      <c r="GT223" s="242"/>
      <c r="GU223" s="242"/>
      <c r="GV223" s="242"/>
      <c r="GW223" s="242"/>
      <c r="GX223" s="242"/>
      <c r="GY223" s="242"/>
      <c r="GZ223" s="242"/>
      <c r="HA223" s="242"/>
      <c r="HB223" s="242"/>
      <c r="HC223" s="242"/>
      <c r="HD223" s="242"/>
      <c r="HE223" s="242"/>
      <c r="HF223" s="242"/>
      <c r="HG223" s="242"/>
      <c r="HH223" s="242"/>
      <c r="HI223" s="242"/>
      <c r="HJ223" s="242"/>
      <c r="HK223" s="242"/>
      <c r="HL223" s="242"/>
      <c r="HM223" s="242"/>
      <c r="HN223" s="242"/>
      <c r="HO223" s="242"/>
      <c r="HP223" s="242"/>
      <c r="HQ223" s="242"/>
      <c r="HR223" s="242"/>
      <c r="HS223" s="242"/>
      <c r="HT223" s="242"/>
      <c r="HU223" s="242"/>
      <c r="HV223" s="242"/>
      <c r="HW223" s="242"/>
      <c r="HX223" s="257"/>
      <c r="HY223" s="257"/>
      <c r="HZ223" s="257"/>
      <c r="IA223" s="257"/>
      <c r="IB223" s="257"/>
      <c r="IC223" s="257"/>
      <c r="ID223" s="257"/>
      <c r="IE223" s="257"/>
      <c r="IF223" s="257"/>
      <c r="IG223" s="257"/>
      <c r="IH223" s="257"/>
      <c r="II223" s="257"/>
      <c r="IJ223" s="257"/>
      <c r="IK223" s="257"/>
      <c r="IL223" s="257"/>
      <c r="IM223" s="257"/>
      <c r="IN223" s="257"/>
      <c r="IO223" s="257"/>
      <c r="IP223" s="257"/>
      <c r="IQ223" s="257"/>
      <c r="IR223" s="257"/>
      <c r="IS223" s="257"/>
      <c r="IT223" s="257"/>
      <c r="IU223" s="257"/>
      <c r="IV223" s="257"/>
      <c r="IW223" s="257"/>
      <c r="IX223" s="257"/>
      <c r="IY223" s="257"/>
      <c r="IZ223" s="257"/>
      <c r="JA223" s="257"/>
      <c r="JB223" s="257"/>
      <c r="JC223" s="257"/>
      <c r="JD223" s="257"/>
      <c r="JE223" s="257"/>
      <c r="JF223" s="242"/>
      <c r="JG223" s="242"/>
      <c r="JH223" s="242"/>
      <c r="JI223" s="242"/>
      <c r="JJ223" s="242"/>
      <c r="JK223" s="242"/>
      <c r="JL223" s="242"/>
      <c r="JM223" s="242"/>
      <c r="JN223" s="242"/>
      <c r="JO223" s="242"/>
      <c r="JP223" s="242"/>
      <c r="JQ223" s="242"/>
      <c r="JR223" s="242"/>
      <c r="JS223" s="242"/>
      <c r="JT223" s="242"/>
      <c r="JU223" s="242"/>
      <c r="JV223" s="242"/>
      <c r="JW223" s="242"/>
      <c r="JX223" s="242"/>
      <c r="JY223" s="242"/>
      <c r="JZ223" s="242"/>
      <c r="KA223" s="242"/>
      <c r="KB223" s="242"/>
      <c r="KC223" s="242"/>
      <c r="KD223" s="242"/>
      <c r="KE223" s="242"/>
      <c r="KF223" s="242"/>
      <c r="KG223" s="242"/>
      <c r="KH223" s="242"/>
      <c r="KI223" s="242"/>
      <c r="KJ223" s="242"/>
      <c r="KK223" s="242"/>
      <c r="KL223" s="242"/>
      <c r="KM223" s="242"/>
      <c r="KN223" s="242"/>
      <c r="KO223" s="242"/>
      <c r="KP223" s="242"/>
      <c r="KQ223" s="242"/>
      <c r="KR223" s="242"/>
      <c r="KS223" s="242"/>
      <c r="KT223" s="242"/>
      <c r="KU223" s="242"/>
      <c r="KV223" s="242"/>
      <c r="KW223" s="242"/>
      <c r="KX223" s="242"/>
      <c r="KY223" s="242"/>
      <c r="KZ223" s="242"/>
      <c r="LA223" s="242"/>
      <c r="LB223" s="242"/>
      <c r="LC223" s="242"/>
      <c r="LD223" s="242"/>
      <c r="LE223" s="242"/>
      <c r="LF223" s="242"/>
      <c r="LG223" s="242"/>
      <c r="LH223" s="242"/>
      <c r="LI223" s="242"/>
      <c r="LJ223" s="242"/>
      <c r="LK223" s="242"/>
      <c r="LL223" s="242"/>
      <c r="LM223" s="242"/>
      <c r="LN223" s="242"/>
      <c r="LO223" s="242"/>
      <c r="LP223" s="242"/>
      <c r="LQ223" s="242"/>
      <c r="LR223" s="242"/>
      <c r="LS223" s="242"/>
      <c r="LT223" s="242"/>
      <c r="LU223" s="242"/>
      <c r="LV223" s="242"/>
      <c r="LW223" s="242"/>
      <c r="LX223" s="242"/>
      <c r="LY223" s="242"/>
      <c r="LZ223" s="242"/>
      <c r="MA223" s="242"/>
      <c r="MB223" s="242"/>
      <c r="MC223" s="242"/>
      <c r="MD223" s="242"/>
      <c r="ME223" s="242"/>
      <c r="MF223" s="242"/>
      <c r="MG223" s="242"/>
      <c r="MH223" s="242"/>
      <c r="MI223" s="242"/>
      <c r="MJ223" s="242"/>
      <c r="MK223" s="242"/>
      <c r="ML223" s="242"/>
    </row>
    <row r="224" ht="18.75" customHeight="1">
      <c r="A224" s="283"/>
      <c r="B224" s="234" t="str">
        <f>'Building Bill of Materials_SLIM'!P224</f>
        <v/>
      </c>
      <c r="C224" s="234" t="str">
        <f>'Building Bill of Materials_SLIM'!Q224</f>
        <v/>
      </c>
      <c r="D224" s="234" t="str">
        <f>'Building Bill of Materials_SLIM'!R224</f>
        <v/>
      </c>
      <c r="E224" s="234" t="str">
        <f>'Building Bill of Materials_SLIM'!S224</f>
        <v/>
      </c>
      <c r="F224" s="234" t="str">
        <f>'Building Bill of Materials_SLIM'!U224</f>
        <v/>
      </c>
      <c r="G224" s="234"/>
      <c r="H224" s="234"/>
      <c r="I224" s="234"/>
      <c r="J224" s="234" t="str">
        <f>'Building Bill of Materials_SLIM'!V224</f>
        <v/>
      </c>
      <c r="K224" s="242"/>
      <c r="L224" s="242"/>
      <c r="M224" s="242"/>
      <c r="N224" s="242"/>
      <c r="O224" s="242"/>
      <c r="P224" s="242"/>
      <c r="Q224" s="242"/>
      <c r="R224" s="242"/>
      <c r="S224" s="242"/>
      <c r="T224" s="242"/>
      <c r="U224" s="242"/>
      <c r="V224" s="242"/>
      <c r="W224" s="242"/>
      <c r="X224" s="242"/>
      <c r="Y224" s="242"/>
      <c r="Z224" s="242"/>
      <c r="AA224" s="192"/>
      <c r="AB224" s="257"/>
      <c r="AC224" s="257"/>
      <c r="AD224" s="257"/>
      <c r="AE224" s="257"/>
      <c r="AF224" s="257"/>
      <c r="AG224" s="257"/>
      <c r="AH224" s="257"/>
      <c r="AI224" s="257"/>
      <c r="AJ224" s="257"/>
      <c r="AK224" s="257"/>
      <c r="AL224" s="257"/>
      <c r="AM224" s="257"/>
      <c r="AN224" s="257"/>
      <c r="AO224" s="257"/>
      <c r="AP224" s="257"/>
      <c r="AQ224" s="257"/>
      <c r="AR224" s="257"/>
      <c r="AS224" s="257"/>
      <c r="AT224" s="257"/>
      <c r="AU224" s="257"/>
      <c r="AV224" s="257"/>
      <c r="AW224" s="257"/>
      <c r="AX224" s="257"/>
      <c r="AY224" s="257"/>
      <c r="AZ224" s="257"/>
      <c r="BA224" s="257"/>
      <c r="BB224" s="257"/>
      <c r="BC224" s="257"/>
      <c r="BD224" s="257"/>
      <c r="BE224" s="257"/>
      <c r="BF224" s="257"/>
      <c r="BG224" s="257"/>
      <c r="BH224" s="257"/>
      <c r="BI224" s="257"/>
      <c r="BJ224" s="242"/>
      <c r="BK224" s="242"/>
      <c r="BL224" s="242"/>
      <c r="BM224" s="242"/>
      <c r="BN224" s="242"/>
      <c r="BO224" s="242"/>
      <c r="BP224" s="242"/>
      <c r="BQ224" s="242"/>
      <c r="BR224" s="242"/>
      <c r="BS224" s="242"/>
      <c r="BT224" s="242"/>
      <c r="BU224" s="242"/>
      <c r="BV224" s="242"/>
      <c r="BW224" s="242"/>
      <c r="BX224" s="242"/>
      <c r="BY224" s="242"/>
      <c r="BZ224" s="242"/>
      <c r="CA224" s="242"/>
      <c r="CB224" s="242"/>
      <c r="CC224" s="242"/>
      <c r="CD224" s="242"/>
      <c r="CE224" s="257"/>
      <c r="CF224" s="257"/>
      <c r="CG224" s="242"/>
      <c r="CH224" s="242"/>
      <c r="CI224" s="242"/>
      <c r="CJ224" s="242"/>
      <c r="CK224" s="242"/>
      <c r="CL224" s="242"/>
      <c r="CM224" s="242"/>
      <c r="CN224" s="242"/>
      <c r="CO224" s="242"/>
      <c r="CP224" s="242"/>
      <c r="CQ224" s="242"/>
      <c r="CR224" s="242"/>
      <c r="CS224" s="242"/>
      <c r="CT224" s="242"/>
      <c r="CU224" s="242"/>
      <c r="CV224" s="242"/>
      <c r="CW224" s="242"/>
      <c r="CX224" s="242"/>
      <c r="CY224" s="242"/>
      <c r="CZ224" s="242"/>
      <c r="DA224" s="242"/>
      <c r="DB224" s="242"/>
      <c r="DC224" s="242"/>
      <c r="DD224" s="242"/>
      <c r="DE224" s="242"/>
      <c r="DF224" s="242"/>
      <c r="DG224" s="257"/>
      <c r="DH224" s="242"/>
      <c r="DI224" s="242"/>
      <c r="DJ224" s="242"/>
      <c r="DK224" s="242"/>
      <c r="DL224" s="242"/>
      <c r="DM224" s="242"/>
      <c r="DN224" s="242"/>
      <c r="DO224" s="242"/>
      <c r="DP224" s="242"/>
      <c r="DQ224" s="242"/>
      <c r="DR224" s="242"/>
      <c r="DS224" s="242"/>
      <c r="DT224" s="242"/>
      <c r="DU224" s="242"/>
      <c r="DV224" s="242"/>
      <c r="DW224" s="242"/>
      <c r="DX224" s="242"/>
      <c r="DY224" s="242"/>
      <c r="DZ224" s="242"/>
      <c r="EA224" s="242"/>
      <c r="EB224" s="242"/>
      <c r="EC224" s="242"/>
      <c r="ED224" s="242"/>
      <c r="EE224" s="242"/>
      <c r="EF224" s="242"/>
      <c r="EG224" s="242"/>
      <c r="EH224" s="242"/>
      <c r="EI224" s="242"/>
      <c r="EJ224" s="242"/>
      <c r="EK224" s="242"/>
      <c r="EL224" s="242"/>
      <c r="EM224" s="242"/>
      <c r="EN224" s="242"/>
      <c r="EO224" s="242"/>
      <c r="EP224" s="242"/>
      <c r="EQ224" s="242"/>
      <c r="ER224" s="242"/>
      <c r="ES224" s="242"/>
      <c r="ET224" s="242"/>
      <c r="EU224" s="242"/>
      <c r="EV224" s="242"/>
      <c r="EW224" s="242"/>
      <c r="EX224" s="242"/>
      <c r="EY224" s="242"/>
      <c r="EZ224" s="242"/>
      <c r="FA224" s="242"/>
      <c r="FB224" s="242"/>
      <c r="FC224" s="242"/>
      <c r="FD224" s="242"/>
      <c r="FE224" s="242"/>
      <c r="FF224" s="242"/>
      <c r="FG224" s="242"/>
      <c r="FH224" s="257"/>
      <c r="FI224" s="257"/>
      <c r="FJ224" s="257"/>
      <c r="FK224" s="257"/>
      <c r="FL224" s="257"/>
      <c r="FM224" s="257"/>
      <c r="FN224" s="257"/>
      <c r="FO224" s="257"/>
      <c r="FP224" s="257"/>
      <c r="FQ224" s="257"/>
      <c r="FR224" s="257"/>
      <c r="FS224" s="257"/>
      <c r="FT224" s="257"/>
      <c r="FU224" s="257"/>
      <c r="FV224" s="257"/>
      <c r="FW224" s="257"/>
      <c r="FX224" s="257"/>
      <c r="FY224" s="242"/>
      <c r="FZ224" s="242"/>
      <c r="GA224" s="242"/>
      <c r="GB224" s="242"/>
      <c r="GC224" s="242"/>
      <c r="GD224" s="242"/>
      <c r="GE224" s="242"/>
      <c r="GF224" s="242"/>
      <c r="GG224" s="242"/>
      <c r="GH224" s="242"/>
      <c r="GI224" s="242"/>
      <c r="GJ224" s="242"/>
      <c r="GK224" s="242"/>
      <c r="GL224" s="242"/>
      <c r="GM224" s="242"/>
      <c r="GN224" s="242"/>
      <c r="GO224" s="242"/>
      <c r="GP224" s="242"/>
      <c r="GQ224" s="242"/>
      <c r="GR224" s="242"/>
      <c r="GS224" s="242"/>
      <c r="GT224" s="242"/>
      <c r="GU224" s="242"/>
      <c r="GV224" s="242"/>
      <c r="GW224" s="242"/>
      <c r="GX224" s="242"/>
      <c r="GY224" s="242"/>
      <c r="GZ224" s="242"/>
      <c r="HA224" s="242"/>
      <c r="HB224" s="242"/>
      <c r="HC224" s="242"/>
      <c r="HD224" s="242"/>
      <c r="HE224" s="242"/>
      <c r="HF224" s="242"/>
      <c r="HG224" s="242"/>
      <c r="HH224" s="242"/>
      <c r="HI224" s="242"/>
      <c r="HJ224" s="242"/>
      <c r="HK224" s="242"/>
      <c r="HL224" s="242"/>
      <c r="HM224" s="242"/>
      <c r="HN224" s="242"/>
      <c r="HO224" s="242"/>
      <c r="HP224" s="242"/>
      <c r="HQ224" s="242"/>
      <c r="HR224" s="242"/>
      <c r="HS224" s="242"/>
      <c r="HT224" s="242"/>
      <c r="HU224" s="242"/>
      <c r="HV224" s="242"/>
      <c r="HW224" s="242"/>
      <c r="HX224" s="257"/>
      <c r="HY224" s="257"/>
      <c r="HZ224" s="257"/>
      <c r="IA224" s="257"/>
      <c r="IB224" s="257"/>
      <c r="IC224" s="257"/>
      <c r="ID224" s="257"/>
      <c r="IE224" s="257"/>
      <c r="IF224" s="257"/>
      <c r="IG224" s="257"/>
      <c r="IH224" s="257"/>
      <c r="II224" s="257"/>
      <c r="IJ224" s="257"/>
      <c r="IK224" s="257"/>
      <c r="IL224" s="257"/>
      <c r="IM224" s="257"/>
      <c r="IN224" s="257"/>
      <c r="IO224" s="257"/>
      <c r="IP224" s="257"/>
      <c r="IQ224" s="257"/>
      <c r="IR224" s="257"/>
      <c r="IS224" s="257"/>
      <c r="IT224" s="257"/>
      <c r="IU224" s="257"/>
      <c r="IV224" s="257"/>
      <c r="IW224" s="257"/>
      <c r="IX224" s="257"/>
      <c r="IY224" s="257"/>
      <c r="IZ224" s="257"/>
      <c r="JA224" s="257"/>
      <c r="JB224" s="257"/>
      <c r="JC224" s="257"/>
      <c r="JD224" s="257"/>
      <c r="JE224" s="257"/>
      <c r="JF224" s="242"/>
      <c r="JG224" s="242"/>
      <c r="JH224" s="242"/>
      <c r="JI224" s="242"/>
      <c r="JJ224" s="242"/>
      <c r="JK224" s="242"/>
      <c r="JL224" s="242"/>
      <c r="JM224" s="242"/>
      <c r="JN224" s="242"/>
      <c r="JO224" s="242"/>
      <c r="JP224" s="242"/>
      <c r="JQ224" s="242"/>
      <c r="JR224" s="242"/>
      <c r="JS224" s="242"/>
      <c r="JT224" s="242"/>
      <c r="JU224" s="242"/>
      <c r="JV224" s="242"/>
      <c r="JW224" s="242"/>
      <c r="JX224" s="242"/>
      <c r="JY224" s="242"/>
      <c r="JZ224" s="242"/>
      <c r="KA224" s="242"/>
      <c r="KB224" s="242"/>
      <c r="KC224" s="242"/>
      <c r="KD224" s="242"/>
      <c r="KE224" s="242"/>
      <c r="KF224" s="242"/>
      <c r="KG224" s="242"/>
      <c r="KH224" s="242"/>
      <c r="KI224" s="242"/>
      <c r="KJ224" s="242"/>
      <c r="KK224" s="242"/>
      <c r="KL224" s="242"/>
      <c r="KM224" s="242"/>
      <c r="KN224" s="242"/>
      <c r="KO224" s="242"/>
      <c r="KP224" s="242"/>
      <c r="KQ224" s="242"/>
      <c r="KR224" s="242"/>
      <c r="KS224" s="242"/>
      <c r="KT224" s="242"/>
      <c r="KU224" s="242"/>
      <c r="KV224" s="242"/>
      <c r="KW224" s="242"/>
      <c r="KX224" s="242"/>
      <c r="KY224" s="242"/>
      <c r="KZ224" s="242"/>
      <c r="LA224" s="242"/>
      <c r="LB224" s="242"/>
      <c r="LC224" s="242"/>
      <c r="LD224" s="242"/>
      <c r="LE224" s="242"/>
      <c r="LF224" s="242"/>
      <c r="LG224" s="242"/>
      <c r="LH224" s="242"/>
      <c r="LI224" s="242"/>
      <c r="LJ224" s="242"/>
      <c r="LK224" s="242"/>
      <c r="LL224" s="242"/>
      <c r="LM224" s="242"/>
      <c r="LN224" s="242"/>
      <c r="LO224" s="242"/>
      <c r="LP224" s="242"/>
      <c r="LQ224" s="242"/>
      <c r="LR224" s="242"/>
      <c r="LS224" s="242"/>
      <c r="LT224" s="242"/>
      <c r="LU224" s="242"/>
      <c r="LV224" s="242"/>
      <c r="LW224" s="242"/>
      <c r="LX224" s="242"/>
      <c r="LY224" s="242"/>
      <c r="LZ224" s="242"/>
      <c r="MA224" s="242"/>
      <c r="MB224" s="242"/>
      <c r="MC224" s="242"/>
      <c r="MD224" s="242"/>
      <c r="ME224" s="242"/>
      <c r="MF224" s="242"/>
      <c r="MG224" s="242"/>
      <c r="MH224" s="242"/>
      <c r="MI224" s="242"/>
      <c r="MJ224" s="242"/>
      <c r="MK224" s="242"/>
      <c r="ML224" s="242"/>
    </row>
    <row r="225" ht="18.75" customHeight="1">
      <c r="A225" s="283"/>
      <c r="B225" s="234" t="str">
        <f>'Building Bill of Materials_SLIM'!P225</f>
        <v/>
      </c>
      <c r="C225" s="234" t="str">
        <f>'Building Bill of Materials_SLIM'!Q225</f>
        <v/>
      </c>
      <c r="D225" s="234" t="str">
        <f>'Building Bill of Materials_SLIM'!R225</f>
        <v/>
      </c>
      <c r="E225" s="234" t="str">
        <f>'Building Bill of Materials_SLIM'!S225</f>
        <v/>
      </c>
      <c r="F225" s="234" t="str">
        <f>'Building Bill of Materials_SLIM'!U225</f>
        <v/>
      </c>
      <c r="G225" s="234"/>
      <c r="H225" s="234"/>
      <c r="I225" s="234"/>
      <c r="J225" s="234" t="str">
        <f>'Building Bill of Materials_SLIM'!V225</f>
        <v/>
      </c>
      <c r="K225" s="242"/>
      <c r="L225" s="242"/>
      <c r="M225" s="242"/>
      <c r="N225" s="242"/>
      <c r="O225" s="242"/>
      <c r="P225" s="242"/>
      <c r="Q225" s="242"/>
      <c r="R225" s="242"/>
      <c r="S225" s="242"/>
      <c r="T225" s="242"/>
      <c r="U225" s="242"/>
      <c r="V225" s="242"/>
      <c r="W225" s="242"/>
      <c r="X225" s="242"/>
      <c r="Y225" s="242"/>
      <c r="Z225" s="242"/>
      <c r="AA225" s="192"/>
      <c r="AB225" s="257"/>
      <c r="AC225" s="257"/>
      <c r="AD225" s="257"/>
      <c r="AE225" s="257"/>
      <c r="AF225" s="257"/>
      <c r="AG225" s="257"/>
      <c r="AH225" s="257"/>
      <c r="AI225" s="257"/>
      <c r="AJ225" s="257"/>
      <c r="AK225" s="257"/>
      <c r="AL225" s="257"/>
      <c r="AM225" s="257"/>
      <c r="AN225" s="257"/>
      <c r="AO225" s="257"/>
      <c r="AP225" s="257"/>
      <c r="AQ225" s="257"/>
      <c r="AR225" s="257"/>
      <c r="AS225" s="257"/>
      <c r="AT225" s="257"/>
      <c r="AU225" s="257"/>
      <c r="AV225" s="257"/>
      <c r="AW225" s="257"/>
      <c r="AX225" s="257"/>
      <c r="AY225" s="257"/>
      <c r="AZ225" s="257"/>
      <c r="BA225" s="257"/>
      <c r="BB225" s="257"/>
      <c r="BC225" s="257"/>
      <c r="BD225" s="257"/>
      <c r="BE225" s="257"/>
      <c r="BF225" s="257"/>
      <c r="BG225" s="257"/>
      <c r="BH225" s="257"/>
      <c r="BI225" s="257"/>
      <c r="BJ225" s="242"/>
      <c r="BK225" s="242"/>
      <c r="BL225" s="242"/>
      <c r="BM225" s="242"/>
      <c r="BN225" s="242"/>
      <c r="BO225" s="242"/>
      <c r="BP225" s="242"/>
      <c r="BQ225" s="242"/>
      <c r="BR225" s="242"/>
      <c r="BS225" s="242"/>
      <c r="BT225" s="242"/>
      <c r="BU225" s="242"/>
      <c r="BV225" s="242"/>
      <c r="BW225" s="242"/>
      <c r="BX225" s="242"/>
      <c r="BY225" s="242"/>
      <c r="BZ225" s="242"/>
      <c r="CA225" s="242"/>
      <c r="CB225" s="242"/>
      <c r="CC225" s="242"/>
      <c r="CD225" s="242"/>
      <c r="CE225" s="257"/>
      <c r="CF225" s="257"/>
      <c r="CG225" s="242"/>
      <c r="CH225" s="242"/>
      <c r="CI225" s="242"/>
      <c r="CJ225" s="242"/>
      <c r="CK225" s="242"/>
      <c r="CL225" s="242"/>
      <c r="CM225" s="242"/>
      <c r="CN225" s="242"/>
      <c r="CO225" s="242"/>
      <c r="CP225" s="242"/>
      <c r="CQ225" s="242"/>
      <c r="CR225" s="242"/>
      <c r="CS225" s="242"/>
      <c r="CT225" s="242"/>
      <c r="CU225" s="242"/>
      <c r="CV225" s="242"/>
      <c r="CW225" s="242"/>
      <c r="CX225" s="242"/>
      <c r="CY225" s="242"/>
      <c r="CZ225" s="242"/>
      <c r="DA225" s="242"/>
      <c r="DB225" s="242"/>
      <c r="DC225" s="242"/>
      <c r="DD225" s="242"/>
      <c r="DE225" s="242"/>
      <c r="DF225" s="242"/>
      <c r="DG225" s="257"/>
      <c r="DH225" s="242"/>
      <c r="DI225" s="242"/>
      <c r="DJ225" s="242"/>
      <c r="DK225" s="242"/>
      <c r="DL225" s="242"/>
      <c r="DM225" s="242"/>
      <c r="DN225" s="242"/>
      <c r="DO225" s="242"/>
      <c r="DP225" s="242"/>
      <c r="DQ225" s="242"/>
      <c r="DR225" s="242"/>
      <c r="DS225" s="242"/>
      <c r="DT225" s="242"/>
      <c r="DU225" s="242"/>
      <c r="DV225" s="242"/>
      <c r="DW225" s="242"/>
      <c r="DX225" s="242"/>
      <c r="DY225" s="242"/>
      <c r="DZ225" s="242"/>
      <c r="EA225" s="242"/>
      <c r="EB225" s="242"/>
      <c r="EC225" s="242"/>
      <c r="ED225" s="242"/>
      <c r="EE225" s="242"/>
      <c r="EF225" s="242"/>
      <c r="EG225" s="242"/>
      <c r="EH225" s="242"/>
      <c r="EI225" s="242"/>
      <c r="EJ225" s="242"/>
      <c r="EK225" s="242"/>
      <c r="EL225" s="242"/>
      <c r="EM225" s="242"/>
      <c r="EN225" s="242"/>
      <c r="EO225" s="242"/>
      <c r="EP225" s="242"/>
      <c r="EQ225" s="242"/>
      <c r="ER225" s="242"/>
      <c r="ES225" s="242"/>
      <c r="ET225" s="242"/>
      <c r="EU225" s="242"/>
      <c r="EV225" s="242"/>
      <c r="EW225" s="242"/>
      <c r="EX225" s="242"/>
      <c r="EY225" s="242"/>
      <c r="EZ225" s="242"/>
      <c r="FA225" s="242"/>
      <c r="FB225" s="242"/>
      <c r="FC225" s="242"/>
      <c r="FD225" s="242"/>
      <c r="FE225" s="242"/>
      <c r="FF225" s="242"/>
      <c r="FG225" s="242"/>
      <c r="FH225" s="257"/>
      <c r="FI225" s="257"/>
      <c r="FJ225" s="257"/>
      <c r="FK225" s="257"/>
      <c r="FL225" s="257"/>
      <c r="FM225" s="257"/>
      <c r="FN225" s="257"/>
      <c r="FO225" s="257"/>
      <c r="FP225" s="257"/>
      <c r="FQ225" s="257"/>
      <c r="FR225" s="257"/>
      <c r="FS225" s="257"/>
      <c r="FT225" s="257"/>
      <c r="FU225" s="257"/>
      <c r="FV225" s="257"/>
      <c r="FW225" s="257"/>
      <c r="FX225" s="257"/>
      <c r="FY225" s="242"/>
      <c r="FZ225" s="242"/>
      <c r="GA225" s="242"/>
      <c r="GB225" s="242"/>
      <c r="GC225" s="242"/>
      <c r="GD225" s="242"/>
      <c r="GE225" s="242"/>
      <c r="GF225" s="242"/>
      <c r="GG225" s="242"/>
      <c r="GH225" s="242"/>
      <c r="GI225" s="242"/>
      <c r="GJ225" s="242"/>
      <c r="GK225" s="242"/>
      <c r="GL225" s="242"/>
      <c r="GM225" s="242"/>
      <c r="GN225" s="242"/>
      <c r="GO225" s="242"/>
      <c r="GP225" s="242"/>
      <c r="GQ225" s="242"/>
      <c r="GR225" s="242"/>
      <c r="GS225" s="242"/>
      <c r="GT225" s="242"/>
      <c r="GU225" s="242"/>
      <c r="GV225" s="242"/>
      <c r="GW225" s="242"/>
      <c r="GX225" s="242"/>
      <c r="GY225" s="242"/>
      <c r="GZ225" s="242"/>
      <c r="HA225" s="242"/>
      <c r="HB225" s="242"/>
      <c r="HC225" s="242"/>
      <c r="HD225" s="242"/>
      <c r="HE225" s="242"/>
      <c r="HF225" s="242"/>
      <c r="HG225" s="242"/>
      <c r="HH225" s="242"/>
      <c r="HI225" s="242"/>
      <c r="HJ225" s="242"/>
      <c r="HK225" s="242"/>
      <c r="HL225" s="242"/>
      <c r="HM225" s="242"/>
      <c r="HN225" s="242"/>
      <c r="HO225" s="242"/>
      <c r="HP225" s="242"/>
      <c r="HQ225" s="242"/>
      <c r="HR225" s="242"/>
      <c r="HS225" s="242"/>
      <c r="HT225" s="242"/>
      <c r="HU225" s="242"/>
      <c r="HV225" s="242"/>
      <c r="HW225" s="242"/>
      <c r="HX225" s="257"/>
      <c r="HY225" s="257"/>
      <c r="HZ225" s="257"/>
      <c r="IA225" s="257"/>
      <c r="IB225" s="257"/>
      <c r="IC225" s="257"/>
      <c r="ID225" s="257"/>
      <c r="IE225" s="257"/>
      <c r="IF225" s="257"/>
      <c r="IG225" s="257"/>
      <c r="IH225" s="257"/>
      <c r="II225" s="257"/>
      <c r="IJ225" s="257"/>
      <c r="IK225" s="257"/>
      <c r="IL225" s="257"/>
      <c r="IM225" s="257"/>
      <c r="IN225" s="257"/>
      <c r="IO225" s="257"/>
      <c r="IP225" s="257"/>
      <c r="IQ225" s="257"/>
      <c r="IR225" s="257"/>
      <c r="IS225" s="257"/>
      <c r="IT225" s="257"/>
      <c r="IU225" s="257"/>
      <c r="IV225" s="257"/>
      <c r="IW225" s="257"/>
      <c r="IX225" s="257"/>
      <c r="IY225" s="257"/>
      <c r="IZ225" s="257"/>
      <c r="JA225" s="257"/>
      <c r="JB225" s="257"/>
      <c r="JC225" s="257"/>
      <c r="JD225" s="257"/>
      <c r="JE225" s="257"/>
      <c r="JF225" s="242"/>
      <c r="JG225" s="242"/>
      <c r="JH225" s="242"/>
      <c r="JI225" s="242"/>
      <c r="JJ225" s="242"/>
      <c r="JK225" s="242"/>
      <c r="JL225" s="242"/>
      <c r="JM225" s="242"/>
      <c r="JN225" s="242"/>
      <c r="JO225" s="242"/>
      <c r="JP225" s="242"/>
      <c r="JQ225" s="242"/>
      <c r="JR225" s="242"/>
      <c r="JS225" s="242"/>
      <c r="JT225" s="242"/>
      <c r="JU225" s="242"/>
      <c r="JV225" s="242"/>
      <c r="JW225" s="242"/>
      <c r="JX225" s="242"/>
      <c r="JY225" s="242"/>
      <c r="JZ225" s="242"/>
      <c r="KA225" s="242"/>
      <c r="KB225" s="242"/>
      <c r="KC225" s="242"/>
      <c r="KD225" s="242"/>
      <c r="KE225" s="242"/>
      <c r="KF225" s="242"/>
      <c r="KG225" s="242"/>
      <c r="KH225" s="242"/>
      <c r="KI225" s="242"/>
      <c r="KJ225" s="242"/>
      <c r="KK225" s="242"/>
      <c r="KL225" s="242"/>
      <c r="KM225" s="242"/>
      <c r="KN225" s="242"/>
      <c r="KO225" s="242"/>
      <c r="KP225" s="242"/>
      <c r="KQ225" s="242"/>
      <c r="KR225" s="242"/>
      <c r="KS225" s="242"/>
      <c r="KT225" s="242"/>
      <c r="KU225" s="242"/>
      <c r="KV225" s="242"/>
      <c r="KW225" s="242"/>
      <c r="KX225" s="242"/>
      <c r="KY225" s="242"/>
      <c r="KZ225" s="242"/>
      <c r="LA225" s="242"/>
      <c r="LB225" s="242"/>
      <c r="LC225" s="242"/>
      <c r="LD225" s="242"/>
      <c r="LE225" s="242"/>
      <c r="LF225" s="242"/>
      <c r="LG225" s="242"/>
      <c r="LH225" s="242"/>
      <c r="LI225" s="242"/>
      <c r="LJ225" s="242"/>
      <c r="LK225" s="242"/>
      <c r="LL225" s="242"/>
      <c r="LM225" s="242"/>
      <c r="LN225" s="242"/>
      <c r="LO225" s="242"/>
      <c r="LP225" s="242"/>
      <c r="LQ225" s="242"/>
      <c r="LR225" s="242"/>
      <c r="LS225" s="242"/>
      <c r="LT225" s="242"/>
      <c r="LU225" s="242"/>
      <c r="LV225" s="242"/>
      <c r="LW225" s="242"/>
      <c r="LX225" s="242"/>
      <c r="LY225" s="242"/>
      <c r="LZ225" s="242"/>
      <c r="MA225" s="242"/>
      <c r="MB225" s="242"/>
      <c r="MC225" s="242"/>
      <c r="MD225" s="242"/>
      <c r="ME225" s="242"/>
      <c r="MF225" s="242"/>
      <c r="MG225" s="242"/>
      <c r="MH225" s="242"/>
      <c r="MI225" s="242"/>
      <c r="MJ225" s="242"/>
      <c r="MK225" s="242"/>
      <c r="ML225" s="242"/>
    </row>
    <row r="226" ht="18.75" customHeight="1">
      <c r="A226" s="283"/>
      <c r="B226" s="234" t="str">
        <f>'Building Bill of Materials_SLIM'!P226</f>
        <v/>
      </c>
      <c r="C226" s="234" t="str">
        <f>'Building Bill of Materials_SLIM'!Q226</f>
        <v/>
      </c>
      <c r="D226" s="234" t="str">
        <f>'Building Bill of Materials_SLIM'!R226</f>
        <v/>
      </c>
      <c r="E226" s="234" t="str">
        <f>'Building Bill of Materials_SLIM'!S226</f>
        <v/>
      </c>
      <c r="F226" s="234" t="str">
        <f>'Building Bill of Materials_SLIM'!U226</f>
        <v/>
      </c>
      <c r="G226" s="234"/>
      <c r="H226" s="234"/>
      <c r="I226" s="234"/>
      <c r="J226" s="234" t="str">
        <f>'Building Bill of Materials_SLIM'!V226</f>
        <v/>
      </c>
      <c r="K226" s="242"/>
      <c r="L226" s="242"/>
      <c r="M226" s="242"/>
      <c r="N226" s="242"/>
      <c r="O226" s="242"/>
      <c r="P226" s="242"/>
      <c r="Q226" s="242"/>
      <c r="R226" s="242"/>
      <c r="S226" s="242"/>
      <c r="T226" s="242"/>
      <c r="U226" s="242"/>
      <c r="V226" s="242"/>
      <c r="W226" s="242"/>
      <c r="X226" s="242"/>
      <c r="Y226" s="242"/>
      <c r="Z226" s="242"/>
      <c r="AA226" s="192"/>
      <c r="AB226" s="257"/>
      <c r="AC226" s="257"/>
      <c r="AD226" s="257"/>
      <c r="AE226" s="257"/>
      <c r="AF226" s="257"/>
      <c r="AG226" s="257"/>
      <c r="AH226" s="257"/>
      <c r="AI226" s="257"/>
      <c r="AJ226" s="257"/>
      <c r="AK226" s="257"/>
      <c r="AL226" s="257"/>
      <c r="AM226" s="257"/>
      <c r="AN226" s="257"/>
      <c r="AO226" s="257"/>
      <c r="AP226" s="257"/>
      <c r="AQ226" s="257"/>
      <c r="AR226" s="257"/>
      <c r="AS226" s="257"/>
      <c r="AT226" s="257"/>
      <c r="AU226" s="257"/>
      <c r="AV226" s="257"/>
      <c r="AW226" s="257"/>
      <c r="AX226" s="257"/>
      <c r="AY226" s="257"/>
      <c r="AZ226" s="257"/>
      <c r="BA226" s="257"/>
      <c r="BB226" s="257"/>
      <c r="BC226" s="257"/>
      <c r="BD226" s="257"/>
      <c r="BE226" s="257"/>
      <c r="BF226" s="257"/>
      <c r="BG226" s="257"/>
      <c r="BH226" s="257"/>
      <c r="BI226" s="257"/>
      <c r="BJ226" s="242"/>
      <c r="BK226" s="242"/>
      <c r="BL226" s="242"/>
      <c r="BM226" s="242"/>
      <c r="BN226" s="242"/>
      <c r="BO226" s="242"/>
      <c r="BP226" s="242"/>
      <c r="BQ226" s="242"/>
      <c r="BR226" s="242"/>
      <c r="BS226" s="242"/>
      <c r="BT226" s="242"/>
      <c r="BU226" s="242"/>
      <c r="BV226" s="242"/>
      <c r="BW226" s="242"/>
      <c r="BX226" s="242"/>
      <c r="BY226" s="242"/>
      <c r="BZ226" s="242"/>
      <c r="CA226" s="242"/>
      <c r="CB226" s="242"/>
      <c r="CC226" s="242"/>
      <c r="CD226" s="242"/>
      <c r="CE226" s="257"/>
      <c r="CF226" s="257"/>
      <c r="CG226" s="242"/>
      <c r="CH226" s="242"/>
      <c r="CI226" s="242"/>
      <c r="CJ226" s="242"/>
      <c r="CK226" s="242"/>
      <c r="CL226" s="242"/>
      <c r="CM226" s="242"/>
      <c r="CN226" s="242"/>
      <c r="CO226" s="242"/>
      <c r="CP226" s="242"/>
      <c r="CQ226" s="242"/>
      <c r="CR226" s="242"/>
      <c r="CS226" s="242"/>
      <c r="CT226" s="242"/>
      <c r="CU226" s="242"/>
      <c r="CV226" s="242"/>
      <c r="CW226" s="242"/>
      <c r="CX226" s="242"/>
      <c r="CY226" s="242"/>
      <c r="CZ226" s="242"/>
      <c r="DA226" s="242"/>
      <c r="DB226" s="242"/>
      <c r="DC226" s="242"/>
      <c r="DD226" s="242"/>
      <c r="DE226" s="242"/>
      <c r="DF226" s="242"/>
      <c r="DG226" s="257"/>
      <c r="DH226" s="242"/>
      <c r="DI226" s="242"/>
      <c r="DJ226" s="242"/>
      <c r="DK226" s="242"/>
      <c r="DL226" s="242"/>
      <c r="DM226" s="242"/>
      <c r="DN226" s="242"/>
      <c r="DO226" s="242"/>
      <c r="DP226" s="242"/>
      <c r="DQ226" s="242"/>
      <c r="DR226" s="242"/>
      <c r="DS226" s="242"/>
      <c r="DT226" s="242"/>
      <c r="DU226" s="242"/>
      <c r="DV226" s="242"/>
      <c r="DW226" s="242"/>
      <c r="DX226" s="242"/>
      <c r="DY226" s="242"/>
      <c r="DZ226" s="242"/>
      <c r="EA226" s="242"/>
      <c r="EB226" s="242"/>
      <c r="EC226" s="242"/>
      <c r="ED226" s="242"/>
      <c r="EE226" s="242"/>
      <c r="EF226" s="242"/>
      <c r="EG226" s="242"/>
      <c r="EH226" s="242"/>
      <c r="EI226" s="242"/>
      <c r="EJ226" s="242"/>
      <c r="EK226" s="242"/>
      <c r="EL226" s="242"/>
      <c r="EM226" s="242"/>
      <c r="EN226" s="242"/>
      <c r="EO226" s="242"/>
      <c r="EP226" s="242"/>
      <c r="EQ226" s="242"/>
      <c r="ER226" s="242"/>
      <c r="ES226" s="242"/>
      <c r="ET226" s="242"/>
      <c r="EU226" s="242"/>
      <c r="EV226" s="242"/>
      <c r="EW226" s="242"/>
      <c r="EX226" s="242"/>
      <c r="EY226" s="242"/>
      <c r="EZ226" s="242"/>
      <c r="FA226" s="242"/>
      <c r="FB226" s="242"/>
      <c r="FC226" s="242"/>
      <c r="FD226" s="242"/>
      <c r="FE226" s="242"/>
      <c r="FF226" s="242"/>
      <c r="FG226" s="242"/>
      <c r="FH226" s="257"/>
      <c r="FI226" s="257"/>
      <c r="FJ226" s="257"/>
      <c r="FK226" s="257"/>
      <c r="FL226" s="257"/>
      <c r="FM226" s="257"/>
      <c r="FN226" s="257"/>
      <c r="FO226" s="257"/>
      <c r="FP226" s="257"/>
      <c r="FQ226" s="257"/>
      <c r="FR226" s="257"/>
      <c r="FS226" s="257"/>
      <c r="FT226" s="257"/>
      <c r="FU226" s="257"/>
      <c r="FV226" s="257"/>
      <c r="FW226" s="257"/>
      <c r="FX226" s="257"/>
      <c r="FY226" s="242"/>
      <c r="FZ226" s="242"/>
      <c r="GA226" s="242"/>
      <c r="GB226" s="242"/>
      <c r="GC226" s="242"/>
      <c r="GD226" s="242"/>
      <c r="GE226" s="242"/>
      <c r="GF226" s="242"/>
      <c r="GG226" s="242"/>
      <c r="GH226" s="242"/>
      <c r="GI226" s="242"/>
      <c r="GJ226" s="242"/>
      <c r="GK226" s="242"/>
      <c r="GL226" s="242"/>
      <c r="GM226" s="242"/>
      <c r="GN226" s="242"/>
      <c r="GO226" s="242"/>
      <c r="GP226" s="242"/>
      <c r="GQ226" s="242"/>
      <c r="GR226" s="242"/>
      <c r="GS226" s="242"/>
      <c r="GT226" s="242"/>
      <c r="GU226" s="242"/>
      <c r="GV226" s="242"/>
      <c r="GW226" s="242"/>
      <c r="GX226" s="242"/>
      <c r="GY226" s="242"/>
      <c r="GZ226" s="242"/>
      <c r="HA226" s="242"/>
      <c r="HB226" s="242"/>
      <c r="HC226" s="242"/>
      <c r="HD226" s="242"/>
      <c r="HE226" s="242"/>
      <c r="HF226" s="242"/>
      <c r="HG226" s="242"/>
      <c r="HH226" s="242"/>
      <c r="HI226" s="242"/>
      <c r="HJ226" s="242"/>
      <c r="HK226" s="242"/>
      <c r="HL226" s="242"/>
      <c r="HM226" s="242"/>
      <c r="HN226" s="242"/>
      <c r="HO226" s="242"/>
      <c r="HP226" s="242"/>
      <c r="HQ226" s="242"/>
      <c r="HR226" s="242"/>
      <c r="HS226" s="242"/>
      <c r="HT226" s="242"/>
      <c r="HU226" s="242"/>
      <c r="HV226" s="242"/>
      <c r="HW226" s="242"/>
      <c r="HX226" s="257"/>
      <c r="HY226" s="257"/>
      <c r="HZ226" s="257"/>
      <c r="IA226" s="257"/>
      <c r="IB226" s="257"/>
      <c r="IC226" s="257"/>
      <c r="ID226" s="257"/>
      <c r="IE226" s="257"/>
      <c r="IF226" s="257"/>
      <c r="IG226" s="257"/>
      <c r="IH226" s="257"/>
      <c r="II226" s="257"/>
      <c r="IJ226" s="257"/>
      <c r="IK226" s="257"/>
      <c r="IL226" s="257"/>
      <c r="IM226" s="257"/>
      <c r="IN226" s="257"/>
      <c r="IO226" s="257"/>
      <c r="IP226" s="257"/>
      <c r="IQ226" s="257"/>
      <c r="IR226" s="257"/>
      <c r="IS226" s="257"/>
      <c r="IT226" s="257"/>
      <c r="IU226" s="257"/>
      <c r="IV226" s="257"/>
      <c r="IW226" s="257"/>
      <c r="IX226" s="257"/>
      <c r="IY226" s="257"/>
      <c r="IZ226" s="257"/>
      <c r="JA226" s="257"/>
      <c r="JB226" s="257"/>
      <c r="JC226" s="257"/>
      <c r="JD226" s="257"/>
      <c r="JE226" s="257"/>
      <c r="JF226" s="242"/>
      <c r="JG226" s="242"/>
      <c r="JH226" s="242"/>
      <c r="JI226" s="242"/>
      <c r="JJ226" s="242"/>
      <c r="JK226" s="242"/>
      <c r="JL226" s="242"/>
      <c r="JM226" s="242"/>
      <c r="JN226" s="242"/>
      <c r="JO226" s="242"/>
      <c r="JP226" s="242"/>
      <c r="JQ226" s="242"/>
      <c r="JR226" s="242"/>
      <c r="JS226" s="242"/>
      <c r="JT226" s="242"/>
      <c r="JU226" s="242"/>
      <c r="JV226" s="242"/>
      <c r="JW226" s="242"/>
      <c r="JX226" s="242"/>
      <c r="JY226" s="242"/>
      <c r="JZ226" s="242"/>
      <c r="KA226" s="242"/>
      <c r="KB226" s="242"/>
      <c r="KC226" s="242"/>
      <c r="KD226" s="242"/>
      <c r="KE226" s="242"/>
      <c r="KF226" s="242"/>
      <c r="KG226" s="242"/>
      <c r="KH226" s="242"/>
      <c r="KI226" s="242"/>
      <c r="KJ226" s="242"/>
      <c r="KK226" s="242"/>
      <c r="KL226" s="242"/>
      <c r="KM226" s="242"/>
      <c r="KN226" s="242"/>
      <c r="KO226" s="242"/>
      <c r="KP226" s="242"/>
      <c r="KQ226" s="242"/>
      <c r="KR226" s="242"/>
      <c r="KS226" s="242"/>
      <c r="KT226" s="242"/>
      <c r="KU226" s="242"/>
      <c r="KV226" s="242"/>
      <c r="KW226" s="242"/>
      <c r="KX226" s="242"/>
      <c r="KY226" s="242"/>
      <c r="KZ226" s="242"/>
      <c r="LA226" s="242"/>
      <c r="LB226" s="242"/>
      <c r="LC226" s="242"/>
      <c r="LD226" s="242"/>
      <c r="LE226" s="242"/>
      <c r="LF226" s="242"/>
      <c r="LG226" s="242"/>
      <c r="LH226" s="242"/>
      <c r="LI226" s="242"/>
      <c r="LJ226" s="242"/>
      <c r="LK226" s="242"/>
      <c r="LL226" s="242"/>
      <c r="LM226" s="242"/>
      <c r="LN226" s="242"/>
      <c r="LO226" s="242"/>
      <c r="LP226" s="242"/>
      <c r="LQ226" s="242"/>
      <c r="LR226" s="242"/>
      <c r="LS226" s="242"/>
      <c r="LT226" s="242"/>
      <c r="LU226" s="242"/>
      <c r="LV226" s="242"/>
      <c r="LW226" s="242"/>
      <c r="LX226" s="242"/>
      <c r="LY226" s="242"/>
      <c r="LZ226" s="242"/>
      <c r="MA226" s="242"/>
      <c r="MB226" s="242"/>
      <c r="MC226" s="242"/>
      <c r="MD226" s="242"/>
      <c r="ME226" s="242"/>
      <c r="MF226" s="242"/>
      <c r="MG226" s="242"/>
      <c r="MH226" s="242"/>
      <c r="MI226" s="242"/>
      <c r="MJ226" s="242"/>
      <c r="MK226" s="242"/>
      <c r="ML226" s="242"/>
    </row>
    <row r="227" ht="18.75" customHeight="1">
      <c r="A227" s="283"/>
      <c r="B227" s="234" t="str">
        <f>'Building Bill of Materials_SLIM'!P227</f>
        <v/>
      </c>
      <c r="C227" s="234" t="str">
        <f>'Building Bill of Materials_SLIM'!Q227</f>
        <v/>
      </c>
      <c r="D227" s="234" t="str">
        <f>'Building Bill of Materials_SLIM'!R227</f>
        <v/>
      </c>
      <c r="E227" s="234" t="str">
        <f>'Building Bill of Materials_SLIM'!S227</f>
        <v/>
      </c>
      <c r="F227" s="234" t="str">
        <f>'Building Bill of Materials_SLIM'!U227</f>
        <v/>
      </c>
      <c r="G227" s="234"/>
      <c r="H227" s="234"/>
      <c r="I227" s="234"/>
      <c r="J227" s="234" t="str">
        <f>'Building Bill of Materials_SLIM'!V227</f>
        <v/>
      </c>
      <c r="K227" s="242"/>
      <c r="L227" s="242"/>
      <c r="M227" s="242"/>
      <c r="N227" s="242"/>
      <c r="O227" s="242"/>
      <c r="P227" s="242"/>
      <c r="Q227" s="242"/>
      <c r="R227" s="242"/>
      <c r="S227" s="242"/>
      <c r="T227" s="242"/>
      <c r="U227" s="242"/>
      <c r="V227" s="242"/>
      <c r="W227" s="242"/>
      <c r="X227" s="242"/>
      <c r="Y227" s="242"/>
      <c r="Z227" s="242"/>
      <c r="AA227" s="192"/>
      <c r="AB227" s="257"/>
      <c r="AC227" s="257"/>
      <c r="AD227" s="257"/>
      <c r="AE227" s="257"/>
      <c r="AF227" s="257"/>
      <c r="AG227" s="257"/>
      <c r="AH227" s="257"/>
      <c r="AI227" s="257"/>
      <c r="AJ227" s="257"/>
      <c r="AK227" s="257"/>
      <c r="AL227" s="257"/>
      <c r="AM227" s="257"/>
      <c r="AN227" s="257"/>
      <c r="AO227" s="257"/>
      <c r="AP227" s="257"/>
      <c r="AQ227" s="257"/>
      <c r="AR227" s="257"/>
      <c r="AS227" s="257"/>
      <c r="AT227" s="257"/>
      <c r="AU227" s="257"/>
      <c r="AV227" s="257"/>
      <c r="AW227" s="257"/>
      <c r="AX227" s="257"/>
      <c r="AY227" s="257"/>
      <c r="AZ227" s="257"/>
      <c r="BA227" s="257"/>
      <c r="BB227" s="257"/>
      <c r="BC227" s="257"/>
      <c r="BD227" s="257"/>
      <c r="BE227" s="257"/>
      <c r="BF227" s="257"/>
      <c r="BG227" s="257"/>
      <c r="BH227" s="257"/>
      <c r="BI227" s="257"/>
      <c r="BJ227" s="242"/>
      <c r="BK227" s="242"/>
      <c r="BL227" s="242"/>
      <c r="BM227" s="242"/>
      <c r="BN227" s="242"/>
      <c r="BO227" s="242"/>
      <c r="BP227" s="242"/>
      <c r="BQ227" s="242"/>
      <c r="BR227" s="242"/>
      <c r="BS227" s="242"/>
      <c r="BT227" s="242"/>
      <c r="BU227" s="242"/>
      <c r="BV227" s="242"/>
      <c r="BW227" s="242"/>
      <c r="BX227" s="242"/>
      <c r="BY227" s="242"/>
      <c r="BZ227" s="242"/>
      <c r="CA227" s="242"/>
      <c r="CB227" s="242"/>
      <c r="CC227" s="242"/>
      <c r="CD227" s="242"/>
      <c r="CE227" s="257"/>
      <c r="CF227" s="257"/>
      <c r="CG227" s="242"/>
      <c r="CH227" s="242"/>
      <c r="CI227" s="242"/>
      <c r="CJ227" s="242"/>
      <c r="CK227" s="242"/>
      <c r="CL227" s="242"/>
      <c r="CM227" s="242"/>
      <c r="CN227" s="242"/>
      <c r="CO227" s="242"/>
      <c r="CP227" s="242"/>
      <c r="CQ227" s="242"/>
      <c r="CR227" s="242"/>
      <c r="CS227" s="242"/>
      <c r="CT227" s="242"/>
      <c r="CU227" s="242"/>
      <c r="CV227" s="242"/>
      <c r="CW227" s="242"/>
      <c r="CX227" s="242"/>
      <c r="CY227" s="242"/>
      <c r="CZ227" s="242"/>
      <c r="DA227" s="242"/>
      <c r="DB227" s="242"/>
      <c r="DC227" s="242"/>
      <c r="DD227" s="242"/>
      <c r="DE227" s="242"/>
      <c r="DF227" s="242"/>
      <c r="DG227" s="257"/>
      <c r="DH227" s="242"/>
      <c r="DI227" s="242"/>
      <c r="DJ227" s="242"/>
      <c r="DK227" s="242"/>
      <c r="DL227" s="242"/>
      <c r="DM227" s="242"/>
      <c r="DN227" s="242"/>
      <c r="DO227" s="242"/>
      <c r="DP227" s="242"/>
      <c r="DQ227" s="242"/>
      <c r="DR227" s="242"/>
      <c r="DS227" s="242"/>
      <c r="DT227" s="242"/>
      <c r="DU227" s="242"/>
      <c r="DV227" s="242"/>
      <c r="DW227" s="242"/>
      <c r="DX227" s="242"/>
      <c r="DY227" s="242"/>
      <c r="DZ227" s="242"/>
      <c r="EA227" s="242"/>
      <c r="EB227" s="242"/>
      <c r="EC227" s="242"/>
      <c r="ED227" s="242"/>
      <c r="EE227" s="242"/>
      <c r="EF227" s="242"/>
      <c r="EG227" s="242"/>
      <c r="EH227" s="242"/>
      <c r="EI227" s="242"/>
      <c r="EJ227" s="242"/>
      <c r="EK227" s="242"/>
      <c r="EL227" s="242"/>
      <c r="EM227" s="242"/>
      <c r="EN227" s="242"/>
      <c r="EO227" s="242"/>
      <c r="EP227" s="242"/>
      <c r="EQ227" s="242"/>
      <c r="ER227" s="242"/>
      <c r="ES227" s="242"/>
      <c r="ET227" s="242"/>
      <c r="EU227" s="242"/>
      <c r="EV227" s="242"/>
      <c r="EW227" s="242"/>
      <c r="EX227" s="242"/>
      <c r="EY227" s="242"/>
      <c r="EZ227" s="242"/>
      <c r="FA227" s="242"/>
      <c r="FB227" s="242"/>
      <c r="FC227" s="242"/>
      <c r="FD227" s="242"/>
      <c r="FE227" s="242"/>
      <c r="FF227" s="242"/>
      <c r="FG227" s="242"/>
      <c r="FH227" s="257"/>
      <c r="FI227" s="257"/>
      <c r="FJ227" s="257"/>
      <c r="FK227" s="257"/>
      <c r="FL227" s="257"/>
      <c r="FM227" s="257"/>
      <c r="FN227" s="257"/>
      <c r="FO227" s="257"/>
      <c r="FP227" s="257"/>
      <c r="FQ227" s="257"/>
      <c r="FR227" s="257"/>
      <c r="FS227" s="257"/>
      <c r="FT227" s="257"/>
      <c r="FU227" s="257"/>
      <c r="FV227" s="257"/>
      <c r="FW227" s="257"/>
      <c r="FX227" s="257"/>
      <c r="FY227" s="242"/>
      <c r="FZ227" s="242"/>
      <c r="GA227" s="242"/>
      <c r="GB227" s="242"/>
      <c r="GC227" s="242"/>
      <c r="GD227" s="242"/>
      <c r="GE227" s="242"/>
      <c r="GF227" s="242"/>
      <c r="GG227" s="242"/>
      <c r="GH227" s="242"/>
      <c r="GI227" s="242"/>
      <c r="GJ227" s="242"/>
      <c r="GK227" s="242"/>
      <c r="GL227" s="242"/>
      <c r="GM227" s="242"/>
      <c r="GN227" s="242"/>
      <c r="GO227" s="242"/>
      <c r="GP227" s="242"/>
      <c r="GQ227" s="242"/>
      <c r="GR227" s="242"/>
      <c r="GS227" s="242"/>
      <c r="GT227" s="242"/>
      <c r="GU227" s="242"/>
      <c r="GV227" s="242"/>
      <c r="GW227" s="242"/>
      <c r="GX227" s="242"/>
      <c r="GY227" s="242"/>
      <c r="GZ227" s="242"/>
      <c r="HA227" s="242"/>
      <c r="HB227" s="242"/>
      <c r="HC227" s="242"/>
      <c r="HD227" s="242"/>
      <c r="HE227" s="242"/>
      <c r="HF227" s="242"/>
      <c r="HG227" s="242"/>
      <c r="HH227" s="242"/>
      <c r="HI227" s="242"/>
      <c r="HJ227" s="242"/>
      <c r="HK227" s="242"/>
      <c r="HL227" s="242"/>
      <c r="HM227" s="242"/>
      <c r="HN227" s="242"/>
      <c r="HO227" s="242"/>
      <c r="HP227" s="242"/>
      <c r="HQ227" s="242"/>
      <c r="HR227" s="242"/>
      <c r="HS227" s="242"/>
      <c r="HT227" s="242"/>
      <c r="HU227" s="242"/>
      <c r="HV227" s="242"/>
      <c r="HW227" s="242"/>
      <c r="HX227" s="257"/>
      <c r="HY227" s="257"/>
      <c r="HZ227" s="257"/>
      <c r="IA227" s="257"/>
      <c r="IB227" s="257"/>
      <c r="IC227" s="257"/>
      <c r="ID227" s="257"/>
      <c r="IE227" s="257"/>
      <c r="IF227" s="257"/>
      <c r="IG227" s="257"/>
      <c r="IH227" s="257"/>
      <c r="II227" s="257"/>
      <c r="IJ227" s="257"/>
      <c r="IK227" s="257"/>
      <c r="IL227" s="257"/>
      <c r="IM227" s="257"/>
      <c r="IN227" s="257"/>
      <c r="IO227" s="257"/>
      <c r="IP227" s="257"/>
      <c r="IQ227" s="257"/>
      <c r="IR227" s="257"/>
      <c r="IS227" s="257"/>
      <c r="IT227" s="257"/>
      <c r="IU227" s="257"/>
      <c r="IV227" s="257"/>
      <c r="IW227" s="257"/>
      <c r="IX227" s="257"/>
      <c r="IY227" s="257"/>
      <c r="IZ227" s="257"/>
      <c r="JA227" s="257"/>
      <c r="JB227" s="257"/>
      <c r="JC227" s="257"/>
      <c r="JD227" s="257"/>
      <c r="JE227" s="257"/>
      <c r="JF227" s="242"/>
      <c r="JG227" s="242"/>
      <c r="JH227" s="242"/>
      <c r="JI227" s="242"/>
      <c r="JJ227" s="242"/>
      <c r="JK227" s="242"/>
      <c r="JL227" s="242"/>
      <c r="JM227" s="242"/>
      <c r="JN227" s="242"/>
      <c r="JO227" s="242"/>
      <c r="JP227" s="242"/>
      <c r="JQ227" s="242"/>
      <c r="JR227" s="242"/>
      <c r="JS227" s="242"/>
      <c r="JT227" s="242"/>
      <c r="JU227" s="242"/>
      <c r="JV227" s="242"/>
      <c r="JW227" s="242"/>
      <c r="JX227" s="242"/>
      <c r="JY227" s="242"/>
      <c r="JZ227" s="242"/>
      <c r="KA227" s="242"/>
      <c r="KB227" s="242"/>
      <c r="KC227" s="242"/>
      <c r="KD227" s="242"/>
      <c r="KE227" s="242"/>
      <c r="KF227" s="242"/>
      <c r="KG227" s="242"/>
      <c r="KH227" s="242"/>
      <c r="KI227" s="242"/>
      <c r="KJ227" s="242"/>
      <c r="KK227" s="242"/>
      <c r="KL227" s="242"/>
      <c r="KM227" s="242"/>
      <c r="KN227" s="242"/>
      <c r="KO227" s="242"/>
      <c r="KP227" s="242"/>
      <c r="KQ227" s="242"/>
      <c r="KR227" s="242"/>
      <c r="KS227" s="242"/>
      <c r="KT227" s="242"/>
      <c r="KU227" s="242"/>
      <c r="KV227" s="242"/>
      <c r="KW227" s="242"/>
      <c r="KX227" s="242"/>
      <c r="KY227" s="242"/>
      <c r="KZ227" s="242"/>
      <c r="LA227" s="242"/>
      <c r="LB227" s="242"/>
      <c r="LC227" s="242"/>
      <c r="LD227" s="242"/>
      <c r="LE227" s="242"/>
      <c r="LF227" s="242"/>
      <c r="LG227" s="242"/>
      <c r="LH227" s="242"/>
      <c r="LI227" s="242"/>
      <c r="LJ227" s="242"/>
      <c r="LK227" s="242"/>
      <c r="LL227" s="242"/>
      <c r="LM227" s="242"/>
      <c r="LN227" s="242"/>
      <c r="LO227" s="242"/>
      <c r="LP227" s="242"/>
      <c r="LQ227" s="242"/>
      <c r="LR227" s="242"/>
      <c r="LS227" s="242"/>
      <c r="LT227" s="242"/>
      <c r="LU227" s="242"/>
      <c r="LV227" s="242"/>
      <c r="LW227" s="242"/>
      <c r="LX227" s="242"/>
      <c r="LY227" s="242"/>
      <c r="LZ227" s="242"/>
      <c r="MA227" s="242"/>
      <c r="MB227" s="242"/>
      <c r="MC227" s="242"/>
      <c r="MD227" s="242"/>
      <c r="ME227" s="242"/>
      <c r="MF227" s="242"/>
      <c r="MG227" s="242"/>
      <c r="MH227" s="242"/>
      <c r="MI227" s="242"/>
      <c r="MJ227" s="242"/>
      <c r="MK227" s="242"/>
      <c r="ML227" s="242"/>
    </row>
    <row r="228" ht="18.75" customHeight="1">
      <c r="A228" s="283"/>
      <c r="B228" s="234" t="str">
        <f>'Building Bill of Materials_SLIM'!P228</f>
        <v/>
      </c>
      <c r="C228" s="234" t="str">
        <f>'Building Bill of Materials_SLIM'!Q228</f>
        <v/>
      </c>
      <c r="D228" s="234" t="str">
        <f>'Building Bill of Materials_SLIM'!R228</f>
        <v/>
      </c>
      <c r="E228" s="234" t="str">
        <f>'Building Bill of Materials_SLIM'!S228</f>
        <v/>
      </c>
      <c r="F228" s="234" t="str">
        <f>'Building Bill of Materials_SLIM'!U228</f>
        <v/>
      </c>
      <c r="G228" s="234"/>
      <c r="H228" s="234"/>
      <c r="I228" s="234"/>
      <c r="J228" s="234" t="str">
        <f>'Building Bill of Materials_SLIM'!V228</f>
        <v/>
      </c>
      <c r="K228" s="207"/>
      <c r="L228" s="207"/>
      <c r="M228" s="207"/>
      <c r="N228" s="207"/>
      <c r="O228" s="207"/>
      <c r="P228" s="207"/>
      <c r="Q228" s="207"/>
      <c r="R228" s="207"/>
      <c r="S228" s="207"/>
      <c r="T228" s="207"/>
      <c r="U228" s="207"/>
      <c r="V228" s="207"/>
      <c r="W228" s="207"/>
      <c r="X228" s="207"/>
      <c r="Y228" s="207"/>
      <c r="Z228" s="207"/>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c r="CJ228" s="192"/>
      <c r="CK228" s="192"/>
      <c r="CL228" s="192"/>
      <c r="CM228" s="192"/>
      <c r="CN228" s="192"/>
      <c r="CO228" s="192"/>
      <c r="CP228" s="192"/>
      <c r="CQ228" s="192"/>
      <c r="CR228" s="192"/>
      <c r="CS228" s="192"/>
      <c r="CT228" s="192"/>
      <c r="CU228" s="192"/>
      <c r="CV228" s="192"/>
      <c r="CW228" s="192"/>
      <c r="CX228" s="192"/>
      <c r="CY228" s="192"/>
      <c r="CZ228" s="192"/>
      <c r="DA228" s="192"/>
      <c r="DB228" s="192"/>
      <c r="DC228" s="192"/>
      <c r="DD228" s="192"/>
      <c r="DE228" s="192"/>
      <c r="DF228" s="192"/>
      <c r="DG228" s="192"/>
      <c r="DH228" s="192"/>
      <c r="DI228" s="192"/>
      <c r="DJ228" s="192"/>
      <c r="DK228" s="192"/>
      <c r="DL228" s="192"/>
      <c r="DM228" s="192"/>
      <c r="DN228" s="192"/>
      <c r="DO228" s="192"/>
      <c r="DP228" s="192"/>
      <c r="DQ228" s="192"/>
      <c r="DR228" s="192"/>
      <c r="DS228" s="192"/>
      <c r="DT228" s="192"/>
      <c r="DU228" s="192"/>
      <c r="DV228" s="192"/>
      <c r="DW228" s="192"/>
      <c r="DX228" s="192"/>
      <c r="DY228" s="192"/>
      <c r="DZ228" s="192"/>
      <c r="EA228" s="192"/>
      <c r="EB228" s="192"/>
      <c r="EC228" s="192"/>
      <c r="ED228" s="192"/>
      <c r="EE228" s="192"/>
      <c r="EF228" s="192"/>
      <c r="EG228" s="192"/>
      <c r="EH228" s="192"/>
      <c r="EI228" s="192"/>
      <c r="EJ228" s="192"/>
      <c r="EK228" s="192"/>
      <c r="EL228" s="192"/>
      <c r="EM228" s="192"/>
      <c r="EN228" s="192"/>
      <c r="EO228" s="192"/>
      <c r="EP228" s="192"/>
      <c r="EQ228" s="192"/>
      <c r="ER228" s="192"/>
      <c r="ES228" s="192"/>
      <c r="ET228" s="192"/>
      <c r="EU228" s="192"/>
      <c r="EV228" s="192"/>
      <c r="EW228" s="192"/>
      <c r="EX228" s="192"/>
      <c r="EY228" s="192"/>
      <c r="EZ228" s="192"/>
      <c r="FA228" s="192"/>
      <c r="FB228" s="192"/>
      <c r="FC228" s="192"/>
      <c r="FD228" s="192"/>
      <c r="FE228" s="192"/>
      <c r="FF228" s="192"/>
      <c r="FG228" s="192"/>
      <c r="FH228" s="192"/>
      <c r="FI228" s="192"/>
      <c r="FJ228" s="192"/>
      <c r="FK228" s="192"/>
      <c r="FL228" s="192"/>
      <c r="FM228" s="192"/>
      <c r="FN228" s="192"/>
      <c r="FO228" s="192"/>
      <c r="FP228" s="192"/>
      <c r="FQ228" s="192"/>
      <c r="FR228" s="192"/>
      <c r="FS228" s="192"/>
      <c r="FT228" s="192"/>
      <c r="FU228" s="192"/>
      <c r="FV228" s="192"/>
      <c r="FW228" s="192"/>
      <c r="FX228" s="192"/>
      <c r="FY228" s="192"/>
      <c r="FZ228" s="192"/>
      <c r="GA228" s="192"/>
      <c r="GB228" s="192"/>
      <c r="GC228" s="192"/>
      <c r="GD228" s="192"/>
      <c r="GE228" s="192"/>
      <c r="GF228" s="192"/>
      <c r="GG228" s="192"/>
      <c r="GH228" s="192"/>
      <c r="GI228" s="192"/>
      <c r="GJ228" s="192"/>
      <c r="GK228" s="192"/>
      <c r="GL228" s="192"/>
      <c r="GM228" s="192"/>
      <c r="GN228" s="192"/>
      <c r="GO228" s="192"/>
      <c r="GP228" s="192"/>
      <c r="GQ228" s="192"/>
      <c r="GR228" s="192"/>
      <c r="GS228" s="192"/>
      <c r="GT228" s="192"/>
      <c r="GU228" s="192"/>
      <c r="GV228" s="192"/>
      <c r="GW228" s="192"/>
      <c r="GX228" s="192"/>
      <c r="GY228" s="192"/>
      <c r="GZ228" s="192"/>
      <c r="HA228" s="192"/>
      <c r="HB228" s="192"/>
      <c r="HC228" s="192"/>
      <c r="HD228" s="192"/>
      <c r="HE228" s="192"/>
      <c r="HF228" s="192"/>
      <c r="HG228" s="192"/>
      <c r="HH228" s="192"/>
      <c r="HI228" s="192"/>
      <c r="HJ228" s="192"/>
      <c r="HK228" s="192"/>
      <c r="HL228" s="192"/>
      <c r="HM228" s="192"/>
      <c r="HN228" s="192"/>
      <c r="HO228" s="192"/>
      <c r="HP228" s="192"/>
      <c r="HQ228" s="192"/>
      <c r="HR228" s="192"/>
      <c r="HS228" s="192"/>
      <c r="HT228" s="192"/>
      <c r="HU228" s="192"/>
      <c r="HV228" s="192"/>
      <c r="HW228" s="192"/>
      <c r="HX228" s="192"/>
      <c r="HY228" s="192"/>
      <c r="HZ228" s="192"/>
      <c r="IA228" s="192"/>
      <c r="IB228" s="192"/>
      <c r="IC228" s="192"/>
      <c r="ID228" s="192"/>
      <c r="IE228" s="192"/>
      <c r="IF228" s="192"/>
      <c r="IG228" s="192"/>
      <c r="IH228" s="192"/>
      <c r="II228" s="192"/>
      <c r="IJ228" s="192"/>
      <c r="IK228" s="192"/>
      <c r="IL228" s="192"/>
      <c r="IM228" s="192"/>
      <c r="IN228" s="192"/>
      <c r="IO228" s="192"/>
      <c r="IP228" s="192"/>
      <c r="IQ228" s="192"/>
      <c r="IR228" s="192"/>
      <c r="IS228" s="192"/>
      <c r="IT228" s="192"/>
      <c r="IU228" s="192"/>
      <c r="IV228" s="192"/>
      <c r="IW228" s="192"/>
      <c r="IX228" s="192"/>
      <c r="IY228" s="192"/>
      <c r="IZ228" s="192"/>
      <c r="JA228" s="192"/>
      <c r="JB228" s="192"/>
      <c r="JC228" s="192"/>
      <c r="JD228" s="192"/>
      <c r="JE228" s="192"/>
      <c r="JF228" s="192"/>
      <c r="JG228" s="192"/>
      <c r="JH228" s="192"/>
      <c r="JI228" s="192"/>
      <c r="JJ228" s="192"/>
      <c r="JK228" s="192"/>
      <c r="JL228" s="192"/>
      <c r="JM228" s="192"/>
      <c r="JN228" s="192"/>
      <c r="JO228" s="192"/>
      <c r="JP228" s="192"/>
      <c r="JQ228" s="192"/>
      <c r="JR228" s="192"/>
      <c r="JS228" s="192"/>
      <c r="JT228" s="192"/>
      <c r="JU228" s="192"/>
      <c r="JV228" s="192"/>
      <c r="JW228" s="192"/>
      <c r="JX228" s="192"/>
      <c r="JY228" s="192"/>
      <c r="JZ228" s="192"/>
      <c r="KA228" s="192"/>
      <c r="KB228" s="192"/>
      <c r="KC228" s="192"/>
      <c r="KD228" s="192"/>
      <c r="KE228" s="192"/>
      <c r="KF228" s="192"/>
      <c r="KG228" s="192"/>
      <c r="KH228" s="192"/>
      <c r="KI228" s="192"/>
      <c r="KJ228" s="192"/>
      <c r="KK228" s="192"/>
      <c r="KL228" s="192"/>
      <c r="KM228" s="192"/>
      <c r="KN228" s="192"/>
      <c r="KO228" s="192"/>
      <c r="KP228" s="192"/>
      <c r="KQ228" s="192"/>
      <c r="KR228" s="192"/>
      <c r="KS228" s="192"/>
      <c r="KT228" s="192"/>
      <c r="KU228" s="192"/>
      <c r="KV228" s="192"/>
      <c r="KW228" s="192"/>
      <c r="KX228" s="192"/>
      <c r="KY228" s="192"/>
      <c r="KZ228" s="192"/>
      <c r="LA228" s="192"/>
      <c r="LB228" s="192"/>
      <c r="LC228" s="192"/>
      <c r="LD228" s="192"/>
      <c r="LE228" s="192"/>
      <c r="LF228" s="192"/>
      <c r="LG228" s="192"/>
      <c r="LH228" s="192"/>
      <c r="LI228" s="192"/>
      <c r="LJ228" s="192"/>
      <c r="LK228" s="192"/>
      <c r="LL228" s="192"/>
      <c r="LM228" s="192"/>
      <c r="LN228" s="192"/>
      <c r="LO228" s="192"/>
      <c r="LP228" s="192"/>
      <c r="LQ228" s="192"/>
      <c r="LR228" s="192"/>
      <c r="LS228" s="192"/>
      <c r="LT228" s="192"/>
      <c r="LU228" s="192"/>
      <c r="LV228" s="192"/>
      <c r="LW228" s="192"/>
      <c r="LX228" s="192"/>
      <c r="LY228" s="192"/>
      <c r="LZ228" s="192"/>
      <c r="MA228" s="192"/>
      <c r="MB228" s="192"/>
      <c r="MC228" s="192"/>
      <c r="MD228" s="192"/>
      <c r="ME228" s="192"/>
      <c r="MF228" s="192"/>
      <c r="MG228" s="192"/>
      <c r="MH228" s="192"/>
      <c r="MI228" s="192"/>
      <c r="MJ228" s="192"/>
      <c r="MK228" s="192"/>
      <c r="ML228" s="192"/>
    </row>
    <row r="229" ht="18.75" customHeight="1">
      <c r="A229" s="232"/>
      <c r="B229" s="234" t="str">
        <f>'Building Bill of Materials_SLIM'!P229</f>
        <v/>
      </c>
      <c r="C229" s="234" t="str">
        <f>'Building Bill of Materials_SLIM'!Q229</f>
        <v/>
      </c>
      <c r="D229" s="234" t="str">
        <f>'Building Bill of Materials_SLIM'!R229</f>
        <v/>
      </c>
      <c r="E229" s="234" t="str">
        <f>'Building Bill of Materials_SLIM'!S229</f>
        <v/>
      </c>
      <c r="F229" s="234" t="str">
        <f>'Building Bill of Materials_SLIM'!U229</f>
        <v/>
      </c>
      <c r="G229" s="234"/>
      <c r="H229" s="234"/>
      <c r="I229" s="234"/>
      <c r="J229" s="234" t="str">
        <f>'Building Bill of Materials_SLIM'!V229</f>
        <v/>
      </c>
      <c r="K229" s="207"/>
      <c r="L229" s="207"/>
      <c r="M229" s="207"/>
      <c r="N229" s="207"/>
      <c r="O229" s="207"/>
      <c r="P229" s="207"/>
      <c r="Q229" s="207"/>
      <c r="R229" s="207"/>
      <c r="S229" s="207"/>
      <c r="T229" s="207"/>
      <c r="U229" s="207"/>
      <c r="V229" s="207"/>
      <c r="W229" s="207"/>
      <c r="X229" s="207"/>
      <c r="Y229" s="207"/>
      <c r="Z229" s="207"/>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c r="DM229" s="192"/>
      <c r="DN229" s="192"/>
      <c r="DO229" s="192"/>
      <c r="DP229" s="192"/>
      <c r="DQ229" s="192"/>
      <c r="DR229" s="192"/>
      <c r="DS229" s="192"/>
      <c r="DT229" s="192"/>
      <c r="DU229" s="192"/>
      <c r="DV229" s="192"/>
      <c r="DW229" s="192"/>
      <c r="DX229" s="192"/>
      <c r="DY229" s="192"/>
      <c r="DZ229" s="192"/>
      <c r="EA229" s="192"/>
      <c r="EB229" s="192"/>
      <c r="EC229" s="192"/>
      <c r="ED229" s="192"/>
      <c r="EE229" s="192"/>
      <c r="EF229" s="192"/>
      <c r="EG229" s="192"/>
      <c r="EH229" s="192"/>
      <c r="EI229" s="192"/>
      <c r="EJ229" s="192"/>
      <c r="EK229" s="192"/>
      <c r="EL229" s="192"/>
      <c r="EM229" s="192"/>
      <c r="EN229" s="192"/>
      <c r="EO229" s="192"/>
      <c r="EP229" s="192"/>
      <c r="EQ229" s="192"/>
      <c r="ER229" s="192"/>
      <c r="ES229" s="192"/>
      <c r="ET229" s="192"/>
      <c r="EU229" s="192"/>
      <c r="EV229" s="192"/>
      <c r="EW229" s="192"/>
      <c r="EX229" s="192"/>
      <c r="EY229" s="192"/>
      <c r="EZ229" s="192"/>
      <c r="FA229" s="192"/>
      <c r="FB229" s="192"/>
      <c r="FC229" s="192"/>
      <c r="FD229" s="192"/>
      <c r="FE229" s="192"/>
      <c r="FF229" s="192"/>
      <c r="FG229" s="192"/>
      <c r="FH229" s="192"/>
      <c r="FI229" s="192"/>
      <c r="FJ229" s="192"/>
      <c r="FK229" s="192"/>
      <c r="FL229" s="192"/>
      <c r="FM229" s="192"/>
      <c r="FN229" s="192"/>
      <c r="FO229" s="192"/>
      <c r="FP229" s="192"/>
      <c r="FQ229" s="192"/>
      <c r="FR229" s="192"/>
      <c r="FS229" s="192"/>
      <c r="FT229" s="192"/>
      <c r="FU229" s="192"/>
      <c r="FV229" s="192"/>
      <c r="FW229" s="192"/>
      <c r="FX229" s="192"/>
      <c r="FY229" s="192"/>
      <c r="FZ229" s="192"/>
      <c r="GA229" s="192"/>
      <c r="GB229" s="192"/>
      <c r="GC229" s="192"/>
      <c r="GD229" s="192"/>
      <c r="GE229" s="192"/>
      <c r="GF229" s="192"/>
      <c r="GG229" s="192"/>
      <c r="GH229" s="192"/>
      <c r="GI229" s="192"/>
      <c r="GJ229" s="192"/>
      <c r="GK229" s="192"/>
      <c r="GL229" s="192"/>
      <c r="GM229" s="192"/>
      <c r="GN229" s="192"/>
      <c r="GO229" s="192"/>
      <c r="GP229" s="192"/>
      <c r="GQ229" s="192"/>
      <c r="GR229" s="192"/>
      <c r="GS229" s="192"/>
      <c r="GT229" s="192"/>
      <c r="GU229" s="192"/>
      <c r="GV229" s="192"/>
      <c r="GW229" s="192"/>
      <c r="GX229" s="192"/>
      <c r="GY229" s="192"/>
      <c r="GZ229" s="192"/>
      <c r="HA229" s="192"/>
      <c r="HB229" s="192"/>
      <c r="HC229" s="192"/>
      <c r="HD229" s="192"/>
      <c r="HE229" s="192"/>
      <c r="HF229" s="192"/>
      <c r="HG229" s="192"/>
      <c r="HH229" s="192"/>
      <c r="HI229" s="192"/>
      <c r="HJ229" s="192"/>
      <c r="HK229" s="192"/>
      <c r="HL229" s="192"/>
      <c r="HM229" s="192"/>
      <c r="HN229" s="192"/>
      <c r="HO229" s="192"/>
      <c r="HP229" s="192"/>
      <c r="HQ229" s="192"/>
      <c r="HR229" s="192"/>
      <c r="HS229" s="192"/>
      <c r="HT229" s="192"/>
      <c r="HU229" s="192"/>
      <c r="HV229" s="192"/>
      <c r="HW229" s="192"/>
      <c r="HX229" s="192"/>
      <c r="HY229" s="192"/>
      <c r="HZ229" s="192"/>
      <c r="IA229" s="192"/>
      <c r="IB229" s="192"/>
      <c r="IC229" s="192"/>
      <c r="ID229" s="192"/>
      <c r="IE229" s="192"/>
      <c r="IF229" s="192"/>
      <c r="IG229" s="192"/>
      <c r="IH229" s="192"/>
      <c r="II229" s="192"/>
      <c r="IJ229" s="192"/>
      <c r="IK229" s="192"/>
      <c r="IL229" s="192"/>
      <c r="IM229" s="192"/>
      <c r="IN229" s="192"/>
      <c r="IO229" s="192"/>
      <c r="IP229" s="192"/>
      <c r="IQ229" s="192"/>
      <c r="IR229" s="192"/>
      <c r="IS229" s="192"/>
      <c r="IT229" s="192"/>
      <c r="IU229" s="192"/>
      <c r="IV229" s="192"/>
      <c r="IW229" s="192"/>
      <c r="IX229" s="192"/>
      <c r="IY229" s="192"/>
      <c r="IZ229" s="192"/>
      <c r="JA229" s="192"/>
      <c r="JB229" s="192"/>
      <c r="JC229" s="192"/>
      <c r="JD229" s="192"/>
      <c r="JE229" s="192"/>
      <c r="JF229" s="192"/>
      <c r="JG229" s="192"/>
      <c r="JH229" s="192"/>
      <c r="JI229" s="192"/>
      <c r="JJ229" s="192"/>
      <c r="JK229" s="192"/>
      <c r="JL229" s="192"/>
      <c r="JM229" s="192"/>
      <c r="JN229" s="192"/>
      <c r="JO229" s="192"/>
      <c r="JP229" s="192"/>
      <c r="JQ229" s="192"/>
      <c r="JR229" s="192"/>
      <c r="JS229" s="192"/>
      <c r="JT229" s="192"/>
      <c r="JU229" s="192"/>
      <c r="JV229" s="192"/>
      <c r="JW229" s="192"/>
      <c r="JX229" s="192"/>
      <c r="JY229" s="192"/>
      <c r="JZ229" s="192"/>
      <c r="KA229" s="192"/>
      <c r="KB229" s="192"/>
      <c r="KC229" s="192"/>
      <c r="KD229" s="192"/>
      <c r="KE229" s="192"/>
      <c r="KF229" s="192"/>
      <c r="KG229" s="192"/>
      <c r="KH229" s="192"/>
      <c r="KI229" s="192"/>
      <c r="KJ229" s="192"/>
      <c r="KK229" s="192"/>
      <c r="KL229" s="192"/>
      <c r="KM229" s="192"/>
      <c r="KN229" s="192"/>
      <c r="KO229" s="192"/>
      <c r="KP229" s="192"/>
      <c r="KQ229" s="192"/>
      <c r="KR229" s="192"/>
      <c r="KS229" s="192"/>
      <c r="KT229" s="192"/>
      <c r="KU229" s="192"/>
      <c r="KV229" s="192"/>
      <c r="KW229" s="192"/>
      <c r="KX229" s="192"/>
      <c r="KY229" s="192"/>
      <c r="KZ229" s="192"/>
      <c r="LA229" s="192"/>
      <c r="LB229" s="192"/>
      <c r="LC229" s="192"/>
      <c r="LD229" s="192"/>
      <c r="LE229" s="192"/>
      <c r="LF229" s="192"/>
      <c r="LG229" s="192"/>
      <c r="LH229" s="192"/>
      <c r="LI229" s="192"/>
      <c r="LJ229" s="192"/>
      <c r="LK229" s="192"/>
      <c r="LL229" s="192"/>
      <c r="LM229" s="192"/>
      <c r="LN229" s="192"/>
      <c r="LO229" s="192"/>
      <c r="LP229" s="192"/>
      <c r="LQ229" s="192"/>
      <c r="LR229" s="192"/>
      <c r="LS229" s="192"/>
      <c r="LT229" s="192"/>
      <c r="LU229" s="192"/>
      <c r="LV229" s="192"/>
      <c r="LW229" s="192"/>
      <c r="LX229" s="192"/>
      <c r="LY229" s="192"/>
      <c r="LZ229" s="192"/>
      <c r="MA229" s="192"/>
      <c r="MB229" s="192"/>
      <c r="MC229" s="192"/>
      <c r="MD229" s="192"/>
      <c r="ME229" s="192"/>
      <c r="MF229" s="192"/>
      <c r="MG229" s="192"/>
      <c r="MH229" s="192"/>
      <c r="MI229" s="192"/>
      <c r="MJ229" s="192"/>
      <c r="MK229" s="192"/>
      <c r="ML229" s="192"/>
    </row>
    <row r="230" ht="18.75" customHeight="1">
      <c r="A230" s="232"/>
      <c r="B230" s="234" t="str">
        <f>'Building Bill of Materials_SLIM'!P230</f>
        <v/>
      </c>
      <c r="C230" s="234" t="str">
        <f>'Building Bill of Materials_SLIM'!Q230</f>
        <v/>
      </c>
      <c r="D230" s="234" t="str">
        <f>'Building Bill of Materials_SLIM'!R230</f>
        <v/>
      </c>
      <c r="E230" s="234" t="str">
        <f>'Building Bill of Materials_SLIM'!S230</f>
        <v/>
      </c>
      <c r="F230" s="234" t="str">
        <f>'Building Bill of Materials_SLIM'!U230</f>
        <v/>
      </c>
      <c r="G230" s="234"/>
      <c r="H230" s="234"/>
      <c r="I230" s="234"/>
      <c r="J230" s="234" t="str">
        <f>'Building Bill of Materials_SLIM'!V230</f>
        <v/>
      </c>
      <c r="K230" s="207"/>
      <c r="L230" s="207"/>
      <c r="M230" s="207"/>
      <c r="N230" s="207"/>
      <c r="O230" s="207"/>
      <c r="P230" s="207"/>
      <c r="Q230" s="207"/>
      <c r="R230" s="207"/>
      <c r="S230" s="207"/>
      <c r="T230" s="207"/>
      <c r="U230" s="207"/>
      <c r="V230" s="207"/>
      <c r="W230" s="207"/>
      <c r="X230" s="207"/>
      <c r="Y230" s="207"/>
      <c r="Z230" s="207"/>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c r="DM230" s="192"/>
      <c r="DN230" s="192"/>
      <c r="DO230" s="192"/>
      <c r="DP230" s="192"/>
      <c r="DQ230" s="192"/>
      <c r="DR230" s="192"/>
      <c r="DS230" s="192"/>
      <c r="DT230" s="192"/>
      <c r="DU230" s="192"/>
      <c r="DV230" s="192"/>
      <c r="DW230" s="192"/>
      <c r="DX230" s="192"/>
      <c r="DY230" s="192"/>
      <c r="DZ230" s="192"/>
      <c r="EA230" s="192"/>
      <c r="EB230" s="192"/>
      <c r="EC230" s="192"/>
      <c r="ED230" s="192"/>
      <c r="EE230" s="192"/>
      <c r="EF230" s="192"/>
      <c r="EG230" s="192"/>
      <c r="EH230" s="192"/>
      <c r="EI230" s="192"/>
      <c r="EJ230" s="192"/>
      <c r="EK230" s="192"/>
      <c r="EL230" s="192"/>
      <c r="EM230" s="192"/>
      <c r="EN230" s="192"/>
      <c r="EO230" s="192"/>
      <c r="EP230" s="192"/>
      <c r="EQ230" s="192"/>
      <c r="ER230" s="192"/>
      <c r="ES230" s="192"/>
      <c r="ET230" s="192"/>
      <c r="EU230" s="192"/>
      <c r="EV230" s="192"/>
      <c r="EW230" s="192"/>
      <c r="EX230" s="192"/>
      <c r="EY230" s="192"/>
      <c r="EZ230" s="192"/>
      <c r="FA230" s="192"/>
      <c r="FB230" s="192"/>
      <c r="FC230" s="192"/>
      <c r="FD230" s="192"/>
      <c r="FE230" s="192"/>
      <c r="FF230" s="192"/>
      <c r="FG230" s="192"/>
      <c r="FH230" s="192"/>
      <c r="FI230" s="192"/>
      <c r="FJ230" s="192"/>
      <c r="FK230" s="192"/>
      <c r="FL230" s="192"/>
      <c r="FM230" s="192"/>
      <c r="FN230" s="192"/>
      <c r="FO230" s="192"/>
      <c r="FP230" s="192"/>
      <c r="FQ230" s="192"/>
      <c r="FR230" s="192"/>
      <c r="FS230" s="192"/>
      <c r="FT230" s="192"/>
      <c r="FU230" s="192"/>
      <c r="FV230" s="192"/>
      <c r="FW230" s="192"/>
      <c r="FX230" s="192"/>
      <c r="FY230" s="192"/>
      <c r="FZ230" s="192"/>
      <c r="GA230" s="192"/>
      <c r="GB230" s="192"/>
      <c r="GC230" s="192"/>
      <c r="GD230" s="192"/>
      <c r="GE230" s="192"/>
      <c r="GF230" s="192"/>
      <c r="GG230" s="192"/>
      <c r="GH230" s="192"/>
      <c r="GI230" s="192"/>
      <c r="GJ230" s="192"/>
      <c r="GK230" s="192"/>
      <c r="GL230" s="192"/>
      <c r="GM230" s="192"/>
      <c r="GN230" s="192"/>
      <c r="GO230" s="192"/>
      <c r="GP230" s="192"/>
      <c r="GQ230" s="192"/>
      <c r="GR230" s="192"/>
      <c r="GS230" s="192"/>
      <c r="GT230" s="192"/>
      <c r="GU230" s="192"/>
      <c r="GV230" s="192"/>
      <c r="GW230" s="192"/>
      <c r="GX230" s="192"/>
      <c r="GY230" s="192"/>
      <c r="GZ230" s="192"/>
      <c r="HA230" s="192"/>
      <c r="HB230" s="192"/>
      <c r="HC230" s="192"/>
      <c r="HD230" s="192"/>
      <c r="HE230" s="192"/>
      <c r="HF230" s="192"/>
      <c r="HG230" s="192"/>
      <c r="HH230" s="192"/>
      <c r="HI230" s="192"/>
      <c r="HJ230" s="192"/>
      <c r="HK230" s="192"/>
      <c r="HL230" s="192"/>
      <c r="HM230" s="192"/>
      <c r="HN230" s="192"/>
      <c r="HO230" s="192"/>
      <c r="HP230" s="192"/>
      <c r="HQ230" s="192"/>
      <c r="HR230" s="192"/>
      <c r="HS230" s="192"/>
      <c r="HT230" s="192"/>
      <c r="HU230" s="192"/>
      <c r="HV230" s="192"/>
      <c r="HW230" s="192"/>
      <c r="HX230" s="192"/>
      <c r="HY230" s="192"/>
      <c r="HZ230" s="192"/>
      <c r="IA230" s="192"/>
      <c r="IB230" s="192"/>
      <c r="IC230" s="192"/>
      <c r="ID230" s="192"/>
      <c r="IE230" s="192"/>
      <c r="IF230" s="192"/>
      <c r="IG230" s="192"/>
      <c r="IH230" s="192"/>
      <c r="II230" s="192"/>
      <c r="IJ230" s="192"/>
      <c r="IK230" s="192"/>
      <c r="IL230" s="192"/>
      <c r="IM230" s="192"/>
      <c r="IN230" s="192"/>
      <c r="IO230" s="192"/>
      <c r="IP230" s="192"/>
      <c r="IQ230" s="192"/>
      <c r="IR230" s="192"/>
      <c r="IS230" s="192"/>
      <c r="IT230" s="192"/>
      <c r="IU230" s="192"/>
      <c r="IV230" s="192"/>
      <c r="IW230" s="192"/>
      <c r="IX230" s="192"/>
      <c r="IY230" s="192"/>
      <c r="IZ230" s="192"/>
      <c r="JA230" s="192"/>
      <c r="JB230" s="192"/>
      <c r="JC230" s="192"/>
      <c r="JD230" s="192"/>
      <c r="JE230" s="192"/>
      <c r="JF230" s="192"/>
      <c r="JG230" s="192"/>
      <c r="JH230" s="192"/>
      <c r="JI230" s="192"/>
      <c r="JJ230" s="192"/>
      <c r="JK230" s="192"/>
      <c r="JL230" s="192"/>
      <c r="JM230" s="192"/>
      <c r="JN230" s="192"/>
      <c r="JO230" s="192"/>
      <c r="JP230" s="192"/>
      <c r="JQ230" s="192"/>
      <c r="JR230" s="192"/>
      <c r="JS230" s="192"/>
      <c r="JT230" s="192"/>
      <c r="JU230" s="192"/>
      <c r="JV230" s="192"/>
      <c r="JW230" s="192"/>
      <c r="JX230" s="192"/>
      <c r="JY230" s="192"/>
      <c r="JZ230" s="192"/>
      <c r="KA230" s="192"/>
      <c r="KB230" s="192"/>
      <c r="KC230" s="192"/>
      <c r="KD230" s="192"/>
      <c r="KE230" s="192"/>
      <c r="KF230" s="192"/>
      <c r="KG230" s="192"/>
      <c r="KH230" s="192"/>
      <c r="KI230" s="192"/>
      <c r="KJ230" s="192"/>
      <c r="KK230" s="192"/>
      <c r="KL230" s="192"/>
      <c r="KM230" s="192"/>
      <c r="KN230" s="192"/>
      <c r="KO230" s="192"/>
      <c r="KP230" s="192"/>
      <c r="KQ230" s="192"/>
      <c r="KR230" s="192"/>
      <c r="KS230" s="192"/>
      <c r="KT230" s="192"/>
      <c r="KU230" s="192"/>
      <c r="KV230" s="192"/>
      <c r="KW230" s="192"/>
      <c r="KX230" s="192"/>
      <c r="KY230" s="192"/>
      <c r="KZ230" s="192"/>
      <c r="LA230" s="192"/>
      <c r="LB230" s="192"/>
      <c r="LC230" s="192"/>
      <c r="LD230" s="192"/>
      <c r="LE230" s="192"/>
      <c r="LF230" s="192"/>
      <c r="LG230" s="192"/>
      <c r="LH230" s="192"/>
      <c r="LI230" s="192"/>
      <c r="LJ230" s="192"/>
      <c r="LK230" s="192"/>
      <c r="LL230" s="192"/>
      <c r="LM230" s="192"/>
      <c r="LN230" s="192"/>
      <c r="LO230" s="192"/>
      <c r="LP230" s="192"/>
      <c r="LQ230" s="192"/>
      <c r="LR230" s="192"/>
      <c r="LS230" s="192"/>
      <c r="LT230" s="192"/>
      <c r="LU230" s="192"/>
      <c r="LV230" s="192"/>
      <c r="LW230" s="192"/>
      <c r="LX230" s="192"/>
      <c r="LY230" s="192"/>
      <c r="LZ230" s="192"/>
      <c r="MA230" s="192"/>
      <c r="MB230" s="192"/>
      <c r="MC230" s="192"/>
      <c r="MD230" s="192"/>
      <c r="ME230" s="192"/>
      <c r="MF230" s="192"/>
      <c r="MG230" s="192"/>
      <c r="MH230" s="192"/>
      <c r="MI230" s="192"/>
      <c r="MJ230" s="192"/>
      <c r="MK230" s="192"/>
      <c r="ML230" s="192"/>
    </row>
    <row r="231" ht="18.75" customHeight="1">
      <c r="A231" s="232"/>
      <c r="B231" s="234" t="str">
        <f>'Building Bill of Materials_SLIM'!P231</f>
        <v/>
      </c>
      <c r="C231" s="234" t="str">
        <f>'Building Bill of Materials_SLIM'!Q231</f>
        <v/>
      </c>
      <c r="D231" s="234" t="str">
        <f>'Building Bill of Materials_SLIM'!R231</f>
        <v/>
      </c>
      <c r="E231" s="234" t="str">
        <f>'Building Bill of Materials_SLIM'!S231</f>
        <v/>
      </c>
      <c r="F231" s="234" t="str">
        <f>'Building Bill of Materials_SLIM'!U231</f>
        <v/>
      </c>
      <c r="G231" s="234"/>
      <c r="H231" s="234"/>
      <c r="I231" s="234"/>
      <c r="J231" s="234" t="str">
        <f>'Building Bill of Materials_SLIM'!V231</f>
        <v/>
      </c>
      <c r="K231" s="207"/>
      <c r="L231" s="207"/>
      <c r="M231" s="207"/>
      <c r="N231" s="207"/>
      <c r="O231" s="207"/>
      <c r="P231" s="207"/>
      <c r="Q231" s="207"/>
      <c r="R231" s="207"/>
      <c r="S231" s="207"/>
      <c r="T231" s="207"/>
      <c r="U231" s="207"/>
      <c r="V231" s="207"/>
      <c r="W231" s="207"/>
      <c r="X231" s="207"/>
      <c r="Y231" s="207"/>
      <c r="Z231" s="207"/>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c r="DM231" s="192"/>
      <c r="DN231" s="192"/>
      <c r="DO231" s="192"/>
      <c r="DP231" s="192"/>
      <c r="DQ231" s="192"/>
      <c r="DR231" s="192"/>
      <c r="DS231" s="192"/>
      <c r="DT231" s="192"/>
      <c r="DU231" s="192"/>
      <c r="DV231" s="192"/>
      <c r="DW231" s="192"/>
      <c r="DX231" s="192"/>
      <c r="DY231" s="192"/>
      <c r="DZ231" s="192"/>
      <c r="EA231" s="192"/>
      <c r="EB231" s="192"/>
      <c r="EC231" s="192"/>
      <c r="ED231" s="192"/>
      <c r="EE231" s="192"/>
      <c r="EF231" s="192"/>
      <c r="EG231" s="192"/>
      <c r="EH231" s="192"/>
      <c r="EI231" s="192"/>
      <c r="EJ231" s="192"/>
      <c r="EK231" s="192"/>
      <c r="EL231" s="192"/>
      <c r="EM231" s="192"/>
      <c r="EN231" s="192"/>
      <c r="EO231" s="192"/>
      <c r="EP231" s="192"/>
      <c r="EQ231" s="192"/>
      <c r="ER231" s="192"/>
      <c r="ES231" s="192"/>
      <c r="ET231" s="192"/>
      <c r="EU231" s="192"/>
      <c r="EV231" s="192"/>
      <c r="EW231" s="192"/>
      <c r="EX231" s="192"/>
      <c r="EY231" s="192"/>
      <c r="EZ231" s="192"/>
      <c r="FA231" s="192"/>
      <c r="FB231" s="192"/>
      <c r="FC231" s="192"/>
      <c r="FD231" s="192"/>
      <c r="FE231" s="192"/>
      <c r="FF231" s="192"/>
      <c r="FG231" s="192"/>
      <c r="FH231" s="192"/>
      <c r="FI231" s="192"/>
      <c r="FJ231" s="192"/>
      <c r="FK231" s="192"/>
      <c r="FL231" s="192"/>
      <c r="FM231" s="192"/>
      <c r="FN231" s="192"/>
      <c r="FO231" s="192"/>
      <c r="FP231" s="192"/>
      <c r="FQ231" s="192"/>
      <c r="FR231" s="192"/>
      <c r="FS231" s="192"/>
      <c r="FT231" s="192"/>
      <c r="FU231" s="192"/>
      <c r="FV231" s="192"/>
      <c r="FW231" s="192"/>
      <c r="FX231" s="192"/>
      <c r="FY231" s="192"/>
      <c r="FZ231" s="192"/>
      <c r="GA231" s="192"/>
      <c r="GB231" s="192"/>
      <c r="GC231" s="192"/>
      <c r="GD231" s="192"/>
      <c r="GE231" s="192"/>
      <c r="GF231" s="192"/>
      <c r="GG231" s="192"/>
      <c r="GH231" s="192"/>
      <c r="GI231" s="192"/>
      <c r="GJ231" s="192"/>
      <c r="GK231" s="192"/>
      <c r="GL231" s="192"/>
      <c r="GM231" s="192"/>
      <c r="GN231" s="192"/>
      <c r="GO231" s="192"/>
      <c r="GP231" s="192"/>
      <c r="GQ231" s="192"/>
      <c r="GR231" s="192"/>
      <c r="GS231" s="192"/>
      <c r="GT231" s="192"/>
      <c r="GU231" s="192"/>
      <c r="GV231" s="192"/>
      <c r="GW231" s="192"/>
      <c r="GX231" s="192"/>
      <c r="GY231" s="192"/>
      <c r="GZ231" s="192"/>
      <c r="HA231" s="192"/>
      <c r="HB231" s="192"/>
      <c r="HC231" s="192"/>
      <c r="HD231" s="192"/>
      <c r="HE231" s="192"/>
      <c r="HF231" s="192"/>
      <c r="HG231" s="192"/>
      <c r="HH231" s="192"/>
      <c r="HI231" s="192"/>
      <c r="HJ231" s="192"/>
      <c r="HK231" s="192"/>
      <c r="HL231" s="192"/>
      <c r="HM231" s="192"/>
      <c r="HN231" s="192"/>
      <c r="HO231" s="192"/>
      <c r="HP231" s="192"/>
      <c r="HQ231" s="192"/>
      <c r="HR231" s="192"/>
      <c r="HS231" s="192"/>
      <c r="HT231" s="192"/>
      <c r="HU231" s="192"/>
      <c r="HV231" s="192"/>
      <c r="HW231" s="192"/>
      <c r="HX231" s="192"/>
      <c r="HY231" s="192"/>
      <c r="HZ231" s="192"/>
      <c r="IA231" s="192"/>
      <c r="IB231" s="192"/>
      <c r="IC231" s="192"/>
      <c r="ID231" s="192"/>
      <c r="IE231" s="192"/>
      <c r="IF231" s="192"/>
      <c r="IG231" s="192"/>
      <c r="IH231" s="192"/>
      <c r="II231" s="192"/>
      <c r="IJ231" s="192"/>
      <c r="IK231" s="192"/>
      <c r="IL231" s="192"/>
      <c r="IM231" s="192"/>
      <c r="IN231" s="192"/>
      <c r="IO231" s="192"/>
      <c r="IP231" s="192"/>
      <c r="IQ231" s="192"/>
      <c r="IR231" s="192"/>
      <c r="IS231" s="192"/>
      <c r="IT231" s="192"/>
      <c r="IU231" s="192"/>
      <c r="IV231" s="192"/>
      <c r="IW231" s="192"/>
      <c r="IX231" s="192"/>
      <c r="IY231" s="192"/>
      <c r="IZ231" s="192"/>
      <c r="JA231" s="192"/>
      <c r="JB231" s="192"/>
      <c r="JC231" s="192"/>
      <c r="JD231" s="192"/>
      <c r="JE231" s="192"/>
      <c r="JF231" s="192"/>
      <c r="JG231" s="192"/>
      <c r="JH231" s="192"/>
      <c r="JI231" s="192"/>
      <c r="JJ231" s="192"/>
      <c r="JK231" s="192"/>
      <c r="JL231" s="192"/>
      <c r="JM231" s="192"/>
      <c r="JN231" s="192"/>
      <c r="JO231" s="192"/>
      <c r="JP231" s="192"/>
      <c r="JQ231" s="192"/>
      <c r="JR231" s="192"/>
      <c r="JS231" s="192"/>
      <c r="JT231" s="192"/>
      <c r="JU231" s="192"/>
      <c r="JV231" s="192"/>
      <c r="JW231" s="192"/>
      <c r="JX231" s="192"/>
      <c r="JY231" s="192"/>
      <c r="JZ231" s="192"/>
      <c r="KA231" s="192"/>
      <c r="KB231" s="192"/>
      <c r="KC231" s="192"/>
      <c r="KD231" s="192"/>
      <c r="KE231" s="192"/>
      <c r="KF231" s="192"/>
      <c r="KG231" s="192"/>
      <c r="KH231" s="192"/>
      <c r="KI231" s="192"/>
      <c r="KJ231" s="192"/>
      <c r="KK231" s="192"/>
      <c r="KL231" s="192"/>
      <c r="KM231" s="192"/>
      <c r="KN231" s="192"/>
      <c r="KO231" s="192"/>
      <c r="KP231" s="192"/>
      <c r="KQ231" s="192"/>
      <c r="KR231" s="192"/>
      <c r="KS231" s="192"/>
      <c r="KT231" s="192"/>
      <c r="KU231" s="192"/>
      <c r="KV231" s="192"/>
      <c r="KW231" s="192"/>
      <c r="KX231" s="192"/>
      <c r="KY231" s="192"/>
      <c r="KZ231" s="192"/>
      <c r="LA231" s="192"/>
      <c r="LB231" s="192"/>
      <c r="LC231" s="192"/>
      <c r="LD231" s="192"/>
      <c r="LE231" s="192"/>
      <c r="LF231" s="192"/>
      <c r="LG231" s="192"/>
      <c r="LH231" s="192"/>
      <c r="LI231" s="192"/>
      <c r="LJ231" s="192"/>
      <c r="LK231" s="192"/>
      <c r="LL231" s="192"/>
      <c r="LM231" s="192"/>
      <c r="LN231" s="192"/>
      <c r="LO231" s="192"/>
      <c r="LP231" s="192"/>
      <c r="LQ231" s="192"/>
      <c r="LR231" s="192"/>
      <c r="LS231" s="192"/>
      <c r="LT231" s="192"/>
      <c r="LU231" s="192"/>
      <c r="LV231" s="192"/>
      <c r="LW231" s="192"/>
      <c r="LX231" s="192"/>
      <c r="LY231" s="192"/>
      <c r="LZ231" s="192"/>
      <c r="MA231" s="192"/>
      <c r="MB231" s="192"/>
      <c r="MC231" s="192"/>
      <c r="MD231" s="192"/>
      <c r="ME231" s="192"/>
      <c r="MF231" s="192"/>
      <c r="MG231" s="192"/>
      <c r="MH231" s="192"/>
      <c r="MI231" s="192"/>
      <c r="MJ231" s="192"/>
      <c r="MK231" s="192"/>
      <c r="ML231" s="192"/>
    </row>
    <row r="232" ht="18.75" customHeight="1">
      <c r="A232" s="232"/>
      <c r="B232" s="234" t="str">
        <f>'Building Bill of Materials_SLIM'!P232</f>
        <v/>
      </c>
      <c r="C232" s="234" t="str">
        <f>'Building Bill of Materials_SLIM'!Q232</f>
        <v/>
      </c>
      <c r="D232" s="234" t="str">
        <f>'Building Bill of Materials_SLIM'!R232</f>
        <v/>
      </c>
      <c r="E232" s="234" t="str">
        <f>'Building Bill of Materials_SLIM'!S232</f>
        <v/>
      </c>
      <c r="F232" s="234" t="str">
        <f>'Building Bill of Materials_SLIM'!U232</f>
        <v/>
      </c>
      <c r="G232" s="234"/>
      <c r="H232" s="234"/>
      <c r="I232" s="234"/>
      <c r="J232" s="234" t="str">
        <f>'Building Bill of Materials_SLIM'!V232</f>
        <v/>
      </c>
      <c r="K232" s="207"/>
      <c r="L232" s="207"/>
      <c r="M232" s="207"/>
      <c r="N232" s="207"/>
      <c r="O232" s="207"/>
      <c r="P232" s="207"/>
      <c r="Q232" s="207"/>
      <c r="R232" s="207"/>
      <c r="S232" s="207"/>
      <c r="T232" s="207"/>
      <c r="U232" s="207"/>
      <c r="V232" s="207"/>
      <c r="W232" s="207"/>
      <c r="X232" s="207"/>
      <c r="Y232" s="207"/>
      <c r="Z232" s="207"/>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c r="DM232" s="192"/>
      <c r="DN232" s="192"/>
      <c r="DO232" s="192"/>
      <c r="DP232" s="192"/>
      <c r="DQ232" s="192"/>
      <c r="DR232" s="192"/>
      <c r="DS232" s="192"/>
      <c r="DT232" s="192"/>
      <c r="DU232" s="192"/>
      <c r="DV232" s="192"/>
      <c r="DW232" s="192"/>
      <c r="DX232" s="192"/>
      <c r="DY232" s="192"/>
      <c r="DZ232" s="192"/>
      <c r="EA232" s="192"/>
      <c r="EB232" s="192"/>
      <c r="EC232" s="192"/>
      <c r="ED232" s="192"/>
      <c r="EE232" s="192"/>
      <c r="EF232" s="192"/>
      <c r="EG232" s="192"/>
      <c r="EH232" s="192"/>
      <c r="EI232" s="192"/>
      <c r="EJ232" s="192"/>
      <c r="EK232" s="192"/>
      <c r="EL232" s="192"/>
      <c r="EM232" s="192"/>
      <c r="EN232" s="192"/>
      <c r="EO232" s="192"/>
      <c r="EP232" s="192"/>
      <c r="EQ232" s="192"/>
      <c r="ER232" s="192"/>
      <c r="ES232" s="192"/>
      <c r="ET232" s="192"/>
      <c r="EU232" s="192"/>
      <c r="EV232" s="192"/>
      <c r="EW232" s="192"/>
      <c r="EX232" s="192"/>
      <c r="EY232" s="192"/>
      <c r="EZ232" s="192"/>
      <c r="FA232" s="192"/>
      <c r="FB232" s="192"/>
      <c r="FC232" s="192"/>
      <c r="FD232" s="192"/>
      <c r="FE232" s="192"/>
      <c r="FF232" s="192"/>
      <c r="FG232" s="192"/>
      <c r="FH232" s="192"/>
      <c r="FI232" s="192"/>
      <c r="FJ232" s="192"/>
      <c r="FK232" s="192"/>
      <c r="FL232" s="192"/>
      <c r="FM232" s="192"/>
      <c r="FN232" s="192"/>
      <c r="FO232" s="192"/>
      <c r="FP232" s="192"/>
      <c r="FQ232" s="192"/>
      <c r="FR232" s="192"/>
      <c r="FS232" s="192"/>
      <c r="FT232" s="192"/>
      <c r="FU232" s="192"/>
      <c r="FV232" s="192"/>
      <c r="FW232" s="192"/>
      <c r="FX232" s="192"/>
      <c r="FY232" s="192"/>
      <c r="FZ232" s="192"/>
      <c r="GA232" s="192"/>
      <c r="GB232" s="192"/>
      <c r="GC232" s="192"/>
      <c r="GD232" s="192"/>
      <c r="GE232" s="192"/>
      <c r="GF232" s="192"/>
      <c r="GG232" s="192"/>
      <c r="GH232" s="192"/>
      <c r="GI232" s="192"/>
      <c r="GJ232" s="192"/>
      <c r="GK232" s="192"/>
      <c r="GL232" s="192"/>
      <c r="GM232" s="192"/>
      <c r="GN232" s="192"/>
      <c r="GO232" s="192"/>
      <c r="GP232" s="192"/>
      <c r="GQ232" s="192"/>
      <c r="GR232" s="192"/>
      <c r="GS232" s="192"/>
      <c r="GT232" s="192"/>
      <c r="GU232" s="192"/>
      <c r="GV232" s="192"/>
      <c r="GW232" s="192"/>
      <c r="GX232" s="192"/>
      <c r="GY232" s="192"/>
      <c r="GZ232" s="192"/>
      <c r="HA232" s="192"/>
      <c r="HB232" s="192"/>
      <c r="HC232" s="192"/>
      <c r="HD232" s="192"/>
      <c r="HE232" s="192"/>
      <c r="HF232" s="192"/>
      <c r="HG232" s="192"/>
      <c r="HH232" s="192"/>
      <c r="HI232" s="192"/>
      <c r="HJ232" s="192"/>
      <c r="HK232" s="192"/>
      <c r="HL232" s="192"/>
      <c r="HM232" s="192"/>
      <c r="HN232" s="192"/>
      <c r="HO232" s="192"/>
      <c r="HP232" s="192"/>
      <c r="HQ232" s="192"/>
      <c r="HR232" s="192"/>
      <c r="HS232" s="192"/>
      <c r="HT232" s="192"/>
      <c r="HU232" s="192"/>
      <c r="HV232" s="192"/>
      <c r="HW232" s="192"/>
      <c r="HX232" s="192"/>
      <c r="HY232" s="192"/>
      <c r="HZ232" s="192"/>
      <c r="IA232" s="192"/>
      <c r="IB232" s="192"/>
      <c r="IC232" s="192"/>
      <c r="ID232" s="192"/>
      <c r="IE232" s="192"/>
      <c r="IF232" s="192"/>
      <c r="IG232" s="192"/>
      <c r="IH232" s="192"/>
      <c r="II232" s="192"/>
      <c r="IJ232" s="192"/>
      <c r="IK232" s="192"/>
      <c r="IL232" s="192"/>
      <c r="IM232" s="192"/>
      <c r="IN232" s="192"/>
      <c r="IO232" s="192"/>
      <c r="IP232" s="192"/>
      <c r="IQ232" s="192"/>
      <c r="IR232" s="192"/>
      <c r="IS232" s="192"/>
      <c r="IT232" s="192"/>
      <c r="IU232" s="192"/>
      <c r="IV232" s="192"/>
      <c r="IW232" s="192"/>
      <c r="IX232" s="192"/>
      <c r="IY232" s="192"/>
      <c r="IZ232" s="192"/>
      <c r="JA232" s="192"/>
      <c r="JB232" s="192"/>
      <c r="JC232" s="192"/>
      <c r="JD232" s="192"/>
      <c r="JE232" s="192"/>
      <c r="JF232" s="192"/>
      <c r="JG232" s="192"/>
      <c r="JH232" s="192"/>
      <c r="JI232" s="192"/>
      <c r="JJ232" s="192"/>
      <c r="JK232" s="192"/>
      <c r="JL232" s="192"/>
      <c r="JM232" s="192"/>
      <c r="JN232" s="192"/>
      <c r="JO232" s="192"/>
      <c r="JP232" s="192"/>
      <c r="JQ232" s="192"/>
      <c r="JR232" s="192"/>
      <c r="JS232" s="192"/>
      <c r="JT232" s="192"/>
      <c r="JU232" s="192"/>
      <c r="JV232" s="192"/>
      <c r="JW232" s="192"/>
      <c r="JX232" s="192"/>
      <c r="JY232" s="192"/>
      <c r="JZ232" s="192"/>
      <c r="KA232" s="192"/>
      <c r="KB232" s="192"/>
      <c r="KC232" s="192"/>
      <c r="KD232" s="192"/>
      <c r="KE232" s="192"/>
      <c r="KF232" s="192"/>
      <c r="KG232" s="192"/>
      <c r="KH232" s="192"/>
      <c r="KI232" s="192"/>
      <c r="KJ232" s="192"/>
      <c r="KK232" s="192"/>
      <c r="KL232" s="192"/>
      <c r="KM232" s="192"/>
      <c r="KN232" s="192"/>
      <c r="KO232" s="192"/>
      <c r="KP232" s="192"/>
      <c r="KQ232" s="192"/>
      <c r="KR232" s="192"/>
      <c r="KS232" s="192"/>
      <c r="KT232" s="192"/>
      <c r="KU232" s="192"/>
      <c r="KV232" s="192"/>
      <c r="KW232" s="192"/>
      <c r="KX232" s="192"/>
      <c r="KY232" s="192"/>
      <c r="KZ232" s="192"/>
      <c r="LA232" s="192"/>
      <c r="LB232" s="192"/>
      <c r="LC232" s="192"/>
      <c r="LD232" s="192"/>
      <c r="LE232" s="192"/>
      <c r="LF232" s="192"/>
      <c r="LG232" s="192"/>
      <c r="LH232" s="192"/>
      <c r="LI232" s="192"/>
      <c r="LJ232" s="192"/>
      <c r="LK232" s="192"/>
      <c r="LL232" s="192"/>
      <c r="LM232" s="192"/>
      <c r="LN232" s="192"/>
      <c r="LO232" s="192"/>
      <c r="LP232" s="192"/>
      <c r="LQ232" s="192"/>
      <c r="LR232" s="192"/>
      <c r="LS232" s="192"/>
      <c r="LT232" s="192"/>
      <c r="LU232" s="192"/>
      <c r="LV232" s="192"/>
      <c r="LW232" s="192"/>
      <c r="LX232" s="192"/>
      <c r="LY232" s="192"/>
      <c r="LZ232" s="192"/>
      <c r="MA232" s="192"/>
      <c r="MB232" s="192"/>
      <c r="MC232" s="192"/>
      <c r="MD232" s="192"/>
      <c r="ME232" s="192"/>
      <c r="MF232" s="192"/>
      <c r="MG232" s="192"/>
      <c r="MH232" s="192"/>
      <c r="MI232" s="192"/>
      <c r="MJ232" s="192"/>
      <c r="MK232" s="192"/>
      <c r="ML232" s="192"/>
    </row>
    <row r="233" ht="18.75" customHeight="1">
      <c r="A233" s="232"/>
      <c r="B233" s="207" t="s">
        <v>647</v>
      </c>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59"/>
      <c r="AB233" s="259"/>
      <c r="AC233" s="259"/>
      <c r="AD233" s="259"/>
      <c r="AE233" s="259"/>
      <c r="AF233" s="259"/>
      <c r="AG233" s="259"/>
      <c r="AH233" s="259"/>
      <c r="AI233" s="259"/>
      <c r="AJ233" s="259"/>
      <c r="AK233" s="259"/>
      <c r="AL233" s="259"/>
      <c r="AM233" s="259"/>
      <c r="AN233" s="259"/>
      <c r="AO233" s="259"/>
      <c r="AP233" s="259"/>
      <c r="AQ233" s="259"/>
      <c r="AR233" s="259"/>
      <c r="AS233" s="259"/>
      <c r="AT233" s="259"/>
      <c r="AU233" s="259"/>
      <c r="AV233" s="259"/>
      <c r="AW233" s="259"/>
      <c r="AX233" s="259"/>
      <c r="AY233" s="259"/>
      <c r="AZ233" s="259"/>
      <c r="BA233" s="259"/>
      <c r="BB233" s="259"/>
      <c r="BC233" s="259"/>
      <c r="BD233" s="259"/>
      <c r="BE233" s="259"/>
      <c r="BF233" s="259"/>
      <c r="BG233" s="259"/>
      <c r="BH233" s="259"/>
      <c r="BI233" s="259"/>
      <c r="BJ233" s="207"/>
      <c r="BK233" s="207"/>
      <c r="BL233" s="207"/>
      <c r="BM233" s="207"/>
      <c r="BN233" s="207"/>
      <c r="BO233" s="207"/>
      <c r="BP233" s="207"/>
      <c r="BQ233" s="207"/>
      <c r="BR233" s="207"/>
      <c r="BS233" s="207"/>
      <c r="BT233" s="207"/>
      <c r="BU233" s="207"/>
      <c r="BV233" s="207"/>
      <c r="BW233" s="207"/>
      <c r="BX233" s="207"/>
      <c r="BY233" s="207"/>
      <c r="BZ233" s="207"/>
      <c r="CA233" s="207"/>
      <c r="CB233" s="207"/>
      <c r="CC233" s="207"/>
      <c r="CD233" s="207"/>
      <c r="CE233" s="259"/>
      <c r="CF233" s="259"/>
      <c r="CG233" s="207"/>
      <c r="CH233" s="207"/>
      <c r="CI233" s="207"/>
      <c r="CJ233" s="207"/>
      <c r="CK233" s="207"/>
      <c r="CL233" s="207"/>
      <c r="CM233" s="207"/>
      <c r="CN233" s="207"/>
      <c r="CO233" s="207"/>
      <c r="CP233" s="207"/>
      <c r="CQ233" s="207"/>
      <c r="CR233" s="207"/>
      <c r="CS233" s="207"/>
      <c r="CT233" s="207"/>
      <c r="CU233" s="207"/>
      <c r="CV233" s="207"/>
      <c r="CW233" s="207"/>
      <c r="CX233" s="207"/>
      <c r="CY233" s="207"/>
      <c r="CZ233" s="207"/>
      <c r="DA233" s="207"/>
      <c r="DB233" s="207"/>
      <c r="DC233" s="207"/>
      <c r="DD233" s="207"/>
      <c r="DE233" s="207"/>
      <c r="DF233" s="207"/>
      <c r="DG233" s="259"/>
      <c r="DH233" s="207"/>
      <c r="DI233" s="207"/>
      <c r="DJ233" s="207"/>
      <c r="DK233" s="207"/>
      <c r="DL233" s="207"/>
      <c r="DM233" s="207"/>
      <c r="DN233" s="207"/>
      <c r="DO233" s="207"/>
      <c r="DP233" s="207"/>
      <c r="DQ233" s="207"/>
      <c r="DR233" s="207"/>
      <c r="DS233" s="207"/>
      <c r="DT233" s="207"/>
      <c r="DU233" s="207"/>
      <c r="DV233" s="207"/>
      <c r="DW233" s="207"/>
      <c r="DX233" s="207"/>
      <c r="DY233" s="207"/>
      <c r="DZ233" s="207"/>
      <c r="EA233" s="207"/>
      <c r="EB233" s="207"/>
      <c r="EC233" s="207"/>
      <c r="ED233" s="207"/>
      <c r="EE233" s="207"/>
      <c r="EF233" s="207"/>
      <c r="EG233" s="207"/>
      <c r="EH233" s="207"/>
      <c r="EI233" s="207"/>
      <c r="EJ233" s="207"/>
      <c r="EK233" s="207"/>
      <c r="EL233" s="207"/>
      <c r="EM233" s="207"/>
      <c r="EN233" s="207"/>
      <c r="EO233" s="207"/>
      <c r="EP233" s="207"/>
      <c r="EQ233" s="207"/>
      <c r="ER233" s="207"/>
      <c r="ES233" s="207"/>
      <c r="ET233" s="207"/>
      <c r="EU233" s="207"/>
      <c r="EV233" s="207"/>
      <c r="EW233" s="207"/>
      <c r="EX233" s="207"/>
      <c r="EY233" s="207"/>
      <c r="EZ233" s="207"/>
      <c r="FA233" s="207"/>
      <c r="FB233" s="207"/>
      <c r="FC233" s="207"/>
      <c r="FD233" s="207"/>
      <c r="FE233" s="207"/>
      <c r="FF233" s="207"/>
      <c r="FG233" s="207"/>
      <c r="FH233" s="259"/>
      <c r="FI233" s="259"/>
      <c r="FJ233" s="259"/>
      <c r="FK233" s="259"/>
      <c r="FL233" s="259"/>
      <c r="FM233" s="259"/>
      <c r="FN233" s="259"/>
      <c r="FO233" s="259"/>
      <c r="FP233" s="259"/>
      <c r="FQ233" s="259"/>
      <c r="FR233" s="259"/>
      <c r="FS233" s="259"/>
      <c r="FT233" s="259"/>
      <c r="FU233" s="259"/>
      <c r="FV233" s="259"/>
      <c r="FW233" s="259"/>
      <c r="FX233" s="259"/>
      <c r="FY233" s="207"/>
      <c r="FZ233" s="207"/>
      <c r="GA233" s="207"/>
      <c r="GB233" s="207"/>
      <c r="GC233" s="207"/>
      <c r="GD233" s="207"/>
      <c r="GE233" s="207"/>
      <c r="GF233" s="207"/>
      <c r="GG233" s="207"/>
      <c r="GH233" s="207"/>
      <c r="GI233" s="207"/>
      <c r="GJ233" s="207"/>
      <c r="GK233" s="207"/>
      <c r="GL233" s="207"/>
      <c r="GM233" s="207"/>
      <c r="GN233" s="207"/>
      <c r="GO233" s="207"/>
      <c r="GP233" s="207"/>
      <c r="GQ233" s="207"/>
      <c r="GR233" s="207"/>
      <c r="GS233" s="207"/>
      <c r="GT233" s="207"/>
      <c r="GU233" s="207"/>
      <c r="GV233" s="207"/>
      <c r="GW233" s="207"/>
      <c r="GX233" s="207"/>
      <c r="GY233" s="207"/>
      <c r="GZ233" s="207"/>
      <c r="HA233" s="207"/>
      <c r="HB233" s="207"/>
      <c r="HC233" s="207"/>
      <c r="HD233" s="207"/>
      <c r="HE233" s="207"/>
      <c r="HF233" s="207"/>
      <c r="HG233" s="207"/>
      <c r="HH233" s="207"/>
      <c r="HI233" s="207"/>
      <c r="HJ233" s="207"/>
      <c r="HK233" s="207"/>
      <c r="HL233" s="207"/>
      <c r="HM233" s="207"/>
      <c r="HN233" s="207"/>
      <c r="HO233" s="207"/>
      <c r="HP233" s="207"/>
      <c r="HQ233" s="207"/>
      <c r="HR233" s="207"/>
      <c r="HS233" s="207"/>
      <c r="HT233" s="207"/>
      <c r="HU233" s="207"/>
      <c r="HV233" s="207"/>
      <c r="HW233" s="207"/>
      <c r="HX233" s="207"/>
      <c r="HY233" s="207"/>
      <c r="HZ233" s="207"/>
      <c r="IA233" s="207"/>
      <c r="IB233" s="207"/>
      <c r="IC233" s="207"/>
      <c r="ID233" s="207"/>
      <c r="IE233" s="207"/>
      <c r="IF233" s="207"/>
      <c r="IG233" s="207"/>
      <c r="IH233" s="207"/>
      <c r="II233" s="207"/>
      <c r="IJ233" s="207"/>
      <c r="IK233" s="207"/>
      <c r="IL233" s="207"/>
      <c r="IM233" s="207"/>
      <c r="IN233" s="207"/>
      <c r="IO233" s="207"/>
      <c r="IP233" s="207"/>
      <c r="IQ233" s="207"/>
      <c r="IR233" s="207"/>
      <c r="IS233" s="207"/>
      <c r="IT233" s="207"/>
      <c r="IU233" s="207"/>
      <c r="IV233" s="207"/>
      <c r="IW233" s="207"/>
      <c r="IX233" s="207"/>
      <c r="IY233" s="207"/>
      <c r="IZ233" s="207"/>
      <c r="JA233" s="207"/>
      <c r="JB233" s="207"/>
      <c r="JC233" s="207"/>
      <c r="JD233" s="207"/>
      <c r="JE233" s="207"/>
      <c r="JF233" s="207"/>
      <c r="JG233" s="207"/>
      <c r="JH233" s="207"/>
      <c r="JI233" s="207"/>
      <c r="JJ233" s="207"/>
      <c r="JK233" s="207"/>
      <c r="JL233" s="207"/>
      <c r="JM233" s="207"/>
      <c r="JN233" s="207"/>
      <c r="JO233" s="207"/>
      <c r="JP233" s="207"/>
      <c r="JQ233" s="207"/>
      <c r="JR233" s="207"/>
      <c r="JS233" s="207"/>
      <c r="JT233" s="207"/>
      <c r="JU233" s="207"/>
      <c r="JV233" s="207"/>
      <c r="JW233" s="207"/>
      <c r="JX233" s="207"/>
      <c r="JY233" s="207"/>
      <c r="JZ233" s="207"/>
      <c r="KA233" s="207"/>
      <c r="KB233" s="207"/>
      <c r="KC233" s="207"/>
      <c r="KD233" s="207"/>
      <c r="KE233" s="207"/>
      <c r="KF233" s="207"/>
      <c r="KG233" s="207"/>
      <c r="KH233" s="207"/>
      <c r="KI233" s="207"/>
      <c r="KJ233" s="207"/>
      <c r="KK233" s="207"/>
      <c r="KL233" s="207"/>
      <c r="KM233" s="207"/>
      <c r="KN233" s="207"/>
      <c r="KO233" s="207"/>
      <c r="KP233" s="207"/>
      <c r="KQ233" s="207"/>
      <c r="KR233" s="207"/>
      <c r="KS233" s="207"/>
      <c r="KT233" s="207"/>
      <c r="KU233" s="207"/>
      <c r="KV233" s="207"/>
      <c r="KW233" s="207"/>
      <c r="KX233" s="207"/>
      <c r="KY233" s="207"/>
      <c r="KZ233" s="207"/>
      <c r="LA233" s="207"/>
      <c r="LB233" s="207"/>
      <c r="LC233" s="207"/>
      <c r="LD233" s="207"/>
      <c r="LE233" s="207"/>
      <c r="LF233" s="207"/>
      <c r="LG233" s="207"/>
      <c r="LH233" s="207"/>
      <c r="LI233" s="207"/>
      <c r="LJ233" s="207"/>
      <c r="LK233" s="207"/>
      <c r="LL233" s="207"/>
      <c r="LM233" s="207"/>
      <c r="LN233" s="207"/>
      <c r="LO233" s="207"/>
      <c r="LP233" s="207"/>
      <c r="LQ233" s="207"/>
      <c r="LR233" s="207"/>
      <c r="LS233" s="207"/>
      <c r="LT233" s="207"/>
      <c r="LU233" s="207"/>
      <c r="LV233" s="207"/>
      <c r="LW233" s="207"/>
      <c r="LX233" s="207"/>
      <c r="LY233" s="207"/>
      <c r="LZ233" s="207"/>
      <c r="MA233" s="207"/>
      <c r="MB233" s="207"/>
      <c r="MC233" s="207"/>
      <c r="MD233" s="207"/>
      <c r="ME233" s="207"/>
      <c r="MF233" s="207"/>
      <c r="MG233" s="207"/>
      <c r="MH233" s="207"/>
      <c r="MI233" s="207"/>
      <c r="MJ233" s="207"/>
      <c r="MK233" s="207"/>
      <c r="ML233" s="207"/>
    </row>
  </sheetData>
  <autoFilter ref="$A$1:$JS$233"/>
  <conditionalFormatting sqref="B6:ML6">
    <cfRule type="expression" dxfId="9" priority="1">
      <formula>B$6="Automatic"</formula>
    </cfRule>
  </conditionalFormatting>
  <conditionalFormatting sqref="B2:ML2 B6:ML6">
    <cfRule type="expression" dxfId="8" priority="2">
      <formula>B$6="Minimum Required"</formula>
    </cfRule>
  </conditionalFormatting>
  <conditionalFormatting sqref="B6:ML6">
    <cfRule type="expression" dxfId="10" priority="3">
      <formula>B$6="Recommended"</formula>
    </cfRule>
  </conditionalFormatting>
  <conditionalFormatting sqref="B6:ML6">
    <cfRule type="expression" dxfId="12" priority="4">
      <formula>B$6="Optional"</formula>
    </cfRule>
  </conditionalFormatting>
  <dataValidations>
    <dataValidation type="list" allowBlank="1" showInputMessage="1" prompt="SFDSFSAGSASG" sqref="B3:D3 I3:ML3">
      <formula1>Dropdowns!$AJ$4:$AJ$8</formula1>
    </dataValidation>
    <dataValidation type="list" allowBlank="1" showErrorMessage="1" sqref="E3:H3">
      <formula1>Dropdowns!$AJ$4:$AJ$8</formula1>
    </dataValidation>
  </dataValidation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2" width="19.88"/>
    <col customWidth="1" min="3" max="3" width="20.63"/>
    <col customWidth="1" min="4" max="11" width="15.13"/>
    <col customWidth="1" min="12" max="13" width="20.13"/>
    <col customWidth="1" min="14" max="33" width="15.13"/>
  </cols>
  <sheetData>
    <row r="1" ht="60.0" customHeight="1">
      <c r="A1" s="264" t="s">
        <v>587</v>
      </c>
      <c r="B1" s="161" t="s">
        <v>589</v>
      </c>
      <c r="C1" s="161" t="s">
        <v>590</v>
      </c>
      <c r="D1" s="161" t="s">
        <v>591</v>
      </c>
      <c r="E1" s="163" t="s">
        <v>688</v>
      </c>
      <c r="F1" s="163" t="s">
        <v>689</v>
      </c>
      <c r="G1" s="163" t="s">
        <v>690</v>
      </c>
      <c r="H1" s="163" t="s">
        <v>691</v>
      </c>
      <c r="I1" s="163" t="s">
        <v>597</v>
      </c>
      <c r="J1" s="162" t="s">
        <v>692</v>
      </c>
      <c r="K1" s="164" t="s">
        <v>687</v>
      </c>
      <c r="L1" s="209" t="s">
        <v>601</v>
      </c>
      <c r="M1" s="209" t="s">
        <v>694</v>
      </c>
      <c r="N1" s="270" t="s">
        <v>853</v>
      </c>
      <c r="O1" s="270" t="s">
        <v>870</v>
      </c>
      <c r="P1" s="270" t="s">
        <v>887</v>
      </c>
      <c r="Q1" s="270" t="s">
        <v>904</v>
      </c>
      <c r="R1" s="270" t="s">
        <v>921</v>
      </c>
      <c r="S1" s="270" t="s">
        <v>937</v>
      </c>
      <c r="T1" s="270" t="s">
        <v>954</v>
      </c>
      <c r="U1" s="270" t="s">
        <v>971</v>
      </c>
      <c r="V1" s="270" t="s">
        <v>988</v>
      </c>
      <c r="W1" s="270" t="s">
        <v>1005</v>
      </c>
      <c r="X1" s="270" t="s">
        <v>1021</v>
      </c>
      <c r="Y1" s="270" t="s">
        <v>1037</v>
      </c>
      <c r="Z1" s="270" t="s">
        <v>1054</v>
      </c>
      <c r="AA1" s="270" t="s">
        <v>1071</v>
      </c>
      <c r="AB1" s="270" t="s">
        <v>1088</v>
      </c>
      <c r="AC1" s="270" t="s">
        <v>1105</v>
      </c>
      <c r="AD1" s="270" t="s">
        <v>1122</v>
      </c>
      <c r="AE1" s="270" t="s">
        <v>1139</v>
      </c>
      <c r="AF1" s="270" t="s">
        <v>1156</v>
      </c>
      <c r="AG1" s="270" t="s">
        <v>1173</v>
      </c>
    </row>
    <row r="2" ht="90.0" customHeight="1">
      <c r="A2" s="264" t="s">
        <v>85</v>
      </c>
      <c r="B2" s="85" t="s">
        <v>604</v>
      </c>
      <c r="C2" s="85" t="s">
        <v>605</v>
      </c>
      <c r="D2" s="85" t="s">
        <v>1174</v>
      </c>
      <c r="E2" s="243" t="s">
        <v>704</v>
      </c>
      <c r="F2" s="243" t="s">
        <v>705</v>
      </c>
      <c r="G2" s="243" t="s">
        <v>706</v>
      </c>
      <c r="H2" s="243" t="s">
        <v>707</v>
      </c>
      <c r="I2" s="168" t="s">
        <v>612</v>
      </c>
      <c r="J2" s="168" t="s">
        <v>611</v>
      </c>
      <c r="K2" s="285" t="s">
        <v>610</v>
      </c>
      <c r="L2" s="85" t="s">
        <v>1573</v>
      </c>
      <c r="M2" s="85" t="s">
        <v>1574</v>
      </c>
      <c r="N2" s="244" t="s">
        <v>1175</v>
      </c>
      <c r="O2" s="168" t="s">
        <v>1177</v>
      </c>
      <c r="P2" s="168" t="s">
        <v>1179</v>
      </c>
      <c r="Q2" s="168" t="s">
        <v>1181</v>
      </c>
      <c r="R2" s="168" t="s">
        <v>1183</v>
      </c>
      <c r="S2" s="168" t="s">
        <v>1184</v>
      </c>
      <c r="T2" s="168" t="s">
        <v>1186</v>
      </c>
      <c r="U2" s="168" t="s">
        <v>1188</v>
      </c>
      <c r="V2" s="168" t="s">
        <v>1190</v>
      </c>
      <c r="W2" s="168" t="s">
        <v>1192</v>
      </c>
      <c r="X2" s="168" t="s">
        <v>1193</v>
      </c>
      <c r="Y2" s="168" t="s">
        <v>1195</v>
      </c>
      <c r="Z2" s="168" t="s">
        <v>1196</v>
      </c>
      <c r="AA2" s="168" t="s">
        <v>1198</v>
      </c>
      <c r="AB2" s="168" t="s">
        <v>1200</v>
      </c>
      <c r="AC2" s="168" t="s">
        <v>1202</v>
      </c>
      <c r="AD2" s="168" t="s">
        <v>1204</v>
      </c>
      <c r="AE2" s="168" t="s">
        <v>1206</v>
      </c>
      <c r="AF2" s="168" t="s">
        <v>1208</v>
      </c>
      <c r="AG2" s="168" t="s">
        <v>1210</v>
      </c>
    </row>
    <row r="3" ht="30.0" customHeight="1">
      <c r="A3" s="272" t="s">
        <v>618</v>
      </c>
      <c r="B3" s="173" t="s">
        <v>107</v>
      </c>
      <c r="C3" s="173" t="s">
        <v>619</v>
      </c>
      <c r="D3" s="173" t="s">
        <v>107</v>
      </c>
      <c r="E3" s="175" t="s">
        <v>190</v>
      </c>
      <c r="F3" s="175" t="s">
        <v>190</v>
      </c>
      <c r="G3" s="245" t="s">
        <v>190</v>
      </c>
      <c r="H3" s="245" t="s">
        <v>190</v>
      </c>
      <c r="I3" s="175" t="s">
        <v>190</v>
      </c>
      <c r="J3" s="175" t="s">
        <v>190</v>
      </c>
      <c r="K3" s="245" t="s">
        <v>190</v>
      </c>
      <c r="L3" s="174" t="s">
        <v>619</v>
      </c>
      <c r="M3" s="174" t="s">
        <v>619</v>
      </c>
      <c r="N3" s="245" t="s">
        <v>190</v>
      </c>
      <c r="O3" s="245" t="s">
        <v>190</v>
      </c>
      <c r="P3" s="245" t="s">
        <v>190</v>
      </c>
      <c r="Q3" s="245" t="s">
        <v>190</v>
      </c>
      <c r="R3" s="245" t="s">
        <v>190</v>
      </c>
      <c r="S3" s="245" t="s">
        <v>190</v>
      </c>
      <c r="T3" s="245" t="s">
        <v>190</v>
      </c>
      <c r="U3" s="245" t="s">
        <v>190</v>
      </c>
      <c r="V3" s="245" t="s">
        <v>190</v>
      </c>
      <c r="W3" s="245" t="s">
        <v>190</v>
      </c>
      <c r="X3" s="245" t="s">
        <v>190</v>
      </c>
      <c r="Y3" s="245" t="s">
        <v>190</v>
      </c>
      <c r="Z3" s="245" t="s">
        <v>190</v>
      </c>
      <c r="AA3" s="245" t="s">
        <v>190</v>
      </c>
      <c r="AB3" s="245" t="s">
        <v>190</v>
      </c>
      <c r="AC3" s="286" t="s">
        <v>190</v>
      </c>
      <c r="AD3" s="286" t="s">
        <v>190</v>
      </c>
      <c r="AE3" s="286" t="s">
        <v>190</v>
      </c>
      <c r="AF3" s="286" t="s">
        <v>190</v>
      </c>
      <c r="AG3" s="286" t="s">
        <v>190</v>
      </c>
    </row>
    <row r="4" ht="18.75" customHeight="1">
      <c r="A4" s="272" t="s">
        <v>87</v>
      </c>
      <c r="B4" s="177" t="s">
        <v>108</v>
      </c>
      <c r="C4" s="177" t="s">
        <v>114</v>
      </c>
      <c r="D4" s="177" t="s">
        <v>108</v>
      </c>
      <c r="E4" s="227" t="s">
        <v>191</v>
      </c>
      <c r="F4" s="227" t="s">
        <v>191</v>
      </c>
      <c r="G4" s="246" t="s">
        <v>191</v>
      </c>
      <c r="H4" s="246" t="s">
        <v>191</v>
      </c>
      <c r="I4" s="179" t="s">
        <v>191</v>
      </c>
      <c r="J4" s="179" t="s">
        <v>191</v>
      </c>
      <c r="K4" s="227" t="s">
        <v>191</v>
      </c>
      <c r="L4" s="177" t="s">
        <v>114</v>
      </c>
      <c r="M4" s="177" t="s">
        <v>114</v>
      </c>
      <c r="N4" s="179" t="s">
        <v>191</v>
      </c>
      <c r="O4" s="274" t="s">
        <v>191</v>
      </c>
      <c r="P4" s="274" t="s">
        <v>191</v>
      </c>
      <c r="Q4" s="179" t="s">
        <v>191</v>
      </c>
      <c r="R4" s="179" t="s">
        <v>191</v>
      </c>
      <c r="S4" s="179" t="s">
        <v>191</v>
      </c>
      <c r="T4" s="179" t="s">
        <v>191</v>
      </c>
      <c r="U4" s="179" t="s">
        <v>191</v>
      </c>
      <c r="V4" s="179" t="s">
        <v>191</v>
      </c>
      <c r="W4" s="274" t="s">
        <v>191</v>
      </c>
      <c r="X4" s="179" t="s">
        <v>191</v>
      </c>
      <c r="Y4" s="179" t="s">
        <v>191</v>
      </c>
      <c r="Z4" s="179" t="s">
        <v>191</v>
      </c>
      <c r="AA4" s="274" t="s">
        <v>191</v>
      </c>
      <c r="AB4" s="274" t="s">
        <v>191</v>
      </c>
      <c r="AC4" s="287" t="s">
        <v>191</v>
      </c>
      <c r="AD4" s="287" t="s">
        <v>191</v>
      </c>
      <c r="AE4" s="287" t="s">
        <v>191</v>
      </c>
      <c r="AF4" s="287" t="s">
        <v>191</v>
      </c>
      <c r="AG4" s="287" t="s">
        <v>191</v>
      </c>
    </row>
    <row r="5" ht="18.75" customHeight="1">
      <c r="A5" s="272" t="s">
        <v>620</v>
      </c>
      <c r="B5" s="178" t="s">
        <v>109</v>
      </c>
      <c r="C5" s="178" t="s">
        <v>109</v>
      </c>
      <c r="D5" s="178" t="s">
        <v>109</v>
      </c>
      <c r="E5" s="181" t="s">
        <v>155</v>
      </c>
      <c r="F5" s="181" t="s">
        <v>155</v>
      </c>
      <c r="G5" s="247" t="s">
        <v>155</v>
      </c>
      <c r="H5" s="247" t="s">
        <v>155</v>
      </c>
      <c r="I5" s="181" t="s">
        <v>622</v>
      </c>
      <c r="J5" s="181" t="s">
        <v>621</v>
      </c>
      <c r="K5" s="288" t="s">
        <v>155</v>
      </c>
      <c r="L5" s="276" t="s">
        <v>1575</v>
      </c>
      <c r="M5" s="276" t="s">
        <v>1575</v>
      </c>
      <c r="N5" s="278" t="s">
        <v>1211</v>
      </c>
      <c r="O5" s="277" t="s">
        <v>1211</v>
      </c>
      <c r="P5" s="277" t="s">
        <v>1211</v>
      </c>
      <c r="Q5" s="278" t="s">
        <v>1211</v>
      </c>
      <c r="R5" s="278" t="s">
        <v>1212</v>
      </c>
      <c r="S5" s="278" t="s">
        <v>1213</v>
      </c>
      <c r="T5" s="278" t="s">
        <v>1214</v>
      </c>
      <c r="U5" s="278" t="s">
        <v>1215</v>
      </c>
      <c r="V5" s="278" t="s">
        <v>1214</v>
      </c>
      <c r="W5" s="278" t="s">
        <v>1216</v>
      </c>
      <c r="X5" s="288" t="s">
        <v>1217</v>
      </c>
      <c r="Y5" s="288" t="s">
        <v>1218</v>
      </c>
      <c r="Z5" s="288" t="s">
        <v>1219</v>
      </c>
      <c r="AA5" s="288" t="s">
        <v>1220</v>
      </c>
      <c r="AB5" s="277" t="s">
        <v>1221</v>
      </c>
      <c r="AC5" s="278" t="s">
        <v>1222</v>
      </c>
      <c r="AD5" s="278" t="s">
        <v>1221</v>
      </c>
      <c r="AE5" s="278" t="s">
        <v>1221</v>
      </c>
      <c r="AF5" s="278" t="s">
        <v>1221</v>
      </c>
      <c r="AG5" s="278" t="s">
        <v>1221</v>
      </c>
    </row>
    <row r="6" ht="18.75" customHeight="1">
      <c r="A6" s="272" t="s">
        <v>89</v>
      </c>
      <c r="B6" s="183" t="s">
        <v>35</v>
      </c>
      <c r="C6" s="183" t="s">
        <v>35</v>
      </c>
      <c r="D6" s="183" t="s">
        <v>35</v>
      </c>
      <c r="E6" s="183" t="s">
        <v>35</v>
      </c>
      <c r="F6" s="183" t="s">
        <v>35</v>
      </c>
      <c r="G6" s="183" t="s">
        <v>35</v>
      </c>
      <c r="H6" s="183" t="s">
        <v>35</v>
      </c>
      <c r="I6" s="183" t="s">
        <v>35</v>
      </c>
      <c r="J6" s="183" t="s">
        <v>35</v>
      </c>
      <c r="K6" s="289" t="s">
        <v>37</v>
      </c>
      <c r="L6" s="183" t="s">
        <v>37</v>
      </c>
      <c r="M6" s="183" t="s">
        <v>39</v>
      </c>
      <c r="N6" s="289" t="s">
        <v>37</v>
      </c>
      <c r="O6" s="248" t="s">
        <v>39</v>
      </c>
      <c r="P6" s="248" t="s">
        <v>39</v>
      </c>
      <c r="Q6" s="248" t="s">
        <v>39</v>
      </c>
      <c r="R6" s="281" t="s">
        <v>41</v>
      </c>
      <c r="S6" s="281" t="s">
        <v>41</v>
      </c>
      <c r="T6" s="281" t="s">
        <v>41</v>
      </c>
      <c r="U6" s="281" t="s">
        <v>41</v>
      </c>
      <c r="V6" s="281" t="s">
        <v>41</v>
      </c>
      <c r="W6" s="281" t="s">
        <v>41</v>
      </c>
      <c r="X6" s="281" t="s">
        <v>41</v>
      </c>
      <c r="Y6" s="281" t="s">
        <v>41</v>
      </c>
      <c r="Z6" s="281" t="s">
        <v>41</v>
      </c>
      <c r="AA6" s="281" t="s">
        <v>41</v>
      </c>
      <c r="AB6" s="281" t="s">
        <v>41</v>
      </c>
      <c r="AC6" s="290" t="s">
        <v>41</v>
      </c>
      <c r="AD6" s="290" t="s">
        <v>41</v>
      </c>
      <c r="AE6" s="290" t="s">
        <v>41</v>
      </c>
      <c r="AF6" s="290" t="s">
        <v>41</v>
      </c>
      <c r="AG6" s="290" t="s">
        <v>41</v>
      </c>
    </row>
    <row r="7" ht="90.0" customHeight="1">
      <c r="A7" s="182" t="s">
        <v>712</v>
      </c>
      <c r="B7" s="230" t="s">
        <v>1223</v>
      </c>
      <c r="C7" s="230" t="s">
        <v>1224</v>
      </c>
      <c r="D7" s="230" t="s">
        <v>1225</v>
      </c>
      <c r="E7" s="230" t="s">
        <v>1226</v>
      </c>
      <c r="F7" s="230" t="s">
        <v>1227</v>
      </c>
      <c r="G7" s="230" t="s">
        <v>1228</v>
      </c>
      <c r="H7" s="230" t="s">
        <v>1229</v>
      </c>
      <c r="I7" s="230" t="s">
        <v>1230</v>
      </c>
      <c r="J7" s="230" t="s">
        <v>1231</v>
      </c>
      <c r="K7" s="83" t="s">
        <v>1232</v>
      </c>
      <c r="L7" s="83" t="s">
        <v>1576</v>
      </c>
      <c r="M7" s="83" t="s">
        <v>1577</v>
      </c>
      <c r="N7" s="83" t="s">
        <v>1232</v>
      </c>
      <c r="O7" s="83" t="s">
        <v>1232</v>
      </c>
      <c r="P7" s="83" t="s">
        <v>1232</v>
      </c>
      <c r="Q7" s="83" t="s">
        <v>1232</v>
      </c>
      <c r="R7" s="83" t="s">
        <v>1232</v>
      </c>
      <c r="S7" s="83" t="s">
        <v>1232</v>
      </c>
      <c r="T7" s="83" t="s">
        <v>1232</v>
      </c>
      <c r="U7" s="83" t="s">
        <v>1232</v>
      </c>
      <c r="V7" s="83" t="s">
        <v>1232</v>
      </c>
      <c r="W7" s="83" t="s">
        <v>1232</v>
      </c>
      <c r="X7" s="83" t="s">
        <v>1232</v>
      </c>
      <c r="Y7" s="83" t="s">
        <v>1232</v>
      </c>
      <c r="Z7" s="83" t="s">
        <v>1232</v>
      </c>
      <c r="AA7" s="83" t="s">
        <v>1232</v>
      </c>
      <c r="AB7" s="83" t="s">
        <v>1232</v>
      </c>
      <c r="AC7" s="83" t="s">
        <v>1232</v>
      </c>
      <c r="AD7" s="83" t="s">
        <v>1232</v>
      </c>
      <c r="AE7" s="83" t="s">
        <v>1232</v>
      </c>
      <c r="AF7" s="83" t="s">
        <v>1232</v>
      </c>
      <c r="AG7" s="83" t="s">
        <v>1232</v>
      </c>
    </row>
    <row r="8" ht="18.75" customHeight="1">
      <c r="A8" s="182" t="s">
        <v>84</v>
      </c>
      <c r="B8" s="186" t="s">
        <v>637</v>
      </c>
      <c r="C8" s="186" t="s">
        <v>638</v>
      </c>
      <c r="D8" s="186" t="s">
        <v>639</v>
      </c>
      <c r="E8" s="186" t="s">
        <v>740</v>
      </c>
      <c r="F8" s="186" t="s">
        <v>741</v>
      </c>
      <c r="G8" s="186" t="s">
        <v>742</v>
      </c>
      <c r="H8" s="186" t="s">
        <v>743</v>
      </c>
      <c r="I8" s="186" t="s">
        <v>744</v>
      </c>
      <c r="J8" s="186" t="s">
        <v>641</v>
      </c>
      <c r="K8" s="186" t="s">
        <v>739</v>
      </c>
      <c r="L8" s="185" t="s">
        <v>746</v>
      </c>
      <c r="M8" s="185" t="s">
        <v>1578</v>
      </c>
      <c r="N8" s="187" t="s">
        <v>1249</v>
      </c>
      <c r="O8" s="187" t="s">
        <v>1266</v>
      </c>
      <c r="P8" s="187" t="s">
        <v>1283</v>
      </c>
      <c r="Q8" s="187" t="s">
        <v>1300</v>
      </c>
      <c r="R8" s="187" t="s">
        <v>1317</v>
      </c>
      <c r="S8" s="187" t="s">
        <v>1334</v>
      </c>
      <c r="T8" s="187" t="s">
        <v>1351</v>
      </c>
      <c r="U8" s="187" t="s">
        <v>1368</v>
      </c>
      <c r="V8" s="187" t="s">
        <v>1385</v>
      </c>
      <c r="W8" s="187" t="s">
        <v>1402</v>
      </c>
      <c r="X8" s="187" t="s">
        <v>1419</v>
      </c>
      <c r="Y8" s="187" t="s">
        <v>1436</v>
      </c>
      <c r="Z8" s="187" t="s">
        <v>1453</v>
      </c>
      <c r="AA8" s="187" t="s">
        <v>1470</v>
      </c>
      <c r="AB8" s="187" t="s">
        <v>1487</v>
      </c>
      <c r="AC8" s="187" t="s">
        <v>1504</v>
      </c>
      <c r="AD8" s="187" t="s">
        <v>1521</v>
      </c>
      <c r="AE8" s="187" t="s">
        <v>1538</v>
      </c>
      <c r="AF8" s="187" t="s">
        <v>1555</v>
      </c>
      <c r="AG8" s="187" t="s">
        <v>1572</v>
      </c>
    </row>
    <row r="9" ht="18.75" customHeight="1">
      <c r="A9" s="283"/>
      <c r="B9" s="234" t="str">
        <f>'Building Bill of Materials_SLIM'!P9</f>
        <v/>
      </c>
      <c r="C9" s="234" t="str">
        <f>'Building Bill of Materials_SLIM'!Q9</f>
        <v/>
      </c>
      <c r="D9" s="234" t="str">
        <f>'Building Bill of Materials_SLIM'!R9</f>
        <v/>
      </c>
      <c r="E9" s="234" t="str">
        <f>'Building Bill of Materials_SLIM'!S9</f>
        <v/>
      </c>
      <c r="F9" s="234"/>
      <c r="G9" s="234"/>
      <c r="H9" s="284" t="str">
        <f>'Building Bill of Materials_SLIM'!T9</f>
        <v/>
      </c>
      <c r="I9" s="284" t="str">
        <f>'Building Bill of Materials_SLIM'!U9</f>
        <v/>
      </c>
      <c r="J9" s="234" t="str">
        <f>'Building Bill of Materials_SLIM'!V9</f>
        <v/>
      </c>
      <c r="K9" s="192"/>
      <c r="L9" s="236" t="s">
        <v>645</v>
      </c>
      <c r="M9" s="236"/>
      <c r="N9" s="253"/>
      <c r="O9" s="253"/>
      <c r="P9" s="253"/>
      <c r="Q9" s="253"/>
      <c r="R9" s="253"/>
      <c r="S9" s="253"/>
      <c r="T9" s="253"/>
      <c r="U9" s="253"/>
      <c r="V9" s="253"/>
      <c r="W9" s="253"/>
      <c r="X9" s="253"/>
      <c r="Y9" s="253"/>
      <c r="Z9" s="253"/>
      <c r="AA9" s="253"/>
      <c r="AB9" s="253"/>
      <c r="AC9" s="253"/>
      <c r="AD9" s="253"/>
      <c r="AE9" s="253"/>
      <c r="AF9" s="253"/>
      <c r="AG9" s="253"/>
    </row>
    <row r="10" ht="18.75" customHeight="1">
      <c r="A10" s="283"/>
      <c r="B10" s="234" t="str">
        <f>'Building Bill of Materials_SLIM'!P10</f>
        <v/>
      </c>
      <c r="C10" s="234" t="str">
        <f>'Building Bill of Materials_SLIM'!Q10</f>
        <v/>
      </c>
      <c r="D10" s="234" t="str">
        <f>'Building Bill of Materials_SLIM'!R10</f>
        <v/>
      </c>
      <c r="E10" s="234" t="str">
        <f>'Building Bill of Materials_SLIM'!S10</f>
        <v/>
      </c>
      <c r="F10" s="234"/>
      <c r="G10" s="234"/>
      <c r="H10" s="284" t="str">
        <f>'Building Bill of Materials_SLIM'!T10</f>
        <v/>
      </c>
      <c r="I10" s="284" t="str">
        <f>'Building Bill of Materials_SLIM'!U10</f>
        <v/>
      </c>
      <c r="J10" s="234" t="str">
        <f>'Building Bill of Materials_SLIM'!V10</f>
        <v/>
      </c>
      <c r="K10" s="192"/>
      <c r="L10" s="255" t="s">
        <v>645</v>
      </c>
      <c r="M10" s="255"/>
      <c r="N10" s="258"/>
      <c r="O10" s="258"/>
      <c r="P10" s="258"/>
      <c r="Q10" s="258"/>
      <c r="R10" s="258"/>
      <c r="S10" s="258"/>
      <c r="T10" s="258"/>
      <c r="U10" s="258"/>
      <c r="V10" s="258"/>
      <c r="W10" s="258"/>
      <c r="X10" s="258"/>
      <c r="Y10" s="258"/>
      <c r="Z10" s="258"/>
      <c r="AA10" s="258"/>
      <c r="AB10" s="258"/>
      <c r="AC10" s="258"/>
      <c r="AD10" s="258"/>
      <c r="AE10" s="258"/>
      <c r="AF10" s="258"/>
      <c r="AG10" s="258"/>
    </row>
    <row r="11" ht="18.75" customHeight="1">
      <c r="A11" s="283"/>
      <c r="B11" s="234" t="str">
        <f>'Building Bill of Materials_SLIM'!P11</f>
        <v/>
      </c>
      <c r="C11" s="234" t="str">
        <f>'Building Bill of Materials_SLIM'!Q11</f>
        <v/>
      </c>
      <c r="D11" s="234" t="str">
        <f>'Building Bill of Materials_SLIM'!R11</f>
        <v/>
      </c>
      <c r="E11" s="234" t="str">
        <f>'Building Bill of Materials_SLIM'!S11</f>
        <v/>
      </c>
      <c r="F11" s="234"/>
      <c r="G11" s="234"/>
      <c r="H11" s="284" t="str">
        <f>'Building Bill of Materials_SLIM'!T11</f>
        <v/>
      </c>
      <c r="I11" s="284" t="str">
        <f>'Building Bill of Materials_SLIM'!U11</f>
        <v/>
      </c>
      <c r="J11" s="234" t="str">
        <f>'Building Bill of Materials_SLIM'!V11</f>
        <v/>
      </c>
      <c r="K11" s="192"/>
      <c r="L11" s="255" t="s">
        <v>645</v>
      </c>
      <c r="M11" s="255" t="s">
        <v>1579</v>
      </c>
      <c r="N11" s="258"/>
      <c r="O11" s="258"/>
      <c r="P11" s="258"/>
      <c r="Q11" s="258"/>
      <c r="R11" s="258"/>
      <c r="S11" s="258"/>
      <c r="T11" s="258"/>
      <c r="U11" s="258"/>
      <c r="V11" s="258"/>
      <c r="W11" s="258"/>
      <c r="X11" s="258"/>
      <c r="Y11" s="258"/>
      <c r="Z11" s="258"/>
      <c r="AA11" s="258"/>
      <c r="AB11" s="258"/>
      <c r="AC11" s="258"/>
      <c r="AD11" s="258"/>
      <c r="AE11" s="258"/>
      <c r="AF11" s="258"/>
      <c r="AG11" s="258"/>
    </row>
    <row r="12" ht="18.75" customHeight="1">
      <c r="A12" s="283"/>
      <c r="B12" s="234" t="str">
        <f>'Building Bill of Materials_SLIM'!P12</f>
        <v/>
      </c>
      <c r="C12" s="234" t="str">
        <f>'Building Bill of Materials_SLIM'!Q12</f>
        <v/>
      </c>
      <c r="D12" s="234" t="str">
        <f>'Building Bill of Materials_SLIM'!R12</f>
        <v/>
      </c>
      <c r="E12" s="234" t="str">
        <f>'Building Bill of Materials_SLIM'!S12</f>
        <v/>
      </c>
      <c r="F12" s="234"/>
      <c r="G12" s="234"/>
      <c r="H12" s="284" t="str">
        <f>'Building Bill of Materials_SLIM'!T12</f>
        <v/>
      </c>
      <c r="I12" s="284" t="str">
        <f>'Building Bill of Materials_SLIM'!U12</f>
        <v/>
      </c>
      <c r="J12" s="234" t="str">
        <f>'Building Bill of Materials_SLIM'!V12</f>
        <v/>
      </c>
      <c r="K12" s="192"/>
      <c r="L12" s="255" t="s">
        <v>1580</v>
      </c>
      <c r="M12" s="255" t="s">
        <v>1581</v>
      </c>
      <c r="N12" s="258"/>
      <c r="O12" s="258"/>
      <c r="P12" s="258"/>
      <c r="Q12" s="258"/>
      <c r="R12" s="258"/>
      <c r="S12" s="258"/>
      <c r="T12" s="258"/>
      <c r="U12" s="258"/>
      <c r="V12" s="258"/>
      <c r="W12" s="258"/>
      <c r="X12" s="258"/>
      <c r="Y12" s="258"/>
      <c r="Z12" s="258"/>
      <c r="AA12" s="258"/>
      <c r="AB12" s="258"/>
      <c r="AC12" s="258"/>
      <c r="AD12" s="258"/>
      <c r="AE12" s="258"/>
      <c r="AF12" s="258"/>
      <c r="AG12" s="258"/>
    </row>
    <row r="13" ht="18.75" customHeight="1">
      <c r="A13" s="283"/>
      <c r="B13" s="234" t="str">
        <f>'Building Bill of Materials_SLIM'!P13</f>
        <v/>
      </c>
      <c r="C13" s="234" t="str">
        <f>'Building Bill of Materials_SLIM'!Q13</f>
        <v/>
      </c>
      <c r="D13" s="234" t="str">
        <f>'Building Bill of Materials_SLIM'!R13</f>
        <v/>
      </c>
      <c r="E13" s="234" t="str">
        <f>'Building Bill of Materials_SLIM'!S13</f>
        <v/>
      </c>
      <c r="F13" s="234"/>
      <c r="G13" s="234"/>
      <c r="H13" s="284" t="str">
        <f>'Building Bill of Materials_SLIM'!T13</f>
        <v/>
      </c>
      <c r="I13" s="284" t="str">
        <f>'Building Bill of Materials_SLIM'!U13</f>
        <v/>
      </c>
      <c r="J13" s="234" t="str">
        <f>'Building Bill of Materials_SLIM'!V13</f>
        <v/>
      </c>
      <c r="K13" s="192"/>
      <c r="L13" s="255" t="s">
        <v>1580</v>
      </c>
      <c r="M13" s="255" t="s">
        <v>1582</v>
      </c>
      <c r="N13" s="258"/>
      <c r="O13" s="258"/>
      <c r="P13" s="258"/>
      <c r="Q13" s="258"/>
      <c r="R13" s="258"/>
      <c r="S13" s="258"/>
      <c r="T13" s="258"/>
      <c r="U13" s="258"/>
      <c r="V13" s="258"/>
      <c r="W13" s="258"/>
      <c r="X13" s="258"/>
      <c r="Y13" s="258"/>
      <c r="Z13" s="258"/>
      <c r="AA13" s="258"/>
      <c r="AB13" s="258"/>
      <c r="AC13" s="258"/>
      <c r="AD13" s="258"/>
      <c r="AE13" s="258"/>
      <c r="AF13" s="258"/>
      <c r="AG13" s="258"/>
    </row>
    <row r="14" ht="18.75" customHeight="1">
      <c r="A14" s="283"/>
      <c r="B14" s="234" t="str">
        <f>'Building Bill of Materials_SLIM'!P14</f>
        <v/>
      </c>
      <c r="C14" s="234" t="str">
        <f>'Building Bill of Materials_SLIM'!Q14</f>
        <v/>
      </c>
      <c r="D14" s="234" t="str">
        <f>'Building Bill of Materials_SLIM'!R14</f>
        <v/>
      </c>
      <c r="E14" s="234" t="str">
        <f>'Building Bill of Materials_SLIM'!S14</f>
        <v/>
      </c>
      <c r="F14" s="234"/>
      <c r="G14" s="234"/>
      <c r="H14" s="284" t="str">
        <f>'Building Bill of Materials_SLIM'!T14</f>
        <v/>
      </c>
      <c r="I14" s="284" t="str">
        <f>'Building Bill of Materials_SLIM'!U14</f>
        <v/>
      </c>
      <c r="J14" s="234" t="str">
        <f>'Building Bill of Materials_SLIM'!V14</f>
        <v/>
      </c>
      <c r="K14" s="192"/>
      <c r="L14" s="238"/>
      <c r="M14" s="238"/>
      <c r="N14" s="258"/>
      <c r="O14" s="258"/>
      <c r="P14" s="258"/>
      <c r="Q14" s="258"/>
      <c r="R14" s="258"/>
      <c r="S14" s="258"/>
      <c r="T14" s="258"/>
      <c r="U14" s="258"/>
      <c r="V14" s="258"/>
      <c r="W14" s="258"/>
      <c r="X14" s="258"/>
      <c r="Y14" s="258"/>
      <c r="Z14" s="258"/>
      <c r="AA14" s="258"/>
      <c r="AB14" s="258"/>
      <c r="AC14" s="258"/>
      <c r="AD14" s="258"/>
      <c r="AE14" s="258"/>
      <c r="AF14" s="258"/>
      <c r="AG14" s="258"/>
    </row>
    <row r="15" ht="18.75" customHeight="1">
      <c r="A15" s="283"/>
      <c r="B15" s="234" t="str">
        <f>'Building Bill of Materials_SLIM'!P15</f>
        <v/>
      </c>
      <c r="C15" s="234" t="str">
        <f>'Building Bill of Materials_SLIM'!Q15</f>
        <v/>
      </c>
      <c r="D15" s="234" t="str">
        <f>'Building Bill of Materials_SLIM'!R15</f>
        <v/>
      </c>
      <c r="E15" s="234" t="str">
        <f>'Building Bill of Materials_SLIM'!S15</f>
        <v/>
      </c>
      <c r="F15" s="234"/>
      <c r="G15" s="234"/>
      <c r="H15" s="284" t="str">
        <f>'Building Bill of Materials_SLIM'!T15</f>
        <v/>
      </c>
      <c r="I15" s="284" t="str">
        <f>'Building Bill of Materials_SLIM'!U15</f>
        <v/>
      </c>
      <c r="J15" s="234" t="str">
        <f>'Building Bill of Materials_SLIM'!V15</f>
        <v/>
      </c>
      <c r="K15" s="192"/>
      <c r="L15" s="238"/>
      <c r="M15" s="238"/>
      <c r="N15" s="258"/>
      <c r="O15" s="258"/>
      <c r="P15" s="258"/>
      <c r="Q15" s="258"/>
      <c r="R15" s="258"/>
      <c r="S15" s="258"/>
      <c r="T15" s="258"/>
      <c r="U15" s="258"/>
      <c r="V15" s="258"/>
      <c r="W15" s="258"/>
      <c r="X15" s="258"/>
      <c r="Y15" s="258"/>
      <c r="Z15" s="258"/>
      <c r="AA15" s="258"/>
      <c r="AB15" s="258"/>
      <c r="AC15" s="258"/>
      <c r="AD15" s="258"/>
      <c r="AE15" s="258"/>
      <c r="AF15" s="258"/>
      <c r="AG15" s="258"/>
    </row>
    <row r="16" ht="18.75" customHeight="1">
      <c r="A16" s="283"/>
      <c r="B16" s="234" t="str">
        <f>'Building Bill of Materials_SLIM'!P16</f>
        <v/>
      </c>
      <c r="C16" s="234" t="str">
        <f>'Building Bill of Materials_SLIM'!Q16</f>
        <v/>
      </c>
      <c r="D16" s="234" t="str">
        <f>'Building Bill of Materials_SLIM'!R16</f>
        <v/>
      </c>
      <c r="E16" s="284" t="str">
        <f>'Building Bill of Materials_SLIM'!S16</f>
        <v/>
      </c>
      <c r="F16" s="234"/>
      <c r="G16" s="234"/>
      <c r="H16" s="284" t="str">
        <f>'Building Bill of Materials_SLIM'!T16</f>
        <v/>
      </c>
      <c r="I16" s="234"/>
      <c r="J16" s="284" t="str">
        <f>'Building Bill of Materials_SLIM'!V16</f>
        <v/>
      </c>
      <c r="K16" s="192"/>
      <c r="L16" s="238"/>
      <c r="M16" s="238"/>
      <c r="N16" s="258"/>
      <c r="O16" s="258"/>
      <c r="P16" s="258"/>
      <c r="Q16" s="258"/>
      <c r="R16" s="258"/>
      <c r="S16" s="258"/>
      <c r="T16" s="258"/>
      <c r="U16" s="258"/>
      <c r="V16" s="258"/>
      <c r="W16" s="258"/>
      <c r="X16" s="258"/>
      <c r="Y16" s="258"/>
      <c r="Z16" s="258"/>
      <c r="AA16" s="258"/>
      <c r="AB16" s="258"/>
      <c r="AC16" s="258"/>
      <c r="AD16" s="258"/>
      <c r="AE16" s="258"/>
      <c r="AF16" s="258"/>
      <c r="AG16" s="258"/>
    </row>
    <row r="17" ht="18.75" customHeight="1">
      <c r="A17" s="283"/>
      <c r="B17" s="234" t="str">
        <f>'Building Bill of Materials_SLIM'!P17</f>
        <v/>
      </c>
      <c r="C17" s="234" t="str">
        <f>'Building Bill of Materials_SLIM'!Q17</f>
        <v/>
      </c>
      <c r="D17" s="234" t="str">
        <f>'Building Bill of Materials_SLIM'!R17</f>
        <v/>
      </c>
      <c r="E17" s="284" t="str">
        <f>'Building Bill of Materials_SLIM'!S17</f>
        <v/>
      </c>
      <c r="F17" s="234"/>
      <c r="G17" s="234"/>
      <c r="H17" s="284" t="str">
        <f>'Building Bill of Materials_SLIM'!T17</f>
        <v/>
      </c>
      <c r="I17" s="234"/>
      <c r="J17" s="284" t="str">
        <f>'Building Bill of Materials_SLIM'!V17</f>
        <v/>
      </c>
      <c r="K17" s="192"/>
      <c r="L17" s="238"/>
      <c r="M17" s="238"/>
      <c r="N17" s="258"/>
      <c r="O17" s="258"/>
      <c r="P17" s="258"/>
      <c r="Q17" s="258"/>
      <c r="R17" s="258"/>
      <c r="S17" s="258"/>
      <c r="T17" s="258"/>
      <c r="U17" s="258"/>
      <c r="V17" s="258"/>
      <c r="W17" s="258"/>
      <c r="X17" s="258"/>
      <c r="Y17" s="258"/>
      <c r="Z17" s="258"/>
      <c r="AA17" s="258"/>
      <c r="AB17" s="258"/>
      <c r="AC17" s="258"/>
      <c r="AD17" s="258"/>
      <c r="AE17" s="258"/>
      <c r="AF17" s="258"/>
      <c r="AG17" s="258"/>
    </row>
    <row r="18" ht="18.75" customHeight="1">
      <c r="A18" s="283"/>
      <c r="B18" s="234" t="str">
        <f>'Building Bill of Materials_SLIM'!P18</f>
        <v/>
      </c>
      <c r="C18" s="234" t="str">
        <f>'Building Bill of Materials_SLIM'!Q18</f>
        <v/>
      </c>
      <c r="D18" s="234" t="str">
        <f>'Building Bill of Materials_SLIM'!R18</f>
        <v/>
      </c>
      <c r="E18" s="284" t="str">
        <f>'Building Bill of Materials_SLIM'!S18</f>
        <v/>
      </c>
      <c r="F18" s="234"/>
      <c r="G18" s="234"/>
      <c r="H18" s="284" t="str">
        <f>'Building Bill of Materials_SLIM'!T18</f>
        <v/>
      </c>
      <c r="I18" s="234"/>
      <c r="J18" s="284" t="str">
        <f>'Building Bill of Materials_SLIM'!V18</f>
        <v/>
      </c>
      <c r="K18" s="192"/>
      <c r="L18" s="238"/>
      <c r="M18" s="238"/>
      <c r="N18" s="258"/>
      <c r="O18" s="258"/>
      <c r="P18" s="258"/>
      <c r="Q18" s="258"/>
      <c r="R18" s="258"/>
      <c r="S18" s="258"/>
      <c r="T18" s="258"/>
      <c r="U18" s="258"/>
      <c r="V18" s="258"/>
      <c r="W18" s="258"/>
      <c r="X18" s="258"/>
      <c r="Y18" s="258"/>
      <c r="Z18" s="258"/>
      <c r="AA18" s="258"/>
      <c r="AB18" s="258"/>
      <c r="AC18" s="258"/>
      <c r="AD18" s="258"/>
      <c r="AE18" s="258"/>
      <c r="AF18" s="258"/>
      <c r="AG18" s="258"/>
    </row>
    <row r="19" ht="18.75" customHeight="1">
      <c r="A19" s="283"/>
      <c r="B19" s="234" t="str">
        <f>'Building Bill of Materials_SLIM'!P19</f>
        <v/>
      </c>
      <c r="C19" s="234" t="str">
        <f>'Building Bill of Materials_SLIM'!Q19</f>
        <v/>
      </c>
      <c r="D19" s="234" t="str">
        <f>'Building Bill of Materials_SLIM'!R19</f>
        <v/>
      </c>
      <c r="E19" s="284" t="str">
        <f>'Building Bill of Materials_SLIM'!S19</f>
        <v/>
      </c>
      <c r="F19" s="234"/>
      <c r="G19" s="234"/>
      <c r="H19" s="284" t="str">
        <f>'Building Bill of Materials_SLIM'!T19</f>
        <v/>
      </c>
      <c r="I19" s="234"/>
      <c r="J19" s="284" t="str">
        <f>'Building Bill of Materials_SLIM'!V19</f>
        <v/>
      </c>
      <c r="K19" s="192"/>
      <c r="L19" s="238"/>
      <c r="M19" s="238"/>
      <c r="N19" s="258"/>
      <c r="O19" s="258"/>
      <c r="P19" s="258"/>
      <c r="Q19" s="258"/>
      <c r="R19" s="258"/>
      <c r="S19" s="258"/>
      <c r="T19" s="258"/>
      <c r="U19" s="258"/>
      <c r="V19" s="258"/>
      <c r="W19" s="258"/>
      <c r="X19" s="258"/>
      <c r="Y19" s="258"/>
      <c r="Z19" s="258"/>
      <c r="AA19" s="258"/>
      <c r="AB19" s="258"/>
      <c r="AC19" s="258"/>
      <c r="AD19" s="258"/>
      <c r="AE19" s="258"/>
      <c r="AF19" s="258"/>
      <c r="AG19" s="258"/>
    </row>
    <row r="20" ht="18.75" customHeight="1">
      <c r="A20" s="283"/>
      <c r="B20" s="234" t="str">
        <f>'Building Bill of Materials_SLIM'!P20</f>
        <v/>
      </c>
      <c r="C20" s="234" t="str">
        <f>'Building Bill of Materials_SLIM'!Q20</f>
        <v/>
      </c>
      <c r="D20" s="234" t="str">
        <f>'Building Bill of Materials_SLIM'!R20</f>
        <v/>
      </c>
      <c r="E20" s="234" t="str">
        <f>'Building Bill of Materials_SLIM'!S20</f>
        <v/>
      </c>
      <c r="F20" s="234"/>
      <c r="G20" s="234"/>
      <c r="H20" s="284" t="str">
        <f>'Building Bill of Materials_SLIM'!T20</f>
        <v/>
      </c>
      <c r="I20" s="234"/>
      <c r="J20" s="234" t="str">
        <f>'Building Bill of Materials_SLIM'!V20</f>
        <v/>
      </c>
      <c r="K20" s="192"/>
      <c r="L20" s="238"/>
      <c r="M20" s="238"/>
      <c r="N20" s="258"/>
      <c r="O20" s="258"/>
      <c r="P20" s="258"/>
      <c r="Q20" s="258"/>
      <c r="R20" s="258"/>
      <c r="S20" s="258"/>
      <c r="T20" s="258"/>
      <c r="U20" s="258"/>
      <c r="V20" s="258"/>
      <c r="W20" s="258"/>
      <c r="X20" s="258"/>
      <c r="Y20" s="258"/>
      <c r="Z20" s="258"/>
      <c r="AA20" s="258"/>
      <c r="AB20" s="258"/>
      <c r="AC20" s="258"/>
      <c r="AD20" s="258"/>
      <c r="AE20" s="258"/>
      <c r="AF20" s="258"/>
      <c r="AG20" s="258"/>
    </row>
    <row r="21" ht="18.75" customHeight="1">
      <c r="A21" s="283"/>
      <c r="B21" s="234" t="str">
        <f>'Building Bill of Materials_SLIM'!P21</f>
        <v/>
      </c>
      <c r="C21" s="234" t="str">
        <f>'Building Bill of Materials_SLIM'!Q21</f>
        <v/>
      </c>
      <c r="D21" s="234" t="str">
        <f>'Building Bill of Materials_SLIM'!R21</f>
        <v/>
      </c>
      <c r="E21" s="284" t="str">
        <f>'Building Bill of Materials_SLIM'!S21</f>
        <v/>
      </c>
      <c r="F21" s="234"/>
      <c r="G21" s="234"/>
      <c r="H21" s="284" t="str">
        <f>'Building Bill of Materials_SLIM'!T21</f>
        <v/>
      </c>
      <c r="I21" s="234"/>
      <c r="J21" s="284" t="str">
        <f>'Building Bill of Materials_SLIM'!V21</f>
        <v/>
      </c>
      <c r="K21" s="192"/>
      <c r="L21" s="238"/>
      <c r="M21" s="238"/>
      <c r="N21" s="258"/>
      <c r="O21" s="258"/>
      <c r="P21" s="258"/>
      <c r="Q21" s="258"/>
      <c r="R21" s="258"/>
      <c r="S21" s="258"/>
      <c r="T21" s="258"/>
      <c r="U21" s="258"/>
      <c r="V21" s="258"/>
      <c r="W21" s="258"/>
      <c r="X21" s="258"/>
      <c r="Y21" s="258"/>
      <c r="Z21" s="258"/>
      <c r="AA21" s="258"/>
      <c r="AB21" s="258"/>
      <c r="AC21" s="258"/>
      <c r="AD21" s="258"/>
      <c r="AE21" s="258"/>
      <c r="AF21" s="258"/>
      <c r="AG21" s="258"/>
    </row>
    <row r="22" ht="18.75" customHeight="1">
      <c r="A22" s="283"/>
      <c r="B22" s="234" t="str">
        <f>'Building Bill of Materials_SLIM'!P22</f>
        <v/>
      </c>
      <c r="C22" s="234" t="str">
        <f>'Building Bill of Materials_SLIM'!Q22</f>
        <v/>
      </c>
      <c r="D22" s="234" t="str">
        <f>'Building Bill of Materials_SLIM'!R22</f>
        <v/>
      </c>
      <c r="E22" s="234" t="str">
        <f>'Building Bill of Materials_SLIM'!S22</f>
        <v/>
      </c>
      <c r="F22" s="234"/>
      <c r="G22" s="234"/>
      <c r="H22" s="284" t="str">
        <f>'Building Bill of Materials_SLIM'!T22</f>
        <v/>
      </c>
      <c r="I22" s="234"/>
      <c r="J22" s="234" t="str">
        <f>'Building Bill of Materials_SLIM'!V22</f>
        <v/>
      </c>
      <c r="K22" s="192"/>
      <c r="L22" s="238"/>
      <c r="M22" s="238"/>
      <c r="N22" s="258"/>
      <c r="O22" s="258"/>
      <c r="P22" s="258"/>
      <c r="Q22" s="258"/>
      <c r="R22" s="258"/>
      <c r="S22" s="258"/>
      <c r="T22" s="258"/>
      <c r="U22" s="258"/>
      <c r="V22" s="258"/>
      <c r="W22" s="258"/>
      <c r="X22" s="258"/>
      <c r="Y22" s="258"/>
      <c r="Z22" s="258"/>
      <c r="AA22" s="258"/>
      <c r="AB22" s="258"/>
      <c r="AC22" s="258"/>
      <c r="AD22" s="258"/>
      <c r="AE22" s="258"/>
      <c r="AF22" s="258"/>
      <c r="AG22" s="258"/>
    </row>
    <row r="23" ht="18.75" customHeight="1">
      <c r="A23" s="283"/>
      <c r="B23" s="234" t="str">
        <f>'Building Bill of Materials_SLIM'!P23</f>
        <v/>
      </c>
      <c r="C23" s="234" t="str">
        <f>'Building Bill of Materials_SLIM'!Q23</f>
        <v/>
      </c>
      <c r="D23" s="234" t="str">
        <f>'Building Bill of Materials_SLIM'!R23</f>
        <v/>
      </c>
      <c r="E23" s="284" t="str">
        <f>'Building Bill of Materials_SLIM'!S23</f>
        <v/>
      </c>
      <c r="F23" s="234"/>
      <c r="G23" s="234"/>
      <c r="H23" s="284" t="str">
        <f>'Building Bill of Materials_SLIM'!T23</f>
        <v/>
      </c>
      <c r="I23" s="234"/>
      <c r="J23" s="284" t="str">
        <f>'Building Bill of Materials_SLIM'!V23</f>
        <v/>
      </c>
      <c r="K23" s="192"/>
      <c r="L23" s="238"/>
      <c r="M23" s="238"/>
      <c r="N23" s="258"/>
      <c r="O23" s="258"/>
      <c r="P23" s="258"/>
      <c r="Q23" s="258"/>
      <c r="R23" s="258"/>
      <c r="S23" s="258"/>
      <c r="T23" s="258"/>
      <c r="U23" s="258"/>
      <c r="V23" s="258"/>
      <c r="W23" s="258"/>
      <c r="X23" s="258"/>
      <c r="Y23" s="258"/>
      <c r="Z23" s="258"/>
      <c r="AA23" s="258"/>
      <c r="AB23" s="258"/>
      <c r="AC23" s="258"/>
      <c r="AD23" s="258"/>
      <c r="AE23" s="258"/>
      <c r="AF23" s="258"/>
      <c r="AG23" s="258"/>
    </row>
    <row r="24" ht="18.75" customHeight="1">
      <c r="A24" s="283"/>
      <c r="B24" s="234" t="str">
        <f>'Building Bill of Materials_SLIM'!P24</f>
        <v/>
      </c>
      <c r="C24" s="234" t="str">
        <f>'Building Bill of Materials_SLIM'!Q24</f>
        <v/>
      </c>
      <c r="D24" s="234" t="str">
        <f>'Building Bill of Materials_SLIM'!R24</f>
        <v/>
      </c>
      <c r="E24" s="234" t="str">
        <f>'Building Bill of Materials_SLIM'!S24</f>
        <v/>
      </c>
      <c r="F24" s="234"/>
      <c r="G24" s="234"/>
      <c r="H24" s="284" t="str">
        <f>'Building Bill of Materials_SLIM'!T24</f>
        <v/>
      </c>
      <c r="I24" s="234"/>
      <c r="J24" s="234" t="str">
        <f>'Building Bill of Materials_SLIM'!V24</f>
        <v/>
      </c>
      <c r="K24" s="192"/>
      <c r="L24" s="238"/>
      <c r="M24" s="238"/>
      <c r="N24" s="258"/>
      <c r="O24" s="258"/>
      <c r="P24" s="258"/>
      <c r="Q24" s="258"/>
      <c r="R24" s="258"/>
      <c r="S24" s="258"/>
      <c r="T24" s="258"/>
      <c r="U24" s="258"/>
      <c r="V24" s="258"/>
      <c r="W24" s="258"/>
      <c r="X24" s="258"/>
      <c r="Y24" s="258"/>
      <c r="Z24" s="258"/>
      <c r="AA24" s="258"/>
      <c r="AB24" s="258"/>
      <c r="AC24" s="258"/>
      <c r="AD24" s="258"/>
      <c r="AE24" s="258"/>
      <c r="AF24" s="258"/>
      <c r="AG24" s="258"/>
    </row>
    <row r="25" ht="18.75" customHeight="1">
      <c r="A25" s="283"/>
      <c r="B25" s="234" t="str">
        <f>'Building Bill of Materials_SLIM'!P25</f>
        <v/>
      </c>
      <c r="C25" s="234" t="str">
        <f>'Building Bill of Materials_SLIM'!Q25</f>
        <v/>
      </c>
      <c r="D25" s="234" t="str">
        <f>'Building Bill of Materials_SLIM'!R25</f>
        <v/>
      </c>
      <c r="E25" s="234" t="str">
        <f>'Building Bill of Materials_SLIM'!S25</f>
        <v/>
      </c>
      <c r="F25" s="234"/>
      <c r="G25" s="234"/>
      <c r="H25" s="284" t="str">
        <f>'Building Bill of Materials_SLIM'!T25</f>
        <v/>
      </c>
      <c r="I25" s="234"/>
      <c r="J25" s="234" t="str">
        <f>'Building Bill of Materials_SLIM'!V25</f>
        <v/>
      </c>
      <c r="K25" s="192"/>
      <c r="L25" s="238"/>
      <c r="M25" s="238"/>
      <c r="N25" s="258"/>
      <c r="O25" s="258"/>
      <c r="P25" s="258"/>
      <c r="Q25" s="258"/>
      <c r="R25" s="258"/>
      <c r="S25" s="258"/>
      <c r="T25" s="258"/>
      <c r="U25" s="258"/>
      <c r="V25" s="258"/>
      <c r="W25" s="258"/>
      <c r="X25" s="258"/>
      <c r="Y25" s="258"/>
      <c r="Z25" s="258"/>
      <c r="AA25" s="258"/>
      <c r="AB25" s="258"/>
      <c r="AC25" s="258"/>
      <c r="AD25" s="258"/>
      <c r="AE25" s="258"/>
      <c r="AF25" s="258"/>
      <c r="AG25" s="258"/>
    </row>
    <row r="26" ht="18.75" customHeight="1">
      <c r="A26" s="283"/>
      <c r="B26" s="234" t="str">
        <f>'Building Bill of Materials_SLIM'!P26</f>
        <v/>
      </c>
      <c r="C26" s="234" t="str">
        <f>'Building Bill of Materials_SLIM'!Q26</f>
        <v/>
      </c>
      <c r="D26" s="234" t="str">
        <f>'Building Bill of Materials_SLIM'!R26</f>
        <v/>
      </c>
      <c r="E26" s="284" t="str">
        <f>'Building Bill of Materials_SLIM'!S26</f>
        <v/>
      </c>
      <c r="F26" s="234"/>
      <c r="G26" s="234"/>
      <c r="H26" s="284" t="str">
        <f>'Building Bill of Materials_SLIM'!T26</f>
        <v/>
      </c>
      <c r="I26" s="234"/>
      <c r="J26" s="284" t="str">
        <f>'Building Bill of Materials_SLIM'!V26</f>
        <v/>
      </c>
      <c r="K26" s="192"/>
      <c r="L26" s="238"/>
      <c r="M26" s="238"/>
      <c r="N26" s="258"/>
      <c r="O26" s="258"/>
      <c r="P26" s="258"/>
      <c r="Q26" s="258"/>
      <c r="R26" s="258"/>
      <c r="S26" s="258"/>
      <c r="T26" s="258"/>
      <c r="U26" s="258"/>
      <c r="V26" s="258"/>
      <c r="W26" s="258"/>
      <c r="X26" s="258"/>
      <c r="Y26" s="258"/>
      <c r="Z26" s="258"/>
      <c r="AA26" s="258"/>
      <c r="AB26" s="258"/>
      <c r="AC26" s="258"/>
      <c r="AD26" s="258"/>
      <c r="AE26" s="258"/>
      <c r="AF26" s="258"/>
      <c r="AG26" s="258"/>
    </row>
    <row r="27" ht="18.75" customHeight="1">
      <c r="A27" s="283"/>
      <c r="B27" s="234" t="str">
        <f>'Building Bill of Materials_SLIM'!P27</f>
        <v/>
      </c>
      <c r="C27" s="234" t="str">
        <f>'Building Bill of Materials_SLIM'!Q27</f>
        <v/>
      </c>
      <c r="D27" s="234" t="str">
        <f>'Building Bill of Materials_SLIM'!R27</f>
        <v/>
      </c>
      <c r="E27" s="284" t="str">
        <f>'Building Bill of Materials_SLIM'!S27</f>
        <v/>
      </c>
      <c r="F27" s="234"/>
      <c r="G27" s="234"/>
      <c r="H27" s="284" t="str">
        <f>'Building Bill of Materials_SLIM'!T27</f>
        <v/>
      </c>
      <c r="I27" s="234"/>
      <c r="J27" s="284" t="str">
        <f>'Building Bill of Materials_SLIM'!V27</f>
        <v/>
      </c>
      <c r="K27" s="192"/>
      <c r="L27" s="238"/>
      <c r="M27" s="238"/>
      <c r="N27" s="258"/>
      <c r="O27" s="258"/>
      <c r="P27" s="258"/>
      <c r="Q27" s="258"/>
      <c r="R27" s="258"/>
      <c r="S27" s="258"/>
      <c r="T27" s="258"/>
      <c r="U27" s="258"/>
      <c r="V27" s="258"/>
      <c r="W27" s="258"/>
      <c r="X27" s="258"/>
      <c r="Y27" s="258"/>
      <c r="Z27" s="258"/>
      <c r="AA27" s="258"/>
      <c r="AB27" s="258"/>
      <c r="AC27" s="258"/>
      <c r="AD27" s="258"/>
      <c r="AE27" s="258"/>
      <c r="AF27" s="258"/>
      <c r="AG27" s="258"/>
    </row>
    <row r="28" ht="18.75" customHeight="1">
      <c r="A28" s="283"/>
      <c r="B28" s="234" t="str">
        <f>'Building Bill of Materials_SLIM'!P28</f>
        <v/>
      </c>
      <c r="C28" s="234" t="str">
        <f>'Building Bill of Materials_SLIM'!Q28</f>
        <v/>
      </c>
      <c r="D28" s="234" t="str">
        <f>'Building Bill of Materials_SLIM'!R28</f>
        <v/>
      </c>
      <c r="E28" s="234" t="str">
        <f>'Building Bill of Materials_SLIM'!S28</f>
        <v/>
      </c>
      <c r="F28" s="234"/>
      <c r="G28" s="234"/>
      <c r="H28" s="284" t="str">
        <f>'Building Bill of Materials_SLIM'!T28</f>
        <v/>
      </c>
      <c r="I28" s="234"/>
      <c r="J28" s="234" t="str">
        <f>'Building Bill of Materials_SLIM'!V28</f>
        <v/>
      </c>
      <c r="K28" s="192"/>
      <c r="L28" s="238"/>
      <c r="M28" s="238"/>
      <c r="N28" s="258"/>
      <c r="O28" s="258"/>
      <c r="P28" s="258"/>
      <c r="Q28" s="258"/>
      <c r="R28" s="258"/>
      <c r="S28" s="258"/>
      <c r="T28" s="258"/>
      <c r="U28" s="258"/>
      <c r="V28" s="258"/>
      <c r="W28" s="258"/>
      <c r="X28" s="258"/>
      <c r="Y28" s="258"/>
      <c r="Z28" s="258"/>
      <c r="AA28" s="258"/>
      <c r="AB28" s="258"/>
      <c r="AC28" s="258"/>
      <c r="AD28" s="258"/>
      <c r="AE28" s="258"/>
      <c r="AF28" s="258"/>
      <c r="AG28" s="258"/>
    </row>
    <row r="29" ht="18.75" customHeight="1">
      <c r="A29" s="283"/>
      <c r="B29" s="234" t="str">
        <f>'Building Bill of Materials_SLIM'!P29</f>
        <v/>
      </c>
      <c r="C29" s="234" t="str">
        <f>'Building Bill of Materials_SLIM'!Q29</f>
        <v/>
      </c>
      <c r="D29" s="234" t="str">
        <f>'Building Bill of Materials_SLIM'!R29</f>
        <v/>
      </c>
      <c r="E29" s="234" t="str">
        <f>'Building Bill of Materials_SLIM'!S29</f>
        <v/>
      </c>
      <c r="F29" s="234"/>
      <c r="G29" s="234"/>
      <c r="H29" s="284" t="str">
        <f>'Building Bill of Materials_SLIM'!T29</f>
        <v/>
      </c>
      <c r="I29" s="234"/>
      <c r="J29" s="234" t="str">
        <f>'Building Bill of Materials_SLIM'!V29</f>
        <v/>
      </c>
      <c r="K29" s="192"/>
      <c r="L29" s="238"/>
      <c r="M29" s="238"/>
      <c r="N29" s="258"/>
      <c r="O29" s="258"/>
      <c r="P29" s="258"/>
      <c r="Q29" s="258"/>
      <c r="R29" s="258"/>
      <c r="S29" s="258"/>
      <c r="T29" s="258"/>
      <c r="U29" s="258"/>
      <c r="V29" s="258"/>
      <c r="W29" s="258"/>
      <c r="X29" s="258"/>
      <c r="Y29" s="258"/>
      <c r="Z29" s="258"/>
      <c r="AA29" s="258"/>
      <c r="AB29" s="258"/>
      <c r="AC29" s="258"/>
      <c r="AD29" s="258"/>
      <c r="AE29" s="258"/>
      <c r="AF29" s="258"/>
      <c r="AG29" s="258"/>
    </row>
    <row r="30" ht="18.75" customHeight="1">
      <c r="A30" s="283"/>
      <c r="B30" s="234" t="str">
        <f>'Building Bill of Materials_SLIM'!P30</f>
        <v/>
      </c>
      <c r="C30" s="234" t="str">
        <f>'Building Bill of Materials_SLIM'!Q30</f>
        <v/>
      </c>
      <c r="D30" s="234" t="str">
        <f>'Building Bill of Materials_SLIM'!R30</f>
        <v/>
      </c>
      <c r="E30" s="234" t="str">
        <f>'Building Bill of Materials_SLIM'!S30</f>
        <v/>
      </c>
      <c r="F30" s="234"/>
      <c r="G30" s="234"/>
      <c r="H30" s="284" t="str">
        <f>'Building Bill of Materials_SLIM'!T30</f>
        <v/>
      </c>
      <c r="I30" s="234"/>
      <c r="J30" s="234" t="str">
        <f>'Building Bill of Materials_SLIM'!V30</f>
        <v/>
      </c>
      <c r="K30" s="192"/>
      <c r="L30" s="238"/>
      <c r="M30" s="238"/>
      <c r="N30" s="258"/>
      <c r="O30" s="258"/>
      <c r="P30" s="258"/>
      <c r="Q30" s="258"/>
      <c r="R30" s="258"/>
      <c r="S30" s="258"/>
      <c r="T30" s="258"/>
      <c r="U30" s="258"/>
      <c r="V30" s="258"/>
      <c r="W30" s="258"/>
      <c r="X30" s="258"/>
      <c r="Y30" s="258"/>
      <c r="Z30" s="258"/>
      <c r="AA30" s="258"/>
      <c r="AB30" s="258"/>
      <c r="AC30" s="258"/>
      <c r="AD30" s="258"/>
      <c r="AE30" s="258"/>
      <c r="AF30" s="258"/>
      <c r="AG30" s="258"/>
    </row>
    <row r="31" ht="18.75" customHeight="1">
      <c r="A31" s="283"/>
      <c r="B31" s="234" t="str">
        <f>'Building Bill of Materials_SLIM'!P31</f>
        <v/>
      </c>
      <c r="C31" s="234" t="str">
        <f>'Building Bill of Materials_SLIM'!Q31</f>
        <v/>
      </c>
      <c r="D31" s="234" t="str">
        <f>'Building Bill of Materials_SLIM'!R31</f>
        <v/>
      </c>
      <c r="E31" s="234" t="str">
        <f>'Building Bill of Materials_SLIM'!S31</f>
        <v/>
      </c>
      <c r="F31" s="234"/>
      <c r="G31" s="234"/>
      <c r="H31" s="284" t="str">
        <f>'Building Bill of Materials_SLIM'!T31</f>
        <v/>
      </c>
      <c r="I31" s="234"/>
      <c r="J31" s="234" t="str">
        <f>'Building Bill of Materials_SLIM'!V31</f>
        <v/>
      </c>
      <c r="K31" s="192"/>
      <c r="L31" s="238"/>
      <c r="M31" s="238"/>
      <c r="N31" s="258"/>
      <c r="O31" s="258"/>
      <c r="P31" s="258"/>
      <c r="Q31" s="258"/>
      <c r="R31" s="258"/>
      <c r="S31" s="258"/>
      <c r="T31" s="258"/>
      <c r="U31" s="258"/>
      <c r="V31" s="258"/>
      <c r="W31" s="258"/>
      <c r="X31" s="258"/>
      <c r="Y31" s="258"/>
      <c r="Z31" s="258"/>
      <c r="AA31" s="258"/>
      <c r="AB31" s="258"/>
      <c r="AC31" s="258"/>
      <c r="AD31" s="258"/>
      <c r="AE31" s="258"/>
      <c r="AF31" s="258"/>
      <c r="AG31" s="258"/>
    </row>
    <row r="32" ht="18.75" customHeight="1">
      <c r="A32" s="283"/>
      <c r="B32" s="234" t="str">
        <f>'Building Bill of Materials_SLIM'!P32</f>
        <v/>
      </c>
      <c r="C32" s="234" t="str">
        <f>'Building Bill of Materials_SLIM'!Q32</f>
        <v/>
      </c>
      <c r="D32" s="234" t="str">
        <f>'Building Bill of Materials_SLIM'!R32</f>
        <v/>
      </c>
      <c r="E32" s="234" t="str">
        <f>'Building Bill of Materials_SLIM'!S32</f>
        <v/>
      </c>
      <c r="F32" s="234"/>
      <c r="G32" s="234"/>
      <c r="H32" s="284" t="str">
        <f>'Building Bill of Materials_SLIM'!T32</f>
        <v/>
      </c>
      <c r="I32" s="234"/>
      <c r="J32" s="234" t="str">
        <f>'Building Bill of Materials_SLIM'!V32</f>
        <v/>
      </c>
      <c r="K32" s="192"/>
      <c r="L32" s="238"/>
      <c r="M32" s="238"/>
      <c r="N32" s="258"/>
      <c r="O32" s="258"/>
      <c r="P32" s="258"/>
      <c r="Q32" s="258"/>
      <c r="R32" s="258"/>
      <c r="S32" s="258"/>
      <c r="T32" s="258"/>
      <c r="U32" s="258"/>
      <c r="V32" s="258"/>
      <c r="W32" s="258"/>
      <c r="X32" s="258"/>
      <c r="Y32" s="258"/>
      <c r="Z32" s="258"/>
      <c r="AA32" s="258"/>
      <c r="AB32" s="258"/>
      <c r="AC32" s="258"/>
      <c r="AD32" s="258"/>
      <c r="AE32" s="258"/>
      <c r="AF32" s="258"/>
      <c r="AG32" s="258"/>
    </row>
    <row r="33" ht="18.75" customHeight="1">
      <c r="A33" s="283"/>
      <c r="B33" s="234" t="str">
        <f>'Building Bill of Materials_SLIM'!P33</f>
        <v/>
      </c>
      <c r="C33" s="234" t="str">
        <f>'Building Bill of Materials_SLIM'!Q33</f>
        <v/>
      </c>
      <c r="D33" s="234" t="str">
        <f>'Building Bill of Materials_SLIM'!R33</f>
        <v/>
      </c>
      <c r="E33" s="234" t="str">
        <f>'Building Bill of Materials_SLIM'!S33</f>
        <v/>
      </c>
      <c r="F33" s="234"/>
      <c r="G33" s="234"/>
      <c r="H33" s="284" t="str">
        <f>'Building Bill of Materials_SLIM'!T33</f>
        <v/>
      </c>
      <c r="I33" s="234"/>
      <c r="J33" s="234" t="str">
        <f>'Building Bill of Materials_SLIM'!V33</f>
        <v/>
      </c>
      <c r="K33" s="192"/>
      <c r="L33" s="238"/>
      <c r="M33" s="238"/>
      <c r="N33" s="258"/>
      <c r="O33" s="258"/>
      <c r="P33" s="258"/>
      <c r="Q33" s="258"/>
      <c r="R33" s="258"/>
      <c r="S33" s="258"/>
      <c r="T33" s="258"/>
      <c r="U33" s="258"/>
      <c r="V33" s="258"/>
      <c r="W33" s="258"/>
      <c r="X33" s="258"/>
      <c r="Y33" s="258"/>
      <c r="Z33" s="258"/>
      <c r="AA33" s="258"/>
      <c r="AB33" s="258"/>
      <c r="AC33" s="258"/>
      <c r="AD33" s="258"/>
      <c r="AE33" s="258"/>
      <c r="AF33" s="258"/>
      <c r="AG33" s="258"/>
    </row>
    <row r="34" ht="18.75" customHeight="1">
      <c r="A34" s="283"/>
      <c r="B34" s="234" t="str">
        <f>'Building Bill of Materials_SLIM'!P34</f>
        <v/>
      </c>
      <c r="C34" s="234" t="str">
        <f>'Building Bill of Materials_SLIM'!Q34</f>
        <v/>
      </c>
      <c r="D34" s="234" t="str">
        <f>'Building Bill of Materials_SLIM'!R34</f>
        <v/>
      </c>
      <c r="E34" s="234" t="str">
        <f>'Building Bill of Materials_SLIM'!S34</f>
        <v/>
      </c>
      <c r="F34" s="234"/>
      <c r="G34" s="234"/>
      <c r="H34" s="284" t="str">
        <f>'Building Bill of Materials_SLIM'!T34</f>
        <v/>
      </c>
      <c r="I34" s="234"/>
      <c r="J34" s="234" t="str">
        <f>'Building Bill of Materials_SLIM'!V34</f>
        <v/>
      </c>
      <c r="K34" s="192"/>
      <c r="L34" s="238"/>
      <c r="M34" s="238"/>
      <c r="N34" s="258"/>
      <c r="O34" s="258"/>
      <c r="P34" s="258"/>
      <c r="Q34" s="258"/>
      <c r="R34" s="258"/>
      <c r="S34" s="258"/>
      <c r="T34" s="258"/>
      <c r="U34" s="258"/>
      <c r="V34" s="258"/>
      <c r="W34" s="258"/>
      <c r="X34" s="258"/>
      <c r="Y34" s="258"/>
      <c r="Z34" s="258"/>
      <c r="AA34" s="258"/>
      <c r="AB34" s="258"/>
      <c r="AC34" s="258"/>
      <c r="AD34" s="258"/>
      <c r="AE34" s="258"/>
      <c r="AF34" s="258"/>
      <c r="AG34" s="258"/>
    </row>
    <row r="35" ht="18.75" customHeight="1">
      <c r="A35" s="283"/>
      <c r="B35" s="234" t="str">
        <f>'Building Bill of Materials_SLIM'!P35</f>
        <v/>
      </c>
      <c r="C35" s="234" t="str">
        <f>'Building Bill of Materials_SLIM'!Q35</f>
        <v/>
      </c>
      <c r="D35" s="234" t="str">
        <f>'Building Bill of Materials_SLIM'!R35</f>
        <v/>
      </c>
      <c r="E35" s="234" t="str">
        <f>'Building Bill of Materials_SLIM'!S35</f>
        <v/>
      </c>
      <c r="F35" s="234"/>
      <c r="G35" s="234"/>
      <c r="H35" s="284" t="str">
        <f>'Building Bill of Materials_SLIM'!T35</f>
        <v/>
      </c>
      <c r="I35" s="234"/>
      <c r="J35" s="234" t="str">
        <f>'Building Bill of Materials_SLIM'!V35</f>
        <v/>
      </c>
      <c r="K35" s="192"/>
      <c r="L35" s="238"/>
      <c r="M35" s="238"/>
      <c r="N35" s="258"/>
      <c r="O35" s="258"/>
      <c r="P35" s="258"/>
      <c r="Q35" s="258"/>
      <c r="R35" s="258"/>
      <c r="S35" s="258"/>
      <c r="T35" s="258"/>
      <c r="U35" s="258"/>
      <c r="V35" s="258"/>
      <c r="W35" s="258"/>
      <c r="X35" s="258"/>
      <c r="Y35" s="258"/>
      <c r="Z35" s="258"/>
      <c r="AA35" s="258"/>
      <c r="AB35" s="258"/>
      <c r="AC35" s="258"/>
      <c r="AD35" s="258"/>
      <c r="AE35" s="258"/>
      <c r="AF35" s="258"/>
      <c r="AG35" s="258"/>
    </row>
    <row r="36" ht="18.75" customHeight="1">
      <c r="A36" s="283"/>
      <c r="B36" s="234" t="str">
        <f>'Building Bill of Materials_SLIM'!P36</f>
        <v/>
      </c>
      <c r="C36" s="234" t="str">
        <f>'Building Bill of Materials_SLIM'!Q36</f>
        <v/>
      </c>
      <c r="D36" s="234" t="str">
        <f>'Building Bill of Materials_SLIM'!R36</f>
        <v/>
      </c>
      <c r="E36" s="234" t="str">
        <f>'Building Bill of Materials_SLIM'!S36</f>
        <v/>
      </c>
      <c r="F36" s="234"/>
      <c r="G36" s="234"/>
      <c r="H36" s="284" t="str">
        <f>'Building Bill of Materials_SLIM'!T36</f>
        <v/>
      </c>
      <c r="I36" s="234"/>
      <c r="J36" s="234" t="str">
        <f>'Building Bill of Materials_SLIM'!V36</f>
        <v/>
      </c>
      <c r="K36" s="192"/>
      <c r="L36" s="238"/>
      <c r="M36" s="238"/>
      <c r="N36" s="258"/>
      <c r="O36" s="258"/>
      <c r="P36" s="258"/>
      <c r="Q36" s="258"/>
      <c r="R36" s="258"/>
      <c r="S36" s="258"/>
      <c r="T36" s="258"/>
      <c r="U36" s="258"/>
      <c r="V36" s="258"/>
      <c r="W36" s="258"/>
      <c r="X36" s="258"/>
      <c r="Y36" s="258"/>
      <c r="Z36" s="258"/>
      <c r="AA36" s="258"/>
      <c r="AB36" s="258"/>
      <c r="AC36" s="258"/>
      <c r="AD36" s="258"/>
      <c r="AE36" s="258"/>
      <c r="AF36" s="258"/>
      <c r="AG36" s="258"/>
    </row>
    <row r="37" ht="18.75" customHeight="1">
      <c r="A37" s="283"/>
      <c r="B37" s="234" t="str">
        <f>'Building Bill of Materials_SLIM'!P37</f>
        <v/>
      </c>
      <c r="C37" s="234" t="str">
        <f>'Building Bill of Materials_SLIM'!Q37</f>
        <v/>
      </c>
      <c r="D37" s="234" t="str">
        <f>'Building Bill of Materials_SLIM'!R37</f>
        <v/>
      </c>
      <c r="E37" s="234" t="str">
        <f>'Building Bill of Materials_SLIM'!S37</f>
        <v/>
      </c>
      <c r="F37" s="234"/>
      <c r="G37" s="234"/>
      <c r="H37" s="284" t="str">
        <f>'Building Bill of Materials_SLIM'!T37</f>
        <v/>
      </c>
      <c r="I37" s="234"/>
      <c r="J37" s="234" t="str">
        <f>'Building Bill of Materials_SLIM'!V37</f>
        <v/>
      </c>
      <c r="K37" s="192"/>
      <c r="L37" s="238"/>
      <c r="M37" s="238"/>
      <c r="N37" s="258"/>
      <c r="O37" s="258"/>
      <c r="P37" s="258"/>
      <c r="Q37" s="258"/>
      <c r="R37" s="258"/>
      <c r="S37" s="258"/>
      <c r="T37" s="258"/>
      <c r="U37" s="258"/>
      <c r="V37" s="258"/>
      <c r="W37" s="258"/>
      <c r="X37" s="258"/>
      <c r="Y37" s="258"/>
      <c r="Z37" s="258"/>
      <c r="AA37" s="258"/>
      <c r="AB37" s="258"/>
      <c r="AC37" s="258"/>
      <c r="AD37" s="258"/>
      <c r="AE37" s="258"/>
      <c r="AF37" s="258"/>
      <c r="AG37" s="258"/>
    </row>
    <row r="38" ht="18.75" customHeight="1">
      <c r="A38" s="283"/>
      <c r="B38" s="234" t="str">
        <f>'Building Bill of Materials_SLIM'!P38</f>
        <v/>
      </c>
      <c r="C38" s="234" t="str">
        <f>'Building Bill of Materials_SLIM'!Q38</f>
        <v/>
      </c>
      <c r="D38" s="234" t="str">
        <f>'Building Bill of Materials_SLIM'!R38</f>
        <v/>
      </c>
      <c r="E38" s="234" t="str">
        <f>'Building Bill of Materials_SLIM'!S38</f>
        <v/>
      </c>
      <c r="F38" s="234"/>
      <c r="G38" s="234"/>
      <c r="H38" s="284" t="str">
        <f>'Building Bill of Materials_SLIM'!T38</f>
        <v/>
      </c>
      <c r="I38" s="234"/>
      <c r="J38" s="234" t="str">
        <f>'Building Bill of Materials_SLIM'!V38</f>
        <v/>
      </c>
      <c r="K38" s="192"/>
      <c r="L38" s="238"/>
      <c r="M38" s="238"/>
      <c r="N38" s="258"/>
      <c r="O38" s="258"/>
      <c r="P38" s="258"/>
      <c r="Q38" s="258"/>
      <c r="R38" s="258"/>
      <c r="S38" s="258"/>
      <c r="T38" s="258"/>
      <c r="U38" s="258"/>
      <c r="V38" s="258"/>
      <c r="W38" s="258"/>
      <c r="X38" s="258"/>
      <c r="Y38" s="258"/>
      <c r="Z38" s="258"/>
      <c r="AA38" s="258"/>
      <c r="AB38" s="258"/>
      <c r="AC38" s="258"/>
      <c r="AD38" s="258"/>
      <c r="AE38" s="258"/>
      <c r="AF38" s="258"/>
      <c r="AG38" s="258"/>
    </row>
    <row r="39" ht="18.75" customHeight="1">
      <c r="A39" s="283"/>
      <c r="B39" s="234" t="str">
        <f>'Building Bill of Materials_SLIM'!P39</f>
        <v/>
      </c>
      <c r="C39" s="234" t="str">
        <f>'Building Bill of Materials_SLIM'!Q39</f>
        <v/>
      </c>
      <c r="D39" s="234" t="str">
        <f>'Building Bill of Materials_SLIM'!R39</f>
        <v/>
      </c>
      <c r="E39" s="234" t="str">
        <f>'Building Bill of Materials_SLIM'!S39</f>
        <v/>
      </c>
      <c r="F39" s="234"/>
      <c r="G39" s="234"/>
      <c r="H39" s="284" t="str">
        <f>'Building Bill of Materials_SLIM'!T39</f>
        <v/>
      </c>
      <c r="I39" s="234"/>
      <c r="J39" s="234" t="str">
        <f>'Building Bill of Materials_SLIM'!V39</f>
        <v/>
      </c>
      <c r="K39" s="192"/>
      <c r="L39" s="238"/>
      <c r="M39" s="238"/>
      <c r="N39" s="258"/>
      <c r="O39" s="258"/>
      <c r="P39" s="258"/>
      <c r="Q39" s="258"/>
      <c r="R39" s="258"/>
      <c r="S39" s="258"/>
      <c r="T39" s="258"/>
      <c r="U39" s="258"/>
      <c r="V39" s="258"/>
      <c r="W39" s="258"/>
      <c r="X39" s="258"/>
      <c r="Y39" s="258"/>
      <c r="Z39" s="258"/>
      <c r="AA39" s="258"/>
      <c r="AB39" s="258"/>
      <c r="AC39" s="258"/>
      <c r="AD39" s="258"/>
      <c r="AE39" s="258"/>
      <c r="AF39" s="258"/>
      <c r="AG39" s="258"/>
    </row>
    <row r="40" ht="18.75" customHeight="1">
      <c r="A40" s="283"/>
      <c r="B40" s="234" t="str">
        <f>'Building Bill of Materials_SLIM'!P40</f>
        <v/>
      </c>
      <c r="C40" s="234" t="str">
        <f>'Building Bill of Materials_SLIM'!Q40</f>
        <v/>
      </c>
      <c r="D40" s="234" t="str">
        <f>'Building Bill of Materials_SLIM'!R40</f>
        <v/>
      </c>
      <c r="E40" s="234" t="str">
        <f>'Building Bill of Materials_SLIM'!S40</f>
        <v/>
      </c>
      <c r="F40" s="234"/>
      <c r="G40" s="234"/>
      <c r="H40" s="284" t="str">
        <f>'Building Bill of Materials_SLIM'!T40</f>
        <v/>
      </c>
      <c r="I40" s="234"/>
      <c r="J40" s="234" t="str">
        <f>'Building Bill of Materials_SLIM'!V40</f>
        <v/>
      </c>
      <c r="K40" s="192"/>
      <c r="L40" s="238"/>
      <c r="M40" s="238"/>
      <c r="N40" s="258"/>
      <c r="O40" s="258"/>
      <c r="P40" s="258"/>
      <c r="Q40" s="258"/>
      <c r="R40" s="258"/>
      <c r="S40" s="258"/>
      <c r="T40" s="258"/>
      <c r="U40" s="258"/>
      <c r="V40" s="258"/>
      <c r="W40" s="258"/>
      <c r="X40" s="258"/>
      <c r="Y40" s="258"/>
      <c r="Z40" s="258"/>
      <c r="AA40" s="258"/>
      <c r="AB40" s="258"/>
      <c r="AC40" s="258"/>
      <c r="AD40" s="258"/>
      <c r="AE40" s="258"/>
      <c r="AF40" s="258"/>
      <c r="AG40" s="258"/>
    </row>
    <row r="41" ht="18.75" customHeight="1">
      <c r="A41" s="283"/>
      <c r="B41" s="234" t="str">
        <f>'Building Bill of Materials_SLIM'!P41</f>
        <v/>
      </c>
      <c r="C41" s="234" t="str">
        <f>'Building Bill of Materials_SLIM'!Q41</f>
        <v/>
      </c>
      <c r="D41" s="234" t="str">
        <f>'Building Bill of Materials_SLIM'!R41</f>
        <v/>
      </c>
      <c r="E41" s="234" t="str">
        <f>'Building Bill of Materials_SLIM'!S41</f>
        <v/>
      </c>
      <c r="F41" s="234"/>
      <c r="G41" s="234"/>
      <c r="H41" s="284" t="str">
        <f>'Building Bill of Materials_SLIM'!T41</f>
        <v/>
      </c>
      <c r="I41" s="234"/>
      <c r="J41" s="234" t="str">
        <f>'Building Bill of Materials_SLIM'!V41</f>
        <v/>
      </c>
      <c r="K41" s="192"/>
      <c r="L41" s="238"/>
      <c r="M41" s="238"/>
      <c r="N41" s="258"/>
      <c r="O41" s="258"/>
      <c r="P41" s="258"/>
      <c r="Q41" s="258"/>
      <c r="R41" s="258"/>
      <c r="S41" s="258"/>
      <c r="T41" s="258"/>
      <c r="U41" s="258"/>
      <c r="V41" s="258"/>
      <c r="W41" s="258"/>
      <c r="X41" s="258"/>
      <c r="Y41" s="258"/>
      <c r="Z41" s="258"/>
      <c r="AA41" s="258"/>
      <c r="AB41" s="258"/>
      <c r="AC41" s="258"/>
      <c r="AD41" s="258"/>
      <c r="AE41" s="258"/>
      <c r="AF41" s="258"/>
      <c r="AG41" s="258"/>
    </row>
    <row r="42" ht="18.75" customHeight="1">
      <c r="A42" s="283"/>
      <c r="B42" s="234" t="str">
        <f>'Building Bill of Materials_SLIM'!P42</f>
        <v/>
      </c>
      <c r="C42" s="234" t="str">
        <f>'Building Bill of Materials_SLIM'!Q42</f>
        <v/>
      </c>
      <c r="D42" s="234" t="str">
        <f>'Building Bill of Materials_SLIM'!R42</f>
        <v/>
      </c>
      <c r="E42" s="234" t="str">
        <f>'Building Bill of Materials_SLIM'!S42</f>
        <v/>
      </c>
      <c r="F42" s="234"/>
      <c r="G42" s="234"/>
      <c r="H42" s="284" t="str">
        <f>'Building Bill of Materials_SLIM'!T42</f>
        <v/>
      </c>
      <c r="I42" s="234"/>
      <c r="J42" s="234" t="str">
        <f>'Building Bill of Materials_SLIM'!V42</f>
        <v/>
      </c>
      <c r="K42" s="192"/>
      <c r="L42" s="238"/>
      <c r="M42" s="238"/>
      <c r="N42" s="258"/>
      <c r="O42" s="258"/>
      <c r="P42" s="258"/>
      <c r="Q42" s="258"/>
      <c r="R42" s="258"/>
      <c r="S42" s="258"/>
      <c r="T42" s="258"/>
      <c r="U42" s="258"/>
      <c r="V42" s="258"/>
      <c r="W42" s="258"/>
      <c r="X42" s="258"/>
      <c r="Y42" s="258"/>
      <c r="Z42" s="258"/>
      <c r="AA42" s="258"/>
      <c r="AB42" s="258"/>
      <c r="AC42" s="258"/>
      <c r="AD42" s="258"/>
      <c r="AE42" s="258"/>
      <c r="AF42" s="258"/>
      <c r="AG42" s="258"/>
    </row>
    <row r="43" ht="18.75" customHeight="1">
      <c r="A43" s="283"/>
      <c r="B43" s="234" t="str">
        <f>'Building Bill of Materials_SLIM'!P43</f>
        <v/>
      </c>
      <c r="C43" s="234" t="str">
        <f>'Building Bill of Materials_SLIM'!Q43</f>
        <v/>
      </c>
      <c r="D43" s="234" t="str">
        <f>'Building Bill of Materials_SLIM'!R43</f>
        <v/>
      </c>
      <c r="E43" s="284" t="str">
        <f>'Building Bill of Materials_SLIM'!S43</f>
        <v/>
      </c>
      <c r="F43" s="234"/>
      <c r="G43" s="234"/>
      <c r="H43" s="284" t="str">
        <f>'Building Bill of Materials_SLIM'!T43</f>
        <v/>
      </c>
      <c r="I43" s="234"/>
      <c r="J43" s="284" t="str">
        <f>'Building Bill of Materials_SLIM'!V43</f>
        <v/>
      </c>
      <c r="K43" s="192"/>
      <c r="L43" s="238"/>
      <c r="M43" s="238"/>
      <c r="N43" s="258"/>
      <c r="O43" s="258"/>
      <c r="P43" s="258"/>
      <c r="Q43" s="258"/>
      <c r="R43" s="258"/>
      <c r="S43" s="258"/>
      <c r="T43" s="258"/>
      <c r="U43" s="258"/>
      <c r="V43" s="258"/>
      <c r="W43" s="258"/>
      <c r="X43" s="258"/>
      <c r="Y43" s="258"/>
      <c r="Z43" s="258"/>
      <c r="AA43" s="258"/>
      <c r="AB43" s="258"/>
      <c r="AC43" s="258"/>
      <c r="AD43" s="258"/>
      <c r="AE43" s="258"/>
      <c r="AF43" s="258"/>
      <c r="AG43" s="258"/>
    </row>
    <row r="44" ht="18.75" customHeight="1">
      <c r="A44" s="283"/>
      <c r="B44" s="234" t="str">
        <f>'Building Bill of Materials_SLIM'!P44</f>
        <v/>
      </c>
      <c r="C44" s="234" t="str">
        <f>'Building Bill of Materials_SLIM'!Q44</f>
        <v/>
      </c>
      <c r="D44" s="234" t="str">
        <f>'Building Bill of Materials_SLIM'!R44</f>
        <v/>
      </c>
      <c r="E44" s="234" t="str">
        <f>'Building Bill of Materials_SLIM'!S44</f>
        <v/>
      </c>
      <c r="F44" s="234"/>
      <c r="G44" s="234"/>
      <c r="H44" s="284" t="str">
        <f>'Building Bill of Materials_SLIM'!T44</f>
        <v/>
      </c>
      <c r="I44" s="234"/>
      <c r="J44" s="234" t="str">
        <f>'Building Bill of Materials_SLIM'!V44</f>
        <v/>
      </c>
      <c r="K44" s="192"/>
      <c r="L44" s="238"/>
      <c r="M44" s="238"/>
      <c r="N44" s="258"/>
      <c r="O44" s="258"/>
      <c r="P44" s="258"/>
      <c r="Q44" s="258"/>
      <c r="R44" s="258"/>
      <c r="S44" s="258"/>
      <c r="T44" s="258"/>
      <c r="U44" s="258"/>
      <c r="V44" s="258"/>
      <c r="W44" s="258"/>
      <c r="X44" s="258"/>
      <c r="Y44" s="258"/>
      <c r="Z44" s="258"/>
      <c r="AA44" s="258"/>
      <c r="AB44" s="258"/>
      <c r="AC44" s="258"/>
      <c r="AD44" s="258"/>
      <c r="AE44" s="258"/>
      <c r="AF44" s="258"/>
      <c r="AG44" s="258"/>
    </row>
    <row r="45" ht="18.75" customHeight="1">
      <c r="A45" s="283"/>
      <c r="B45" s="234" t="str">
        <f>'Building Bill of Materials_SLIM'!P45</f>
        <v/>
      </c>
      <c r="C45" s="234" t="str">
        <f>'Building Bill of Materials_SLIM'!Q45</f>
        <v/>
      </c>
      <c r="D45" s="234" t="str">
        <f>'Building Bill of Materials_SLIM'!R45</f>
        <v/>
      </c>
      <c r="E45" s="284" t="str">
        <f>'Building Bill of Materials_SLIM'!S45</f>
        <v/>
      </c>
      <c r="F45" s="234"/>
      <c r="G45" s="234"/>
      <c r="H45" s="284" t="str">
        <f>'Building Bill of Materials_SLIM'!T45</f>
        <v/>
      </c>
      <c r="I45" s="234"/>
      <c r="J45" s="284" t="str">
        <f>'Building Bill of Materials_SLIM'!V45</f>
        <v/>
      </c>
      <c r="K45" s="192"/>
      <c r="L45" s="238"/>
      <c r="M45" s="238"/>
      <c r="N45" s="258"/>
      <c r="O45" s="258"/>
      <c r="P45" s="258"/>
      <c r="Q45" s="258"/>
      <c r="R45" s="258"/>
      <c r="S45" s="258"/>
      <c r="T45" s="258"/>
      <c r="U45" s="258"/>
      <c r="V45" s="258"/>
      <c r="W45" s="258"/>
      <c r="X45" s="258"/>
      <c r="Y45" s="258"/>
      <c r="Z45" s="258"/>
      <c r="AA45" s="258"/>
      <c r="AB45" s="258"/>
      <c r="AC45" s="258"/>
      <c r="AD45" s="258"/>
      <c r="AE45" s="258"/>
      <c r="AF45" s="258"/>
      <c r="AG45" s="258"/>
    </row>
    <row r="46" ht="18.75" customHeight="1">
      <c r="A46" s="283"/>
      <c r="B46" s="234" t="str">
        <f>'Building Bill of Materials_SLIM'!P46</f>
        <v/>
      </c>
      <c r="C46" s="234" t="str">
        <f>'Building Bill of Materials_SLIM'!Q46</f>
        <v/>
      </c>
      <c r="D46" s="234" t="str">
        <f>'Building Bill of Materials_SLIM'!R46</f>
        <v/>
      </c>
      <c r="E46" s="234" t="str">
        <f>'Building Bill of Materials_SLIM'!S46</f>
        <v/>
      </c>
      <c r="F46" s="234"/>
      <c r="G46" s="234"/>
      <c r="H46" s="284" t="str">
        <f>'Building Bill of Materials_SLIM'!T46</f>
        <v/>
      </c>
      <c r="I46" s="234"/>
      <c r="J46" s="234" t="str">
        <f>'Building Bill of Materials_SLIM'!V46</f>
        <v/>
      </c>
      <c r="K46" s="192"/>
      <c r="L46" s="238"/>
      <c r="M46" s="238"/>
      <c r="N46" s="258"/>
      <c r="O46" s="258"/>
      <c r="P46" s="258"/>
      <c r="Q46" s="258"/>
      <c r="R46" s="258"/>
      <c r="S46" s="258"/>
      <c r="T46" s="258"/>
      <c r="U46" s="258"/>
      <c r="V46" s="258"/>
      <c r="W46" s="258"/>
      <c r="X46" s="258"/>
      <c r="Y46" s="258"/>
      <c r="Z46" s="258"/>
      <c r="AA46" s="258"/>
      <c r="AB46" s="258"/>
      <c r="AC46" s="258"/>
      <c r="AD46" s="258"/>
      <c r="AE46" s="258"/>
      <c r="AF46" s="258"/>
      <c r="AG46" s="258"/>
    </row>
    <row r="47" ht="18.75" customHeight="1">
      <c r="A47" s="283"/>
      <c r="B47" s="234" t="str">
        <f>'Building Bill of Materials_SLIM'!P47</f>
        <v/>
      </c>
      <c r="C47" s="234" t="str">
        <f>'Building Bill of Materials_SLIM'!Q47</f>
        <v/>
      </c>
      <c r="D47" s="234" t="str">
        <f>'Building Bill of Materials_SLIM'!R47</f>
        <v/>
      </c>
      <c r="E47" s="234" t="str">
        <f>'Building Bill of Materials_SLIM'!S47</f>
        <v/>
      </c>
      <c r="F47" s="234"/>
      <c r="G47" s="234"/>
      <c r="H47" s="284" t="str">
        <f>'Building Bill of Materials_SLIM'!T47</f>
        <v/>
      </c>
      <c r="I47" s="234"/>
      <c r="J47" s="234" t="str">
        <f>'Building Bill of Materials_SLIM'!V47</f>
        <v/>
      </c>
      <c r="K47" s="192"/>
      <c r="L47" s="238"/>
      <c r="M47" s="238"/>
      <c r="N47" s="258"/>
      <c r="O47" s="258"/>
      <c r="P47" s="258"/>
      <c r="Q47" s="258"/>
      <c r="R47" s="258"/>
      <c r="S47" s="258"/>
      <c r="T47" s="258"/>
      <c r="U47" s="258"/>
      <c r="V47" s="258"/>
      <c r="W47" s="258"/>
      <c r="X47" s="258"/>
      <c r="Y47" s="258"/>
      <c r="Z47" s="258"/>
      <c r="AA47" s="258"/>
      <c r="AB47" s="258"/>
      <c r="AC47" s="258"/>
      <c r="AD47" s="258"/>
      <c r="AE47" s="258"/>
      <c r="AF47" s="258"/>
      <c r="AG47" s="258"/>
    </row>
    <row r="48" ht="18.75" customHeight="1">
      <c r="A48" s="283"/>
      <c r="B48" s="234" t="str">
        <f>'Building Bill of Materials_SLIM'!P48</f>
        <v/>
      </c>
      <c r="C48" s="234" t="str">
        <f>'Building Bill of Materials_SLIM'!Q48</f>
        <v/>
      </c>
      <c r="D48" s="234" t="str">
        <f>'Building Bill of Materials_SLIM'!R48</f>
        <v/>
      </c>
      <c r="E48" s="234" t="str">
        <f>'Building Bill of Materials_SLIM'!S48</f>
        <v/>
      </c>
      <c r="F48" s="234"/>
      <c r="G48" s="234"/>
      <c r="H48" s="284" t="str">
        <f>'Building Bill of Materials_SLIM'!T48</f>
        <v/>
      </c>
      <c r="I48" s="234"/>
      <c r="J48" s="234" t="str">
        <f>'Building Bill of Materials_SLIM'!V48</f>
        <v/>
      </c>
      <c r="K48" s="192"/>
      <c r="L48" s="238"/>
      <c r="M48" s="238"/>
      <c r="N48" s="258"/>
      <c r="O48" s="258"/>
      <c r="P48" s="258"/>
      <c r="Q48" s="258"/>
      <c r="R48" s="258"/>
      <c r="S48" s="258"/>
      <c r="T48" s="258"/>
      <c r="U48" s="258"/>
      <c r="V48" s="258"/>
      <c r="W48" s="258"/>
      <c r="X48" s="258"/>
      <c r="Y48" s="258"/>
      <c r="Z48" s="258"/>
      <c r="AA48" s="258"/>
      <c r="AB48" s="258"/>
      <c r="AC48" s="258"/>
      <c r="AD48" s="258"/>
      <c r="AE48" s="258"/>
      <c r="AF48" s="258"/>
      <c r="AG48" s="258"/>
    </row>
    <row r="49" ht="18.75" customHeight="1">
      <c r="A49" s="283"/>
      <c r="B49" s="234" t="str">
        <f>'Building Bill of Materials_SLIM'!P49</f>
        <v/>
      </c>
      <c r="C49" s="234" t="str">
        <f>'Building Bill of Materials_SLIM'!Q49</f>
        <v/>
      </c>
      <c r="D49" s="234" t="str">
        <f>'Building Bill of Materials_SLIM'!R49</f>
        <v/>
      </c>
      <c r="E49" s="234" t="str">
        <f>'Building Bill of Materials_SLIM'!S49</f>
        <v/>
      </c>
      <c r="F49" s="234"/>
      <c r="G49" s="234"/>
      <c r="H49" s="284" t="str">
        <f>'Building Bill of Materials_SLIM'!T49</f>
        <v/>
      </c>
      <c r="I49" s="234"/>
      <c r="J49" s="234" t="str">
        <f>'Building Bill of Materials_SLIM'!V49</f>
        <v/>
      </c>
      <c r="K49" s="192"/>
      <c r="L49" s="238"/>
      <c r="M49" s="238"/>
      <c r="N49" s="258"/>
      <c r="O49" s="258"/>
      <c r="P49" s="258"/>
      <c r="Q49" s="258"/>
      <c r="R49" s="258"/>
      <c r="S49" s="258"/>
      <c r="T49" s="258"/>
      <c r="U49" s="258"/>
      <c r="V49" s="258"/>
      <c r="W49" s="258"/>
      <c r="X49" s="258"/>
      <c r="Y49" s="258"/>
      <c r="Z49" s="258"/>
      <c r="AA49" s="258"/>
      <c r="AB49" s="258"/>
      <c r="AC49" s="258"/>
      <c r="AD49" s="258"/>
      <c r="AE49" s="258"/>
      <c r="AF49" s="258"/>
      <c r="AG49" s="258"/>
    </row>
    <row r="50" ht="18.75" customHeight="1">
      <c r="A50" s="283"/>
      <c r="B50" s="234" t="str">
        <f>'Building Bill of Materials_SLIM'!P50</f>
        <v/>
      </c>
      <c r="C50" s="234" t="str">
        <f>'Building Bill of Materials_SLIM'!Q50</f>
        <v/>
      </c>
      <c r="D50" s="234" t="str">
        <f>'Building Bill of Materials_SLIM'!R50</f>
        <v/>
      </c>
      <c r="E50" s="234" t="str">
        <f>'Building Bill of Materials_SLIM'!S50</f>
        <v/>
      </c>
      <c r="F50" s="234"/>
      <c r="G50" s="234"/>
      <c r="H50" s="284" t="str">
        <f>'Building Bill of Materials_SLIM'!T50</f>
        <v/>
      </c>
      <c r="I50" s="234"/>
      <c r="J50" s="234" t="str">
        <f>'Building Bill of Materials_SLIM'!V50</f>
        <v/>
      </c>
      <c r="K50" s="192"/>
      <c r="L50" s="238"/>
      <c r="M50" s="238"/>
      <c r="N50" s="258"/>
      <c r="O50" s="258"/>
      <c r="P50" s="258"/>
      <c r="Q50" s="258"/>
      <c r="R50" s="258"/>
      <c r="S50" s="258"/>
      <c r="T50" s="258"/>
      <c r="U50" s="258"/>
      <c r="V50" s="258"/>
      <c r="W50" s="258"/>
      <c r="X50" s="258"/>
      <c r="Y50" s="258"/>
      <c r="Z50" s="258"/>
      <c r="AA50" s="258"/>
      <c r="AB50" s="258"/>
      <c r="AC50" s="258"/>
      <c r="AD50" s="258"/>
      <c r="AE50" s="258"/>
      <c r="AF50" s="258"/>
      <c r="AG50" s="258"/>
    </row>
    <row r="51" ht="18.75" customHeight="1">
      <c r="A51" s="283"/>
      <c r="B51" s="234" t="str">
        <f>'Building Bill of Materials_SLIM'!P51</f>
        <v/>
      </c>
      <c r="C51" s="234" t="str">
        <f>'Building Bill of Materials_SLIM'!Q51</f>
        <v/>
      </c>
      <c r="D51" s="234" t="str">
        <f>'Building Bill of Materials_SLIM'!R51</f>
        <v/>
      </c>
      <c r="E51" s="234" t="str">
        <f>'Building Bill of Materials_SLIM'!S51</f>
        <v/>
      </c>
      <c r="F51" s="234"/>
      <c r="G51" s="234"/>
      <c r="H51" s="284" t="str">
        <f>'Building Bill of Materials_SLIM'!T51</f>
        <v/>
      </c>
      <c r="I51" s="234"/>
      <c r="J51" s="234" t="str">
        <f>'Building Bill of Materials_SLIM'!V51</f>
        <v/>
      </c>
      <c r="K51" s="192"/>
      <c r="L51" s="238"/>
      <c r="M51" s="238"/>
      <c r="N51" s="258"/>
      <c r="O51" s="258"/>
      <c r="P51" s="258"/>
      <c r="Q51" s="258"/>
      <c r="R51" s="258"/>
      <c r="S51" s="258"/>
      <c r="T51" s="258"/>
      <c r="U51" s="258"/>
      <c r="V51" s="258"/>
      <c r="W51" s="258"/>
      <c r="X51" s="258"/>
      <c r="Y51" s="258"/>
      <c r="Z51" s="258"/>
      <c r="AA51" s="258"/>
      <c r="AB51" s="258"/>
      <c r="AC51" s="258"/>
      <c r="AD51" s="258"/>
      <c r="AE51" s="258"/>
      <c r="AF51" s="258"/>
      <c r="AG51" s="258"/>
    </row>
    <row r="52" ht="18.75" customHeight="1">
      <c r="A52" s="283"/>
      <c r="B52" s="234" t="str">
        <f>'Building Bill of Materials_SLIM'!P52</f>
        <v/>
      </c>
      <c r="C52" s="234" t="str">
        <f>'Building Bill of Materials_SLIM'!Q52</f>
        <v/>
      </c>
      <c r="D52" s="234" t="str">
        <f>'Building Bill of Materials_SLIM'!R52</f>
        <v/>
      </c>
      <c r="E52" s="234" t="str">
        <f>'Building Bill of Materials_SLIM'!S52</f>
        <v/>
      </c>
      <c r="F52" s="234"/>
      <c r="G52" s="234"/>
      <c r="H52" s="284" t="str">
        <f>'Building Bill of Materials_SLIM'!T52</f>
        <v/>
      </c>
      <c r="I52" s="234"/>
      <c r="J52" s="234" t="str">
        <f>'Building Bill of Materials_SLIM'!V52</f>
        <v/>
      </c>
      <c r="K52" s="192"/>
      <c r="L52" s="238"/>
      <c r="M52" s="238"/>
      <c r="N52" s="258"/>
      <c r="O52" s="258"/>
      <c r="P52" s="258"/>
      <c r="Q52" s="258"/>
      <c r="R52" s="258"/>
      <c r="S52" s="258"/>
      <c r="T52" s="258"/>
      <c r="U52" s="258"/>
      <c r="V52" s="258"/>
      <c r="W52" s="258"/>
      <c r="X52" s="258"/>
      <c r="Y52" s="258"/>
      <c r="Z52" s="258"/>
      <c r="AA52" s="258"/>
      <c r="AB52" s="258"/>
      <c r="AC52" s="258"/>
      <c r="AD52" s="258"/>
      <c r="AE52" s="258"/>
      <c r="AF52" s="258"/>
      <c r="AG52" s="258"/>
    </row>
    <row r="53" ht="18.75" customHeight="1">
      <c r="A53" s="283"/>
      <c r="B53" s="234" t="str">
        <f>'Building Bill of Materials_SLIM'!P53</f>
        <v/>
      </c>
      <c r="C53" s="234" t="str">
        <f>'Building Bill of Materials_SLIM'!Q53</f>
        <v/>
      </c>
      <c r="D53" s="234" t="str">
        <f>'Building Bill of Materials_SLIM'!R53</f>
        <v/>
      </c>
      <c r="E53" s="234" t="str">
        <f>'Building Bill of Materials_SLIM'!S53</f>
        <v/>
      </c>
      <c r="F53" s="234"/>
      <c r="G53" s="234"/>
      <c r="H53" s="284" t="str">
        <f>'Building Bill of Materials_SLIM'!T53</f>
        <v/>
      </c>
      <c r="I53" s="234"/>
      <c r="J53" s="234" t="str">
        <f>'Building Bill of Materials_SLIM'!V53</f>
        <v/>
      </c>
      <c r="K53" s="192"/>
      <c r="L53" s="238"/>
      <c r="M53" s="238"/>
      <c r="N53" s="258"/>
      <c r="O53" s="258"/>
      <c r="P53" s="258"/>
      <c r="Q53" s="258"/>
      <c r="R53" s="258"/>
      <c r="S53" s="258"/>
      <c r="T53" s="258"/>
      <c r="U53" s="258"/>
      <c r="V53" s="258"/>
      <c r="W53" s="258"/>
      <c r="X53" s="258"/>
      <c r="Y53" s="258"/>
      <c r="Z53" s="258"/>
      <c r="AA53" s="258"/>
      <c r="AB53" s="258"/>
      <c r="AC53" s="258"/>
      <c r="AD53" s="258"/>
      <c r="AE53" s="258"/>
      <c r="AF53" s="258"/>
      <c r="AG53" s="258"/>
    </row>
    <row r="54" ht="18.75" customHeight="1">
      <c r="A54" s="283"/>
      <c r="B54" s="234" t="str">
        <f>'Building Bill of Materials_SLIM'!P54</f>
        <v/>
      </c>
      <c r="C54" s="234" t="str">
        <f>'Building Bill of Materials_SLIM'!Q54</f>
        <v/>
      </c>
      <c r="D54" s="234" t="str">
        <f>'Building Bill of Materials_SLIM'!R54</f>
        <v/>
      </c>
      <c r="E54" s="234" t="str">
        <f>'Building Bill of Materials_SLIM'!S54</f>
        <v/>
      </c>
      <c r="F54" s="234"/>
      <c r="G54" s="234"/>
      <c r="H54" s="284" t="str">
        <f>'Building Bill of Materials_SLIM'!T54</f>
        <v/>
      </c>
      <c r="I54" s="234"/>
      <c r="J54" s="234" t="str">
        <f>'Building Bill of Materials_SLIM'!V54</f>
        <v/>
      </c>
      <c r="K54" s="192"/>
      <c r="L54" s="238"/>
      <c r="M54" s="238"/>
      <c r="N54" s="258"/>
      <c r="O54" s="258"/>
      <c r="P54" s="258"/>
      <c r="Q54" s="258"/>
      <c r="R54" s="258"/>
      <c r="S54" s="258"/>
      <c r="T54" s="258"/>
      <c r="U54" s="258"/>
      <c r="V54" s="258"/>
      <c r="W54" s="258"/>
      <c r="X54" s="258"/>
      <c r="Y54" s="258"/>
      <c r="Z54" s="258"/>
      <c r="AA54" s="258"/>
      <c r="AB54" s="258"/>
      <c r="AC54" s="258"/>
      <c r="AD54" s="258"/>
      <c r="AE54" s="258"/>
      <c r="AF54" s="258"/>
      <c r="AG54" s="258"/>
    </row>
    <row r="55" ht="18.75" customHeight="1">
      <c r="A55" s="283"/>
      <c r="B55" s="234" t="str">
        <f>'Building Bill of Materials_SLIM'!P55</f>
        <v/>
      </c>
      <c r="C55" s="234" t="str">
        <f>'Building Bill of Materials_SLIM'!Q55</f>
        <v/>
      </c>
      <c r="D55" s="234" t="str">
        <f>'Building Bill of Materials_SLIM'!R55</f>
        <v/>
      </c>
      <c r="E55" s="234" t="str">
        <f>'Building Bill of Materials_SLIM'!S55</f>
        <v/>
      </c>
      <c r="F55" s="234"/>
      <c r="G55" s="234"/>
      <c r="H55" s="284" t="str">
        <f>'Building Bill of Materials_SLIM'!T55</f>
        <v/>
      </c>
      <c r="I55" s="234"/>
      <c r="J55" s="234" t="str">
        <f>'Building Bill of Materials_SLIM'!V55</f>
        <v/>
      </c>
      <c r="K55" s="192"/>
      <c r="L55" s="238"/>
      <c r="M55" s="238"/>
      <c r="N55" s="258"/>
      <c r="O55" s="258"/>
      <c r="P55" s="258"/>
      <c r="Q55" s="258"/>
      <c r="R55" s="258"/>
      <c r="S55" s="258"/>
      <c r="T55" s="258"/>
      <c r="U55" s="258"/>
      <c r="V55" s="258"/>
      <c r="W55" s="258"/>
      <c r="X55" s="258"/>
      <c r="Y55" s="258"/>
      <c r="Z55" s="258"/>
      <c r="AA55" s="258"/>
      <c r="AB55" s="258"/>
      <c r="AC55" s="258"/>
      <c r="AD55" s="258"/>
      <c r="AE55" s="258"/>
      <c r="AF55" s="258"/>
      <c r="AG55" s="258"/>
    </row>
    <row r="56" ht="18.75" customHeight="1">
      <c r="A56" s="283"/>
      <c r="B56" s="234" t="str">
        <f>'Building Bill of Materials_SLIM'!P56</f>
        <v/>
      </c>
      <c r="C56" s="234" t="str">
        <f>'Building Bill of Materials_SLIM'!Q56</f>
        <v/>
      </c>
      <c r="D56" s="234" t="str">
        <f>'Building Bill of Materials_SLIM'!R56</f>
        <v/>
      </c>
      <c r="E56" s="234" t="str">
        <f>'Building Bill of Materials_SLIM'!S56</f>
        <v/>
      </c>
      <c r="F56" s="234"/>
      <c r="G56" s="234"/>
      <c r="H56" s="284" t="str">
        <f>'Building Bill of Materials_SLIM'!T56</f>
        <v/>
      </c>
      <c r="I56" s="234"/>
      <c r="J56" s="234" t="str">
        <f>'Building Bill of Materials_SLIM'!V56</f>
        <v/>
      </c>
      <c r="K56" s="192"/>
      <c r="L56" s="238"/>
      <c r="M56" s="238"/>
      <c r="N56" s="258"/>
      <c r="O56" s="258"/>
      <c r="P56" s="258"/>
      <c r="Q56" s="258"/>
      <c r="R56" s="258"/>
      <c r="S56" s="258"/>
      <c r="T56" s="258"/>
      <c r="U56" s="258"/>
      <c r="V56" s="258"/>
      <c r="W56" s="258"/>
      <c r="X56" s="258"/>
      <c r="Y56" s="258"/>
      <c r="Z56" s="258"/>
      <c r="AA56" s="258"/>
      <c r="AB56" s="258"/>
      <c r="AC56" s="258"/>
      <c r="AD56" s="258"/>
      <c r="AE56" s="258"/>
      <c r="AF56" s="258"/>
      <c r="AG56" s="258"/>
    </row>
    <row r="57" ht="18.75" customHeight="1">
      <c r="A57" s="283"/>
      <c r="B57" s="234" t="str">
        <f>'Building Bill of Materials_SLIM'!P57</f>
        <v/>
      </c>
      <c r="C57" s="234" t="str">
        <f>'Building Bill of Materials_SLIM'!Q57</f>
        <v/>
      </c>
      <c r="D57" s="234" t="str">
        <f>'Building Bill of Materials_SLIM'!R57</f>
        <v/>
      </c>
      <c r="E57" s="234" t="str">
        <f>'Building Bill of Materials_SLIM'!S57</f>
        <v/>
      </c>
      <c r="F57" s="234"/>
      <c r="G57" s="234"/>
      <c r="H57" s="284" t="str">
        <f>'Building Bill of Materials_SLIM'!T57</f>
        <v/>
      </c>
      <c r="I57" s="234"/>
      <c r="J57" s="234" t="str">
        <f>'Building Bill of Materials_SLIM'!V57</f>
        <v/>
      </c>
      <c r="K57" s="192"/>
      <c r="L57" s="238"/>
      <c r="M57" s="238"/>
      <c r="N57" s="258"/>
      <c r="O57" s="258"/>
      <c r="P57" s="258"/>
      <c r="Q57" s="258"/>
      <c r="R57" s="258"/>
      <c r="S57" s="258"/>
      <c r="T57" s="258"/>
      <c r="U57" s="258"/>
      <c r="V57" s="258"/>
      <c r="W57" s="258"/>
      <c r="X57" s="258"/>
      <c r="Y57" s="258"/>
      <c r="Z57" s="258"/>
      <c r="AA57" s="258"/>
      <c r="AB57" s="258"/>
      <c r="AC57" s="258"/>
      <c r="AD57" s="258"/>
      <c r="AE57" s="258"/>
      <c r="AF57" s="258"/>
      <c r="AG57" s="258"/>
    </row>
    <row r="58" ht="18.75" customHeight="1">
      <c r="A58" s="283"/>
      <c r="B58" s="234" t="str">
        <f>'Building Bill of Materials_SLIM'!P58</f>
        <v/>
      </c>
      <c r="C58" s="234" t="str">
        <f>'Building Bill of Materials_SLIM'!Q58</f>
        <v/>
      </c>
      <c r="D58" s="234" t="str">
        <f>'Building Bill of Materials_SLIM'!R58</f>
        <v/>
      </c>
      <c r="E58" s="234" t="str">
        <f>'Building Bill of Materials_SLIM'!S58</f>
        <v/>
      </c>
      <c r="F58" s="234"/>
      <c r="G58" s="234"/>
      <c r="H58" s="284" t="str">
        <f>'Building Bill of Materials_SLIM'!T58</f>
        <v/>
      </c>
      <c r="I58" s="234"/>
      <c r="J58" s="234" t="str">
        <f>'Building Bill of Materials_SLIM'!V58</f>
        <v/>
      </c>
      <c r="K58" s="192"/>
      <c r="L58" s="238"/>
      <c r="M58" s="238"/>
      <c r="N58" s="258"/>
      <c r="O58" s="258"/>
      <c r="P58" s="258"/>
      <c r="Q58" s="258"/>
      <c r="R58" s="258"/>
      <c r="S58" s="258"/>
      <c r="T58" s="258"/>
      <c r="U58" s="258"/>
      <c r="V58" s="258"/>
      <c r="W58" s="258"/>
      <c r="X58" s="258"/>
      <c r="Y58" s="258"/>
      <c r="Z58" s="258"/>
      <c r="AA58" s="258"/>
      <c r="AB58" s="258"/>
      <c r="AC58" s="258"/>
      <c r="AD58" s="258"/>
      <c r="AE58" s="258"/>
      <c r="AF58" s="258"/>
      <c r="AG58" s="258"/>
    </row>
    <row r="59" ht="18.75" customHeight="1">
      <c r="A59" s="283"/>
      <c r="B59" s="234" t="str">
        <f>'Building Bill of Materials_SLIM'!P59</f>
        <v/>
      </c>
      <c r="C59" s="234" t="str">
        <f>'Building Bill of Materials_SLIM'!Q59</f>
        <v/>
      </c>
      <c r="D59" s="234" t="str">
        <f>'Building Bill of Materials_SLIM'!R59</f>
        <v/>
      </c>
      <c r="E59" s="234" t="str">
        <f>'Building Bill of Materials_SLIM'!S59</f>
        <v/>
      </c>
      <c r="F59" s="234"/>
      <c r="G59" s="234"/>
      <c r="H59" s="284" t="str">
        <f>'Building Bill of Materials_SLIM'!T59</f>
        <v/>
      </c>
      <c r="I59" s="234"/>
      <c r="J59" s="234" t="str">
        <f>'Building Bill of Materials_SLIM'!V59</f>
        <v/>
      </c>
      <c r="K59" s="192"/>
      <c r="L59" s="238"/>
      <c r="M59" s="238"/>
      <c r="N59" s="258"/>
      <c r="O59" s="258"/>
      <c r="P59" s="258"/>
      <c r="Q59" s="258"/>
      <c r="R59" s="258"/>
      <c r="S59" s="258"/>
      <c r="T59" s="258"/>
      <c r="U59" s="258"/>
      <c r="V59" s="258"/>
      <c r="W59" s="258"/>
      <c r="X59" s="258"/>
      <c r="Y59" s="258"/>
      <c r="Z59" s="258"/>
      <c r="AA59" s="258"/>
      <c r="AB59" s="258"/>
      <c r="AC59" s="258"/>
      <c r="AD59" s="258"/>
      <c r="AE59" s="258"/>
      <c r="AF59" s="258"/>
      <c r="AG59" s="258"/>
    </row>
    <row r="60" ht="18.75" customHeight="1">
      <c r="A60" s="283"/>
      <c r="B60" s="234" t="str">
        <f>'Building Bill of Materials_SLIM'!P60</f>
        <v/>
      </c>
      <c r="C60" s="234" t="str">
        <f>'Building Bill of Materials_SLIM'!Q60</f>
        <v/>
      </c>
      <c r="D60" s="234" t="str">
        <f>'Building Bill of Materials_SLIM'!R60</f>
        <v/>
      </c>
      <c r="E60" s="234" t="str">
        <f>'Building Bill of Materials_SLIM'!S60</f>
        <v/>
      </c>
      <c r="F60" s="234"/>
      <c r="G60" s="234"/>
      <c r="H60" s="284" t="str">
        <f>'Building Bill of Materials_SLIM'!T60</f>
        <v/>
      </c>
      <c r="I60" s="234"/>
      <c r="J60" s="234" t="str">
        <f>'Building Bill of Materials_SLIM'!V60</f>
        <v/>
      </c>
      <c r="K60" s="192"/>
      <c r="L60" s="238"/>
      <c r="M60" s="238"/>
      <c r="N60" s="258"/>
      <c r="O60" s="258"/>
      <c r="P60" s="258"/>
      <c r="Q60" s="258"/>
      <c r="R60" s="258"/>
      <c r="S60" s="258"/>
      <c r="T60" s="258"/>
      <c r="U60" s="258"/>
      <c r="V60" s="258"/>
      <c r="W60" s="258"/>
      <c r="X60" s="258"/>
      <c r="Y60" s="258"/>
      <c r="Z60" s="258"/>
      <c r="AA60" s="258"/>
      <c r="AB60" s="258"/>
      <c r="AC60" s="258"/>
      <c r="AD60" s="258"/>
      <c r="AE60" s="258"/>
      <c r="AF60" s="258"/>
      <c r="AG60" s="258"/>
    </row>
    <row r="61" ht="18.75" customHeight="1">
      <c r="A61" s="283"/>
      <c r="B61" s="234" t="str">
        <f>'Building Bill of Materials_SLIM'!P61</f>
        <v/>
      </c>
      <c r="C61" s="234" t="str">
        <f>'Building Bill of Materials_SLIM'!Q61</f>
        <v/>
      </c>
      <c r="D61" s="234" t="str">
        <f>'Building Bill of Materials_SLIM'!R61</f>
        <v/>
      </c>
      <c r="E61" s="234" t="str">
        <f>'Building Bill of Materials_SLIM'!S61</f>
        <v/>
      </c>
      <c r="F61" s="234"/>
      <c r="G61" s="234"/>
      <c r="H61" s="284" t="str">
        <f>'Building Bill of Materials_SLIM'!T61</f>
        <v/>
      </c>
      <c r="I61" s="234"/>
      <c r="J61" s="234" t="str">
        <f>'Building Bill of Materials_SLIM'!V61</f>
        <v/>
      </c>
      <c r="K61" s="192"/>
      <c r="L61" s="238"/>
      <c r="M61" s="238"/>
      <c r="N61" s="258"/>
      <c r="O61" s="258"/>
      <c r="P61" s="258"/>
      <c r="Q61" s="258"/>
      <c r="R61" s="258"/>
      <c r="S61" s="258"/>
      <c r="T61" s="258"/>
      <c r="U61" s="258"/>
      <c r="V61" s="258"/>
      <c r="W61" s="258"/>
      <c r="X61" s="258"/>
      <c r="Y61" s="258"/>
      <c r="Z61" s="258"/>
      <c r="AA61" s="258"/>
      <c r="AB61" s="258"/>
      <c r="AC61" s="258"/>
      <c r="AD61" s="258"/>
      <c r="AE61" s="258"/>
      <c r="AF61" s="258"/>
      <c r="AG61" s="258"/>
    </row>
    <row r="62" ht="18.75" customHeight="1">
      <c r="A62" s="283"/>
      <c r="B62" s="234" t="str">
        <f>'Building Bill of Materials_SLIM'!P62</f>
        <v/>
      </c>
      <c r="C62" s="234" t="str">
        <f>'Building Bill of Materials_SLIM'!Q62</f>
        <v/>
      </c>
      <c r="D62" s="234" t="str">
        <f>'Building Bill of Materials_SLIM'!R62</f>
        <v/>
      </c>
      <c r="E62" s="234" t="str">
        <f>'Building Bill of Materials_SLIM'!S62</f>
        <v/>
      </c>
      <c r="F62" s="234"/>
      <c r="G62" s="234"/>
      <c r="H62" s="284" t="str">
        <f>'Building Bill of Materials_SLIM'!T62</f>
        <v/>
      </c>
      <c r="I62" s="234"/>
      <c r="J62" s="234" t="str">
        <f>'Building Bill of Materials_SLIM'!V62</f>
        <v/>
      </c>
      <c r="K62" s="192"/>
      <c r="L62" s="238"/>
      <c r="M62" s="238"/>
      <c r="N62" s="258"/>
      <c r="O62" s="258"/>
      <c r="P62" s="258"/>
      <c r="Q62" s="258"/>
      <c r="R62" s="258"/>
      <c r="S62" s="258"/>
      <c r="T62" s="258"/>
      <c r="U62" s="258"/>
      <c r="V62" s="258"/>
      <c r="W62" s="258"/>
      <c r="X62" s="258"/>
      <c r="Y62" s="258"/>
      <c r="Z62" s="258"/>
      <c r="AA62" s="258"/>
      <c r="AB62" s="258"/>
      <c r="AC62" s="258"/>
      <c r="AD62" s="258"/>
      <c r="AE62" s="258"/>
      <c r="AF62" s="258"/>
      <c r="AG62" s="258"/>
    </row>
    <row r="63" ht="18.75" customHeight="1">
      <c r="A63" s="283"/>
      <c r="B63" s="234" t="str">
        <f>'Building Bill of Materials_SLIM'!P63</f>
        <v/>
      </c>
      <c r="C63" s="234" t="str">
        <f>'Building Bill of Materials_SLIM'!Q63</f>
        <v/>
      </c>
      <c r="D63" s="234" t="str">
        <f>'Building Bill of Materials_SLIM'!R63</f>
        <v/>
      </c>
      <c r="E63" s="234" t="str">
        <f>'Building Bill of Materials_SLIM'!S63</f>
        <v/>
      </c>
      <c r="F63" s="234"/>
      <c r="G63" s="234"/>
      <c r="H63" s="284" t="str">
        <f>'Building Bill of Materials_SLIM'!T63</f>
        <v/>
      </c>
      <c r="I63" s="234"/>
      <c r="J63" s="234" t="str">
        <f>'Building Bill of Materials_SLIM'!V63</f>
        <v/>
      </c>
      <c r="K63" s="192"/>
      <c r="L63" s="238"/>
      <c r="M63" s="238"/>
      <c r="N63" s="258"/>
      <c r="O63" s="258"/>
      <c r="P63" s="258"/>
      <c r="Q63" s="258"/>
      <c r="R63" s="258"/>
      <c r="S63" s="258"/>
      <c r="T63" s="258"/>
      <c r="U63" s="258"/>
      <c r="V63" s="258"/>
      <c r="W63" s="258"/>
      <c r="X63" s="258"/>
      <c r="Y63" s="258"/>
      <c r="Z63" s="258"/>
      <c r="AA63" s="258"/>
      <c r="AB63" s="258"/>
      <c r="AC63" s="258"/>
      <c r="AD63" s="258"/>
      <c r="AE63" s="258"/>
      <c r="AF63" s="258"/>
      <c r="AG63" s="258"/>
    </row>
    <row r="64" ht="18.75" customHeight="1">
      <c r="A64" s="283"/>
      <c r="B64" s="234" t="str">
        <f>'Building Bill of Materials_SLIM'!P64</f>
        <v/>
      </c>
      <c r="C64" s="234" t="str">
        <f>'Building Bill of Materials_SLIM'!Q64</f>
        <v/>
      </c>
      <c r="D64" s="234" t="str">
        <f>'Building Bill of Materials_SLIM'!R64</f>
        <v/>
      </c>
      <c r="E64" s="234" t="str">
        <f>'Building Bill of Materials_SLIM'!S64</f>
        <v/>
      </c>
      <c r="F64" s="234"/>
      <c r="G64" s="234"/>
      <c r="H64" s="284" t="str">
        <f>'Building Bill of Materials_SLIM'!T64</f>
        <v/>
      </c>
      <c r="I64" s="234"/>
      <c r="J64" s="234" t="str">
        <f>'Building Bill of Materials_SLIM'!V64</f>
        <v/>
      </c>
      <c r="K64" s="192"/>
      <c r="L64" s="238"/>
      <c r="M64" s="238"/>
      <c r="N64" s="258"/>
      <c r="O64" s="258"/>
      <c r="P64" s="258"/>
      <c r="Q64" s="258"/>
      <c r="R64" s="258"/>
      <c r="S64" s="258"/>
      <c r="T64" s="258"/>
      <c r="U64" s="258"/>
      <c r="V64" s="258"/>
      <c r="W64" s="258"/>
      <c r="X64" s="258"/>
      <c r="Y64" s="258"/>
      <c r="Z64" s="258"/>
      <c r="AA64" s="258"/>
      <c r="AB64" s="258"/>
      <c r="AC64" s="258"/>
      <c r="AD64" s="258"/>
      <c r="AE64" s="258"/>
      <c r="AF64" s="258"/>
      <c r="AG64" s="258"/>
    </row>
    <row r="65" ht="18.75" customHeight="1">
      <c r="A65" s="283"/>
      <c r="B65" s="234" t="str">
        <f>'Building Bill of Materials_SLIM'!P65</f>
        <v/>
      </c>
      <c r="C65" s="234" t="str">
        <f>'Building Bill of Materials_SLIM'!Q65</f>
        <v/>
      </c>
      <c r="D65" s="234" t="str">
        <f>'Building Bill of Materials_SLIM'!R65</f>
        <v/>
      </c>
      <c r="E65" s="234" t="str">
        <f>'Building Bill of Materials_SLIM'!S65</f>
        <v/>
      </c>
      <c r="F65" s="234"/>
      <c r="G65" s="234"/>
      <c r="H65" s="284" t="str">
        <f>'Building Bill of Materials_SLIM'!T65</f>
        <v/>
      </c>
      <c r="I65" s="234"/>
      <c r="J65" s="234" t="str">
        <f>'Building Bill of Materials_SLIM'!V65</f>
        <v/>
      </c>
      <c r="K65" s="192"/>
      <c r="L65" s="238"/>
      <c r="M65" s="238"/>
      <c r="N65" s="258"/>
      <c r="O65" s="258"/>
      <c r="P65" s="258"/>
      <c r="Q65" s="258"/>
      <c r="R65" s="258"/>
      <c r="S65" s="258"/>
      <c r="T65" s="258"/>
      <c r="U65" s="258"/>
      <c r="V65" s="258"/>
      <c r="W65" s="258"/>
      <c r="X65" s="258"/>
      <c r="Y65" s="258"/>
      <c r="Z65" s="258"/>
      <c r="AA65" s="258"/>
      <c r="AB65" s="258"/>
      <c r="AC65" s="258"/>
      <c r="AD65" s="258"/>
      <c r="AE65" s="258"/>
      <c r="AF65" s="258"/>
      <c r="AG65" s="258"/>
    </row>
    <row r="66" ht="18.75" customHeight="1">
      <c r="A66" s="283"/>
      <c r="B66" s="234" t="str">
        <f>'Building Bill of Materials_SLIM'!P66</f>
        <v/>
      </c>
      <c r="C66" s="234" t="str">
        <f>'Building Bill of Materials_SLIM'!Q66</f>
        <v/>
      </c>
      <c r="D66" s="234" t="str">
        <f>'Building Bill of Materials_SLIM'!R66</f>
        <v/>
      </c>
      <c r="E66" s="234" t="str">
        <f>'Building Bill of Materials_SLIM'!S66</f>
        <v/>
      </c>
      <c r="F66" s="234"/>
      <c r="G66" s="234"/>
      <c r="H66" s="284" t="str">
        <f>'Building Bill of Materials_SLIM'!T66</f>
        <v/>
      </c>
      <c r="I66" s="234"/>
      <c r="J66" s="234" t="str">
        <f>'Building Bill of Materials_SLIM'!V66</f>
        <v/>
      </c>
      <c r="K66" s="192"/>
      <c r="L66" s="238"/>
      <c r="M66" s="238"/>
      <c r="N66" s="258"/>
      <c r="O66" s="258"/>
      <c r="P66" s="258"/>
      <c r="Q66" s="258"/>
      <c r="R66" s="258"/>
      <c r="S66" s="258"/>
      <c r="T66" s="258"/>
      <c r="U66" s="258"/>
      <c r="V66" s="258"/>
      <c r="W66" s="258"/>
      <c r="X66" s="258"/>
      <c r="Y66" s="258"/>
      <c r="Z66" s="258"/>
      <c r="AA66" s="258"/>
      <c r="AB66" s="258"/>
      <c r="AC66" s="258"/>
      <c r="AD66" s="258"/>
      <c r="AE66" s="258"/>
      <c r="AF66" s="258"/>
      <c r="AG66" s="258"/>
    </row>
    <row r="67" ht="18.75" customHeight="1">
      <c r="A67" s="283"/>
      <c r="B67" s="234" t="str">
        <f>'Building Bill of Materials_SLIM'!P67</f>
        <v/>
      </c>
      <c r="C67" s="234" t="str">
        <f>'Building Bill of Materials_SLIM'!Q67</f>
        <v/>
      </c>
      <c r="D67" s="234" t="str">
        <f>'Building Bill of Materials_SLIM'!R67</f>
        <v/>
      </c>
      <c r="E67" s="234" t="str">
        <f>'Building Bill of Materials_SLIM'!S67</f>
        <v/>
      </c>
      <c r="F67" s="234"/>
      <c r="G67" s="234"/>
      <c r="H67" s="284" t="str">
        <f>'Building Bill of Materials_SLIM'!T67</f>
        <v/>
      </c>
      <c r="I67" s="234"/>
      <c r="J67" s="234" t="str">
        <f>'Building Bill of Materials_SLIM'!V67</f>
        <v/>
      </c>
      <c r="K67" s="192"/>
      <c r="L67" s="238"/>
      <c r="M67" s="238"/>
      <c r="N67" s="258"/>
      <c r="O67" s="258"/>
      <c r="P67" s="258"/>
      <c r="Q67" s="258"/>
      <c r="R67" s="258"/>
      <c r="S67" s="258"/>
      <c r="T67" s="258"/>
      <c r="U67" s="258"/>
      <c r="V67" s="258"/>
      <c r="W67" s="258"/>
      <c r="X67" s="258"/>
      <c r="Y67" s="258"/>
      <c r="Z67" s="258"/>
      <c r="AA67" s="258"/>
      <c r="AB67" s="258"/>
      <c r="AC67" s="258"/>
      <c r="AD67" s="258"/>
      <c r="AE67" s="258"/>
      <c r="AF67" s="258"/>
      <c r="AG67" s="258"/>
    </row>
    <row r="68" ht="18.75" customHeight="1">
      <c r="A68" s="283"/>
      <c r="B68" s="234" t="str">
        <f>'Building Bill of Materials_SLIM'!P68</f>
        <v/>
      </c>
      <c r="C68" s="234" t="str">
        <f>'Building Bill of Materials_SLIM'!Q68</f>
        <v/>
      </c>
      <c r="D68" s="234" t="str">
        <f>'Building Bill of Materials_SLIM'!R68</f>
        <v/>
      </c>
      <c r="E68" s="234" t="str">
        <f>'Building Bill of Materials_SLIM'!S68</f>
        <v/>
      </c>
      <c r="F68" s="234"/>
      <c r="G68" s="234"/>
      <c r="H68" s="284" t="str">
        <f>'Building Bill of Materials_SLIM'!T68</f>
        <v/>
      </c>
      <c r="I68" s="234"/>
      <c r="J68" s="234" t="str">
        <f>'Building Bill of Materials_SLIM'!V68</f>
        <v/>
      </c>
      <c r="K68" s="192"/>
      <c r="L68" s="238"/>
      <c r="M68" s="238"/>
      <c r="N68" s="258"/>
      <c r="O68" s="258"/>
      <c r="P68" s="258"/>
      <c r="Q68" s="258"/>
      <c r="R68" s="258"/>
      <c r="S68" s="258"/>
      <c r="T68" s="258"/>
      <c r="U68" s="258"/>
      <c r="V68" s="258"/>
      <c r="W68" s="258"/>
      <c r="X68" s="258"/>
      <c r="Y68" s="258"/>
      <c r="Z68" s="258"/>
      <c r="AA68" s="258"/>
      <c r="AB68" s="258"/>
      <c r="AC68" s="258"/>
      <c r="AD68" s="258"/>
      <c r="AE68" s="258"/>
      <c r="AF68" s="258"/>
      <c r="AG68" s="258"/>
    </row>
    <row r="69" ht="18.75" customHeight="1">
      <c r="A69" s="283"/>
      <c r="B69" s="234" t="str">
        <f>'Building Bill of Materials_SLIM'!P69</f>
        <v/>
      </c>
      <c r="C69" s="234" t="str">
        <f>'Building Bill of Materials_SLIM'!Q69</f>
        <v/>
      </c>
      <c r="D69" s="234" t="str">
        <f>'Building Bill of Materials_SLIM'!R69</f>
        <v/>
      </c>
      <c r="E69" s="234" t="str">
        <f>'Building Bill of Materials_SLIM'!S69</f>
        <v/>
      </c>
      <c r="F69" s="234"/>
      <c r="G69" s="234"/>
      <c r="H69" s="284" t="str">
        <f>'Building Bill of Materials_SLIM'!T69</f>
        <v/>
      </c>
      <c r="I69" s="234"/>
      <c r="J69" s="234" t="str">
        <f>'Building Bill of Materials_SLIM'!V69</f>
        <v/>
      </c>
      <c r="K69" s="192"/>
      <c r="L69" s="238"/>
      <c r="M69" s="238"/>
      <c r="N69" s="258"/>
      <c r="O69" s="258"/>
      <c r="P69" s="258"/>
      <c r="Q69" s="258"/>
      <c r="R69" s="258"/>
      <c r="S69" s="258"/>
      <c r="T69" s="258"/>
      <c r="U69" s="258"/>
      <c r="V69" s="258"/>
      <c r="W69" s="258"/>
      <c r="X69" s="258"/>
      <c r="Y69" s="258"/>
      <c r="Z69" s="258"/>
      <c r="AA69" s="258"/>
      <c r="AB69" s="258"/>
      <c r="AC69" s="258"/>
      <c r="AD69" s="258"/>
      <c r="AE69" s="258"/>
      <c r="AF69" s="258"/>
      <c r="AG69" s="258"/>
    </row>
    <row r="70" ht="18.75" customHeight="1">
      <c r="A70" s="283"/>
      <c r="B70" s="234" t="str">
        <f>'Building Bill of Materials_SLIM'!P70</f>
        <v/>
      </c>
      <c r="C70" s="234" t="str">
        <f>'Building Bill of Materials_SLIM'!Q70</f>
        <v/>
      </c>
      <c r="D70" s="234" t="str">
        <f>'Building Bill of Materials_SLIM'!R70</f>
        <v/>
      </c>
      <c r="E70" s="234" t="str">
        <f>'Building Bill of Materials_SLIM'!S70</f>
        <v/>
      </c>
      <c r="F70" s="234"/>
      <c r="G70" s="234"/>
      <c r="H70" s="284" t="str">
        <f>'Building Bill of Materials_SLIM'!T70</f>
        <v/>
      </c>
      <c r="I70" s="234"/>
      <c r="J70" s="234" t="str">
        <f>'Building Bill of Materials_SLIM'!V70</f>
        <v/>
      </c>
      <c r="K70" s="192"/>
      <c r="L70" s="238"/>
      <c r="M70" s="238"/>
      <c r="N70" s="257"/>
      <c r="O70" s="257"/>
      <c r="P70" s="257"/>
      <c r="Q70" s="257"/>
      <c r="R70" s="257"/>
      <c r="S70" s="257"/>
      <c r="T70" s="257"/>
      <c r="U70" s="257"/>
      <c r="V70" s="257"/>
      <c r="W70" s="257"/>
      <c r="X70" s="257"/>
      <c r="Y70" s="257"/>
      <c r="Z70" s="257"/>
      <c r="AA70" s="257"/>
      <c r="AB70" s="257"/>
      <c r="AC70" s="257"/>
      <c r="AD70" s="257"/>
      <c r="AE70" s="257"/>
      <c r="AF70" s="257"/>
      <c r="AG70" s="257"/>
    </row>
    <row r="71" ht="18.75" customHeight="1">
      <c r="A71" s="283"/>
      <c r="B71" s="234" t="str">
        <f>'Building Bill of Materials_SLIM'!P71</f>
        <v/>
      </c>
      <c r="C71" s="234" t="str">
        <f>'Building Bill of Materials_SLIM'!Q71</f>
        <v/>
      </c>
      <c r="D71" s="234" t="str">
        <f>'Building Bill of Materials_SLIM'!R71</f>
        <v/>
      </c>
      <c r="E71" s="234" t="str">
        <f>'Building Bill of Materials_SLIM'!S71</f>
        <v/>
      </c>
      <c r="F71" s="234"/>
      <c r="G71" s="234"/>
      <c r="H71" s="284" t="str">
        <f>'Building Bill of Materials_SLIM'!T71</f>
        <v/>
      </c>
      <c r="I71" s="234"/>
      <c r="J71" s="234" t="str">
        <f>'Building Bill of Materials_SLIM'!V71</f>
        <v/>
      </c>
      <c r="K71" s="192"/>
      <c r="L71" s="238"/>
      <c r="M71" s="238"/>
      <c r="N71" s="291"/>
      <c r="O71" s="291"/>
      <c r="P71" s="291"/>
      <c r="Q71" s="291"/>
      <c r="R71" s="291"/>
      <c r="S71" s="291"/>
      <c r="T71" s="291"/>
      <c r="U71" s="291"/>
      <c r="V71" s="291"/>
      <c r="W71" s="291"/>
      <c r="X71" s="291"/>
      <c r="Y71" s="291"/>
      <c r="Z71" s="291"/>
      <c r="AA71" s="291"/>
      <c r="AB71" s="291"/>
      <c r="AC71" s="291"/>
      <c r="AD71" s="291"/>
      <c r="AE71" s="291"/>
      <c r="AF71" s="291"/>
      <c r="AG71" s="291"/>
    </row>
    <row r="72" ht="18.75" customHeight="1">
      <c r="A72" s="283"/>
      <c r="B72" s="234" t="str">
        <f>'Building Bill of Materials_SLIM'!P72</f>
        <v/>
      </c>
      <c r="C72" s="234" t="str">
        <f>'Building Bill of Materials_SLIM'!Q72</f>
        <v/>
      </c>
      <c r="D72" s="234" t="str">
        <f>'Building Bill of Materials_SLIM'!R72</f>
        <v/>
      </c>
      <c r="E72" s="234" t="str">
        <f>'Building Bill of Materials_SLIM'!S72</f>
        <v/>
      </c>
      <c r="F72" s="234"/>
      <c r="G72" s="234"/>
      <c r="H72" s="284" t="str">
        <f>'Building Bill of Materials_SLIM'!T72</f>
        <v/>
      </c>
      <c r="I72" s="234"/>
      <c r="J72" s="234" t="str">
        <f>'Building Bill of Materials_SLIM'!V72</f>
        <v/>
      </c>
      <c r="K72" s="192"/>
      <c r="L72" s="238"/>
      <c r="M72" s="238"/>
      <c r="N72" s="291"/>
      <c r="O72" s="291"/>
      <c r="P72" s="291"/>
      <c r="Q72" s="291"/>
      <c r="R72" s="291"/>
      <c r="S72" s="291"/>
      <c r="T72" s="291"/>
      <c r="U72" s="291"/>
      <c r="V72" s="291"/>
      <c r="W72" s="291"/>
      <c r="X72" s="291"/>
      <c r="Y72" s="291"/>
      <c r="Z72" s="291"/>
      <c r="AA72" s="291"/>
      <c r="AB72" s="291"/>
      <c r="AC72" s="291"/>
      <c r="AD72" s="291"/>
      <c r="AE72" s="291"/>
      <c r="AF72" s="291"/>
      <c r="AG72" s="291"/>
    </row>
    <row r="73" ht="18.75" customHeight="1">
      <c r="A73" s="283"/>
      <c r="B73" s="234" t="str">
        <f>'Building Bill of Materials_SLIM'!P73</f>
        <v/>
      </c>
      <c r="C73" s="234" t="str">
        <f>'Building Bill of Materials_SLIM'!Q73</f>
        <v/>
      </c>
      <c r="D73" s="234" t="str">
        <f>'Building Bill of Materials_SLIM'!R73</f>
        <v/>
      </c>
      <c r="E73" s="234" t="str">
        <f>'Building Bill of Materials_SLIM'!S73</f>
        <v/>
      </c>
      <c r="F73" s="234"/>
      <c r="G73" s="234"/>
      <c r="H73" s="284" t="str">
        <f>'Building Bill of Materials_SLIM'!T73</f>
        <v/>
      </c>
      <c r="I73" s="234"/>
      <c r="J73" s="234" t="str">
        <f>'Building Bill of Materials_SLIM'!V73</f>
        <v/>
      </c>
      <c r="K73" s="192"/>
      <c r="L73" s="238"/>
      <c r="M73" s="238"/>
      <c r="N73" s="291"/>
      <c r="O73" s="291"/>
      <c r="P73" s="291"/>
      <c r="Q73" s="291"/>
      <c r="R73" s="291"/>
      <c r="S73" s="291"/>
      <c r="T73" s="291"/>
      <c r="U73" s="291"/>
      <c r="V73" s="291"/>
      <c r="W73" s="291"/>
      <c r="X73" s="291"/>
      <c r="Y73" s="291"/>
      <c r="Z73" s="291"/>
      <c r="AA73" s="291"/>
      <c r="AB73" s="291"/>
      <c r="AC73" s="291"/>
      <c r="AD73" s="291"/>
      <c r="AE73" s="291"/>
      <c r="AF73" s="291"/>
      <c r="AG73" s="291"/>
    </row>
    <row r="74" ht="18.75" customHeight="1">
      <c r="A74" s="283"/>
      <c r="B74" s="234" t="str">
        <f>'Building Bill of Materials_SLIM'!P74</f>
        <v/>
      </c>
      <c r="C74" s="234" t="str">
        <f>'Building Bill of Materials_SLIM'!Q74</f>
        <v/>
      </c>
      <c r="D74" s="234" t="str">
        <f>'Building Bill of Materials_SLIM'!R74</f>
        <v/>
      </c>
      <c r="E74" s="234" t="str">
        <f>'Building Bill of Materials_SLIM'!S74</f>
        <v/>
      </c>
      <c r="F74" s="234"/>
      <c r="G74" s="234"/>
      <c r="H74" s="284" t="str">
        <f>'Building Bill of Materials_SLIM'!T74</f>
        <v/>
      </c>
      <c r="I74" s="234"/>
      <c r="J74" s="234" t="str">
        <f>'Building Bill of Materials_SLIM'!V74</f>
        <v/>
      </c>
      <c r="K74" s="192"/>
      <c r="L74" s="238"/>
      <c r="M74" s="238"/>
      <c r="N74" s="291"/>
      <c r="O74" s="291"/>
      <c r="P74" s="291"/>
      <c r="Q74" s="291"/>
      <c r="R74" s="291"/>
      <c r="S74" s="291"/>
      <c r="T74" s="291"/>
      <c r="U74" s="291"/>
      <c r="V74" s="291"/>
      <c r="W74" s="291"/>
      <c r="X74" s="291"/>
      <c r="Y74" s="291"/>
      <c r="Z74" s="291"/>
      <c r="AA74" s="291"/>
      <c r="AB74" s="291"/>
      <c r="AC74" s="291"/>
      <c r="AD74" s="291"/>
      <c r="AE74" s="291"/>
      <c r="AF74" s="291"/>
      <c r="AG74" s="291"/>
    </row>
    <row r="75" ht="18.75" customHeight="1">
      <c r="A75" s="283"/>
      <c r="B75" s="234" t="str">
        <f>'Building Bill of Materials_SLIM'!P75</f>
        <v/>
      </c>
      <c r="C75" s="234" t="str">
        <f>'Building Bill of Materials_SLIM'!Q75</f>
        <v/>
      </c>
      <c r="D75" s="234" t="str">
        <f>'Building Bill of Materials_SLIM'!R75</f>
        <v/>
      </c>
      <c r="E75" s="234" t="str">
        <f>'Building Bill of Materials_SLIM'!S75</f>
        <v/>
      </c>
      <c r="F75" s="234"/>
      <c r="G75" s="234"/>
      <c r="H75" s="284" t="str">
        <f>'Building Bill of Materials_SLIM'!T75</f>
        <v/>
      </c>
      <c r="I75" s="234"/>
      <c r="J75" s="234" t="str">
        <f>'Building Bill of Materials_SLIM'!V75</f>
        <v/>
      </c>
      <c r="K75" s="192"/>
      <c r="L75" s="238"/>
      <c r="M75" s="238"/>
      <c r="N75" s="291"/>
      <c r="O75" s="291"/>
      <c r="P75" s="291"/>
      <c r="Q75" s="291"/>
      <c r="R75" s="291"/>
      <c r="S75" s="291"/>
      <c r="T75" s="291"/>
      <c r="U75" s="291"/>
      <c r="V75" s="291"/>
      <c r="W75" s="291"/>
      <c r="X75" s="291"/>
      <c r="Y75" s="291"/>
      <c r="Z75" s="291"/>
      <c r="AA75" s="291"/>
      <c r="AB75" s="291"/>
      <c r="AC75" s="291"/>
      <c r="AD75" s="291"/>
      <c r="AE75" s="291"/>
      <c r="AF75" s="291"/>
      <c r="AG75" s="291"/>
    </row>
    <row r="76" ht="18.75" customHeight="1">
      <c r="A76" s="283"/>
      <c r="B76" s="234" t="str">
        <f>'Building Bill of Materials_SLIM'!P76</f>
        <v/>
      </c>
      <c r="C76" s="234" t="str">
        <f>'Building Bill of Materials_SLIM'!Q76</f>
        <v/>
      </c>
      <c r="D76" s="234" t="str">
        <f>'Building Bill of Materials_SLIM'!R76</f>
        <v/>
      </c>
      <c r="E76" s="234" t="str">
        <f>'Building Bill of Materials_SLIM'!S76</f>
        <v/>
      </c>
      <c r="F76" s="234"/>
      <c r="G76" s="234"/>
      <c r="H76" s="284" t="str">
        <f>'Building Bill of Materials_SLIM'!T76</f>
        <v/>
      </c>
      <c r="I76" s="234"/>
      <c r="J76" s="234" t="str">
        <f>'Building Bill of Materials_SLIM'!V76</f>
        <v/>
      </c>
      <c r="K76" s="192"/>
      <c r="L76" s="238"/>
      <c r="M76" s="238"/>
      <c r="N76" s="291"/>
      <c r="O76" s="291"/>
      <c r="P76" s="291"/>
      <c r="Q76" s="291"/>
      <c r="R76" s="291"/>
      <c r="S76" s="291"/>
      <c r="T76" s="291"/>
      <c r="U76" s="291"/>
      <c r="V76" s="291"/>
      <c r="W76" s="291"/>
      <c r="X76" s="291"/>
      <c r="Y76" s="291"/>
      <c r="Z76" s="291"/>
      <c r="AA76" s="291"/>
      <c r="AB76" s="291"/>
      <c r="AC76" s="291"/>
      <c r="AD76" s="291"/>
      <c r="AE76" s="291"/>
      <c r="AF76" s="291"/>
      <c r="AG76" s="291"/>
    </row>
    <row r="77" ht="18.75" customHeight="1">
      <c r="A77" s="283"/>
      <c r="B77" s="234" t="str">
        <f>'Building Bill of Materials_SLIM'!P77</f>
        <v/>
      </c>
      <c r="C77" s="234" t="str">
        <f>'Building Bill of Materials_SLIM'!Q77</f>
        <v/>
      </c>
      <c r="D77" s="234" t="str">
        <f>'Building Bill of Materials_SLIM'!R77</f>
        <v/>
      </c>
      <c r="E77" s="234" t="str">
        <f>'Building Bill of Materials_SLIM'!S77</f>
        <v/>
      </c>
      <c r="F77" s="234"/>
      <c r="G77" s="234"/>
      <c r="H77" s="284" t="str">
        <f>'Building Bill of Materials_SLIM'!T77</f>
        <v/>
      </c>
      <c r="I77" s="234"/>
      <c r="J77" s="234" t="str">
        <f>'Building Bill of Materials_SLIM'!V77</f>
        <v/>
      </c>
      <c r="K77" s="192"/>
      <c r="L77" s="238"/>
      <c r="M77" s="238"/>
      <c r="N77" s="291"/>
      <c r="O77" s="291"/>
      <c r="P77" s="291"/>
      <c r="Q77" s="291"/>
      <c r="R77" s="291"/>
      <c r="S77" s="291"/>
      <c r="T77" s="291"/>
      <c r="U77" s="291"/>
      <c r="V77" s="291"/>
      <c r="W77" s="291"/>
      <c r="X77" s="291"/>
      <c r="Y77" s="291"/>
      <c r="Z77" s="291"/>
      <c r="AA77" s="291"/>
      <c r="AB77" s="291"/>
      <c r="AC77" s="291"/>
      <c r="AD77" s="291"/>
      <c r="AE77" s="291"/>
      <c r="AF77" s="291"/>
      <c r="AG77" s="291"/>
    </row>
    <row r="78" ht="18.75" customHeight="1">
      <c r="A78" s="283"/>
      <c r="B78" s="234" t="str">
        <f>'Building Bill of Materials_SLIM'!P78</f>
        <v/>
      </c>
      <c r="C78" s="234" t="str">
        <f>'Building Bill of Materials_SLIM'!Q78</f>
        <v/>
      </c>
      <c r="D78" s="234" t="str">
        <f>'Building Bill of Materials_SLIM'!R78</f>
        <v/>
      </c>
      <c r="E78" s="234" t="str">
        <f>'Building Bill of Materials_SLIM'!S78</f>
        <v/>
      </c>
      <c r="F78" s="234"/>
      <c r="G78" s="234"/>
      <c r="H78" s="284" t="str">
        <f>'Building Bill of Materials_SLIM'!T78</f>
        <v/>
      </c>
      <c r="I78" s="234"/>
      <c r="J78" s="234" t="str">
        <f>'Building Bill of Materials_SLIM'!V78</f>
        <v/>
      </c>
      <c r="K78" s="192"/>
      <c r="L78" s="238"/>
      <c r="M78" s="238"/>
      <c r="N78" s="291"/>
      <c r="O78" s="291"/>
      <c r="P78" s="291"/>
      <c r="Q78" s="291"/>
      <c r="R78" s="291"/>
      <c r="S78" s="291"/>
      <c r="T78" s="291"/>
      <c r="U78" s="291"/>
      <c r="V78" s="291"/>
      <c r="W78" s="291"/>
      <c r="X78" s="291"/>
      <c r="Y78" s="291"/>
      <c r="Z78" s="291"/>
      <c r="AA78" s="291"/>
      <c r="AB78" s="291"/>
      <c r="AC78" s="291"/>
      <c r="AD78" s="291"/>
      <c r="AE78" s="291"/>
      <c r="AF78" s="291"/>
      <c r="AG78" s="291"/>
    </row>
    <row r="79" ht="18.75" customHeight="1">
      <c r="A79" s="283"/>
      <c r="B79" s="234" t="str">
        <f>'Building Bill of Materials_SLIM'!P79</f>
        <v/>
      </c>
      <c r="C79" s="234" t="str">
        <f>'Building Bill of Materials_SLIM'!Q79</f>
        <v/>
      </c>
      <c r="D79" s="234" t="str">
        <f>'Building Bill of Materials_SLIM'!R79</f>
        <v/>
      </c>
      <c r="E79" s="234" t="str">
        <f>'Building Bill of Materials_SLIM'!S79</f>
        <v/>
      </c>
      <c r="F79" s="234"/>
      <c r="G79" s="234"/>
      <c r="H79" s="284" t="str">
        <f>'Building Bill of Materials_SLIM'!T79</f>
        <v/>
      </c>
      <c r="I79" s="234"/>
      <c r="J79" s="234" t="str">
        <f>'Building Bill of Materials_SLIM'!V79</f>
        <v/>
      </c>
      <c r="K79" s="192"/>
      <c r="L79" s="238"/>
      <c r="M79" s="238"/>
      <c r="N79" s="291"/>
      <c r="O79" s="291"/>
      <c r="P79" s="291"/>
      <c r="Q79" s="291"/>
      <c r="R79" s="291"/>
      <c r="S79" s="291"/>
      <c r="T79" s="291"/>
      <c r="U79" s="291"/>
      <c r="V79" s="291"/>
      <c r="W79" s="291"/>
      <c r="X79" s="291"/>
      <c r="Y79" s="291"/>
      <c r="Z79" s="291"/>
      <c r="AA79" s="291"/>
      <c r="AB79" s="291"/>
      <c r="AC79" s="291"/>
      <c r="AD79" s="291"/>
      <c r="AE79" s="291"/>
      <c r="AF79" s="291"/>
      <c r="AG79" s="291"/>
    </row>
    <row r="80" ht="18.75" customHeight="1">
      <c r="A80" s="283"/>
      <c r="B80" s="234" t="str">
        <f>'Building Bill of Materials_SLIM'!P80</f>
        <v/>
      </c>
      <c r="C80" s="234" t="str">
        <f>'Building Bill of Materials_SLIM'!Q80</f>
        <v/>
      </c>
      <c r="D80" s="234" t="str">
        <f>'Building Bill of Materials_SLIM'!R80</f>
        <v/>
      </c>
      <c r="E80" s="234" t="str">
        <f>'Building Bill of Materials_SLIM'!S80</f>
        <v/>
      </c>
      <c r="F80" s="234"/>
      <c r="G80" s="234"/>
      <c r="H80" s="284" t="str">
        <f>'Building Bill of Materials_SLIM'!T80</f>
        <v/>
      </c>
      <c r="I80" s="234"/>
      <c r="J80" s="234" t="str">
        <f>'Building Bill of Materials_SLIM'!V80</f>
        <v/>
      </c>
      <c r="K80" s="192"/>
      <c r="L80" s="238"/>
      <c r="M80" s="238"/>
      <c r="N80" s="291"/>
      <c r="O80" s="291"/>
      <c r="P80" s="291"/>
      <c r="Q80" s="291"/>
      <c r="R80" s="291"/>
      <c r="S80" s="291"/>
      <c r="T80" s="291"/>
      <c r="U80" s="291"/>
      <c r="V80" s="291"/>
      <c r="W80" s="291"/>
      <c r="X80" s="291"/>
      <c r="Y80" s="291"/>
      <c r="Z80" s="291"/>
      <c r="AA80" s="291"/>
      <c r="AB80" s="291"/>
      <c r="AC80" s="291"/>
      <c r="AD80" s="291"/>
      <c r="AE80" s="291"/>
      <c r="AF80" s="291"/>
      <c r="AG80" s="291"/>
    </row>
    <row r="81" ht="18.75" customHeight="1">
      <c r="A81" s="283"/>
      <c r="B81" s="234" t="str">
        <f>'Building Bill of Materials_SLIM'!P81</f>
        <v/>
      </c>
      <c r="C81" s="234" t="str">
        <f>'Building Bill of Materials_SLIM'!Q81</f>
        <v/>
      </c>
      <c r="D81" s="234" t="str">
        <f>'Building Bill of Materials_SLIM'!R81</f>
        <v/>
      </c>
      <c r="E81" s="234" t="str">
        <f>'Building Bill of Materials_SLIM'!S81</f>
        <v/>
      </c>
      <c r="F81" s="234"/>
      <c r="G81" s="234"/>
      <c r="H81" s="284" t="str">
        <f>'Building Bill of Materials_SLIM'!T81</f>
        <v/>
      </c>
      <c r="I81" s="234"/>
      <c r="J81" s="234" t="str">
        <f>'Building Bill of Materials_SLIM'!V81</f>
        <v/>
      </c>
      <c r="K81" s="192"/>
      <c r="L81" s="238"/>
      <c r="M81" s="238"/>
      <c r="N81" s="291"/>
      <c r="O81" s="291"/>
      <c r="P81" s="291"/>
      <c r="Q81" s="291"/>
      <c r="R81" s="291"/>
      <c r="S81" s="291"/>
      <c r="T81" s="291"/>
      <c r="U81" s="291"/>
      <c r="V81" s="291"/>
      <c r="W81" s="291"/>
      <c r="X81" s="291"/>
      <c r="Y81" s="291"/>
      <c r="Z81" s="291"/>
      <c r="AA81" s="291"/>
      <c r="AB81" s="291"/>
      <c r="AC81" s="291"/>
      <c r="AD81" s="291"/>
      <c r="AE81" s="291"/>
      <c r="AF81" s="291"/>
      <c r="AG81" s="291"/>
    </row>
    <row r="82" ht="18.75" customHeight="1">
      <c r="A82" s="283"/>
      <c r="B82" s="234" t="str">
        <f>'Building Bill of Materials_SLIM'!P82</f>
        <v/>
      </c>
      <c r="C82" s="234" t="str">
        <f>'Building Bill of Materials_SLIM'!Q82</f>
        <v/>
      </c>
      <c r="D82" s="234" t="str">
        <f>'Building Bill of Materials_SLIM'!R82</f>
        <v/>
      </c>
      <c r="E82" s="234" t="str">
        <f>'Building Bill of Materials_SLIM'!S82</f>
        <v/>
      </c>
      <c r="F82" s="234"/>
      <c r="G82" s="234"/>
      <c r="H82" s="284" t="str">
        <f>'Building Bill of Materials_SLIM'!T82</f>
        <v/>
      </c>
      <c r="I82" s="234"/>
      <c r="J82" s="234" t="str">
        <f>'Building Bill of Materials_SLIM'!V82</f>
        <v/>
      </c>
      <c r="K82" s="192"/>
      <c r="L82" s="238"/>
      <c r="M82" s="238"/>
      <c r="N82" s="291"/>
      <c r="O82" s="291"/>
      <c r="P82" s="291"/>
      <c r="Q82" s="291"/>
      <c r="R82" s="291"/>
      <c r="S82" s="291"/>
      <c r="T82" s="291"/>
      <c r="U82" s="291"/>
      <c r="V82" s="291"/>
      <c r="W82" s="291"/>
      <c r="X82" s="291"/>
      <c r="Y82" s="291"/>
      <c r="Z82" s="291"/>
      <c r="AA82" s="291"/>
      <c r="AB82" s="291"/>
      <c r="AC82" s="291"/>
      <c r="AD82" s="291"/>
      <c r="AE82" s="291"/>
      <c r="AF82" s="291"/>
      <c r="AG82" s="291"/>
    </row>
    <row r="83" ht="18.75" customHeight="1">
      <c r="A83" s="283"/>
      <c r="B83" s="234" t="str">
        <f>'Building Bill of Materials_SLIM'!P83</f>
        <v/>
      </c>
      <c r="C83" s="234" t="str">
        <f>'Building Bill of Materials_SLIM'!Q83</f>
        <v/>
      </c>
      <c r="D83" s="234" t="str">
        <f>'Building Bill of Materials_SLIM'!R83</f>
        <v/>
      </c>
      <c r="E83" s="234" t="str">
        <f>'Building Bill of Materials_SLIM'!S83</f>
        <v/>
      </c>
      <c r="F83" s="234"/>
      <c r="G83" s="234"/>
      <c r="H83" s="284" t="str">
        <f>'Building Bill of Materials_SLIM'!T83</f>
        <v/>
      </c>
      <c r="I83" s="234"/>
      <c r="J83" s="234" t="str">
        <f>'Building Bill of Materials_SLIM'!V83</f>
        <v/>
      </c>
      <c r="K83" s="192"/>
      <c r="L83" s="238"/>
      <c r="M83" s="238"/>
      <c r="N83" s="291"/>
      <c r="O83" s="291"/>
      <c r="P83" s="291"/>
      <c r="Q83" s="291"/>
      <c r="R83" s="291"/>
      <c r="S83" s="291"/>
      <c r="T83" s="291"/>
      <c r="U83" s="291"/>
      <c r="V83" s="291"/>
      <c r="W83" s="291"/>
      <c r="X83" s="291"/>
      <c r="Y83" s="291"/>
      <c r="Z83" s="291"/>
      <c r="AA83" s="291"/>
      <c r="AB83" s="291"/>
      <c r="AC83" s="291"/>
      <c r="AD83" s="291"/>
      <c r="AE83" s="291"/>
      <c r="AF83" s="291"/>
      <c r="AG83" s="291"/>
    </row>
    <row r="84" ht="18.75" customHeight="1">
      <c r="A84" s="283"/>
      <c r="B84" s="234" t="str">
        <f>'Building Bill of Materials_SLIM'!P84</f>
        <v/>
      </c>
      <c r="C84" s="234" t="str">
        <f>'Building Bill of Materials_SLIM'!Q84</f>
        <v/>
      </c>
      <c r="D84" s="234" t="str">
        <f>'Building Bill of Materials_SLIM'!R84</f>
        <v/>
      </c>
      <c r="E84" s="234" t="str">
        <f>'Building Bill of Materials_SLIM'!S84</f>
        <v/>
      </c>
      <c r="F84" s="234"/>
      <c r="G84" s="234"/>
      <c r="H84" s="284" t="str">
        <f>'Building Bill of Materials_SLIM'!T84</f>
        <v/>
      </c>
      <c r="I84" s="234"/>
      <c r="J84" s="234" t="str">
        <f>'Building Bill of Materials_SLIM'!V84</f>
        <v/>
      </c>
      <c r="K84" s="192"/>
      <c r="L84" s="238"/>
      <c r="M84" s="238"/>
      <c r="N84" s="291"/>
      <c r="O84" s="291"/>
      <c r="P84" s="291"/>
      <c r="Q84" s="291"/>
      <c r="R84" s="291"/>
      <c r="S84" s="291"/>
      <c r="T84" s="291"/>
      <c r="U84" s="291"/>
      <c r="V84" s="291"/>
      <c r="W84" s="291"/>
      <c r="X84" s="291"/>
      <c r="Y84" s="291"/>
      <c r="Z84" s="291"/>
      <c r="AA84" s="291"/>
      <c r="AB84" s="291"/>
      <c r="AC84" s="291"/>
      <c r="AD84" s="291"/>
      <c r="AE84" s="291"/>
      <c r="AF84" s="291"/>
      <c r="AG84" s="291"/>
    </row>
    <row r="85" ht="18.75" customHeight="1">
      <c r="A85" s="283"/>
      <c r="B85" s="234" t="str">
        <f>'Building Bill of Materials_SLIM'!P85</f>
        <v/>
      </c>
      <c r="C85" s="234" t="str">
        <f>'Building Bill of Materials_SLIM'!Q85</f>
        <v/>
      </c>
      <c r="D85" s="234" t="str">
        <f>'Building Bill of Materials_SLIM'!R85</f>
        <v/>
      </c>
      <c r="E85" s="234" t="str">
        <f>'Building Bill of Materials_SLIM'!S85</f>
        <v/>
      </c>
      <c r="F85" s="234"/>
      <c r="G85" s="234"/>
      <c r="H85" s="284" t="str">
        <f>'Building Bill of Materials_SLIM'!T85</f>
        <v/>
      </c>
      <c r="I85" s="234"/>
      <c r="J85" s="234" t="str">
        <f>'Building Bill of Materials_SLIM'!V85</f>
        <v/>
      </c>
      <c r="K85" s="192"/>
      <c r="L85" s="238"/>
      <c r="M85" s="238"/>
      <c r="N85" s="291"/>
      <c r="O85" s="291"/>
      <c r="P85" s="291"/>
      <c r="Q85" s="291"/>
      <c r="R85" s="291"/>
      <c r="S85" s="291"/>
      <c r="T85" s="291"/>
      <c r="U85" s="291"/>
      <c r="V85" s="291"/>
      <c r="W85" s="291"/>
      <c r="X85" s="291"/>
      <c r="Y85" s="291"/>
      <c r="Z85" s="291"/>
      <c r="AA85" s="291"/>
      <c r="AB85" s="291"/>
      <c r="AC85" s="291"/>
      <c r="AD85" s="291"/>
      <c r="AE85" s="291"/>
      <c r="AF85" s="291"/>
      <c r="AG85" s="291"/>
    </row>
    <row r="86" ht="18.75" customHeight="1">
      <c r="A86" s="283"/>
      <c r="B86" s="234" t="str">
        <f>'Building Bill of Materials_SLIM'!P86</f>
        <v/>
      </c>
      <c r="C86" s="234" t="str">
        <f>'Building Bill of Materials_SLIM'!Q86</f>
        <v/>
      </c>
      <c r="D86" s="234" t="str">
        <f>'Building Bill of Materials_SLIM'!R86</f>
        <v/>
      </c>
      <c r="E86" s="234" t="str">
        <f>'Building Bill of Materials_SLIM'!S86</f>
        <v/>
      </c>
      <c r="F86" s="234"/>
      <c r="G86" s="234"/>
      <c r="H86" s="284" t="str">
        <f>'Building Bill of Materials_SLIM'!T86</f>
        <v/>
      </c>
      <c r="I86" s="234"/>
      <c r="J86" s="234" t="str">
        <f>'Building Bill of Materials_SLIM'!V86</f>
        <v/>
      </c>
      <c r="K86" s="192"/>
      <c r="L86" s="238"/>
      <c r="M86" s="238"/>
      <c r="N86" s="291"/>
      <c r="O86" s="291"/>
      <c r="P86" s="291"/>
      <c r="Q86" s="291"/>
      <c r="R86" s="291"/>
      <c r="S86" s="291"/>
      <c r="T86" s="291"/>
      <c r="U86" s="291"/>
      <c r="V86" s="291"/>
      <c r="W86" s="291"/>
      <c r="X86" s="291"/>
      <c r="Y86" s="291"/>
      <c r="Z86" s="291"/>
      <c r="AA86" s="291"/>
      <c r="AB86" s="291"/>
      <c r="AC86" s="291"/>
      <c r="AD86" s="291"/>
      <c r="AE86" s="291"/>
      <c r="AF86" s="291"/>
      <c r="AG86" s="291"/>
    </row>
    <row r="87" ht="18.75" customHeight="1">
      <c r="A87" s="283"/>
      <c r="B87" s="234" t="str">
        <f>'Building Bill of Materials_SLIM'!P87</f>
        <v/>
      </c>
      <c r="C87" s="234" t="str">
        <f>'Building Bill of Materials_SLIM'!Q87</f>
        <v/>
      </c>
      <c r="D87" s="234" t="str">
        <f>'Building Bill of Materials_SLIM'!R87</f>
        <v/>
      </c>
      <c r="E87" s="234" t="str">
        <f>'Building Bill of Materials_SLIM'!S87</f>
        <v/>
      </c>
      <c r="F87" s="234"/>
      <c r="G87" s="234"/>
      <c r="H87" s="284" t="str">
        <f>'Building Bill of Materials_SLIM'!T87</f>
        <v/>
      </c>
      <c r="I87" s="234"/>
      <c r="J87" s="234" t="str">
        <f>'Building Bill of Materials_SLIM'!V87</f>
        <v/>
      </c>
      <c r="K87" s="192"/>
      <c r="L87" s="238"/>
      <c r="M87" s="238"/>
      <c r="N87" s="291"/>
      <c r="O87" s="291"/>
      <c r="P87" s="291"/>
      <c r="Q87" s="291"/>
      <c r="R87" s="291"/>
      <c r="S87" s="291"/>
      <c r="T87" s="291"/>
      <c r="U87" s="291"/>
      <c r="V87" s="291"/>
      <c r="W87" s="291"/>
      <c r="X87" s="291"/>
      <c r="Y87" s="291"/>
      <c r="Z87" s="291"/>
      <c r="AA87" s="291"/>
      <c r="AB87" s="291"/>
      <c r="AC87" s="291"/>
      <c r="AD87" s="291"/>
      <c r="AE87" s="291"/>
      <c r="AF87" s="291"/>
      <c r="AG87" s="291"/>
    </row>
    <row r="88" ht="18.75" customHeight="1">
      <c r="A88" s="283"/>
      <c r="B88" s="234" t="str">
        <f>'Building Bill of Materials_SLIM'!P88</f>
        <v/>
      </c>
      <c r="C88" s="234" t="str">
        <f>'Building Bill of Materials_SLIM'!Q88</f>
        <v/>
      </c>
      <c r="D88" s="234" t="str">
        <f>'Building Bill of Materials_SLIM'!R88</f>
        <v/>
      </c>
      <c r="E88" s="234" t="str">
        <f>'Building Bill of Materials_SLIM'!S88</f>
        <v/>
      </c>
      <c r="F88" s="234"/>
      <c r="G88" s="234"/>
      <c r="H88" s="284" t="str">
        <f>'Building Bill of Materials_SLIM'!T88</f>
        <v/>
      </c>
      <c r="I88" s="234"/>
      <c r="J88" s="234" t="str">
        <f>'Building Bill of Materials_SLIM'!V88</f>
        <v/>
      </c>
      <c r="K88" s="192"/>
      <c r="L88" s="238"/>
      <c r="M88" s="238"/>
      <c r="N88" s="291"/>
      <c r="O88" s="291"/>
      <c r="P88" s="291"/>
      <c r="Q88" s="291"/>
      <c r="R88" s="291"/>
      <c r="S88" s="291"/>
      <c r="T88" s="291"/>
      <c r="U88" s="291"/>
      <c r="V88" s="291"/>
      <c r="W88" s="291"/>
      <c r="X88" s="291"/>
      <c r="Y88" s="291"/>
      <c r="Z88" s="291"/>
      <c r="AA88" s="291"/>
      <c r="AB88" s="291"/>
      <c r="AC88" s="291"/>
      <c r="AD88" s="291"/>
      <c r="AE88" s="291"/>
      <c r="AF88" s="291"/>
      <c r="AG88" s="291"/>
    </row>
    <row r="89" ht="18.75" customHeight="1">
      <c r="A89" s="283"/>
      <c r="B89" s="234" t="str">
        <f>'Building Bill of Materials_SLIM'!P89</f>
        <v/>
      </c>
      <c r="C89" s="234" t="str">
        <f>'Building Bill of Materials_SLIM'!Q89</f>
        <v/>
      </c>
      <c r="D89" s="234" t="str">
        <f>'Building Bill of Materials_SLIM'!R89</f>
        <v/>
      </c>
      <c r="E89" s="234" t="str">
        <f>'Building Bill of Materials_SLIM'!S89</f>
        <v/>
      </c>
      <c r="F89" s="234"/>
      <c r="G89" s="234"/>
      <c r="H89" s="284" t="str">
        <f>'Building Bill of Materials_SLIM'!T89</f>
        <v/>
      </c>
      <c r="I89" s="234"/>
      <c r="J89" s="234" t="str">
        <f>'Building Bill of Materials_SLIM'!V89</f>
        <v/>
      </c>
      <c r="K89" s="192"/>
      <c r="L89" s="238"/>
      <c r="M89" s="238"/>
      <c r="N89" s="291"/>
      <c r="O89" s="291"/>
      <c r="P89" s="291"/>
      <c r="Q89" s="291"/>
      <c r="R89" s="291"/>
      <c r="S89" s="291"/>
      <c r="T89" s="291"/>
      <c r="U89" s="291"/>
      <c r="V89" s="291"/>
      <c r="W89" s="291"/>
      <c r="X89" s="291"/>
      <c r="Y89" s="291"/>
      <c r="Z89" s="291"/>
      <c r="AA89" s="291"/>
      <c r="AB89" s="291"/>
      <c r="AC89" s="291"/>
      <c r="AD89" s="291"/>
      <c r="AE89" s="291"/>
      <c r="AF89" s="291"/>
      <c r="AG89" s="291"/>
    </row>
    <row r="90" ht="18.75" customHeight="1">
      <c r="A90" s="283"/>
      <c r="B90" s="234" t="str">
        <f>'Building Bill of Materials_SLIM'!P90</f>
        <v/>
      </c>
      <c r="C90" s="234" t="str">
        <f>'Building Bill of Materials_SLIM'!Q90</f>
        <v/>
      </c>
      <c r="D90" s="234" t="str">
        <f>'Building Bill of Materials_SLIM'!R90</f>
        <v/>
      </c>
      <c r="E90" s="234" t="str">
        <f>'Building Bill of Materials_SLIM'!S90</f>
        <v/>
      </c>
      <c r="F90" s="234"/>
      <c r="G90" s="234"/>
      <c r="H90" s="284" t="str">
        <f>'Building Bill of Materials_SLIM'!T90</f>
        <v/>
      </c>
      <c r="I90" s="234"/>
      <c r="J90" s="234" t="str">
        <f>'Building Bill of Materials_SLIM'!V90</f>
        <v/>
      </c>
      <c r="K90" s="192"/>
      <c r="L90" s="238"/>
      <c r="M90" s="238"/>
      <c r="N90" s="291"/>
      <c r="O90" s="291"/>
      <c r="P90" s="291"/>
      <c r="Q90" s="291"/>
      <c r="R90" s="291"/>
      <c r="S90" s="291"/>
      <c r="T90" s="291"/>
      <c r="U90" s="291"/>
      <c r="V90" s="291"/>
      <c r="W90" s="291"/>
      <c r="X90" s="291"/>
      <c r="Y90" s="291"/>
      <c r="Z90" s="291"/>
      <c r="AA90" s="291"/>
      <c r="AB90" s="291"/>
      <c r="AC90" s="291"/>
      <c r="AD90" s="291"/>
      <c r="AE90" s="291"/>
      <c r="AF90" s="291"/>
      <c r="AG90" s="291"/>
    </row>
    <row r="91" ht="18.75" customHeight="1">
      <c r="A91" s="283"/>
      <c r="B91" s="234" t="str">
        <f>'Building Bill of Materials_SLIM'!P91</f>
        <v/>
      </c>
      <c r="C91" s="234" t="str">
        <f>'Building Bill of Materials_SLIM'!Q91</f>
        <v/>
      </c>
      <c r="D91" s="234" t="str">
        <f>'Building Bill of Materials_SLIM'!R91</f>
        <v/>
      </c>
      <c r="E91" s="234" t="str">
        <f>'Building Bill of Materials_SLIM'!S91</f>
        <v/>
      </c>
      <c r="F91" s="234"/>
      <c r="G91" s="234"/>
      <c r="H91" s="284" t="str">
        <f>'Building Bill of Materials_SLIM'!T91</f>
        <v/>
      </c>
      <c r="I91" s="284" t="str">
        <f>'Building Bill of Materials_SLIM'!U91</f>
        <v/>
      </c>
      <c r="J91" s="234" t="str">
        <f>'Building Bill of Materials_SLIM'!V91</f>
        <v/>
      </c>
      <c r="K91" s="192"/>
      <c r="L91" s="238"/>
      <c r="M91" s="238"/>
      <c r="N91" s="291"/>
      <c r="O91" s="291"/>
      <c r="P91" s="291"/>
      <c r="Q91" s="291"/>
      <c r="R91" s="291"/>
      <c r="S91" s="291"/>
      <c r="T91" s="291"/>
      <c r="U91" s="291"/>
      <c r="V91" s="291"/>
      <c r="W91" s="291"/>
      <c r="X91" s="291"/>
      <c r="Y91" s="291"/>
      <c r="Z91" s="291"/>
      <c r="AA91" s="291"/>
      <c r="AB91" s="291"/>
      <c r="AC91" s="291"/>
      <c r="AD91" s="291"/>
      <c r="AE91" s="291"/>
      <c r="AF91" s="291"/>
      <c r="AG91" s="291"/>
    </row>
    <row r="92" ht="18.75" customHeight="1">
      <c r="A92" s="283"/>
      <c r="B92" s="234" t="str">
        <f>'Building Bill of Materials_SLIM'!P92</f>
        <v/>
      </c>
      <c r="C92" s="234" t="str">
        <f>'Building Bill of Materials_SLIM'!Q92</f>
        <v/>
      </c>
      <c r="D92" s="234" t="str">
        <f>'Building Bill of Materials_SLIM'!R92</f>
        <v/>
      </c>
      <c r="E92" s="234" t="str">
        <f>'Building Bill of Materials_SLIM'!S92</f>
        <v/>
      </c>
      <c r="F92" s="234"/>
      <c r="G92" s="234"/>
      <c r="H92" s="284" t="str">
        <f>'Building Bill of Materials_SLIM'!T92</f>
        <v/>
      </c>
      <c r="I92" s="284" t="str">
        <f>'Building Bill of Materials_SLIM'!U92</f>
        <v/>
      </c>
      <c r="J92" s="234" t="str">
        <f>'Building Bill of Materials_SLIM'!V92</f>
        <v/>
      </c>
      <c r="K92" s="192"/>
      <c r="L92" s="238"/>
      <c r="M92" s="238"/>
      <c r="N92" s="291"/>
      <c r="O92" s="291"/>
      <c r="P92" s="291"/>
      <c r="Q92" s="291"/>
      <c r="R92" s="291"/>
      <c r="S92" s="291"/>
      <c r="T92" s="291"/>
      <c r="U92" s="291"/>
      <c r="V92" s="291"/>
      <c r="W92" s="291"/>
      <c r="X92" s="291"/>
      <c r="Y92" s="291"/>
      <c r="Z92" s="291"/>
      <c r="AA92" s="291"/>
      <c r="AB92" s="291"/>
      <c r="AC92" s="291"/>
      <c r="AD92" s="291"/>
      <c r="AE92" s="291"/>
      <c r="AF92" s="291"/>
      <c r="AG92" s="291"/>
    </row>
    <row r="93" ht="18.75" customHeight="1">
      <c r="A93" s="283"/>
      <c r="B93" s="234" t="str">
        <f>'Building Bill of Materials_SLIM'!P93</f>
        <v/>
      </c>
      <c r="C93" s="234" t="str">
        <f>'Building Bill of Materials_SLIM'!Q93</f>
        <v/>
      </c>
      <c r="D93" s="234" t="str">
        <f>'Building Bill of Materials_SLIM'!R93</f>
        <v/>
      </c>
      <c r="E93" s="234" t="str">
        <f>'Building Bill of Materials_SLIM'!S93</f>
        <v/>
      </c>
      <c r="F93" s="234"/>
      <c r="G93" s="234"/>
      <c r="H93" s="284" t="str">
        <f>'Building Bill of Materials_SLIM'!T93</f>
        <v/>
      </c>
      <c r="I93" s="284" t="str">
        <f>'Building Bill of Materials_SLIM'!U93</f>
        <v/>
      </c>
      <c r="J93" s="234" t="str">
        <f>'Building Bill of Materials_SLIM'!V93</f>
        <v/>
      </c>
      <c r="K93" s="192"/>
      <c r="L93" s="238"/>
      <c r="M93" s="238"/>
      <c r="N93" s="291"/>
      <c r="O93" s="291"/>
      <c r="P93" s="291"/>
      <c r="Q93" s="291"/>
      <c r="R93" s="291"/>
      <c r="S93" s="291"/>
      <c r="T93" s="291"/>
      <c r="U93" s="291"/>
      <c r="V93" s="291"/>
      <c r="W93" s="291"/>
      <c r="X93" s="291"/>
      <c r="Y93" s="291"/>
      <c r="Z93" s="291"/>
      <c r="AA93" s="291"/>
      <c r="AB93" s="291"/>
      <c r="AC93" s="291"/>
      <c r="AD93" s="291"/>
      <c r="AE93" s="291"/>
      <c r="AF93" s="291"/>
      <c r="AG93" s="291"/>
    </row>
    <row r="94" ht="18.75" customHeight="1">
      <c r="A94" s="283"/>
      <c r="B94" s="234" t="str">
        <f>'Building Bill of Materials_SLIM'!P94</f>
        <v/>
      </c>
      <c r="C94" s="234" t="str">
        <f>'Building Bill of Materials_SLIM'!Q94</f>
        <v/>
      </c>
      <c r="D94" s="234" t="str">
        <f>'Building Bill of Materials_SLIM'!R94</f>
        <v/>
      </c>
      <c r="E94" s="234" t="str">
        <f>'Building Bill of Materials_SLIM'!S94</f>
        <v/>
      </c>
      <c r="F94" s="234"/>
      <c r="G94" s="234"/>
      <c r="H94" s="284" t="str">
        <f>'Building Bill of Materials_SLIM'!T94</f>
        <v/>
      </c>
      <c r="I94" s="284" t="str">
        <f>'Building Bill of Materials_SLIM'!U94</f>
        <v/>
      </c>
      <c r="J94" s="234" t="str">
        <f>'Building Bill of Materials_SLIM'!V94</f>
        <v/>
      </c>
      <c r="K94" s="192"/>
      <c r="L94" s="238"/>
      <c r="M94" s="238"/>
      <c r="N94" s="291"/>
      <c r="O94" s="291"/>
      <c r="P94" s="291"/>
      <c r="Q94" s="291"/>
      <c r="R94" s="291"/>
      <c r="S94" s="291"/>
      <c r="T94" s="291"/>
      <c r="U94" s="291"/>
      <c r="V94" s="291"/>
      <c r="W94" s="291"/>
      <c r="X94" s="291"/>
      <c r="Y94" s="291"/>
      <c r="Z94" s="291"/>
      <c r="AA94" s="291"/>
      <c r="AB94" s="291"/>
      <c r="AC94" s="291"/>
      <c r="AD94" s="291"/>
      <c r="AE94" s="291"/>
      <c r="AF94" s="291"/>
      <c r="AG94" s="291"/>
    </row>
    <row r="95" ht="18.75" customHeight="1">
      <c r="A95" s="283"/>
      <c r="B95" s="234" t="str">
        <f>'Building Bill of Materials_SLIM'!P95</f>
        <v/>
      </c>
      <c r="C95" s="234" t="str">
        <f>'Building Bill of Materials_SLIM'!Q95</f>
        <v/>
      </c>
      <c r="D95" s="234" t="str">
        <f>'Building Bill of Materials_SLIM'!R95</f>
        <v/>
      </c>
      <c r="E95" s="234" t="str">
        <f>'Building Bill of Materials_SLIM'!S95</f>
        <v/>
      </c>
      <c r="F95" s="234"/>
      <c r="G95" s="234"/>
      <c r="H95" s="284" t="str">
        <f>'Building Bill of Materials_SLIM'!T95</f>
        <v/>
      </c>
      <c r="I95" s="284" t="str">
        <f>'Building Bill of Materials_SLIM'!U95</f>
        <v/>
      </c>
      <c r="J95" s="234" t="str">
        <f>'Building Bill of Materials_SLIM'!V95</f>
        <v/>
      </c>
      <c r="K95" s="192"/>
      <c r="L95" s="238"/>
      <c r="M95" s="238"/>
      <c r="N95" s="291"/>
      <c r="O95" s="291"/>
      <c r="P95" s="291"/>
      <c r="Q95" s="291"/>
      <c r="R95" s="291"/>
      <c r="S95" s="291"/>
      <c r="T95" s="291"/>
      <c r="U95" s="291"/>
      <c r="V95" s="291"/>
      <c r="W95" s="291"/>
      <c r="X95" s="291"/>
      <c r="Y95" s="291"/>
      <c r="Z95" s="291"/>
      <c r="AA95" s="291"/>
      <c r="AB95" s="291"/>
      <c r="AC95" s="291"/>
      <c r="AD95" s="291"/>
      <c r="AE95" s="291"/>
      <c r="AF95" s="291"/>
      <c r="AG95" s="291"/>
    </row>
    <row r="96" ht="18.75" customHeight="1">
      <c r="A96" s="283"/>
      <c r="B96" s="234" t="str">
        <f>'Building Bill of Materials_SLIM'!P96</f>
        <v/>
      </c>
      <c r="C96" s="234" t="str">
        <f>'Building Bill of Materials_SLIM'!Q96</f>
        <v/>
      </c>
      <c r="D96" s="234" t="str">
        <f>'Building Bill of Materials_SLIM'!R96</f>
        <v/>
      </c>
      <c r="E96" s="234" t="str">
        <f>'Building Bill of Materials_SLIM'!S96</f>
        <v/>
      </c>
      <c r="F96" s="234"/>
      <c r="G96" s="234"/>
      <c r="H96" s="234" t="str">
        <f>'Building Bill of Materials_SLIM'!T96</f>
        <v/>
      </c>
      <c r="I96" s="234" t="str">
        <f>'Building Bill of Materials_SLIM'!U96</f>
        <v/>
      </c>
      <c r="J96" s="234" t="str">
        <f>'Building Bill of Materials_SLIM'!V96</f>
        <v/>
      </c>
      <c r="K96" s="192"/>
      <c r="L96" s="238"/>
      <c r="M96" s="238"/>
      <c r="N96" s="291"/>
      <c r="O96" s="291"/>
      <c r="P96" s="291"/>
      <c r="Q96" s="291"/>
      <c r="R96" s="291"/>
      <c r="S96" s="291"/>
      <c r="T96" s="291"/>
      <c r="U96" s="291"/>
      <c r="V96" s="291"/>
      <c r="W96" s="291"/>
      <c r="X96" s="291"/>
      <c r="Y96" s="291"/>
      <c r="Z96" s="291"/>
      <c r="AA96" s="291"/>
      <c r="AB96" s="291"/>
      <c r="AC96" s="291"/>
      <c r="AD96" s="291"/>
      <c r="AE96" s="291"/>
      <c r="AF96" s="291"/>
      <c r="AG96" s="291"/>
    </row>
    <row r="97" ht="18.75" customHeight="1">
      <c r="A97" s="283"/>
      <c r="B97" s="234" t="str">
        <f>'Building Bill of Materials_SLIM'!P97</f>
        <v/>
      </c>
      <c r="C97" s="234" t="str">
        <f>'Building Bill of Materials_SLIM'!Q97</f>
        <v/>
      </c>
      <c r="D97" s="234" t="str">
        <f>'Building Bill of Materials_SLIM'!R97</f>
        <v/>
      </c>
      <c r="E97" s="234" t="str">
        <f>'Building Bill of Materials_SLIM'!S97</f>
        <v/>
      </c>
      <c r="F97" s="234"/>
      <c r="G97" s="234"/>
      <c r="H97" s="234" t="str">
        <f>'Building Bill of Materials_SLIM'!T97</f>
        <v/>
      </c>
      <c r="I97" s="234" t="str">
        <f>'Building Bill of Materials_SLIM'!U97</f>
        <v/>
      </c>
      <c r="J97" s="234" t="str">
        <f>'Building Bill of Materials_SLIM'!V97</f>
        <v/>
      </c>
      <c r="K97" s="192"/>
      <c r="L97" s="238"/>
      <c r="M97" s="238"/>
      <c r="N97" s="291"/>
      <c r="O97" s="291"/>
      <c r="P97" s="291"/>
      <c r="Q97" s="291"/>
      <c r="R97" s="291"/>
      <c r="S97" s="291"/>
      <c r="T97" s="291"/>
      <c r="U97" s="291"/>
      <c r="V97" s="291"/>
      <c r="W97" s="291"/>
      <c r="X97" s="291"/>
      <c r="Y97" s="291"/>
      <c r="Z97" s="291"/>
      <c r="AA97" s="291"/>
      <c r="AB97" s="291"/>
      <c r="AC97" s="291"/>
      <c r="AD97" s="291"/>
      <c r="AE97" s="291"/>
      <c r="AF97" s="291"/>
      <c r="AG97" s="291"/>
    </row>
    <row r="98" ht="18.75" customHeight="1">
      <c r="A98" s="283"/>
      <c r="B98" s="234" t="str">
        <f>'Building Bill of Materials_SLIM'!P98</f>
        <v/>
      </c>
      <c r="C98" s="234" t="str">
        <f>'Building Bill of Materials_SLIM'!Q98</f>
        <v/>
      </c>
      <c r="D98" s="234" t="str">
        <f>'Building Bill of Materials_SLIM'!R98</f>
        <v/>
      </c>
      <c r="E98" s="234" t="str">
        <f>'Building Bill of Materials_SLIM'!S98</f>
        <v/>
      </c>
      <c r="F98" s="234"/>
      <c r="G98" s="234"/>
      <c r="H98" s="234" t="str">
        <f>'Building Bill of Materials_SLIM'!T98</f>
        <v/>
      </c>
      <c r="I98" s="234" t="str">
        <f>'Building Bill of Materials_SLIM'!U98</f>
        <v/>
      </c>
      <c r="J98" s="234" t="str">
        <f>'Building Bill of Materials_SLIM'!V98</f>
        <v/>
      </c>
      <c r="K98" s="192"/>
      <c r="L98" s="238"/>
      <c r="M98" s="238"/>
      <c r="N98" s="291"/>
      <c r="O98" s="291"/>
      <c r="P98" s="291"/>
      <c r="Q98" s="291"/>
      <c r="R98" s="291"/>
      <c r="S98" s="291"/>
      <c r="T98" s="291"/>
      <c r="U98" s="291"/>
      <c r="V98" s="291"/>
      <c r="W98" s="291"/>
      <c r="X98" s="291"/>
      <c r="Y98" s="291"/>
      <c r="Z98" s="291"/>
      <c r="AA98" s="291"/>
      <c r="AB98" s="291"/>
      <c r="AC98" s="291"/>
      <c r="AD98" s="291"/>
      <c r="AE98" s="291"/>
      <c r="AF98" s="291"/>
      <c r="AG98" s="291"/>
    </row>
    <row r="99" ht="18.75" customHeight="1">
      <c r="A99" s="283"/>
      <c r="B99" s="234" t="str">
        <f>'Building Bill of Materials_SLIM'!P99</f>
        <v/>
      </c>
      <c r="C99" s="234" t="str">
        <f>'Building Bill of Materials_SLIM'!Q99</f>
        <v/>
      </c>
      <c r="D99" s="234" t="str">
        <f>'Building Bill of Materials_SLIM'!R99</f>
        <v/>
      </c>
      <c r="E99" s="234" t="str">
        <f>'Building Bill of Materials_SLIM'!S99</f>
        <v/>
      </c>
      <c r="F99" s="234"/>
      <c r="G99" s="234"/>
      <c r="H99" s="234" t="str">
        <f>'Building Bill of Materials_SLIM'!T99</f>
        <v/>
      </c>
      <c r="I99" s="234" t="str">
        <f>'Building Bill of Materials_SLIM'!U99</f>
        <v/>
      </c>
      <c r="J99" s="234" t="str">
        <f>'Building Bill of Materials_SLIM'!V99</f>
        <v/>
      </c>
      <c r="K99" s="192"/>
      <c r="L99" s="238"/>
      <c r="M99" s="238"/>
      <c r="N99" s="291"/>
      <c r="O99" s="291"/>
      <c r="P99" s="291"/>
      <c r="Q99" s="291"/>
      <c r="R99" s="291"/>
      <c r="S99" s="291"/>
      <c r="T99" s="291"/>
      <c r="U99" s="291"/>
      <c r="V99" s="291"/>
      <c r="W99" s="291"/>
      <c r="X99" s="291"/>
      <c r="Y99" s="291"/>
      <c r="Z99" s="291"/>
      <c r="AA99" s="291"/>
      <c r="AB99" s="291"/>
      <c r="AC99" s="291"/>
      <c r="AD99" s="291"/>
      <c r="AE99" s="291"/>
      <c r="AF99" s="291"/>
      <c r="AG99" s="291"/>
    </row>
    <row r="100" ht="18.75" customHeight="1">
      <c r="A100" s="283"/>
      <c r="B100" s="234" t="str">
        <f>'Building Bill of Materials_SLIM'!P100</f>
        <v/>
      </c>
      <c r="C100" s="234" t="str">
        <f>'Building Bill of Materials_SLIM'!Q100</f>
        <v/>
      </c>
      <c r="D100" s="234" t="str">
        <f>'Building Bill of Materials_SLIM'!R100</f>
        <v/>
      </c>
      <c r="E100" s="234" t="str">
        <f>'Building Bill of Materials_SLIM'!S100</f>
        <v/>
      </c>
      <c r="F100" s="234"/>
      <c r="G100" s="234"/>
      <c r="H100" s="234" t="str">
        <f>'Building Bill of Materials_SLIM'!T100</f>
        <v/>
      </c>
      <c r="I100" s="234" t="str">
        <f>'Building Bill of Materials_SLIM'!U100</f>
        <v/>
      </c>
      <c r="J100" s="234" t="str">
        <f>'Building Bill of Materials_SLIM'!V100</f>
        <v/>
      </c>
      <c r="K100" s="192"/>
      <c r="L100" s="238"/>
      <c r="M100" s="238"/>
      <c r="N100" s="291"/>
      <c r="O100" s="291"/>
      <c r="P100" s="291"/>
      <c r="Q100" s="291"/>
      <c r="R100" s="291"/>
      <c r="S100" s="291"/>
      <c r="T100" s="291"/>
      <c r="U100" s="291"/>
      <c r="V100" s="291"/>
      <c r="W100" s="291"/>
      <c r="X100" s="291"/>
      <c r="Y100" s="291"/>
      <c r="Z100" s="291"/>
      <c r="AA100" s="291"/>
      <c r="AB100" s="291"/>
      <c r="AC100" s="291"/>
      <c r="AD100" s="291"/>
      <c r="AE100" s="291"/>
      <c r="AF100" s="291"/>
      <c r="AG100" s="291"/>
    </row>
    <row r="101" ht="18.75" customHeight="1">
      <c r="A101" s="283"/>
      <c r="B101" s="234" t="str">
        <f>'Building Bill of Materials_SLIM'!P101</f>
        <v/>
      </c>
      <c r="C101" s="234" t="str">
        <f>'Building Bill of Materials_SLIM'!Q101</f>
        <v/>
      </c>
      <c r="D101" s="234" t="str">
        <f>'Building Bill of Materials_SLIM'!R101</f>
        <v/>
      </c>
      <c r="E101" s="234" t="str">
        <f>'Building Bill of Materials_SLIM'!S101</f>
        <v/>
      </c>
      <c r="F101" s="234"/>
      <c r="G101" s="234"/>
      <c r="H101" s="234" t="str">
        <f>'Building Bill of Materials_SLIM'!T101</f>
        <v/>
      </c>
      <c r="I101" s="234" t="str">
        <f>'Building Bill of Materials_SLIM'!U101</f>
        <v/>
      </c>
      <c r="J101" s="234" t="str">
        <f>'Building Bill of Materials_SLIM'!V101</f>
        <v/>
      </c>
      <c r="K101" s="192"/>
      <c r="L101" s="238"/>
      <c r="M101" s="238"/>
      <c r="N101" s="291"/>
      <c r="O101" s="291"/>
      <c r="P101" s="291"/>
      <c r="Q101" s="291"/>
      <c r="R101" s="291"/>
      <c r="S101" s="291"/>
      <c r="T101" s="291"/>
      <c r="U101" s="291"/>
      <c r="V101" s="291"/>
      <c r="W101" s="291"/>
      <c r="X101" s="291"/>
      <c r="Y101" s="291"/>
      <c r="Z101" s="291"/>
      <c r="AA101" s="291"/>
      <c r="AB101" s="291"/>
      <c r="AC101" s="291"/>
      <c r="AD101" s="291"/>
      <c r="AE101" s="291"/>
      <c r="AF101" s="291"/>
      <c r="AG101" s="291"/>
    </row>
    <row r="102" ht="18.75" customHeight="1">
      <c r="A102" s="283"/>
      <c r="B102" s="234" t="str">
        <f>'Building Bill of Materials_SLIM'!P102</f>
        <v/>
      </c>
      <c r="C102" s="234" t="str">
        <f>'Building Bill of Materials_SLIM'!Q102</f>
        <v/>
      </c>
      <c r="D102" s="234" t="str">
        <f>'Building Bill of Materials_SLIM'!R102</f>
        <v/>
      </c>
      <c r="E102" s="234" t="str">
        <f>'Building Bill of Materials_SLIM'!S102</f>
        <v/>
      </c>
      <c r="F102" s="234"/>
      <c r="G102" s="234"/>
      <c r="H102" s="234" t="str">
        <f>'Building Bill of Materials_SLIM'!T102</f>
        <v/>
      </c>
      <c r="I102" s="234" t="str">
        <f>'Building Bill of Materials_SLIM'!U102</f>
        <v/>
      </c>
      <c r="J102" s="234" t="str">
        <f>'Building Bill of Materials_SLIM'!V102</f>
        <v/>
      </c>
      <c r="K102" s="192"/>
      <c r="L102" s="238"/>
      <c r="M102" s="238"/>
      <c r="N102" s="291"/>
      <c r="O102" s="291"/>
      <c r="P102" s="291"/>
      <c r="Q102" s="291"/>
      <c r="R102" s="291"/>
      <c r="S102" s="291"/>
      <c r="T102" s="291"/>
      <c r="U102" s="291"/>
      <c r="V102" s="291"/>
      <c r="W102" s="291"/>
      <c r="X102" s="291"/>
      <c r="Y102" s="291"/>
      <c r="Z102" s="291"/>
      <c r="AA102" s="291"/>
      <c r="AB102" s="291"/>
      <c r="AC102" s="291"/>
      <c r="AD102" s="291"/>
      <c r="AE102" s="291"/>
      <c r="AF102" s="291"/>
      <c r="AG102" s="291"/>
    </row>
    <row r="103" ht="18.75" customHeight="1">
      <c r="A103" s="283"/>
      <c r="B103" s="234" t="str">
        <f>'Building Bill of Materials_SLIM'!P103</f>
        <v/>
      </c>
      <c r="C103" s="234" t="str">
        <f>'Building Bill of Materials_SLIM'!Q103</f>
        <v/>
      </c>
      <c r="D103" s="234" t="str">
        <f>'Building Bill of Materials_SLIM'!R103</f>
        <v/>
      </c>
      <c r="E103" s="234" t="str">
        <f>'Building Bill of Materials_SLIM'!S103</f>
        <v/>
      </c>
      <c r="F103" s="234"/>
      <c r="G103" s="234"/>
      <c r="H103" s="234" t="str">
        <f>'Building Bill of Materials_SLIM'!T103</f>
        <v/>
      </c>
      <c r="I103" s="234" t="str">
        <f>'Building Bill of Materials_SLIM'!U103</f>
        <v/>
      </c>
      <c r="J103" s="234" t="str">
        <f>'Building Bill of Materials_SLIM'!V103</f>
        <v/>
      </c>
      <c r="K103" s="192"/>
      <c r="L103" s="238"/>
      <c r="M103" s="238"/>
      <c r="N103" s="291"/>
      <c r="O103" s="291"/>
      <c r="P103" s="291"/>
      <c r="Q103" s="291"/>
      <c r="R103" s="291"/>
      <c r="S103" s="291"/>
      <c r="T103" s="291"/>
      <c r="U103" s="291"/>
      <c r="V103" s="291"/>
      <c r="W103" s="291"/>
      <c r="X103" s="291"/>
      <c r="Y103" s="291"/>
      <c r="Z103" s="291"/>
      <c r="AA103" s="291"/>
      <c r="AB103" s="291"/>
      <c r="AC103" s="291"/>
      <c r="AD103" s="291"/>
      <c r="AE103" s="291"/>
      <c r="AF103" s="291"/>
      <c r="AG103" s="291"/>
    </row>
    <row r="104" ht="18.75" customHeight="1">
      <c r="A104" s="283"/>
      <c r="B104" s="234" t="str">
        <f>'Building Bill of Materials_SLIM'!P104</f>
        <v/>
      </c>
      <c r="C104" s="234" t="str">
        <f>'Building Bill of Materials_SLIM'!Q104</f>
        <v/>
      </c>
      <c r="D104" s="234" t="str">
        <f>'Building Bill of Materials_SLIM'!R104</f>
        <v/>
      </c>
      <c r="E104" s="234" t="str">
        <f>'Building Bill of Materials_SLIM'!S104</f>
        <v/>
      </c>
      <c r="F104" s="234"/>
      <c r="G104" s="234"/>
      <c r="H104" s="234" t="str">
        <f>'Building Bill of Materials_SLIM'!T104</f>
        <v/>
      </c>
      <c r="I104" s="234" t="str">
        <f>'Building Bill of Materials_SLIM'!U104</f>
        <v/>
      </c>
      <c r="J104" s="234" t="str">
        <f>'Building Bill of Materials_SLIM'!V104</f>
        <v/>
      </c>
      <c r="K104" s="192"/>
      <c r="L104" s="238"/>
      <c r="M104" s="238"/>
      <c r="N104" s="291"/>
      <c r="O104" s="291"/>
      <c r="P104" s="291"/>
      <c r="Q104" s="291"/>
      <c r="R104" s="291"/>
      <c r="S104" s="291"/>
      <c r="T104" s="291"/>
      <c r="U104" s="291"/>
      <c r="V104" s="291"/>
      <c r="W104" s="291"/>
      <c r="X104" s="291"/>
      <c r="Y104" s="291"/>
      <c r="Z104" s="291"/>
      <c r="AA104" s="291"/>
      <c r="AB104" s="291"/>
      <c r="AC104" s="291"/>
      <c r="AD104" s="291"/>
      <c r="AE104" s="291"/>
      <c r="AF104" s="291"/>
      <c r="AG104" s="291"/>
    </row>
    <row r="105" ht="18.75" customHeight="1">
      <c r="A105" s="283"/>
      <c r="B105" s="234" t="str">
        <f>'Building Bill of Materials_SLIM'!P105</f>
        <v/>
      </c>
      <c r="C105" s="234" t="str">
        <f>'Building Bill of Materials_SLIM'!Q105</f>
        <v/>
      </c>
      <c r="D105" s="234" t="str">
        <f>'Building Bill of Materials_SLIM'!R105</f>
        <v/>
      </c>
      <c r="E105" s="234" t="str">
        <f>'Building Bill of Materials_SLIM'!S105</f>
        <v/>
      </c>
      <c r="F105" s="234"/>
      <c r="G105" s="234"/>
      <c r="H105" s="234" t="str">
        <f>'Building Bill of Materials_SLIM'!T105</f>
        <v/>
      </c>
      <c r="I105" s="234" t="str">
        <f>'Building Bill of Materials_SLIM'!U105</f>
        <v/>
      </c>
      <c r="J105" s="234" t="str">
        <f>'Building Bill of Materials_SLIM'!V105</f>
        <v/>
      </c>
      <c r="K105" s="192"/>
      <c r="L105" s="238"/>
      <c r="M105" s="238"/>
      <c r="N105" s="291"/>
      <c r="O105" s="291"/>
      <c r="P105" s="291"/>
      <c r="Q105" s="291"/>
      <c r="R105" s="291"/>
      <c r="S105" s="291"/>
      <c r="T105" s="291"/>
      <c r="U105" s="291"/>
      <c r="V105" s="291"/>
      <c r="W105" s="291"/>
      <c r="X105" s="291"/>
      <c r="Y105" s="291"/>
      <c r="Z105" s="291"/>
      <c r="AA105" s="291"/>
      <c r="AB105" s="291"/>
      <c r="AC105" s="291"/>
      <c r="AD105" s="291"/>
      <c r="AE105" s="291"/>
      <c r="AF105" s="291"/>
      <c r="AG105" s="291"/>
    </row>
    <row r="106" ht="18.75" customHeight="1">
      <c r="A106" s="283"/>
      <c r="B106" s="234" t="str">
        <f>'Building Bill of Materials_SLIM'!P106</f>
        <v/>
      </c>
      <c r="C106" s="234" t="str">
        <f>'Building Bill of Materials_SLIM'!Q106</f>
        <v/>
      </c>
      <c r="D106" s="234" t="str">
        <f>'Building Bill of Materials_SLIM'!R106</f>
        <v/>
      </c>
      <c r="E106" s="234" t="str">
        <f>'Building Bill of Materials_SLIM'!S106</f>
        <v/>
      </c>
      <c r="F106" s="234"/>
      <c r="G106" s="234"/>
      <c r="H106" s="234" t="str">
        <f>'Building Bill of Materials_SLIM'!T106</f>
        <v/>
      </c>
      <c r="I106" s="234" t="str">
        <f>'Building Bill of Materials_SLIM'!U106</f>
        <v/>
      </c>
      <c r="J106" s="234" t="str">
        <f>'Building Bill of Materials_SLIM'!V106</f>
        <v/>
      </c>
      <c r="K106" s="192"/>
      <c r="L106" s="238"/>
      <c r="M106" s="238"/>
      <c r="N106" s="291"/>
      <c r="O106" s="291"/>
      <c r="P106" s="291"/>
      <c r="Q106" s="291"/>
      <c r="R106" s="291"/>
      <c r="S106" s="291"/>
      <c r="T106" s="291"/>
      <c r="U106" s="291"/>
      <c r="V106" s="291"/>
      <c r="W106" s="291"/>
      <c r="X106" s="291"/>
      <c r="Y106" s="291"/>
      <c r="Z106" s="291"/>
      <c r="AA106" s="291"/>
      <c r="AB106" s="291"/>
      <c r="AC106" s="291"/>
      <c r="AD106" s="291"/>
      <c r="AE106" s="291"/>
      <c r="AF106" s="291"/>
      <c r="AG106" s="291"/>
    </row>
    <row r="107" ht="18.75" customHeight="1">
      <c r="A107" s="283"/>
      <c r="B107" s="234" t="str">
        <f>'Building Bill of Materials_SLIM'!P107</f>
        <v/>
      </c>
      <c r="C107" s="234" t="str">
        <f>'Building Bill of Materials_SLIM'!Q107</f>
        <v/>
      </c>
      <c r="D107" s="234" t="str">
        <f>'Building Bill of Materials_SLIM'!R107</f>
        <v/>
      </c>
      <c r="E107" s="234" t="str">
        <f>'Building Bill of Materials_SLIM'!S107</f>
        <v/>
      </c>
      <c r="F107" s="234"/>
      <c r="G107" s="234"/>
      <c r="H107" s="234" t="str">
        <f>'Building Bill of Materials_SLIM'!T107</f>
        <v/>
      </c>
      <c r="I107" s="234" t="str">
        <f>'Building Bill of Materials_SLIM'!U107</f>
        <v/>
      </c>
      <c r="J107" s="234" t="str">
        <f>'Building Bill of Materials_SLIM'!V107</f>
        <v/>
      </c>
      <c r="K107" s="192"/>
      <c r="L107" s="238"/>
      <c r="M107" s="238"/>
      <c r="N107" s="291"/>
      <c r="O107" s="291"/>
      <c r="P107" s="291"/>
      <c r="Q107" s="291"/>
      <c r="R107" s="291"/>
      <c r="S107" s="291"/>
      <c r="T107" s="291"/>
      <c r="U107" s="291"/>
      <c r="V107" s="291"/>
      <c r="W107" s="291"/>
      <c r="X107" s="291"/>
      <c r="Y107" s="291"/>
      <c r="Z107" s="291"/>
      <c r="AA107" s="291"/>
      <c r="AB107" s="291"/>
      <c r="AC107" s="291"/>
      <c r="AD107" s="291"/>
      <c r="AE107" s="291"/>
      <c r="AF107" s="291"/>
      <c r="AG107" s="291"/>
    </row>
    <row r="108" ht="18.75" customHeight="1">
      <c r="A108" s="283"/>
      <c r="B108" s="234" t="str">
        <f>'Building Bill of Materials_SLIM'!P108</f>
        <v/>
      </c>
      <c r="C108" s="234" t="str">
        <f>'Building Bill of Materials_SLIM'!Q108</f>
        <v/>
      </c>
      <c r="D108" s="234" t="str">
        <f>'Building Bill of Materials_SLIM'!R108</f>
        <v/>
      </c>
      <c r="E108" s="234" t="str">
        <f>'Building Bill of Materials_SLIM'!S108</f>
        <v/>
      </c>
      <c r="F108" s="234"/>
      <c r="G108" s="234"/>
      <c r="H108" s="234" t="str">
        <f>'Building Bill of Materials_SLIM'!T108</f>
        <v/>
      </c>
      <c r="I108" s="234" t="str">
        <f>'Building Bill of Materials_SLIM'!U108</f>
        <v/>
      </c>
      <c r="J108" s="234" t="str">
        <f>'Building Bill of Materials_SLIM'!V108</f>
        <v/>
      </c>
      <c r="K108" s="192"/>
      <c r="L108" s="238"/>
      <c r="M108" s="238"/>
      <c r="N108" s="291"/>
      <c r="O108" s="291"/>
      <c r="P108" s="291"/>
      <c r="Q108" s="291"/>
      <c r="R108" s="291"/>
      <c r="S108" s="291"/>
      <c r="T108" s="291"/>
      <c r="U108" s="291"/>
      <c r="V108" s="291"/>
      <c r="W108" s="291"/>
      <c r="X108" s="291"/>
      <c r="Y108" s="291"/>
      <c r="Z108" s="291"/>
      <c r="AA108" s="291"/>
      <c r="AB108" s="291"/>
      <c r="AC108" s="291"/>
      <c r="AD108" s="291"/>
      <c r="AE108" s="291"/>
      <c r="AF108" s="291"/>
      <c r="AG108" s="291"/>
    </row>
    <row r="109" ht="18.75" customHeight="1">
      <c r="A109" s="283"/>
      <c r="B109" s="234" t="str">
        <f>'Building Bill of Materials_SLIM'!P109</f>
        <v/>
      </c>
      <c r="C109" s="234" t="str">
        <f>'Building Bill of Materials_SLIM'!Q109</f>
        <v/>
      </c>
      <c r="D109" s="234" t="str">
        <f>'Building Bill of Materials_SLIM'!R109</f>
        <v/>
      </c>
      <c r="E109" s="234" t="str">
        <f>'Building Bill of Materials_SLIM'!S109</f>
        <v/>
      </c>
      <c r="F109" s="234"/>
      <c r="G109" s="234"/>
      <c r="H109" s="234" t="str">
        <f>'Building Bill of Materials_SLIM'!T109</f>
        <v/>
      </c>
      <c r="I109" s="234" t="str">
        <f>'Building Bill of Materials_SLIM'!U109</f>
        <v/>
      </c>
      <c r="J109" s="234" t="str">
        <f>'Building Bill of Materials_SLIM'!V109</f>
        <v/>
      </c>
      <c r="K109" s="192"/>
      <c r="L109" s="238"/>
      <c r="M109" s="238"/>
      <c r="N109" s="291"/>
      <c r="O109" s="291"/>
      <c r="P109" s="291"/>
      <c r="Q109" s="291"/>
      <c r="R109" s="291"/>
      <c r="S109" s="291"/>
      <c r="T109" s="291"/>
      <c r="U109" s="291"/>
      <c r="V109" s="291"/>
      <c r="W109" s="291"/>
      <c r="X109" s="291"/>
      <c r="Y109" s="291"/>
      <c r="Z109" s="291"/>
      <c r="AA109" s="291"/>
      <c r="AB109" s="291"/>
      <c r="AC109" s="291"/>
      <c r="AD109" s="291"/>
      <c r="AE109" s="291"/>
      <c r="AF109" s="291"/>
      <c r="AG109" s="291"/>
    </row>
    <row r="110" ht="18.75" customHeight="1">
      <c r="A110" s="283"/>
      <c r="B110" s="234" t="str">
        <f>'Building Bill of Materials_SLIM'!P110</f>
        <v/>
      </c>
      <c r="C110" s="234" t="str">
        <f>'Building Bill of Materials_SLIM'!Q110</f>
        <v/>
      </c>
      <c r="D110" s="234" t="str">
        <f>'Building Bill of Materials_SLIM'!R110</f>
        <v/>
      </c>
      <c r="E110" s="234" t="str">
        <f>'Building Bill of Materials_SLIM'!S110</f>
        <v/>
      </c>
      <c r="F110" s="234"/>
      <c r="G110" s="234"/>
      <c r="H110" s="234" t="str">
        <f>'Building Bill of Materials_SLIM'!T110</f>
        <v/>
      </c>
      <c r="I110" s="234" t="str">
        <f>'Building Bill of Materials_SLIM'!U110</f>
        <v/>
      </c>
      <c r="J110" s="234" t="str">
        <f>'Building Bill of Materials_SLIM'!V110</f>
        <v/>
      </c>
      <c r="K110" s="192"/>
      <c r="L110" s="238"/>
      <c r="M110" s="238"/>
      <c r="N110" s="291"/>
      <c r="O110" s="291"/>
      <c r="P110" s="291"/>
      <c r="Q110" s="291"/>
      <c r="R110" s="291"/>
      <c r="S110" s="291"/>
      <c r="T110" s="291"/>
      <c r="U110" s="291"/>
      <c r="V110" s="291"/>
      <c r="W110" s="291"/>
      <c r="X110" s="291"/>
      <c r="Y110" s="291"/>
      <c r="Z110" s="291"/>
      <c r="AA110" s="291"/>
      <c r="AB110" s="291"/>
      <c r="AC110" s="291"/>
      <c r="AD110" s="291"/>
      <c r="AE110" s="291"/>
      <c r="AF110" s="291"/>
      <c r="AG110" s="291"/>
    </row>
    <row r="111" ht="18.75" customHeight="1">
      <c r="A111" s="283"/>
      <c r="B111" s="234" t="str">
        <f>'Building Bill of Materials_SLIM'!P111</f>
        <v/>
      </c>
      <c r="C111" s="234" t="str">
        <f>'Building Bill of Materials_SLIM'!Q111</f>
        <v/>
      </c>
      <c r="D111" s="234" t="str">
        <f>'Building Bill of Materials_SLIM'!R111</f>
        <v/>
      </c>
      <c r="E111" s="234" t="str">
        <f>'Building Bill of Materials_SLIM'!S111</f>
        <v/>
      </c>
      <c r="F111" s="234"/>
      <c r="G111" s="234"/>
      <c r="H111" s="234" t="str">
        <f>'Building Bill of Materials_SLIM'!T111</f>
        <v/>
      </c>
      <c r="I111" s="234" t="str">
        <f>'Building Bill of Materials_SLIM'!U111</f>
        <v/>
      </c>
      <c r="J111" s="234" t="str">
        <f>'Building Bill of Materials_SLIM'!V111</f>
        <v/>
      </c>
      <c r="K111" s="192"/>
      <c r="L111" s="238"/>
      <c r="M111" s="238"/>
      <c r="N111" s="291"/>
      <c r="O111" s="291"/>
      <c r="P111" s="291"/>
      <c r="Q111" s="291"/>
      <c r="R111" s="291"/>
      <c r="S111" s="291"/>
      <c r="T111" s="291"/>
      <c r="U111" s="291"/>
      <c r="V111" s="291"/>
      <c r="W111" s="291"/>
      <c r="X111" s="291"/>
      <c r="Y111" s="291"/>
      <c r="Z111" s="291"/>
      <c r="AA111" s="291"/>
      <c r="AB111" s="291"/>
      <c r="AC111" s="291"/>
      <c r="AD111" s="291"/>
      <c r="AE111" s="291"/>
      <c r="AF111" s="291"/>
      <c r="AG111" s="291"/>
    </row>
    <row r="112" ht="18.75" customHeight="1">
      <c r="A112" s="283"/>
      <c r="B112" s="234" t="str">
        <f>'Building Bill of Materials_SLIM'!P112</f>
        <v/>
      </c>
      <c r="C112" s="234" t="str">
        <f>'Building Bill of Materials_SLIM'!Q112</f>
        <v/>
      </c>
      <c r="D112" s="234" t="str">
        <f>'Building Bill of Materials_SLIM'!R112</f>
        <v/>
      </c>
      <c r="E112" s="234" t="str">
        <f>'Building Bill of Materials_SLIM'!S112</f>
        <v/>
      </c>
      <c r="F112" s="234"/>
      <c r="G112" s="234"/>
      <c r="H112" s="234" t="str">
        <f>'Building Bill of Materials_SLIM'!T112</f>
        <v/>
      </c>
      <c r="I112" s="234" t="str">
        <f>'Building Bill of Materials_SLIM'!U112</f>
        <v/>
      </c>
      <c r="J112" s="234" t="str">
        <f>'Building Bill of Materials_SLIM'!V112</f>
        <v/>
      </c>
      <c r="K112" s="192"/>
      <c r="L112" s="238"/>
      <c r="M112" s="238"/>
      <c r="N112" s="291"/>
      <c r="O112" s="291"/>
      <c r="P112" s="291"/>
      <c r="Q112" s="291"/>
      <c r="R112" s="291"/>
      <c r="S112" s="291"/>
      <c r="T112" s="291"/>
      <c r="U112" s="291"/>
      <c r="V112" s="291"/>
      <c r="W112" s="291"/>
      <c r="X112" s="291"/>
      <c r="Y112" s="291"/>
      <c r="Z112" s="291"/>
      <c r="AA112" s="291"/>
      <c r="AB112" s="291"/>
      <c r="AC112" s="291"/>
      <c r="AD112" s="291"/>
      <c r="AE112" s="291"/>
      <c r="AF112" s="291"/>
      <c r="AG112" s="291"/>
    </row>
    <row r="113" ht="18.75" customHeight="1">
      <c r="A113" s="283"/>
      <c r="B113" s="234" t="str">
        <f>'Building Bill of Materials_SLIM'!P113</f>
        <v/>
      </c>
      <c r="C113" s="234" t="str">
        <f>'Building Bill of Materials_SLIM'!Q113</f>
        <v/>
      </c>
      <c r="D113" s="234" t="str">
        <f>'Building Bill of Materials_SLIM'!R113</f>
        <v/>
      </c>
      <c r="E113" s="234" t="str">
        <f>'Building Bill of Materials_SLIM'!S113</f>
        <v/>
      </c>
      <c r="F113" s="234"/>
      <c r="G113" s="234"/>
      <c r="H113" s="234" t="str">
        <f>'Building Bill of Materials_SLIM'!T113</f>
        <v/>
      </c>
      <c r="I113" s="234" t="str">
        <f>'Building Bill of Materials_SLIM'!U113</f>
        <v/>
      </c>
      <c r="J113" s="234" t="str">
        <f>'Building Bill of Materials_SLIM'!V113</f>
        <v/>
      </c>
      <c r="K113" s="192"/>
      <c r="L113" s="238"/>
      <c r="M113" s="238"/>
      <c r="N113" s="291"/>
      <c r="O113" s="291"/>
      <c r="P113" s="291"/>
      <c r="Q113" s="291"/>
      <c r="R113" s="291"/>
      <c r="S113" s="291"/>
      <c r="T113" s="291"/>
      <c r="U113" s="291"/>
      <c r="V113" s="291"/>
      <c r="W113" s="291"/>
      <c r="X113" s="291"/>
      <c r="Y113" s="291"/>
      <c r="Z113" s="291"/>
      <c r="AA113" s="291"/>
      <c r="AB113" s="291"/>
      <c r="AC113" s="291"/>
      <c r="AD113" s="291"/>
      <c r="AE113" s="291"/>
      <c r="AF113" s="291"/>
      <c r="AG113" s="291"/>
    </row>
    <row r="114" ht="18.75" customHeight="1">
      <c r="A114" s="283"/>
      <c r="B114" s="234" t="str">
        <f>'Building Bill of Materials_SLIM'!P114</f>
        <v/>
      </c>
      <c r="C114" s="234" t="str">
        <f>'Building Bill of Materials_SLIM'!Q114</f>
        <v/>
      </c>
      <c r="D114" s="234" t="str">
        <f>'Building Bill of Materials_SLIM'!R114</f>
        <v/>
      </c>
      <c r="E114" s="234" t="str">
        <f>'Building Bill of Materials_SLIM'!S114</f>
        <v/>
      </c>
      <c r="F114" s="234"/>
      <c r="G114" s="234"/>
      <c r="H114" s="234" t="str">
        <f>'Building Bill of Materials_SLIM'!T114</f>
        <v/>
      </c>
      <c r="I114" s="234" t="str">
        <f>'Building Bill of Materials_SLIM'!U114</f>
        <v/>
      </c>
      <c r="J114" s="234" t="str">
        <f>'Building Bill of Materials_SLIM'!V114</f>
        <v/>
      </c>
      <c r="K114" s="192"/>
      <c r="L114" s="238"/>
      <c r="M114" s="238"/>
      <c r="N114" s="291"/>
      <c r="O114" s="291"/>
      <c r="P114" s="291"/>
      <c r="Q114" s="291"/>
      <c r="R114" s="291"/>
      <c r="S114" s="291"/>
      <c r="T114" s="291"/>
      <c r="U114" s="291"/>
      <c r="V114" s="291"/>
      <c r="W114" s="291"/>
      <c r="X114" s="291"/>
      <c r="Y114" s="291"/>
      <c r="Z114" s="291"/>
      <c r="AA114" s="291"/>
      <c r="AB114" s="291"/>
      <c r="AC114" s="291"/>
      <c r="AD114" s="291"/>
      <c r="AE114" s="291"/>
      <c r="AF114" s="291"/>
      <c r="AG114" s="291"/>
    </row>
    <row r="115" ht="18.75" customHeight="1">
      <c r="A115" s="283"/>
      <c r="B115" s="234" t="str">
        <f>'Building Bill of Materials_SLIM'!P115</f>
        <v/>
      </c>
      <c r="C115" s="234" t="str">
        <f>'Building Bill of Materials_SLIM'!Q115</f>
        <v/>
      </c>
      <c r="D115" s="234" t="str">
        <f>'Building Bill of Materials_SLIM'!R115</f>
        <v/>
      </c>
      <c r="E115" s="234" t="str">
        <f>'Building Bill of Materials_SLIM'!S115</f>
        <v/>
      </c>
      <c r="F115" s="234"/>
      <c r="G115" s="234"/>
      <c r="H115" s="234" t="str">
        <f>'Building Bill of Materials_SLIM'!T115</f>
        <v/>
      </c>
      <c r="I115" s="234" t="str">
        <f>'Building Bill of Materials_SLIM'!U115</f>
        <v/>
      </c>
      <c r="J115" s="234" t="str">
        <f>'Building Bill of Materials_SLIM'!V115</f>
        <v/>
      </c>
      <c r="K115" s="192"/>
      <c r="L115" s="238"/>
      <c r="M115" s="238"/>
      <c r="N115" s="291"/>
      <c r="O115" s="291"/>
      <c r="P115" s="291"/>
      <c r="Q115" s="291"/>
      <c r="R115" s="291"/>
      <c r="S115" s="291"/>
      <c r="T115" s="291"/>
      <c r="U115" s="291"/>
      <c r="V115" s="291"/>
      <c r="W115" s="291"/>
      <c r="X115" s="291"/>
      <c r="Y115" s="291"/>
      <c r="Z115" s="291"/>
      <c r="AA115" s="291"/>
      <c r="AB115" s="291"/>
      <c r="AC115" s="291"/>
      <c r="AD115" s="291"/>
      <c r="AE115" s="291"/>
      <c r="AF115" s="291"/>
      <c r="AG115" s="291"/>
    </row>
    <row r="116" ht="18.75" customHeight="1">
      <c r="A116" s="283"/>
      <c r="B116" s="234" t="str">
        <f>'Building Bill of Materials_SLIM'!P116</f>
        <v/>
      </c>
      <c r="C116" s="234" t="str">
        <f>'Building Bill of Materials_SLIM'!Q116</f>
        <v/>
      </c>
      <c r="D116" s="234" t="str">
        <f>'Building Bill of Materials_SLIM'!R116</f>
        <v/>
      </c>
      <c r="E116" s="234" t="str">
        <f>'Building Bill of Materials_SLIM'!S116</f>
        <v/>
      </c>
      <c r="F116" s="234"/>
      <c r="G116" s="234"/>
      <c r="H116" s="234" t="str">
        <f>'Building Bill of Materials_SLIM'!T116</f>
        <v/>
      </c>
      <c r="I116" s="234" t="str">
        <f>'Building Bill of Materials_SLIM'!U116</f>
        <v/>
      </c>
      <c r="J116" s="234" t="str">
        <f>'Building Bill of Materials_SLIM'!V116</f>
        <v/>
      </c>
      <c r="K116" s="192"/>
      <c r="L116" s="238"/>
      <c r="M116" s="238"/>
      <c r="N116" s="291"/>
      <c r="O116" s="291"/>
      <c r="P116" s="291"/>
      <c r="Q116" s="291"/>
      <c r="R116" s="291"/>
      <c r="S116" s="291"/>
      <c r="T116" s="291"/>
      <c r="U116" s="291"/>
      <c r="V116" s="291"/>
      <c r="W116" s="291"/>
      <c r="X116" s="291"/>
      <c r="Y116" s="291"/>
      <c r="Z116" s="291"/>
      <c r="AA116" s="291"/>
      <c r="AB116" s="291"/>
      <c r="AC116" s="291"/>
      <c r="AD116" s="291"/>
      <c r="AE116" s="291"/>
      <c r="AF116" s="291"/>
      <c r="AG116" s="291"/>
    </row>
    <row r="117" ht="18.75" customHeight="1">
      <c r="A117" s="283"/>
      <c r="B117" s="234" t="str">
        <f>'Building Bill of Materials_SLIM'!P117</f>
        <v/>
      </c>
      <c r="C117" s="234" t="str">
        <f>'Building Bill of Materials_SLIM'!Q117</f>
        <v/>
      </c>
      <c r="D117" s="234" t="str">
        <f>'Building Bill of Materials_SLIM'!R117</f>
        <v/>
      </c>
      <c r="E117" s="234" t="str">
        <f>'Building Bill of Materials_SLIM'!S117</f>
        <v/>
      </c>
      <c r="F117" s="234"/>
      <c r="G117" s="234"/>
      <c r="H117" s="234" t="str">
        <f>'Building Bill of Materials_SLIM'!T117</f>
        <v/>
      </c>
      <c r="I117" s="234" t="str">
        <f>'Building Bill of Materials_SLIM'!U117</f>
        <v/>
      </c>
      <c r="J117" s="234" t="str">
        <f>'Building Bill of Materials_SLIM'!V117</f>
        <v/>
      </c>
      <c r="K117" s="192"/>
      <c r="L117" s="238"/>
      <c r="M117" s="238"/>
      <c r="N117" s="291"/>
      <c r="O117" s="291"/>
      <c r="P117" s="291"/>
      <c r="Q117" s="291"/>
      <c r="R117" s="291"/>
      <c r="S117" s="291"/>
      <c r="T117" s="291"/>
      <c r="U117" s="291"/>
      <c r="V117" s="291"/>
      <c r="W117" s="291"/>
      <c r="X117" s="291"/>
      <c r="Y117" s="291"/>
      <c r="Z117" s="291"/>
      <c r="AA117" s="291"/>
      <c r="AB117" s="291"/>
      <c r="AC117" s="291"/>
      <c r="AD117" s="291"/>
      <c r="AE117" s="291"/>
      <c r="AF117" s="291"/>
      <c r="AG117" s="291"/>
    </row>
    <row r="118" ht="18.75" customHeight="1">
      <c r="A118" s="283"/>
      <c r="B118" s="234" t="str">
        <f>'Building Bill of Materials_SLIM'!P118</f>
        <v/>
      </c>
      <c r="C118" s="234" t="str">
        <f>'Building Bill of Materials_SLIM'!Q118</f>
        <v/>
      </c>
      <c r="D118" s="234" t="str">
        <f>'Building Bill of Materials_SLIM'!R118</f>
        <v/>
      </c>
      <c r="E118" s="234" t="str">
        <f>'Building Bill of Materials_SLIM'!S118</f>
        <v/>
      </c>
      <c r="F118" s="234"/>
      <c r="G118" s="234"/>
      <c r="H118" s="234" t="str">
        <f>'Building Bill of Materials_SLIM'!T118</f>
        <v/>
      </c>
      <c r="I118" s="234" t="str">
        <f>'Building Bill of Materials_SLIM'!U118</f>
        <v/>
      </c>
      <c r="J118" s="234" t="str">
        <f>'Building Bill of Materials_SLIM'!V118</f>
        <v/>
      </c>
      <c r="K118" s="192"/>
      <c r="L118" s="238"/>
      <c r="M118" s="238"/>
      <c r="N118" s="291"/>
      <c r="O118" s="291"/>
      <c r="P118" s="291"/>
      <c r="Q118" s="291"/>
      <c r="R118" s="291"/>
      <c r="S118" s="291"/>
      <c r="T118" s="291"/>
      <c r="U118" s="291"/>
      <c r="V118" s="291"/>
      <c r="W118" s="291"/>
      <c r="X118" s="291"/>
      <c r="Y118" s="291"/>
      <c r="Z118" s="291"/>
      <c r="AA118" s="291"/>
      <c r="AB118" s="291"/>
      <c r="AC118" s="291"/>
      <c r="AD118" s="291"/>
      <c r="AE118" s="291"/>
      <c r="AF118" s="291"/>
      <c r="AG118" s="291"/>
    </row>
    <row r="119" ht="18.75" customHeight="1">
      <c r="A119" s="283"/>
      <c r="B119" s="234" t="str">
        <f>'Building Bill of Materials_SLIM'!P119</f>
        <v/>
      </c>
      <c r="C119" s="234" t="str">
        <f>'Building Bill of Materials_SLIM'!Q119</f>
        <v/>
      </c>
      <c r="D119" s="234" t="str">
        <f>'Building Bill of Materials_SLIM'!R119</f>
        <v/>
      </c>
      <c r="E119" s="234" t="str">
        <f>'Building Bill of Materials_SLIM'!S119</f>
        <v/>
      </c>
      <c r="F119" s="234"/>
      <c r="G119" s="234"/>
      <c r="H119" s="234" t="str">
        <f>'Building Bill of Materials_SLIM'!T119</f>
        <v/>
      </c>
      <c r="I119" s="234" t="str">
        <f>'Building Bill of Materials_SLIM'!U119</f>
        <v/>
      </c>
      <c r="J119" s="234" t="str">
        <f>'Building Bill of Materials_SLIM'!V119</f>
        <v/>
      </c>
      <c r="K119" s="192"/>
      <c r="L119" s="238"/>
      <c r="M119" s="238"/>
      <c r="N119" s="291"/>
      <c r="O119" s="291"/>
      <c r="P119" s="291"/>
      <c r="Q119" s="291"/>
      <c r="R119" s="291"/>
      <c r="S119" s="291"/>
      <c r="T119" s="291"/>
      <c r="U119" s="291"/>
      <c r="V119" s="291"/>
      <c r="W119" s="291"/>
      <c r="X119" s="291"/>
      <c r="Y119" s="291"/>
      <c r="Z119" s="291"/>
      <c r="AA119" s="291"/>
      <c r="AB119" s="291"/>
      <c r="AC119" s="291"/>
      <c r="AD119" s="291"/>
      <c r="AE119" s="291"/>
      <c r="AF119" s="291"/>
      <c r="AG119" s="291"/>
    </row>
    <row r="120" ht="18.75" customHeight="1">
      <c r="A120" s="283"/>
      <c r="B120" s="234" t="str">
        <f>'Building Bill of Materials_SLIM'!P120</f>
        <v/>
      </c>
      <c r="C120" s="234" t="str">
        <f>'Building Bill of Materials_SLIM'!Q120</f>
        <v/>
      </c>
      <c r="D120" s="234" t="str">
        <f>'Building Bill of Materials_SLIM'!R120</f>
        <v/>
      </c>
      <c r="E120" s="234" t="str">
        <f>'Building Bill of Materials_SLIM'!S120</f>
        <v/>
      </c>
      <c r="F120" s="234"/>
      <c r="G120" s="234"/>
      <c r="H120" s="234" t="str">
        <f>'Building Bill of Materials_SLIM'!T120</f>
        <v/>
      </c>
      <c r="I120" s="234" t="str">
        <f>'Building Bill of Materials_SLIM'!U120</f>
        <v/>
      </c>
      <c r="J120" s="234" t="str">
        <f>'Building Bill of Materials_SLIM'!V120</f>
        <v/>
      </c>
      <c r="K120" s="192"/>
      <c r="L120" s="238"/>
      <c r="M120" s="238"/>
      <c r="N120" s="291"/>
      <c r="O120" s="291"/>
      <c r="P120" s="291"/>
      <c r="Q120" s="291"/>
      <c r="R120" s="291"/>
      <c r="S120" s="291"/>
      <c r="T120" s="291"/>
      <c r="U120" s="291"/>
      <c r="V120" s="291"/>
      <c r="W120" s="291"/>
      <c r="X120" s="291"/>
      <c r="Y120" s="291"/>
      <c r="Z120" s="291"/>
      <c r="AA120" s="291"/>
      <c r="AB120" s="291"/>
      <c r="AC120" s="291"/>
      <c r="AD120" s="291"/>
      <c r="AE120" s="291"/>
      <c r="AF120" s="291"/>
      <c r="AG120" s="291"/>
    </row>
    <row r="121" ht="18.75" customHeight="1">
      <c r="A121" s="283"/>
      <c r="B121" s="234" t="str">
        <f>'Building Bill of Materials_SLIM'!P121</f>
        <v/>
      </c>
      <c r="C121" s="234" t="str">
        <f>'Building Bill of Materials_SLIM'!Q121</f>
        <v/>
      </c>
      <c r="D121" s="234" t="str">
        <f>'Building Bill of Materials_SLIM'!R121</f>
        <v/>
      </c>
      <c r="E121" s="234" t="str">
        <f>'Building Bill of Materials_SLIM'!S121</f>
        <v/>
      </c>
      <c r="F121" s="234"/>
      <c r="G121" s="234"/>
      <c r="H121" s="234" t="str">
        <f>'Building Bill of Materials_SLIM'!T121</f>
        <v/>
      </c>
      <c r="I121" s="234" t="str">
        <f>'Building Bill of Materials_SLIM'!U121</f>
        <v/>
      </c>
      <c r="J121" s="234" t="str">
        <f>'Building Bill of Materials_SLIM'!V121</f>
        <v/>
      </c>
      <c r="K121" s="192"/>
      <c r="L121" s="238"/>
      <c r="M121" s="238"/>
      <c r="N121" s="291"/>
      <c r="O121" s="291"/>
      <c r="P121" s="291"/>
      <c r="Q121" s="291"/>
      <c r="R121" s="291"/>
      <c r="S121" s="291"/>
      <c r="T121" s="291"/>
      <c r="U121" s="291"/>
      <c r="V121" s="291"/>
      <c r="W121" s="291"/>
      <c r="X121" s="291"/>
      <c r="Y121" s="291"/>
      <c r="Z121" s="291"/>
      <c r="AA121" s="291"/>
      <c r="AB121" s="291"/>
      <c r="AC121" s="291"/>
      <c r="AD121" s="291"/>
      <c r="AE121" s="291"/>
      <c r="AF121" s="291"/>
      <c r="AG121" s="291"/>
    </row>
    <row r="122" ht="18.75" customHeight="1">
      <c r="A122" s="283"/>
      <c r="B122" s="234" t="str">
        <f>'Building Bill of Materials_SLIM'!P122</f>
        <v/>
      </c>
      <c r="C122" s="234" t="str">
        <f>'Building Bill of Materials_SLIM'!Q122</f>
        <v/>
      </c>
      <c r="D122" s="234" t="str">
        <f>'Building Bill of Materials_SLIM'!R122</f>
        <v/>
      </c>
      <c r="E122" s="234" t="str">
        <f>'Building Bill of Materials_SLIM'!S122</f>
        <v/>
      </c>
      <c r="F122" s="234"/>
      <c r="G122" s="234"/>
      <c r="H122" s="234" t="str">
        <f>'Building Bill of Materials_SLIM'!T122</f>
        <v/>
      </c>
      <c r="I122" s="234" t="str">
        <f>'Building Bill of Materials_SLIM'!U122</f>
        <v/>
      </c>
      <c r="J122" s="234" t="str">
        <f>'Building Bill of Materials_SLIM'!V122</f>
        <v/>
      </c>
      <c r="K122" s="192"/>
      <c r="L122" s="238"/>
      <c r="M122" s="238"/>
      <c r="N122" s="291"/>
      <c r="O122" s="291"/>
      <c r="P122" s="291"/>
      <c r="Q122" s="291"/>
      <c r="R122" s="291"/>
      <c r="S122" s="291"/>
      <c r="T122" s="291"/>
      <c r="U122" s="291"/>
      <c r="V122" s="291"/>
      <c r="W122" s="291"/>
      <c r="X122" s="291"/>
      <c r="Y122" s="291"/>
      <c r="Z122" s="291"/>
      <c r="AA122" s="291"/>
      <c r="AB122" s="291"/>
      <c r="AC122" s="291"/>
      <c r="AD122" s="291"/>
      <c r="AE122" s="291"/>
      <c r="AF122" s="291"/>
      <c r="AG122" s="291"/>
    </row>
    <row r="123" ht="18.75" customHeight="1">
      <c r="A123" s="283"/>
      <c r="B123" s="234" t="str">
        <f>'Building Bill of Materials_SLIM'!P123</f>
        <v/>
      </c>
      <c r="C123" s="234" t="str">
        <f>'Building Bill of Materials_SLIM'!Q123</f>
        <v/>
      </c>
      <c r="D123" s="234" t="str">
        <f>'Building Bill of Materials_SLIM'!R123</f>
        <v/>
      </c>
      <c r="E123" s="234" t="str">
        <f>'Building Bill of Materials_SLIM'!S123</f>
        <v/>
      </c>
      <c r="F123" s="234"/>
      <c r="G123" s="234"/>
      <c r="H123" s="234" t="str">
        <f>'Building Bill of Materials_SLIM'!T123</f>
        <v/>
      </c>
      <c r="I123" s="234" t="str">
        <f>'Building Bill of Materials_SLIM'!U123</f>
        <v/>
      </c>
      <c r="J123" s="234" t="str">
        <f>'Building Bill of Materials_SLIM'!V123</f>
        <v/>
      </c>
      <c r="K123" s="192"/>
      <c r="L123" s="238"/>
      <c r="M123" s="238"/>
      <c r="N123" s="291"/>
      <c r="O123" s="291"/>
      <c r="P123" s="291"/>
      <c r="Q123" s="291"/>
      <c r="R123" s="291"/>
      <c r="S123" s="291"/>
      <c r="T123" s="291"/>
      <c r="U123" s="291"/>
      <c r="V123" s="291"/>
      <c r="W123" s="291"/>
      <c r="X123" s="291"/>
      <c r="Y123" s="291"/>
      <c r="Z123" s="291"/>
      <c r="AA123" s="291"/>
      <c r="AB123" s="291"/>
      <c r="AC123" s="291"/>
      <c r="AD123" s="291"/>
      <c r="AE123" s="291"/>
      <c r="AF123" s="291"/>
      <c r="AG123" s="291"/>
    </row>
    <row r="124" ht="18.75" customHeight="1">
      <c r="A124" s="283"/>
      <c r="B124" s="234" t="str">
        <f>'Building Bill of Materials_SLIM'!P124</f>
        <v/>
      </c>
      <c r="C124" s="234" t="str">
        <f>'Building Bill of Materials_SLIM'!Q124</f>
        <v/>
      </c>
      <c r="D124" s="234" t="str">
        <f>'Building Bill of Materials_SLIM'!R124</f>
        <v/>
      </c>
      <c r="E124" s="234" t="str">
        <f>'Building Bill of Materials_SLIM'!S124</f>
        <v/>
      </c>
      <c r="F124" s="234"/>
      <c r="G124" s="234"/>
      <c r="H124" s="234" t="str">
        <f>'Building Bill of Materials_SLIM'!T124</f>
        <v/>
      </c>
      <c r="I124" s="234" t="str">
        <f>'Building Bill of Materials_SLIM'!U124</f>
        <v/>
      </c>
      <c r="J124" s="234" t="str">
        <f>'Building Bill of Materials_SLIM'!V124</f>
        <v/>
      </c>
      <c r="K124" s="192"/>
      <c r="L124" s="238"/>
      <c r="M124" s="238"/>
      <c r="N124" s="291"/>
      <c r="O124" s="291"/>
      <c r="P124" s="291"/>
      <c r="Q124" s="291"/>
      <c r="R124" s="291"/>
      <c r="S124" s="291"/>
      <c r="T124" s="291"/>
      <c r="U124" s="291"/>
      <c r="V124" s="291"/>
      <c r="W124" s="291"/>
      <c r="X124" s="291"/>
      <c r="Y124" s="291"/>
      <c r="Z124" s="291"/>
      <c r="AA124" s="291"/>
      <c r="AB124" s="291"/>
      <c r="AC124" s="291"/>
      <c r="AD124" s="291"/>
      <c r="AE124" s="291"/>
      <c r="AF124" s="291"/>
      <c r="AG124" s="291"/>
    </row>
    <row r="125" ht="18.75" customHeight="1">
      <c r="A125" s="283"/>
      <c r="B125" s="234" t="str">
        <f>'Building Bill of Materials_SLIM'!P125</f>
        <v/>
      </c>
      <c r="C125" s="234" t="str">
        <f>'Building Bill of Materials_SLIM'!Q125</f>
        <v/>
      </c>
      <c r="D125" s="234" t="str">
        <f>'Building Bill of Materials_SLIM'!R125</f>
        <v/>
      </c>
      <c r="E125" s="234" t="str">
        <f>'Building Bill of Materials_SLIM'!S125</f>
        <v/>
      </c>
      <c r="F125" s="234"/>
      <c r="G125" s="234"/>
      <c r="H125" s="234" t="str">
        <f>'Building Bill of Materials_SLIM'!T125</f>
        <v/>
      </c>
      <c r="I125" s="234" t="str">
        <f>'Building Bill of Materials_SLIM'!U125</f>
        <v/>
      </c>
      <c r="J125" s="234" t="str">
        <f>'Building Bill of Materials_SLIM'!V125</f>
        <v/>
      </c>
      <c r="K125" s="192"/>
      <c r="L125" s="238"/>
      <c r="M125" s="238"/>
      <c r="N125" s="291"/>
      <c r="O125" s="291"/>
      <c r="P125" s="291"/>
      <c r="Q125" s="291"/>
      <c r="R125" s="291"/>
      <c r="S125" s="291"/>
      <c r="T125" s="291"/>
      <c r="U125" s="291"/>
      <c r="V125" s="291"/>
      <c r="W125" s="291"/>
      <c r="X125" s="291"/>
      <c r="Y125" s="291"/>
      <c r="Z125" s="291"/>
      <c r="AA125" s="291"/>
      <c r="AB125" s="291"/>
      <c r="AC125" s="291"/>
      <c r="AD125" s="291"/>
      <c r="AE125" s="291"/>
      <c r="AF125" s="291"/>
      <c r="AG125" s="291"/>
    </row>
    <row r="126" ht="18.75" customHeight="1">
      <c r="A126" s="283"/>
      <c r="B126" s="234" t="str">
        <f>'Building Bill of Materials_SLIM'!P126</f>
        <v/>
      </c>
      <c r="C126" s="234" t="str">
        <f>'Building Bill of Materials_SLIM'!Q126</f>
        <v/>
      </c>
      <c r="D126" s="234" t="str">
        <f>'Building Bill of Materials_SLIM'!R126</f>
        <v/>
      </c>
      <c r="E126" s="234" t="str">
        <f>'Building Bill of Materials_SLIM'!S126</f>
        <v/>
      </c>
      <c r="F126" s="234"/>
      <c r="G126" s="234"/>
      <c r="H126" s="234" t="str">
        <f>'Building Bill of Materials_SLIM'!T126</f>
        <v/>
      </c>
      <c r="I126" s="234" t="str">
        <f>'Building Bill of Materials_SLIM'!U126</f>
        <v/>
      </c>
      <c r="J126" s="234" t="str">
        <f>'Building Bill of Materials_SLIM'!V126</f>
        <v/>
      </c>
      <c r="K126" s="192"/>
      <c r="L126" s="238"/>
      <c r="M126" s="238"/>
      <c r="N126" s="291"/>
      <c r="O126" s="291"/>
      <c r="P126" s="291"/>
      <c r="Q126" s="291"/>
      <c r="R126" s="291"/>
      <c r="S126" s="291"/>
      <c r="T126" s="291"/>
      <c r="U126" s="291"/>
      <c r="V126" s="291"/>
      <c r="W126" s="291"/>
      <c r="X126" s="291"/>
      <c r="Y126" s="291"/>
      <c r="Z126" s="291"/>
      <c r="AA126" s="291"/>
      <c r="AB126" s="291"/>
      <c r="AC126" s="291"/>
      <c r="AD126" s="291"/>
      <c r="AE126" s="291"/>
      <c r="AF126" s="291"/>
      <c r="AG126" s="291"/>
    </row>
    <row r="127" ht="18.75" customHeight="1">
      <c r="A127" s="283"/>
      <c r="B127" s="234" t="str">
        <f>'Building Bill of Materials_SLIM'!P127</f>
        <v/>
      </c>
      <c r="C127" s="234" t="str">
        <f>'Building Bill of Materials_SLIM'!Q127</f>
        <v/>
      </c>
      <c r="D127" s="234" t="str">
        <f>'Building Bill of Materials_SLIM'!R127</f>
        <v/>
      </c>
      <c r="E127" s="234" t="str">
        <f>'Building Bill of Materials_SLIM'!S127</f>
        <v/>
      </c>
      <c r="F127" s="234"/>
      <c r="G127" s="234"/>
      <c r="H127" s="234" t="str">
        <f>'Building Bill of Materials_SLIM'!T127</f>
        <v/>
      </c>
      <c r="I127" s="234" t="str">
        <f>'Building Bill of Materials_SLIM'!U127</f>
        <v/>
      </c>
      <c r="J127" s="234" t="str">
        <f>'Building Bill of Materials_SLIM'!V127</f>
        <v/>
      </c>
      <c r="K127" s="192"/>
      <c r="L127" s="238"/>
      <c r="M127" s="238"/>
      <c r="N127" s="291"/>
      <c r="O127" s="291"/>
      <c r="P127" s="291"/>
      <c r="Q127" s="291"/>
      <c r="R127" s="291"/>
      <c r="S127" s="291"/>
      <c r="T127" s="291"/>
      <c r="U127" s="291"/>
      <c r="V127" s="291"/>
      <c r="W127" s="291"/>
      <c r="X127" s="291"/>
      <c r="Y127" s="291"/>
      <c r="Z127" s="291"/>
      <c r="AA127" s="291"/>
      <c r="AB127" s="291"/>
      <c r="AC127" s="291"/>
      <c r="AD127" s="291"/>
      <c r="AE127" s="291"/>
      <c r="AF127" s="291"/>
      <c r="AG127" s="291"/>
    </row>
    <row r="128" ht="18.75" customHeight="1">
      <c r="A128" s="283"/>
      <c r="B128" s="234" t="str">
        <f>'Building Bill of Materials_SLIM'!P128</f>
        <v/>
      </c>
      <c r="C128" s="234" t="str">
        <f>'Building Bill of Materials_SLIM'!Q128</f>
        <v/>
      </c>
      <c r="D128" s="234" t="str">
        <f>'Building Bill of Materials_SLIM'!R128</f>
        <v/>
      </c>
      <c r="E128" s="234" t="str">
        <f>'Building Bill of Materials_SLIM'!S128</f>
        <v/>
      </c>
      <c r="F128" s="234"/>
      <c r="G128" s="234"/>
      <c r="H128" s="234" t="str">
        <f>'Building Bill of Materials_SLIM'!T128</f>
        <v/>
      </c>
      <c r="I128" s="234" t="str">
        <f>'Building Bill of Materials_SLIM'!U128</f>
        <v/>
      </c>
      <c r="J128" s="234" t="str">
        <f>'Building Bill of Materials_SLIM'!V128</f>
        <v/>
      </c>
      <c r="K128" s="192"/>
      <c r="L128" s="238"/>
      <c r="M128" s="238"/>
      <c r="N128" s="291"/>
      <c r="O128" s="291"/>
      <c r="P128" s="291"/>
      <c r="Q128" s="291"/>
      <c r="R128" s="291"/>
      <c r="S128" s="291"/>
      <c r="T128" s="291"/>
      <c r="U128" s="291"/>
      <c r="V128" s="291"/>
      <c r="W128" s="291"/>
      <c r="X128" s="291"/>
      <c r="Y128" s="291"/>
      <c r="Z128" s="291"/>
      <c r="AA128" s="291"/>
      <c r="AB128" s="291"/>
      <c r="AC128" s="291"/>
      <c r="AD128" s="291"/>
      <c r="AE128" s="291"/>
      <c r="AF128" s="291"/>
      <c r="AG128" s="291"/>
    </row>
    <row r="129" ht="18.75" customHeight="1">
      <c r="A129" s="283"/>
      <c r="B129" s="234" t="str">
        <f>'Building Bill of Materials_SLIM'!P129</f>
        <v/>
      </c>
      <c r="C129" s="234" t="str">
        <f>'Building Bill of Materials_SLIM'!Q129</f>
        <v/>
      </c>
      <c r="D129" s="234" t="str">
        <f>'Building Bill of Materials_SLIM'!R129</f>
        <v/>
      </c>
      <c r="E129" s="234" t="str">
        <f>'Building Bill of Materials_SLIM'!S129</f>
        <v/>
      </c>
      <c r="F129" s="234"/>
      <c r="G129" s="234"/>
      <c r="H129" s="234" t="str">
        <f>'Building Bill of Materials_SLIM'!T129</f>
        <v/>
      </c>
      <c r="I129" s="234" t="str">
        <f>'Building Bill of Materials_SLIM'!U129</f>
        <v/>
      </c>
      <c r="J129" s="234" t="str">
        <f>'Building Bill of Materials_SLIM'!V129</f>
        <v/>
      </c>
      <c r="K129" s="192"/>
      <c r="L129" s="238"/>
      <c r="M129" s="238"/>
      <c r="N129" s="291"/>
      <c r="O129" s="291"/>
      <c r="P129" s="291"/>
      <c r="Q129" s="291"/>
      <c r="R129" s="291"/>
      <c r="S129" s="291"/>
      <c r="T129" s="291"/>
      <c r="U129" s="291"/>
      <c r="V129" s="291"/>
      <c r="W129" s="291"/>
      <c r="X129" s="291"/>
      <c r="Y129" s="291"/>
      <c r="Z129" s="291"/>
      <c r="AA129" s="291"/>
      <c r="AB129" s="291"/>
      <c r="AC129" s="291"/>
      <c r="AD129" s="291"/>
      <c r="AE129" s="291"/>
      <c r="AF129" s="291"/>
      <c r="AG129" s="291"/>
    </row>
    <row r="130" ht="18.75" customHeight="1">
      <c r="A130" s="283"/>
      <c r="B130" s="234" t="str">
        <f>'Building Bill of Materials_SLIM'!P130</f>
        <v/>
      </c>
      <c r="C130" s="234" t="str">
        <f>'Building Bill of Materials_SLIM'!Q130</f>
        <v/>
      </c>
      <c r="D130" s="234" t="str">
        <f>'Building Bill of Materials_SLIM'!R130</f>
        <v/>
      </c>
      <c r="E130" s="234" t="str">
        <f>'Building Bill of Materials_SLIM'!S130</f>
        <v/>
      </c>
      <c r="F130" s="234"/>
      <c r="G130" s="234"/>
      <c r="H130" s="234" t="str">
        <f>'Building Bill of Materials_SLIM'!T130</f>
        <v/>
      </c>
      <c r="I130" s="234" t="str">
        <f>'Building Bill of Materials_SLIM'!U130</f>
        <v/>
      </c>
      <c r="J130" s="234" t="str">
        <f>'Building Bill of Materials_SLIM'!V130</f>
        <v/>
      </c>
      <c r="K130" s="192"/>
      <c r="L130" s="238"/>
      <c r="M130" s="238"/>
      <c r="N130" s="291"/>
      <c r="O130" s="291"/>
      <c r="P130" s="291"/>
      <c r="Q130" s="291"/>
      <c r="R130" s="291"/>
      <c r="S130" s="291"/>
      <c r="T130" s="291"/>
      <c r="U130" s="291"/>
      <c r="V130" s="291"/>
      <c r="W130" s="291"/>
      <c r="X130" s="291"/>
      <c r="Y130" s="291"/>
      <c r="Z130" s="291"/>
      <c r="AA130" s="291"/>
      <c r="AB130" s="291"/>
      <c r="AC130" s="291"/>
      <c r="AD130" s="291"/>
      <c r="AE130" s="291"/>
      <c r="AF130" s="291"/>
      <c r="AG130" s="291"/>
    </row>
    <row r="131" ht="18.75" customHeight="1">
      <c r="A131" s="283"/>
      <c r="B131" s="234" t="str">
        <f>'Building Bill of Materials_SLIM'!P131</f>
        <v/>
      </c>
      <c r="C131" s="234" t="str">
        <f>'Building Bill of Materials_SLIM'!Q131</f>
        <v/>
      </c>
      <c r="D131" s="234" t="str">
        <f>'Building Bill of Materials_SLIM'!R131</f>
        <v/>
      </c>
      <c r="E131" s="234" t="str">
        <f>'Building Bill of Materials_SLIM'!S131</f>
        <v/>
      </c>
      <c r="F131" s="234"/>
      <c r="G131" s="234"/>
      <c r="H131" s="234" t="str">
        <f>'Building Bill of Materials_SLIM'!T131</f>
        <v/>
      </c>
      <c r="I131" s="234" t="str">
        <f>'Building Bill of Materials_SLIM'!U131</f>
        <v/>
      </c>
      <c r="J131" s="234" t="str">
        <f>'Building Bill of Materials_SLIM'!V131</f>
        <v/>
      </c>
      <c r="K131" s="192"/>
      <c r="L131" s="238"/>
      <c r="M131" s="238"/>
      <c r="N131" s="291"/>
      <c r="O131" s="291"/>
      <c r="P131" s="291"/>
      <c r="Q131" s="291"/>
      <c r="R131" s="291"/>
      <c r="S131" s="291"/>
      <c r="T131" s="291"/>
      <c r="U131" s="291"/>
      <c r="V131" s="291"/>
      <c r="W131" s="291"/>
      <c r="X131" s="291"/>
      <c r="Y131" s="291"/>
      <c r="Z131" s="291"/>
      <c r="AA131" s="291"/>
      <c r="AB131" s="291"/>
      <c r="AC131" s="291"/>
      <c r="AD131" s="291"/>
      <c r="AE131" s="291"/>
      <c r="AF131" s="291"/>
      <c r="AG131" s="291"/>
    </row>
    <row r="132" ht="18.75" customHeight="1">
      <c r="A132" s="283"/>
      <c r="B132" s="234" t="str">
        <f>'Building Bill of Materials_SLIM'!P132</f>
        <v/>
      </c>
      <c r="C132" s="234" t="str">
        <f>'Building Bill of Materials_SLIM'!Q132</f>
        <v/>
      </c>
      <c r="D132" s="234" t="str">
        <f>'Building Bill of Materials_SLIM'!R132</f>
        <v/>
      </c>
      <c r="E132" s="234" t="str">
        <f>'Building Bill of Materials_SLIM'!S132</f>
        <v/>
      </c>
      <c r="F132" s="234"/>
      <c r="G132" s="234"/>
      <c r="H132" s="234" t="str">
        <f>'Building Bill of Materials_SLIM'!T132</f>
        <v/>
      </c>
      <c r="I132" s="234" t="str">
        <f>'Building Bill of Materials_SLIM'!U132</f>
        <v/>
      </c>
      <c r="J132" s="234" t="str">
        <f>'Building Bill of Materials_SLIM'!V132</f>
        <v/>
      </c>
      <c r="K132" s="192"/>
      <c r="L132" s="238"/>
      <c r="M132" s="238"/>
      <c r="N132" s="291"/>
      <c r="O132" s="291"/>
      <c r="P132" s="291"/>
      <c r="Q132" s="291"/>
      <c r="R132" s="291"/>
      <c r="S132" s="291"/>
      <c r="T132" s="291"/>
      <c r="U132" s="291"/>
      <c r="V132" s="291"/>
      <c r="W132" s="291"/>
      <c r="X132" s="291"/>
      <c r="Y132" s="291"/>
      <c r="Z132" s="291"/>
      <c r="AA132" s="291"/>
      <c r="AB132" s="291"/>
      <c r="AC132" s="291"/>
      <c r="AD132" s="291"/>
      <c r="AE132" s="291"/>
      <c r="AF132" s="291"/>
      <c r="AG132" s="291"/>
    </row>
    <row r="133" ht="18.75" customHeight="1">
      <c r="A133" s="283"/>
      <c r="B133" s="234" t="str">
        <f>'Building Bill of Materials_SLIM'!P133</f>
        <v/>
      </c>
      <c r="C133" s="234" t="str">
        <f>'Building Bill of Materials_SLIM'!Q133</f>
        <v/>
      </c>
      <c r="D133" s="234" t="str">
        <f>'Building Bill of Materials_SLIM'!R133</f>
        <v/>
      </c>
      <c r="E133" s="234" t="str">
        <f>'Building Bill of Materials_SLIM'!S133</f>
        <v/>
      </c>
      <c r="F133" s="234"/>
      <c r="G133" s="234"/>
      <c r="H133" s="234" t="str">
        <f>'Building Bill of Materials_SLIM'!T133</f>
        <v/>
      </c>
      <c r="I133" s="234" t="str">
        <f>'Building Bill of Materials_SLIM'!U133</f>
        <v/>
      </c>
      <c r="J133" s="234" t="str">
        <f>'Building Bill of Materials_SLIM'!V133</f>
        <v/>
      </c>
      <c r="K133" s="192"/>
      <c r="L133" s="238"/>
      <c r="M133" s="238"/>
      <c r="N133" s="291"/>
      <c r="O133" s="291"/>
      <c r="P133" s="291"/>
      <c r="Q133" s="291"/>
      <c r="R133" s="291"/>
      <c r="S133" s="291"/>
      <c r="T133" s="291"/>
      <c r="U133" s="291"/>
      <c r="V133" s="291"/>
      <c r="W133" s="291"/>
      <c r="X133" s="291"/>
      <c r="Y133" s="291"/>
      <c r="Z133" s="291"/>
      <c r="AA133" s="291"/>
      <c r="AB133" s="291"/>
      <c r="AC133" s="291"/>
      <c r="AD133" s="291"/>
      <c r="AE133" s="291"/>
      <c r="AF133" s="291"/>
      <c r="AG133" s="291"/>
    </row>
    <row r="134" ht="18.75" customHeight="1">
      <c r="A134" s="283"/>
      <c r="B134" s="234" t="str">
        <f>'Building Bill of Materials_SLIM'!P134</f>
        <v/>
      </c>
      <c r="C134" s="234" t="str">
        <f>'Building Bill of Materials_SLIM'!Q134</f>
        <v/>
      </c>
      <c r="D134" s="234" t="str">
        <f>'Building Bill of Materials_SLIM'!R134</f>
        <v/>
      </c>
      <c r="E134" s="234" t="str">
        <f>'Building Bill of Materials_SLIM'!S134</f>
        <v/>
      </c>
      <c r="F134" s="234"/>
      <c r="G134" s="234"/>
      <c r="H134" s="234" t="str">
        <f>'Building Bill of Materials_SLIM'!T134</f>
        <v/>
      </c>
      <c r="I134" s="234" t="str">
        <f>'Building Bill of Materials_SLIM'!U134</f>
        <v/>
      </c>
      <c r="J134" s="234" t="str">
        <f>'Building Bill of Materials_SLIM'!V134</f>
        <v/>
      </c>
      <c r="K134" s="192"/>
      <c r="L134" s="238"/>
      <c r="M134" s="238"/>
      <c r="N134" s="291"/>
      <c r="O134" s="291"/>
      <c r="P134" s="291"/>
      <c r="Q134" s="291"/>
      <c r="R134" s="291"/>
      <c r="S134" s="291"/>
      <c r="T134" s="291"/>
      <c r="U134" s="291"/>
      <c r="V134" s="291"/>
      <c r="W134" s="291"/>
      <c r="X134" s="291"/>
      <c r="Y134" s="291"/>
      <c r="Z134" s="291"/>
      <c r="AA134" s="291"/>
      <c r="AB134" s="291"/>
      <c r="AC134" s="291"/>
      <c r="AD134" s="291"/>
      <c r="AE134" s="291"/>
      <c r="AF134" s="291"/>
      <c r="AG134" s="291"/>
    </row>
    <row r="135" ht="18.75" customHeight="1">
      <c r="A135" s="283"/>
      <c r="B135" s="234" t="str">
        <f>'Building Bill of Materials_SLIM'!P135</f>
        <v/>
      </c>
      <c r="C135" s="234" t="str">
        <f>'Building Bill of Materials_SLIM'!Q135</f>
        <v/>
      </c>
      <c r="D135" s="234" t="str">
        <f>'Building Bill of Materials_SLIM'!R135</f>
        <v/>
      </c>
      <c r="E135" s="234" t="str">
        <f>'Building Bill of Materials_SLIM'!S135</f>
        <v/>
      </c>
      <c r="F135" s="234"/>
      <c r="G135" s="234"/>
      <c r="H135" s="234" t="str">
        <f>'Building Bill of Materials_SLIM'!T135</f>
        <v/>
      </c>
      <c r="I135" s="234" t="str">
        <f>'Building Bill of Materials_SLIM'!U135</f>
        <v/>
      </c>
      <c r="J135" s="234" t="str">
        <f>'Building Bill of Materials_SLIM'!V135</f>
        <v/>
      </c>
      <c r="K135" s="192"/>
      <c r="L135" s="238"/>
      <c r="M135" s="238"/>
      <c r="N135" s="291"/>
      <c r="O135" s="291"/>
      <c r="P135" s="291"/>
      <c r="Q135" s="291"/>
      <c r="R135" s="291"/>
      <c r="S135" s="291"/>
      <c r="T135" s="291"/>
      <c r="U135" s="291"/>
      <c r="V135" s="291"/>
      <c r="W135" s="291"/>
      <c r="X135" s="291"/>
      <c r="Y135" s="291"/>
      <c r="Z135" s="291"/>
      <c r="AA135" s="291"/>
      <c r="AB135" s="291"/>
      <c r="AC135" s="291"/>
      <c r="AD135" s="291"/>
      <c r="AE135" s="291"/>
      <c r="AF135" s="291"/>
      <c r="AG135" s="291"/>
    </row>
    <row r="136" ht="18.75" customHeight="1">
      <c r="A136" s="283"/>
      <c r="B136" s="234" t="str">
        <f>'Building Bill of Materials_SLIM'!P136</f>
        <v/>
      </c>
      <c r="C136" s="234" t="str">
        <f>'Building Bill of Materials_SLIM'!Q136</f>
        <v/>
      </c>
      <c r="D136" s="234" t="str">
        <f>'Building Bill of Materials_SLIM'!R136</f>
        <v/>
      </c>
      <c r="E136" s="234" t="str">
        <f>'Building Bill of Materials_SLIM'!S136</f>
        <v/>
      </c>
      <c r="F136" s="234"/>
      <c r="G136" s="234"/>
      <c r="H136" s="234" t="str">
        <f>'Building Bill of Materials_SLIM'!T136</f>
        <v/>
      </c>
      <c r="I136" s="234" t="str">
        <f>'Building Bill of Materials_SLIM'!U136</f>
        <v/>
      </c>
      <c r="J136" s="234" t="str">
        <f>'Building Bill of Materials_SLIM'!V136</f>
        <v/>
      </c>
      <c r="K136" s="192"/>
      <c r="L136" s="238"/>
      <c r="M136" s="238"/>
      <c r="N136" s="291"/>
      <c r="O136" s="291"/>
      <c r="P136" s="291"/>
      <c r="Q136" s="291"/>
      <c r="R136" s="291"/>
      <c r="S136" s="291"/>
      <c r="T136" s="291"/>
      <c r="U136" s="291"/>
      <c r="V136" s="291"/>
      <c r="W136" s="291"/>
      <c r="X136" s="291"/>
      <c r="Y136" s="291"/>
      <c r="Z136" s="291"/>
      <c r="AA136" s="291"/>
      <c r="AB136" s="291"/>
      <c r="AC136" s="291"/>
      <c r="AD136" s="291"/>
      <c r="AE136" s="291"/>
      <c r="AF136" s="291"/>
      <c r="AG136" s="291"/>
    </row>
    <row r="137" ht="18.75" customHeight="1">
      <c r="A137" s="283"/>
      <c r="B137" s="234" t="str">
        <f>'Building Bill of Materials_SLIM'!P137</f>
        <v/>
      </c>
      <c r="C137" s="234" t="str">
        <f>'Building Bill of Materials_SLIM'!Q137</f>
        <v/>
      </c>
      <c r="D137" s="234" t="str">
        <f>'Building Bill of Materials_SLIM'!R137</f>
        <v/>
      </c>
      <c r="E137" s="234" t="str">
        <f>'Building Bill of Materials_SLIM'!S137</f>
        <v/>
      </c>
      <c r="F137" s="234"/>
      <c r="G137" s="234"/>
      <c r="H137" s="234" t="str">
        <f>'Building Bill of Materials_SLIM'!T137</f>
        <v/>
      </c>
      <c r="I137" s="234" t="str">
        <f>'Building Bill of Materials_SLIM'!U137</f>
        <v/>
      </c>
      <c r="J137" s="234" t="str">
        <f>'Building Bill of Materials_SLIM'!V137</f>
        <v/>
      </c>
      <c r="K137" s="192"/>
      <c r="L137" s="238"/>
      <c r="M137" s="238"/>
      <c r="N137" s="291"/>
      <c r="O137" s="291"/>
      <c r="P137" s="291"/>
      <c r="Q137" s="291"/>
      <c r="R137" s="291"/>
      <c r="S137" s="291"/>
      <c r="T137" s="291"/>
      <c r="U137" s="291"/>
      <c r="V137" s="291"/>
      <c r="W137" s="291"/>
      <c r="X137" s="291"/>
      <c r="Y137" s="291"/>
      <c r="Z137" s="291"/>
      <c r="AA137" s="291"/>
      <c r="AB137" s="291"/>
      <c r="AC137" s="291"/>
      <c r="AD137" s="291"/>
      <c r="AE137" s="291"/>
      <c r="AF137" s="291"/>
      <c r="AG137" s="291"/>
    </row>
    <row r="138" ht="18.75" customHeight="1">
      <c r="A138" s="283"/>
      <c r="B138" s="234" t="str">
        <f>'Building Bill of Materials_SLIM'!P138</f>
        <v/>
      </c>
      <c r="C138" s="234" t="str">
        <f>'Building Bill of Materials_SLIM'!Q138</f>
        <v/>
      </c>
      <c r="D138" s="234" t="str">
        <f>'Building Bill of Materials_SLIM'!R138</f>
        <v/>
      </c>
      <c r="E138" s="234" t="str">
        <f>'Building Bill of Materials_SLIM'!S138</f>
        <v/>
      </c>
      <c r="F138" s="234"/>
      <c r="G138" s="234"/>
      <c r="H138" s="234" t="str">
        <f>'Building Bill of Materials_SLIM'!T138</f>
        <v/>
      </c>
      <c r="I138" s="234" t="str">
        <f>'Building Bill of Materials_SLIM'!U138</f>
        <v/>
      </c>
      <c r="J138" s="234" t="str">
        <f>'Building Bill of Materials_SLIM'!V138</f>
        <v/>
      </c>
      <c r="K138" s="192"/>
      <c r="L138" s="238"/>
      <c r="M138" s="238"/>
      <c r="N138" s="291"/>
      <c r="O138" s="291"/>
      <c r="P138" s="291"/>
      <c r="Q138" s="291"/>
      <c r="R138" s="291"/>
      <c r="S138" s="291"/>
      <c r="T138" s="291"/>
      <c r="U138" s="291"/>
      <c r="V138" s="291"/>
      <c r="W138" s="291"/>
      <c r="X138" s="291"/>
      <c r="Y138" s="291"/>
      <c r="Z138" s="291"/>
      <c r="AA138" s="291"/>
      <c r="AB138" s="291"/>
      <c r="AC138" s="291"/>
      <c r="AD138" s="291"/>
      <c r="AE138" s="291"/>
      <c r="AF138" s="291"/>
      <c r="AG138" s="291"/>
    </row>
    <row r="139" ht="18.75" customHeight="1">
      <c r="A139" s="283"/>
      <c r="B139" s="234" t="str">
        <f>'Building Bill of Materials_SLIM'!P139</f>
        <v/>
      </c>
      <c r="C139" s="234" t="str">
        <f>'Building Bill of Materials_SLIM'!Q139</f>
        <v/>
      </c>
      <c r="D139" s="234" t="str">
        <f>'Building Bill of Materials_SLIM'!R139</f>
        <v/>
      </c>
      <c r="E139" s="234" t="str">
        <f>'Building Bill of Materials_SLIM'!S139</f>
        <v/>
      </c>
      <c r="F139" s="234"/>
      <c r="G139" s="234"/>
      <c r="H139" s="234" t="str">
        <f>'Building Bill of Materials_SLIM'!T139</f>
        <v/>
      </c>
      <c r="I139" s="234" t="str">
        <f>'Building Bill of Materials_SLIM'!U139</f>
        <v/>
      </c>
      <c r="J139" s="234" t="str">
        <f>'Building Bill of Materials_SLIM'!V139</f>
        <v/>
      </c>
      <c r="K139" s="192"/>
      <c r="L139" s="238"/>
      <c r="M139" s="238"/>
      <c r="N139" s="291"/>
      <c r="O139" s="291"/>
      <c r="P139" s="291"/>
      <c r="Q139" s="291"/>
      <c r="R139" s="291"/>
      <c r="S139" s="291"/>
      <c r="T139" s="291"/>
      <c r="U139" s="291"/>
      <c r="V139" s="291"/>
      <c r="W139" s="291"/>
      <c r="X139" s="291"/>
      <c r="Y139" s="291"/>
      <c r="Z139" s="291"/>
      <c r="AA139" s="291"/>
      <c r="AB139" s="291"/>
      <c r="AC139" s="291"/>
      <c r="AD139" s="291"/>
      <c r="AE139" s="291"/>
      <c r="AF139" s="291"/>
      <c r="AG139" s="291"/>
    </row>
    <row r="140" ht="18.75" customHeight="1">
      <c r="A140" s="283"/>
      <c r="B140" s="234" t="str">
        <f>'Building Bill of Materials_SLIM'!P140</f>
        <v/>
      </c>
      <c r="C140" s="234" t="str">
        <f>'Building Bill of Materials_SLIM'!Q140</f>
        <v/>
      </c>
      <c r="D140" s="234" t="str">
        <f>'Building Bill of Materials_SLIM'!R140</f>
        <v/>
      </c>
      <c r="E140" s="234" t="str">
        <f>'Building Bill of Materials_SLIM'!S140</f>
        <v/>
      </c>
      <c r="F140" s="234"/>
      <c r="G140" s="234"/>
      <c r="H140" s="234" t="str">
        <f>'Building Bill of Materials_SLIM'!T140</f>
        <v/>
      </c>
      <c r="I140" s="234" t="str">
        <f>'Building Bill of Materials_SLIM'!U140</f>
        <v/>
      </c>
      <c r="J140" s="234" t="str">
        <f>'Building Bill of Materials_SLIM'!V140</f>
        <v/>
      </c>
      <c r="K140" s="192"/>
      <c r="L140" s="238"/>
      <c r="M140" s="238"/>
      <c r="N140" s="291"/>
      <c r="O140" s="291"/>
      <c r="P140" s="291"/>
      <c r="Q140" s="291"/>
      <c r="R140" s="291"/>
      <c r="S140" s="291"/>
      <c r="T140" s="291"/>
      <c r="U140" s="291"/>
      <c r="V140" s="291"/>
      <c r="W140" s="291"/>
      <c r="X140" s="291"/>
      <c r="Y140" s="291"/>
      <c r="Z140" s="291"/>
      <c r="AA140" s="291"/>
      <c r="AB140" s="291"/>
      <c r="AC140" s="291"/>
      <c r="AD140" s="291"/>
      <c r="AE140" s="291"/>
      <c r="AF140" s="291"/>
      <c r="AG140" s="291"/>
    </row>
    <row r="141" ht="18.75" customHeight="1">
      <c r="A141" s="283"/>
      <c r="B141" s="234" t="str">
        <f>'Building Bill of Materials_SLIM'!P141</f>
        <v/>
      </c>
      <c r="C141" s="234" t="str">
        <f>'Building Bill of Materials_SLIM'!Q141</f>
        <v/>
      </c>
      <c r="D141" s="234" t="str">
        <f>'Building Bill of Materials_SLIM'!R141</f>
        <v/>
      </c>
      <c r="E141" s="234" t="str">
        <f>'Building Bill of Materials_SLIM'!S141</f>
        <v/>
      </c>
      <c r="F141" s="234"/>
      <c r="G141" s="234"/>
      <c r="H141" s="234" t="str">
        <f>'Building Bill of Materials_SLIM'!T141</f>
        <v/>
      </c>
      <c r="I141" s="234" t="str">
        <f>'Building Bill of Materials_SLIM'!U141</f>
        <v/>
      </c>
      <c r="J141" s="234" t="str">
        <f>'Building Bill of Materials_SLIM'!V141</f>
        <v/>
      </c>
      <c r="K141" s="192"/>
      <c r="L141" s="238"/>
      <c r="M141" s="238"/>
      <c r="N141" s="291"/>
      <c r="O141" s="291"/>
      <c r="P141" s="291"/>
      <c r="Q141" s="291"/>
      <c r="R141" s="291"/>
      <c r="S141" s="291"/>
      <c r="T141" s="291"/>
      <c r="U141" s="291"/>
      <c r="V141" s="291"/>
      <c r="W141" s="291"/>
      <c r="X141" s="291"/>
      <c r="Y141" s="291"/>
      <c r="Z141" s="291"/>
      <c r="AA141" s="291"/>
      <c r="AB141" s="291"/>
      <c r="AC141" s="291"/>
      <c r="AD141" s="291"/>
      <c r="AE141" s="291"/>
      <c r="AF141" s="291"/>
      <c r="AG141" s="291"/>
    </row>
    <row r="142" ht="18.75" customHeight="1">
      <c r="A142" s="283"/>
      <c r="B142" s="234" t="str">
        <f>'Building Bill of Materials_SLIM'!P142</f>
        <v/>
      </c>
      <c r="C142" s="234" t="str">
        <f>'Building Bill of Materials_SLIM'!Q142</f>
        <v/>
      </c>
      <c r="D142" s="234" t="str">
        <f>'Building Bill of Materials_SLIM'!R142</f>
        <v/>
      </c>
      <c r="E142" s="234" t="str">
        <f>'Building Bill of Materials_SLIM'!S142</f>
        <v/>
      </c>
      <c r="F142" s="234"/>
      <c r="G142" s="234"/>
      <c r="H142" s="234" t="str">
        <f>'Building Bill of Materials_SLIM'!T142</f>
        <v/>
      </c>
      <c r="I142" s="234" t="str">
        <f>'Building Bill of Materials_SLIM'!U142</f>
        <v/>
      </c>
      <c r="J142" s="234" t="str">
        <f>'Building Bill of Materials_SLIM'!V142</f>
        <v/>
      </c>
      <c r="K142" s="192"/>
      <c r="L142" s="238"/>
      <c r="M142" s="238"/>
      <c r="N142" s="291"/>
      <c r="O142" s="291"/>
      <c r="P142" s="291"/>
      <c r="Q142" s="291"/>
      <c r="R142" s="291"/>
      <c r="S142" s="291"/>
      <c r="T142" s="291"/>
      <c r="U142" s="291"/>
      <c r="V142" s="291"/>
      <c r="W142" s="291"/>
      <c r="X142" s="291"/>
      <c r="Y142" s="291"/>
      <c r="Z142" s="291"/>
      <c r="AA142" s="291"/>
      <c r="AB142" s="291"/>
      <c r="AC142" s="291"/>
      <c r="AD142" s="291"/>
      <c r="AE142" s="291"/>
      <c r="AF142" s="291"/>
      <c r="AG142" s="291"/>
    </row>
    <row r="143" ht="18.75" customHeight="1">
      <c r="A143" s="283"/>
      <c r="B143" s="234" t="str">
        <f>'Building Bill of Materials_SLIM'!P143</f>
        <v/>
      </c>
      <c r="C143" s="234" t="str">
        <f>'Building Bill of Materials_SLIM'!Q143</f>
        <v/>
      </c>
      <c r="D143" s="234" t="str">
        <f>'Building Bill of Materials_SLIM'!R143</f>
        <v/>
      </c>
      <c r="E143" s="234" t="str">
        <f>'Building Bill of Materials_SLIM'!S143</f>
        <v/>
      </c>
      <c r="F143" s="234"/>
      <c r="G143" s="234"/>
      <c r="H143" s="234" t="str">
        <f>'Building Bill of Materials_SLIM'!T143</f>
        <v/>
      </c>
      <c r="I143" s="234" t="str">
        <f>'Building Bill of Materials_SLIM'!U143</f>
        <v/>
      </c>
      <c r="J143" s="234" t="str">
        <f>'Building Bill of Materials_SLIM'!V143</f>
        <v/>
      </c>
      <c r="K143" s="192"/>
      <c r="L143" s="238"/>
      <c r="M143" s="238"/>
      <c r="N143" s="291"/>
      <c r="O143" s="291"/>
      <c r="P143" s="291"/>
      <c r="Q143" s="291"/>
      <c r="R143" s="291"/>
      <c r="S143" s="291"/>
      <c r="T143" s="291"/>
      <c r="U143" s="291"/>
      <c r="V143" s="291"/>
      <c r="W143" s="291"/>
      <c r="X143" s="291"/>
      <c r="Y143" s="291"/>
      <c r="Z143" s="291"/>
      <c r="AA143" s="291"/>
      <c r="AB143" s="291"/>
      <c r="AC143" s="291"/>
      <c r="AD143" s="291"/>
      <c r="AE143" s="291"/>
      <c r="AF143" s="291"/>
      <c r="AG143" s="291"/>
    </row>
    <row r="144" ht="18.75" customHeight="1">
      <c r="A144" s="283"/>
      <c r="B144" s="234" t="str">
        <f>'Building Bill of Materials_SLIM'!P144</f>
        <v/>
      </c>
      <c r="C144" s="234" t="str">
        <f>'Building Bill of Materials_SLIM'!Q144</f>
        <v/>
      </c>
      <c r="D144" s="234" t="str">
        <f>'Building Bill of Materials_SLIM'!R144</f>
        <v/>
      </c>
      <c r="E144" s="234" t="str">
        <f>'Building Bill of Materials_SLIM'!S144</f>
        <v/>
      </c>
      <c r="F144" s="234"/>
      <c r="G144" s="234"/>
      <c r="H144" s="234" t="str">
        <f>'Building Bill of Materials_SLIM'!T144</f>
        <v/>
      </c>
      <c r="I144" s="234" t="str">
        <f>'Building Bill of Materials_SLIM'!U144</f>
        <v/>
      </c>
      <c r="J144" s="234" t="str">
        <f>'Building Bill of Materials_SLIM'!V144</f>
        <v/>
      </c>
      <c r="K144" s="192"/>
      <c r="L144" s="238"/>
      <c r="M144" s="238"/>
      <c r="N144" s="291"/>
      <c r="O144" s="291"/>
      <c r="P144" s="291"/>
      <c r="Q144" s="291"/>
      <c r="R144" s="291"/>
      <c r="S144" s="291"/>
      <c r="T144" s="291"/>
      <c r="U144" s="291"/>
      <c r="V144" s="291"/>
      <c r="W144" s="291"/>
      <c r="X144" s="291"/>
      <c r="Y144" s="291"/>
      <c r="Z144" s="291"/>
      <c r="AA144" s="291"/>
      <c r="AB144" s="291"/>
      <c r="AC144" s="291"/>
      <c r="AD144" s="291"/>
      <c r="AE144" s="291"/>
      <c r="AF144" s="291"/>
      <c r="AG144" s="291"/>
    </row>
    <row r="145" ht="18.75" customHeight="1">
      <c r="A145" s="283"/>
      <c r="B145" s="234" t="str">
        <f>'Building Bill of Materials_SLIM'!P145</f>
        <v/>
      </c>
      <c r="C145" s="234" t="str">
        <f>'Building Bill of Materials_SLIM'!Q145</f>
        <v/>
      </c>
      <c r="D145" s="234" t="str">
        <f>'Building Bill of Materials_SLIM'!R145</f>
        <v/>
      </c>
      <c r="E145" s="234" t="str">
        <f>'Building Bill of Materials_SLIM'!S145</f>
        <v/>
      </c>
      <c r="F145" s="234"/>
      <c r="G145" s="234"/>
      <c r="H145" s="234" t="str">
        <f>'Building Bill of Materials_SLIM'!T145</f>
        <v/>
      </c>
      <c r="I145" s="234" t="str">
        <f>'Building Bill of Materials_SLIM'!U145</f>
        <v/>
      </c>
      <c r="J145" s="234" t="str">
        <f>'Building Bill of Materials_SLIM'!V145</f>
        <v/>
      </c>
      <c r="K145" s="192"/>
      <c r="L145" s="238"/>
      <c r="M145" s="238"/>
      <c r="N145" s="291"/>
      <c r="O145" s="291"/>
      <c r="P145" s="291"/>
      <c r="Q145" s="291"/>
      <c r="R145" s="291"/>
      <c r="S145" s="291"/>
      <c r="T145" s="291"/>
      <c r="U145" s="291"/>
      <c r="V145" s="291"/>
      <c r="W145" s="291"/>
      <c r="X145" s="291"/>
      <c r="Y145" s="291"/>
      <c r="Z145" s="291"/>
      <c r="AA145" s="291"/>
      <c r="AB145" s="291"/>
      <c r="AC145" s="291"/>
      <c r="AD145" s="291"/>
      <c r="AE145" s="291"/>
      <c r="AF145" s="291"/>
      <c r="AG145" s="291"/>
    </row>
    <row r="146" ht="18.75" customHeight="1">
      <c r="A146" s="283"/>
      <c r="B146" s="234" t="str">
        <f>'Building Bill of Materials_SLIM'!P146</f>
        <v/>
      </c>
      <c r="C146" s="234" t="str">
        <f>'Building Bill of Materials_SLIM'!Q146</f>
        <v/>
      </c>
      <c r="D146" s="234" t="str">
        <f>'Building Bill of Materials_SLIM'!R146</f>
        <v/>
      </c>
      <c r="E146" s="234" t="str">
        <f>'Building Bill of Materials_SLIM'!S146</f>
        <v/>
      </c>
      <c r="F146" s="234"/>
      <c r="G146" s="234"/>
      <c r="H146" s="234" t="str">
        <f>'Building Bill of Materials_SLIM'!T146</f>
        <v/>
      </c>
      <c r="I146" s="234" t="str">
        <f>'Building Bill of Materials_SLIM'!U146</f>
        <v/>
      </c>
      <c r="J146" s="234" t="str">
        <f>'Building Bill of Materials_SLIM'!V146</f>
        <v/>
      </c>
      <c r="K146" s="192"/>
      <c r="L146" s="238"/>
      <c r="M146" s="238"/>
      <c r="N146" s="291"/>
      <c r="O146" s="291"/>
      <c r="P146" s="291"/>
      <c r="Q146" s="291"/>
      <c r="R146" s="291"/>
      <c r="S146" s="291"/>
      <c r="T146" s="291"/>
      <c r="U146" s="291"/>
      <c r="V146" s="291"/>
      <c r="W146" s="291"/>
      <c r="X146" s="291"/>
      <c r="Y146" s="291"/>
      <c r="Z146" s="291"/>
      <c r="AA146" s="291"/>
      <c r="AB146" s="291"/>
      <c r="AC146" s="291"/>
      <c r="AD146" s="291"/>
      <c r="AE146" s="291"/>
      <c r="AF146" s="291"/>
      <c r="AG146" s="291"/>
    </row>
    <row r="147" ht="18.75" customHeight="1">
      <c r="A147" s="283"/>
      <c r="B147" s="234" t="str">
        <f>'Building Bill of Materials_SLIM'!P147</f>
        <v/>
      </c>
      <c r="C147" s="234" t="str">
        <f>'Building Bill of Materials_SLIM'!Q147</f>
        <v/>
      </c>
      <c r="D147" s="234" t="str">
        <f>'Building Bill of Materials_SLIM'!R147</f>
        <v/>
      </c>
      <c r="E147" s="234" t="str">
        <f>'Building Bill of Materials_SLIM'!S147</f>
        <v/>
      </c>
      <c r="F147" s="234"/>
      <c r="G147" s="234"/>
      <c r="H147" s="234" t="str">
        <f>'Building Bill of Materials_SLIM'!T147</f>
        <v/>
      </c>
      <c r="I147" s="234" t="str">
        <f>'Building Bill of Materials_SLIM'!U147</f>
        <v/>
      </c>
      <c r="J147" s="234" t="str">
        <f>'Building Bill of Materials_SLIM'!V147</f>
        <v/>
      </c>
      <c r="K147" s="192"/>
      <c r="L147" s="238"/>
      <c r="M147" s="238"/>
      <c r="N147" s="291"/>
      <c r="O147" s="291"/>
      <c r="P147" s="291"/>
      <c r="Q147" s="291"/>
      <c r="R147" s="291"/>
      <c r="S147" s="291"/>
      <c r="T147" s="291"/>
      <c r="U147" s="291"/>
      <c r="V147" s="291"/>
      <c r="W147" s="291"/>
      <c r="X147" s="291"/>
      <c r="Y147" s="291"/>
      <c r="Z147" s="291"/>
      <c r="AA147" s="291"/>
      <c r="AB147" s="291"/>
      <c r="AC147" s="291"/>
      <c r="AD147" s="291"/>
      <c r="AE147" s="291"/>
      <c r="AF147" s="291"/>
      <c r="AG147" s="291"/>
    </row>
    <row r="148" ht="18.75" customHeight="1">
      <c r="A148" s="283"/>
      <c r="B148" s="234" t="str">
        <f>'Building Bill of Materials_SLIM'!P148</f>
        <v/>
      </c>
      <c r="C148" s="234" t="str">
        <f>'Building Bill of Materials_SLIM'!Q148</f>
        <v/>
      </c>
      <c r="D148" s="234" t="str">
        <f>'Building Bill of Materials_SLIM'!R148</f>
        <v/>
      </c>
      <c r="E148" s="234" t="str">
        <f>'Building Bill of Materials_SLIM'!S148</f>
        <v/>
      </c>
      <c r="F148" s="234"/>
      <c r="G148" s="234"/>
      <c r="H148" s="234" t="str">
        <f>'Building Bill of Materials_SLIM'!T148</f>
        <v/>
      </c>
      <c r="I148" s="234" t="str">
        <f>'Building Bill of Materials_SLIM'!U148</f>
        <v/>
      </c>
      <c r="J148" s="234" t="str">
        <f>'Building Bill of Materials_SLIM'!V148</f>
        <v/>
      </c>
      <c r="K148" s="192"/>
      <c r="L148" s="238"/>
      <c r="M148" s="238"/>
      <c r="N148" s="291"/>
      <c r="O148" s="291"/>
      <c r="P148" s="291"/>
      <c r="Q148" s="291"/>
      <c r="R148" s="291"/>
      <c r="S148" s="291"/>
      <c r="T148" s="291"/>
      <c r="U148" s="291"/>
      <c r="V148" s="291"/>
      <c r="W148" s="291"/>
      <c r="X148" s="291"/>
      <c r="Y148" s="291"/>
      <c r="Z148" s="291"/>
      <c r="AA148" s="291"/>
      <c r="AB148" s="291"/>
      <c r="AC148" s="291"/>
      <c r="AD148" s="291"/>
      <c r="AE148" s="291"/>
      <c r="AF148" s="291"/>
      <c r="AG148" s="291"/>
    </row>
    <row r="149" ht="18.75" customHeight="1">
      <c r="A149" s="283"/>
      <c r="B149" s="234" t="str">
        <f>'Building Bill of Materials_SLIM'!P149</f>
        <v/>
      </c>
      <c r="C149" s="234" t="str">
        <f>'Building Bill of Materials_SLIM'!Q149</f>
        <v/>
      </c>
      <c r="D149" s="234" t="str">
        <f>'Building Bill of Materials_SLIM'!R149</f>
        <v/>
      </c>
      <c r="E149" s="234" t="str">
        <f>'Building Bill of Materials_SLIM'!S149</f>
        <v/>
      </c>
      <c r="F149" s="234"/>
      <c r="G149" s="234"/>
      <c r="H149" s="234" t="str">
        <f>'Building Bill of Materials_SLIM'!T149</f>
        <v/>
      </c>
      <c r="I149" s="234" t="str">
        <f>'Building Bill of Materials_SLIM'!U149</f>
        <v/>
      </c>
      <c r="J149" s="234" t="str">
        <f>'Building Bill of Materials_SLIM'!V149</f>
        <v/>
      </c>
      <c r="K149" s="192"/>
      <c r="L149" s="238"/>
      <c r="M149" s="238"/>
      <c r="N149" s="291"/>
      <c r="O149" s="291"/>
      <c r="P149" s="291"/>
      <c r="Q149" s="291"/>
      <c r="R149" s="291"/>
      <c r="S149" s="291"/>
      <c r="T149" s="291"/>
      <c r="U149" s="291"/>
      <c r="V149" s="291"/>
      <c r="W149" s="291"/>
      <c r="X149" s="291"/>
      <c r="Y149" s="291"/>
      <c r="Z149" s="291"/>
      <c r="AA149" s="291"/>
      <c r="AB149" s="291"/>
      <c r="AC149" s="291"/>
      <c r="AD149" s="291"/>
      <c r="AE149" s="291"/>
      <c r="AF149" s="291"/>
      <c r="AG149" s="291"/>
    </row>
    <row r="150" ht="18.75" customHeight="1">
      <c r="A150" s="283"/>
      <c r="B150" s="234" t="str">
        <f>'Building Bill of Materials_SLIM'!P150</f>
        <v/>
      </c>
      <c r="C150" s="234" t="str">
        <f>'Building Bill of Materials_SLIM'!Q150</f>
        <v/>
      </c>
      <c r="D150" s="234" t="str">
        <f>'Building Bill of Materials_SLIM'!R150</f>
        <v/>
      </c>
      <c r="E150" s="234" t="str">
        <f>'Building Bill of Materials_SLIM'!S150</f>
        <v/>
      </c>
      <c r="F150" s="234"/>
      <c r="G150" s="234"/>
      <c r="H150" s="234" t="str">
        <f>'Building Bill of Materials_SLIM'!T150</f>
        <v/>
      </c>
      <c r="I150" s="234" t="str">
        <f>'Building Bill of Materials_SLIM'!U150</f>
        <v/>
      </c>
      <c r="J150" s="234" t="str">
        <f>'Building Bill of Materials_SLIM'!V150</f>
        <v/>
      </c>
      <c r="K150" s="192"/>
      <c r="L150" s="238"/>
      <c r="M150" s="238"/>
      <c r="N150" s="291"/>
      <c r="O150" s="291"/>
      <c r="P150" s="291"/>
      <c r="Q150" s="291"/>
      <c r="R150" s="291"/>
      <c r="S150" s="291"/>
      <c r="T150" s="291"/>
      <c r="U150" s="291"/>
      <c r="V150" s="291"/>
      <c r="W150" s="291"/>
      <c r="X150" s="291"/>
      <c r="Y150" s="291"/>
      <c r="Z150" s="291"/>
      <c r="AA150" s="291"/>
      <c r="AB150" s="291"/>
      <c r="AC150" s="291"/>
      <c r="AD150" s="291"/>
      <c r="AE150" s="291"/>
      <c r="AF150" s="291"/>
      <c r="AG150" s="291"/>
    </row>
    <row r="151" ht="18.75" customHeight="1">
      <c r="A151" s="283"/>
      <c r="B151" s="234" t="str">
        <f>'Building Bill of Materials_SLIM'!P151</f>
        <v/>
      </c>
      <c r="C151" s="234" t="str">
        <f>'Building Bill of Materials_SLIM'!Q151</f>
        <v/>
      </c>
      <c r="D151" s="234" t="str">
        <f>'Building Bill of Materials_SLIM'!R151</f>
        <v/>
      </c>
      <c r="E151" s="234" t="str">
        <f>'Building Bill of Materials_SLIM'!S151</f>
        <v/>
      </c>
      <c r="F151" s="234"/>
      <c r="G151" s="234"/>
      <c r="H151" s="234" t="str">
        <f>'Building Bill of Materials_SLIM'!T151</f>
        <v/>
      </c>
      <c r="I151" s="234" t="str">
        <f>'Building Bill of Materials_SLIM'!U151</f>
        <v/>
      </c>
      <c r="J151" s="234" t="str">
        <f>'Building Bill of Materials_SLIM'!V151</f>
        <v/>
      </c>
      <c r="K151" s="192"/>
      <c r="L151" s="238"/>
      <c r="M151" s="238"/>
      <c r="N151" s="291"/>
      <c r="O151" s="291"/>
      <c r="P151" s="291"/>
      <c r="Q151" s="291"/>
      <c r="R151" s="291"/>
      <c r="S151" s="291"/>
      <c r="T151" s="291"/>
      <c r="U151" s="291"/>
      <c r="V151" s="291"/>
      <c r="W151" s="291"/>
      <c r="X151" s="291"/>
      <c r="Y151" s="291"/>
      <c r="Z151" s="291"/>
      <c r="AA151" s="291"/>
      <c r="AB151" s="291"/>
      <c r="AC151" s="291"/>
      <c r="AD151" s="291"/>
      <c r="AE151" s="291"/>
      <c r="AF151" s="291"/>
      <c r="AG151" s="291"/>
    </row>
    <row r="152" ht="18.75" customHeight="1">
      <c r="A152" s="283"/>
      <c r="B152" s="234" t="str">
        <f>'Building Bill of Materials_SLIM'!P152</f>
        <v/>
      </c>
      <c r="C152" s="234" t="str">
        <f>'Building Bill of Materials_SLIM'!Q152</f>
        <v/>
      </c>
      <c r="D152" s="234" t="str">
        <f>'Building Bill of Materials_SLIM'!R152</f>
        <v/>
      </c>
      <c r="E152" s="234" t="str">
        <f>'Building Bill of Materials_SLIM'!S152</f>
        <v/>
      </c>
      <c r="F152" s="234"/>
      <c r="G152" s="234"/>
      <c r="H152" s="234" t="str">
        <f>'Building Bill of Materials_SLIM'!T152</f>
        <v/>
      </c>
      <c r="I152" s="234" t="str">
        <f>'Building Bill of Materials_SLIM'!U152</f>
        <v/>
      </c>
      <c r="J152" s="234" t="str">
        <f>'Building Bill of Materials_SLIM'!V152</f>
        <v/>
      </c>
      <c r="K152" s="192"/>
      <c r="L152" s="238"/>
      <c r="M152" s="238"/>
      <c r="N152" s="291"/>
      <c r="O152" s="291"/>
      <c r="P152" s="291"/>
      <c r="Q152" s="291"/>
      <c r="R152" s="291"/>
      <c r="S152" s="291"/>
      <c r="T152" s="291"/>
      <c r="U152" s="291"/>
      <c r="V152" s="291"/>
      <c r="W152" s="291"/>
      <c r="X152" s="291"/>
      <c r="Y152" s="291"/>
      <c r="Z152" s="291"/>
      <c r="AA152" s="291"/>
      <c r="AB152" s="291"/>
      <c r="AC152" s="291"/>
      <c r="AD152" s="291"/>
      <c r="AE152" s="291"/>
      <c r="AF152" s="291"/>
      <c r="AG152" s="291"/>
    </row>
    <row r="153" ht="18.75" customHeight="1">
      <c r="A153" s="283"/>
      <c r="B153" s="234" t="str">
        <f>'Building Bill of Materials_SLIM'!P153</f>
        <v/>
      </c>
      <c r="C153" s="234" t="str">
        <f>'Building Bill of Materials_SLIM'!Q153</f>
        <v/>
      </c>
      <c r="D153" s="234" t="str">
        <f>'Building Bill of Materials_SLIM'!R153</f>
        <v/>
      </c>
      <c r="E153" s="234" t="str">
        <f>'Building Bill of Materials_SLIM'!S153</f>
        <v/>
      </c>
      <c r="F153" s="234"/>
      <c r="G153" s="234"/>
      <c r="H153" s="234" t="str">
        <f>'Building Bill of Materials_SLIM'!T153</f>
        <v/>
      </c>
      <c r="I153" s="234" t="str">
        <f>'Building Bill of Materials_SLIM'!U153</f>
        <v/>
      </c>
      <c r="J153" s="234" t="str">
        <f>'Building Bill of Materials_SLIM'!V153</f>
        <v/>
      </c>
      <c r="K153" s="192"/>
      <c r="L153" s="238"/>
      <c r="M153" s="238"/>
      <c r="N153" s="291"/>
      <c r="O153" s="291"/>
      <c r="P153" s="291"/>
      <c r="Q153" s="291"/>
      <c r="R153" s="291"/>
      <c r="S153" s="291"/>
      <c r="T153" s="291"/>
      <c r="U153" s="291"/>
      <c r="V153" s="291"/>
      <c r="W153" s="291"/>
      <c r="X153" s="291"/>
      <c r="Y153" s="291"/>
      <c r="Z153" s="291"/>
      <c r="AA153" s="291"/>
      <c r="AB153" s="291"/>
      <c r="AC153" s="291"/>
      <c r="AD153" s="291"/>
      <c r="AE153" s="291"/>
      <c r="AF153" s="291"/>
      <c r="AG153" s="291"/>
    </row>
    <row r="154" ht="18.75" customHeight="1">
      <c r="A154" s="283"/>
      <c r="B154" s="234" t="str">
        <f>'Building Bill of Materials_SLIM'!P154</f>
        <v/>
      </c>
      <c r="C154" s="234" t="str">
        <f>'Building Bill of Materials_SLIM'!Q154</f>
        <v/>
      </c>
      <c r="D154" s="234" t="str">
        <f>'Building Bill of Materials_SLIM'!R154</f>
        <v/>
      </c>
      <c r="E154" s="234" t="str">
        <f>'Building Bill of Materials_SLIM'!S154</f>
        <v/>
      </c>
      <c r="F154" s="234"/>
      <c r="G154" s="234"/>
      <c r="H154" s="234" t="str">
        <f>'Building Bill of Materials_SLIM'!T154</f>
        <v/>
      </c>
      <c r="I154" s="234" t="str">
        <f>'Building Bill of Materials_SLIM'!U154</f>
        <v/>
      </c>
      <c r="J154" s="234" t="str">
        <f>'Building Bill of Materials_SLIM'!V154</f>
        <v/>
      </c>
      <c r="K154" s="192"/>
      <c r="L154" s="238"/>
      <c r="M154" s="238"/>
      <c r="N154" s="291"/>
      <c r="O154" s="291"/>
      <c r="P154" s="291"/>
      <c r="Q154" s="291"/>
      <c r="R154" s="291"/>
      <c r="S154" s="291"/>
      <c r="T154" s="291"/>
      <c r="U154" s="291"/>
      <c r="V154" s="291"/>
      <c r="W154" s="291"/>
      <c r="X154" s="291"/>
      <c r="Y154" s="291"/>
      <c r="Z154" s="291"/>
      <c r="AA154" s="291"/>
      <c r="AB154" s="291"/>
      <c r="AC154" s="291"/>
      <c r="AD154" s="291"/>
      <c r="AE154" s="291"/>
      <c r="AF154" s="291"/>
      <c r="AG154" s="291"/>
    </row>
    <row r="155" ht="18.75" customHeight="1">
      <c r="A155" s="283"/>
      <c r="B155" s="234" t="str">
        <f>'Building Bill of Materials_SLIM'!P155</f>
        <v/>
      </c>
      <c r="C155" s="234" t="str">
        <f>'Building Bill of Materials_SLIM'!Q155</f>
        <v/>
      </c>
      <c r="D155" s="234" t="str">
        <f>'Building Bill of Materials_SLIM'!R155</f>
        <v/>
      </c>
      <c r="E155" s="234" t="str">
        <f>'Building Bill of Materials_SLIM'!S155</f>
        <v/>
      </c>
      <c r="F155" s="234"/>
      <c r="G155" s="234"/>
      <c r="H155" s="234" t="str">
        <f>'Building Bill of Materials_SLIM'!T155</f>
        <v/>
      </c>
      <c r="I155" s="234" t="str">
        <f>'Building Bill of Materials_SLIM'!U155</f>
        <v/>
      </c>
      <c r="J155" s="234" t="str">
        <f>'Building Bill of Materials_SLIM'!V155</f>
        <v/>
      </c>
      <c r="K155" s="192"/>
      <c r="L155" s="238"/>
      <c r="M155" s="238"/>
      <c r="N155" s="291"/>
      <c r="O155" s="291"/>
      <c r="P155" s="291"/>
      <c r="Q155" s="291"/>
      <c r="R155" s="291"/>
      <c r="S155" s="291"/>
      <c r="T155" s="291"/>
      <c r="U155" s="291"/>
      <c r="V155" s="291"/>
      <c r="W155" s="291"/>
      <c r="X155" s="291"/>
      <c r="Y155" s="291"/>
      <c r="Z155" s="291"/>
      <c r="AA155" s="291"/>
      <c r="AB155" s="291"/>
      <c r="AC155" s="291"/>
      <c r="AD155" s="291"/>
      <c r="AE155" s="291"/>
      <c r="AF155" s="291"/>
      <c r="AG155" s="291"/>
    </row>
    <row r="156" ht="18.75" customHeight="1">
      <c r="A156" s="283"/>
      <c r="B156" s="234" t="str">
        <f>'Building Bill of Materials_SLIM'!P156</f>
        <v/>
      </c>
      <c r="C156" s="234" t="str">
        <f>'Building Bill of Materials_SLIM'!Q156</f>
        <v/>
      </c>
      <c r="D156" s="234" t="str">
        <f>'Building Bill of Materials_SLIM'!R156</f>
        <v/>
      </c>
      <c r="E156" s="234" t="str">
        <f>'Building Bill of Materials_SLIM'!S156</f>
        <v/>
      </c>
      <c r="F156" s="234"/>
      <c r="G156" s="234"/>
      <c r="H156" s="234" t="str">
        <f>'Building Bill of Materials_SLIM'!T156</f>
        <v/>
      </c>
      <c r="I156" s="234" t="str">
        <f>'Building Bill of Materials_SLIM'!U156</f>
        <v/>
      </c>
      <c r="J156" s="234" t="str">
        <f>'Building Bill of Materials_SLIM'!V156</f>
        <v/>
      </c>
      <c r="K156" s="192"/>
      <c r="L156" s="238"/>
      <c r="M156" s="238"/>
      <c r="N156" s="291"/>
      <c r="O156" s="291"/>
      <c r="P156" s="291"/>
      <c r="Q156" s="291"/>
      <c r="R156" s="291"/>
      <c r="S156" s="291"/>
      <c r="T156" s="291"/>
      <c r="U156" s="291"/>
      <c r="V156" s="291"/>
      <c r="W156" s="291"/>
      <c r="X156" s="291"/>
      <c r="Y156" s="291"/>
      <c r="Z156" s="291"/>
      <c r="AA156" s="291"/>
      <c r="AB156" s="291"/>
      <c r="AC156" s="291"/>
      <c r="AD156" s="291"/>
      <c r="AE156" s="291"/>
      <c r="AF156" s="291"/>
      <c r="AG156" s="291"/>
    </row>
    <row r="157" ht="18.75" customHeight="1">
      <c r="A157" s="283"/>
      <c r="B157" s="234" t="str">
        <f>'Building Bill of Materials_SLIM'!P157</f>
        <v/>
      </c>
      <c r="C157" s="234" t="str">
        <f>'Building Bill of Materials_SLIM'!Q157</f>
        <v/>
      </c>
      <c r="D157" s="234" t="str">
        <f>'Building Bill of Materials_SLIM'!R157</f>
        <v/>
      </c>
      <c r="E157" s="234" t="str">
        <f>'Building Bill of Materials_SLIM'!S157</f>
        <v/>
      </c>
      <c r="F157" s="234"/>
      <c r="G157" s="234"/>
      <c r="H157" s="234" t="str">
        <f>'Building Bill of Materials_SLIM'!T157</f>
        <v/>
      </c>
      <c r="I157" s="234" t="str">
        <f>'Building Bill of Materials_SLIM'!U157</f>
        <v/>
      </c>
      <c r="J157" s="234" t="str">
        <f>'Building Bill of Materials_SLIM'!V157</f>
        <v/>
      </c>
      <c r="K157" s="192"/>
      <c r="L157" s="238"/>
      <c r="M157" s="238"/>
      <c r="N157" s="291"/>
      <c r="O157" s="291"/>
      <c r="P157" s="291"/>
      <c r="Q157" s="291"/>
      <c r="R157" s="291"/>
      <c r="S157" s="291"/>
      <c r="T157" s="291"/>
      <c r="U157" s="291"/>
      <c r="V157" s="291"/>
      <c r="W157" s="291"/>
      <c r="X157" s="291"/>
      <c r="Y157" s="291"/>
      <c r="Z157" s="291"/>
      <c r="AA157" s="291"/>
      <c r="AB157" s="291"/>
      <c r="AC157" s="291"/>
      <c r="AD157" s="291"/>
      <c r="AE157" s="291"/>
      <c r="AF157" s="291"/>
      <c r="AG157" s="291"/>
    </row>
    <row r="158" ht="18.75" customHeight="1">
      <c r="A158" s="283"/>
      <c r="B158" s="234" t="str">
        <f>'Building Bill of Materials_SLIM'!P158</f>
        <v/>
      </c>
      <c r="C158" s="234" t="str">
        <f>'Building Bill of Materials_SLIM'!Q158</f>
        <v/>
      </c>
      <c r="D158" s="234" t="str">
        <f>'Building Bill of Materials_SLIM'!R158</f>
        <v/>
      </c>
      <c r="E158" s="234" t="str">
        <f>'Building Bill of Materials_SLIM'!S158</f>
        <v/>
      </c>
      <c r="F158" s="234"/>
      <c r="G158" s="234"/>
      <c r="H158" s="234" t="str">
        <f>'Building Bill of Materials_SLIM'!T158</f>
        <v/>
      </c>
      <c r="I158" s="234" t="str">
        <f>'Building Bill of Materials_SLIM'!U158</f>
        <v/>
      </c>
      <c r="J158" s="234" t="str">
        <f>'Building Bill of Materials_SLIM'!V158</f>
        <v/>
      </c>
      <c r="K158" s="192"/>
      <c r="L158" s="238"/>
      <c r="M158" s="238"/>
      <c r="N158" s="291"/>
      <c r="O158" s="291"/>
      <c r="P158" s="291"/>
      <c r="Q158" s="291"/>
      <c r="R158" s="291"/>
      <c r="S158" s="291"/>
      <c r="T158" s="291"/>
      <c r="U158" s="291"/>
      <c r="V158" s="291"/>
      <c r="W158" s="291"/>
      <c r="X158" s="291"/>
      <c r="Y158" s="291"/>
      <c r="Z158" s="291"/>
      <c r="AA158" s="291"/>
      <c r="AB158" s="291"/>
      <c r="AC158" s="291"/>
      <c r="AD158" s="291"/>
      <c r="AE158" s="291"/>
      <c r="AF158" s="291"/>
      <c r="AG158" s="291"/>
    </row>
    <row r="159" ht="18.75" customHeight="1">
      <c r="A159" s="283"/>
      <c r="B159" s="234" t="str">
        <f>'Building Bill of Materials_SLIM'!P159</f>
        <v/>
      </c>
      <c r="C159" s="234" t="str">
        <f>'Building Bill of Materials_SLIM'!Q159</f>
        <v/>
      </c>
      <c r="D159" s="234" t="str">
        <f>'Building Bill of Materials_SLIM'!R159</f>
        <v/>
      </c>
      <c r="E159" s="234" t="str">
        <f>'Building Bill of Materials_SLIM'!S159</f>
        <v/>
      </c>
      <c r="F159" s="234"/>
      <c r="G159" s="234"/>
      <c r="H159" s="234" t="str">
        <f>'Building Bill of Materials_SLIM'!T159</f>
        <v/>
      </c>
      <c r="I159" s="234" t="str">
        <f>'Building Bill of Materials_SLIM'!U159</f>
        <v/>
      </c>
      <c r="J159" s="234" t="str">
        <f>'Building Bill of Materials_SLIM'!V159</f>
        <v/>
      </c>
      <c r="K159" s="192"/>
      <c r="L159" s="238"/>
      <c r="M159" s="238"/>
      <c r="N159" s="291"/>
      <c r="O159" s="291"/>
      <c r="P159" s="291"/>
      <c r="Q159" s="291"/>
      <c r="R159" s="291"/>
      <c r="S159" s="291"/>
      <c r="T159" s="291"/>
      <c r="U159" s="291"/>
      <c r="V159" s="291"/>
      <c r="W159" s="291"/>
      <c r="X159" s="291"/>
      <c r="Y159" s="291"/>
      <c r="Z159" s="291"/>
      <c r="AA159" s="291"/>
      <c r="AB159" s="291"/>
      <c r="AC159" s="291"/>
      <c r="AD159" s="291"/>
      <c r="AE159" s="291"/>
      <c r="AF159" s="291"/>
      <c r="AG159" s="291"/>
    </row>
    <row r="160" ht="18.75" customHeight="1">
      <c r="A160" s="283"/>
      <c r="B160" s="234" t="str">
        <f>'Building Bill of Materials_SLIM'!P160</f>
        <v/>
      </c>
      <c r="C160" s="234" t="str">
        <f>'Building Bill of Materials_SLIM'!Q160</f>
        <v/>
      </c>
      <c r="D160" s="234" t="str">
        <f>'Building Bill of Materials_SLIM'!R160</f>
        <v/>
      </c>
      <c r="E160" s="234" t="str">
        <f>'Building Bill of Materials_SLIM'!S160</f>
        <v/>
      </c>
      <c r="F160" s="234"/>
      <c r="G160" s="234"/>
      <c r="H160" s="234" t="str">
        <f>'Building Bill of Materials_SLIM'!T160</f>
        <v/>
      </c>
      <c r="I160" s="234" t="str">
        <f>'Building Bill of Materials_SLIM'!U160</f>
        <v/>
      </c>
      <c r="J160" s="234" t="str">
        <f>'Building Bill of Materials_SLIM'!V160</f>
        <v/>
      </c>
      <c r="K160" s="192"/>
      <c r="L160" s="238"/>
      <c r="M160" s="238"/>
      <c r="N160" s="291"/>
      <c r="O160" s="291"/>
      <c r="P160" s="291"/>
      <c r="Q160" s="291"/>
      <c r="R160" s="291"/>
      <c r="S160" s="291"/>
      <c r="T160" s="291"/>
      <c r="U160" s="291"/>
      <c r="V160" s="291"/>
      <c r="W160" s="291"/>
      <c r="X160" s="291"/>
      <c r="Y160" s="291"/>
      <c r="Z160" s="291"/>
      <c r="AA160" s="291"/>
      <c r="AB160" s="291"/>
      <c r="AC160" s="291"/>
      <c r="AD160" s="291"/>
      <c r="AE160" s="291"/>
      <c r="AF160" s="291"/>
      <c r="AG160" s="291"/>
    </row>
    <row r="161" ht="18.75" customHeight="1">
      <c r="A161" s="283"/>
      <c r="B161" s="234" t="str">
        <f>'Building Bill of Materials_SLIM'!P161</f>
        <v/>
      </c>
      <c r="C161" s="234" t="str">
        <f>'Building Bill of Materials_SLIM'!Q161</f>
        <v/>
      </c>
      <c r="D161" s="234" t="str">
        <f>'Building Bill of Materials_SLIM'!R161</f>
        <v/>
      </c>
      <c r="E161" s="234" t="str">
        <f>'Building Bill of Materials_SLIM'!S161</f>
        <v/>
      </c>
      <c r="F161" s="234"/>
      <c r="G161" s="234"/>
      <c r="H161" s="234" t="str">
        <f>'Building Bill of Materials_SLIM'!T161</f>
        <v/>
      </c>
      <c r="I161" s="234" t="str">
        <f>'Building Bill of Materials_SLIM'!U161</f>
        <v/>
      </c>
      <c r="J161" s="234" t="str">
        <f>'Building Bill of Materials_SLIM'!V161</f>
        <v/>
      </c>
      <c r="K161" s="192"/>
      <c r="L161" s="238"/>
      <c r="M161" s="238"/>
      <c r="N161" s="291"/>
      <c r="O161" s="291"/>
      <c r="P161" s="291"/>
      <c r="Q161" s="291"/>
      <c r="R161" s="291"/>
      <c r="S161" s="291"/>
      <c r="T161" s="291"/>
      <c r="U161" s="291"/>
      <c r="V161" s="291"/>
      <c r="W161" s="291"/>
      <c r="X161" s="291"/>
      <c r="Y161" s="291"/>
      <c r="Z161" s="291"/>
      <c r="AA161" s="291"/>
      <c r="AB161" s="291"/>
      <c r="AC161" s="291"/>
      <c r="AD161" s="291"/>
      <c r="AE161" s="291"/>
      <c r="AF161" s="291"/>
      <c r="AG161" s="291"/>
    </row>
    <row r="162" ht="18.75" customHeight="1">
      <c r="A162" s="283"/>
      <c r="B162" s="234" t="str">
        <f>'Building Bill of Materials_SLIM'!P162</f>
        <v/>
      </c>
      <c r="C162" s="234" t="str">
        <f>'Building Bill of Materials_SLIM'!Q162</f>
        <v/>
      </c>
      <c r="D162" s="234" t="str">
        <f>'Building Bill of Materials_SLIM'!R162</f>
        <v/>
      </c>
      <c r="E162" s="234" t="str">
        <f>'Building Bill of Materials_SLIM'!S162</f>
        <v/>
      </c>
      <c r="F162" s="234"/>
      <c r="G162" s="234"/>
      <c r="H162" s="234" t="str">
        <f>'Building Bill of Materials_SLIM'!T162</f>
        <v/>
      </c>
      <c r="I162" s="234" t="str">
        <f>'Building Bill of Materials_SLIM'!U162</f>
        <v/>
      </c>
      <c r="J162" s="234" t="str">
        <f>'Building Bill of Materials_SLIM'!V162</f>
        <v/>
      </c>
      <c r="K162" s="192"/>
      <c r="L162" s="238"/>
      <c r="M162" s="238"/>
      <c r="N162" s="291"/>
      <c r="O162" s="291"/>
      <c r="P162" s="291"/>
      <c r="Q162" s="291"/>
      <c r="R162" s="291"/>
      <c r="S162" s="291"/>
      <c r="T162" s="291"/>
      <c r="U162" s="291"/>
      <c r="V162" s="291"/>
      <c r="W162" s="291"/>
      <c r="X162" s="291"/>
      <c r="Y162" s="291"/>
      <c r="Z162" s="291"/>
      <c r="AA162" s="291"/>
      <c r="AB162" s="291"/>
      <c r="AC162" s="291"/>
      <c r="AD162" s="291"/>
      <c r="AE162" s="291"/>
      <c r="AF162" s="291"/>
      <c r="AG162" s="291"/>
    </row>
    <row r="163" ht="18.75" customHeight="1">
      <c r="A163" s="283"/>
      <c r="B163" s="234" t="str">
        <f>'Building Bill of Materials_SLIM'!P163</f>
        <v/>
      </c>
      <c r="C163" s="234" t="str">
        <f>'Building Bill of Materials_SLIM'!Q163</f>
        <v/>
      </c>
      <c r="D163" s="234" t="str">
        <f>'Building Bill of Materials_SLIM'!R163</f>
        <v/>
      </c>
      <c r="E163" s="234" t="str">
        <f>'Building Bill of Materials_SLIM'!S163</f>
        <v/>
      </c>
      <c r="F163" s="234"/>
      <c r="G163" s="234"/>
      <c r="H163" s="234" t="str">
        <f>'Building Bill of Materials_SLIM'!T163</f>
        <v/>
      </c>
      <c r="I163" s="234" t="str">
        <f>'Building Bill of Materials_SLIM'!U163</f>
        <v/>
      </c>
      <c r="J163" s="234" t="str">
        <f>'Building Bill of Materials_SLIM'!V163</f>
        <v/>
      </c>
      <c r="K163" s="192"/>
      <c r="L163" s="238"/>
      <c r="M163" s="238"/>
      <c r="N163" s="291"/>
      <c r="O163" s="291"/>
      <c r="P163" s="291"/>
      <c r="Q163" s="291"/>
      <c r="R163" s="291"/>
      <c r="S163" s="291"/>
      <c r="T163" s="291"/>
      <c r="U163" s="291"/>
      <c r="V163" s="291"/>
      <c r="W163" s="291"/>
      <c r="X163" s="291"/>
      <c r="Y163" s="291"/>
      <c r="Z163" s="291"/>
      <c r="AA163" s="291"/>
      <c r="AB163" s="291"/>
      <c r="AC163" s="291"/>
      <c r="AD163" s="291"/>
      <c r="AE163" s="291"/>
      <c r="AF163" s="291"/>
      <c r="AG163" s="291"/>
    </row>
    <row r="164" ht="18.75" customHeight="1">
      <c r="A164" s="283"/>
      <c r="B164" s="234" t="str">
        <f>'Building Bill of Materials_SLIM'!P164</f>
        <v/>
      </c>
      <c r="C164" s="234" t="str">
        <f>'Building Bill of Materials_SLIM'!Q164</f>
        <v/>
      </c>
      <c r="D164" s="234" t="str">
        <f>'Building Bill of Materials_SLIM'!R164</f>
        <v/>
      </c>
      <c r="E164" s="234" t="str">
        <f>'Building Bill of Materials_SLIM'!S164</f>
        <v/>
      </c>
      <c r="F164" s="234"/>
      <c r="G164" s="234"/>
      <c r="H164" s="234" t="str">
        <f>'Building Bill of Materials_SLIM'!T164</f>
        <v/>
      </c>
      <c r="I164" s="234" t="str">
        <f>'Building Bill of Materials_SLIM'!U164</f>
        <v/>
      </c>
      <c r="J164" s="234" t="str">
        <f>'Building Bill of Materials_SLIM'!V164</f>
        <v/>
      </c>
      <c r="K164" s="192"/>
      <c r="L164" s="238"/>
      <c r="M164" s="238"/>
      <c r="N164" s="291"/>
      <c r="O164" s="291"/>
      <c r="P164" s="291"/>
      <c r="Q164" s="291"/>
      <c r="R164" s="291"/>
      <c r="S164" s="291"/>
      <c r="T164" s="291"/>
      <c r="U164" s="291"/>
      <c r="V164" s="291"/>
      <c r="W164" s="291"/>
      <c r="X164" s="291"/>
      <c r="Y164" s="291"/>
      <c r="Z164" s="291"/>
      <c r="AA164" s="291"/>
      <c r="AB164" s="291"/>
      <c r="AC164" s="291"/>
      <c r="AD164" s="291"/>
      <c r="AE164" s="291"/>
      <c r="AF164" s="291"/>
      <c r="AG164" s="291"/>
    </row>
    <row r="165" ht="18.75" customHeight="1">
      <c r="A165" s="283"/>
      <c r="B165" s="234" t="str">
        <f>'Building Bill of Materials_SLIM'!P165</f>
        <v/>
      </c>
      <c r="C165" s="234" t="str">
        <f>'Building Bill of Materials_SLIM'!Q165</f>
        <v/>
      </c>
      <c r="D165" s="234" t="str">
        <f>'Building Bill of Materials_SLIM'!R165</f>
        <v/>
      </c>
      <c r="E165" s="234" t="str">
        <f>'Building Bill of Materials_SLIM'!S165</f>
        <v/>
      </c>
      <c r="F165" s="234"/>
      <c r="G165" s="234"/>
      <c r="H165" s="234" t="str">
        <f>'Building Bill of Materials_SLIM'!T165</f>
        <v/>
      </c>
      <c r="I165" s="234" t="str">
        <f>'Building Bill of Materials_SLIM'!U165</f>
        <v/>
      </c>
      <c r="J165" s="234" t="str">
        <f>'Building Bill of Materials_SLIM'!V165</f>
        <v/>
      </c>
      <c r="K165" s="192"/>
      <c r="L165" s="238"/>
      <c r="M165" s="238"/>
      <c r="N165" s="291"/>
      <c r="O165" s="291"/>
      <c r="P165" s="291"/>
      <c r="Q165" s="291"/>
      <c r="R165" s="291"/>
      <c r="S165" s="291"/>
      <c r="T165" s="291"/>
      <c r="U165" s="291"/>
      <c r="V165" s="291"/>
      <c r="W165" s="291"/>
      <c r="X165" s="291"/>
      <c r="Y165" s="291"/>
      <c r="Z165" s="291"/>
      <c r="AA165" s="291"/>
      <c r="AB165" s="291"/>
      <c r="AC165" s="291"/>
      <c r="AD165" s="291"/>
      <c r="AE165" s="291"/>
      <c r="AF165" s="291"/>
      <c r="AG165" s="291"/>
    </row>
    <row r="166" ht="18.75" customHeight="1">
      <c r="A166" s="283"/>
      <c r="B166" s="234" t="str">
        <f>'Building Bill of Materials_SLIM'!P166</f>
        <v/>
      </c>
      <c r="C166" s="234" t="str">
        <f>'Building Bill of Materials_SLIM'!Q166</f>
        <v/>
      </c>
      <c r="D166" s="234" t="str">
        <f>'Building Bill of Materials_SLIM'!R166</f>
        <v/>
      </c>
      <c r="E166" s="234" t="str">
        <f>'Building Bill of Materials_SLIM'!S166</f>
        <v/>
      </c>
      <c r="F166" s="234"/>
      <c r="G166" s="234"/>
      <c r="H166" s="234" t="str">
        <f>'Building Bill of Materials_SLIM'!T166</f>
        <v/>
      </c>
      <c r="I166" s="234" t="str">
        <f>'Building Bill of Materials_SLIM'!U166</f>
        <v/>
      </c>
      <c r="J166" s="234" t="str">
        <f>'Building Bill of Materials_SLIM'!V166</f>
        <v/>
      </c>
      <c r="K166" s="192"/>
      <c r="L166" s="238"/>
      <c r="M166" s="238"/>
      <c r="N166" s="291"/>
      <c r="O166" s="291"/>
      <c r="P166" s="291"/>
      <c r="Q166" s="291"/>
      <c r="R166" s="291"/>
      <c r="S166" s="291"/>
      <c r="T166" s="291"/>
      <c r="U166" s="291"/>
      <c r="V166" s="291"/>
      <c r="W166" s="291"/>
      <c r="X166" s="291"/>
      <c r="Y166" s="291"/>
      <c r="Z166" s="291"/>
      <c r="AA166" s="291"/>
      <c r="AB166" s="291"/>
      <c r="AC166" s="291"/>
      <c r="AD166" s="291"/>
      <c r="AE166" s="291"/>
      <c r="AF166" s="291"/>
      <c r="AG166" s="291"/>
    </row>
    <row r="167" ht="18.75" customHeight="1">
      <c r="A167" s="283"/>
      <c r="B167" s="234" t="str">
        <f>'Building Bill of Materials_SLIM'!P167</f>
        <v/>
      </c>
      <c r="C167" s="234" t="str">
        <f>'Building Bill of Materials_SLIM'!Q167</f>
        <v/>
      </c>
      <c r="D167" s="234" t="str">
        <f>'Building Bill of Materials_SLIM'!R167</f>
        <v/>
      </c>
      <c r="E167" s="234" t="str">
        <f>'Building Bill of Materials_SLIM'!S167</f>
        <v/>
      </c>
      <c r="F167" s="234"/>
      <c r="G167" s="234"/>
      <c r="H167" s="234" t="str">
        <f>'Building Bill of Materials_SLIM'!T167</f>
        <v/>
      </c>
      <c r="I167" s="234" t="str">
        <f>'Building Bill of Materials_SLIM'!U167</f>
        <v/>
      </c>
      <c r="J167" s="234" t="str">
        <f>'Building Bill of Materials_SLIM'!V167</f>
        <v/>
      </c>
      <c r="K167" s="192"/>
      <c r="L167" s="238"/>
      <c r="M167" s="238"/>
      <c r="N167" s="291"/>
      <c r="O167" s="291"/>
      <c r="P167" s="291"/>
      <c r="Q167" s="291"/>
      <c r="R167" s="291"/>
      <c r="S167" s="291"/>
      <c r="T167" s="291"/>
      <c r="U167" s="291"/>
      <c r="V167" s="291"/>
      <c r="W167" s="291"/>
      <c r="X167" s="291"/>
      <c r="Y167" s="291"/>
      <c r="Z167" s="291"/>
      <c r="AA167" s="291"/>
      <c r="AB167" s="291"/>
      <c r="AC167" s="291"/>
      <c r="AD167" s="291"/>
      <c r="AE167" s="291"/>
      <c r="AF167" s="291"/>
      <c r="AG167" s="291"/>
    </row>
    <row r="168" ht="18.75" customHeight="1">
      <c r="A168" s="283"/>
      <c r="B168" s="234" t="str">
        <f>'Building Bill of Materials_SLIM'!P168</f>
        <v/>
      </c>
      <c r="C168" s="234" t="str">
        <f>'Building Bill of Materials_SLIM'!Q168</f>
        <v/>
      </c>
      <c r="D168" s="234" t="str">
        <f>'Building Bill of Materials_SLIM'!R168</f>
        <v/>
      </c>
      <c r="E168" s="234" t="str">
        <f>'Building Bill of Materials_SLIM'!S168</f>
        <v/>
      </c>
      <c r="F168" s="234"/>
      <c r="G168" s="234"/>
      <c r="H168" s="234" t="str">
        <f>'Building Bill of Materials_SLIM'!T168</f>
        <v/>
      </c>
      <c r="I168" s="234" t="str">
        <f>'Building Bill of Materials_SLIM'!U168</f>
        <v/>
      </c>
      <c r="J168" s="234" t="str">
        <f>'Building Bill of Materials_SLIM'!V168</f>
        <v/>
      </c>
      <c r="K168" s="192"/>
      <c r="L168" s="238"/>
      <c r="M168" s="238"/>
      <c r="N168" s="291"/>
      <c r="O168" s="291"/>
      <c r="P168" s="291"/>
      <c r="Q168" s="291"/>
      <c r="R168" s="291"/>
      <c r="S168" s="291"/>
      <c r="T168" s="291"/>
      <c r="U168" s="291"/>
      <c r="V168" s="291"/>
      <c r="W168" s="291"/>
      <c r="X168" s="291"/>
      <c r="Y168" s="291"/>
      <c r="Z168" s="291"/>
      <c r="AA168" s="291"/>
      <c r="AB168" s="291"/>
      <c r="AC168" s="291"/>
      <c r="AD168" s="291"/>
      <c r="AE168" s="291"/>
      <c r="AF168" s="291"/>
      <c r="AG168" s="291"/>
    </row>
    <row r="169" ht="18.75" customHeight="1">
      <c r="A169" s="283"/>
      <c r="B169" s="234" t="str">
        <f>'Building Bill of Materials_SLIM'!P169</f>
        <v/>
      </c>
      <c r="C169" s="234" t="str">
        <f>'Building Bill of Materials_SLIM'!Q169</f>
        <v/>
      </c>
      <c r="D169" s="234" t="str">
        <f>'Building Bill of Materials_SLIM'!R169</f>
        <v/>
      </c>
      <c r="E169" s="234" t="str">
        <f>'Building Bill of Materials_SLIM'!S169</f>
        <v/>
      </c>
      <c r="F169" s="234"/>
      <c r="G169" s="234"/>
      <c r="H169" s="234" t="str">
        <f>'Building Bill of Materials_SLIM'!T169</f>
        <v/>
      </c>
      <c r="I169" s="234" t="str">
        <f>'Building Bill of Materials_SLIM'!U169</f>
        <v/>
      </c>
      <c r="J169" s="234" t="str">
        <f>'Building Bill of Materials_SLIM'!V169</f>
        <v/>
      </c>
      <c r="K169" s="192"/>
      <c r="L169" s="238"/>
      <c r="M169" s="238"/>
      <c r="N169" s="291"/>
      <c r="O169" s="291"/>
      <c r="P169" s="291"/>
      <c r="Q169" s="291"/>
      <c r="R169" s="291"/>
      <c r="S169" s="291"/>
      <c r="T169" s="291"/>
      <c r="U169" s="291"/>
      <c r="V169" s="291"/>
      <c r="W169" s="291"/>
      <c r="X169" s="291"/>
      <c r="Y169" s="291"/>
      <c r="Z169" s="291"/>
      <c r="AA169" s="291"/>
      <c r="AB169" s="291"/>
      <c r="AC169" s="291"/>
      <c r="AD169" s="291"/>
      <c r="AE169" s="291"/>
      <c r="AF169" s="291"/>
      <c r="AG169" s="291"/>
    </row>
    <row r="170" ht="18.75" customHeight="1">
      <c r="A170" s="283"/>
      <c r="B170" s="234" t="str">
        <f>'Building Bill of Materials_SLIM'!P170</f>
        <v/>
      </c>
      <c r="C170" s="234" t="str">
        <f>'Building Bill of Materials_SLIM'!Q170</f>
        <v/>
      </c>
      <c r="D170" s="234" t="str">
        <f>'Building Bill of Materials_SLIM'!R170</f>
        <v/>
      </c>
      <c r="E170" s="234" t="str">
        <f>'Building Bill of Materials_SLIM'!S170</f>
        <v/>
      </c>
      <c r="F170" s="234"/>
      <c r="G170" s="234"/>
      <c r="H170" s="234" t="str">
        <f>'Building Bill of Materials_SLIM'!T170</f>
        <v/>
      </c>
      <c r="I170" s="234" t="str">
        <f>'Building Bill of Materials_SLIM'!U170</f>
        <v/>
      </c>
      <c r="J170" s="234" t="str">
        <f>'Building Bill of Materials_SLIM'!V170</f>
        <v/>
      </c>
      <c r="K170" s="192"/>
      <c r="L170" s="238"/>
      <c r="M170" s="238"/>
      <c r="N170" s="291"/>
      <c r="O170" s="291"/>
      <c r="P170" s="291"/>
      <c r="Q170" s="291"/>
      <c r="R170" s="291"/>
      <c r="S170" s="291"/>
      <c r="T170" s="291"/>
      <c r="U170" s="291"/>
      <c r="V170" s="291"/>
      <c r="W170" s="291"/>
      <c r="X170" s="291"/>
      <c r="Y170" s="291"/>
      <c r="Z170" s="291"/>
      <c r="AA170" s="291"/>
      <c r="AB170" s="291"/>
      <c r="AC170" s="291"/>
      <c r="AD170" s="291"/>
      <c r="AE170" s="291"/>
      <c r="AF170" s="291"/>
      <c r="AG170" s="291"/>
    </row>
    <row r="171" ht="18.75" customHeight="1">
      <c r="A171" s="283"/>
      <c r="B171" s="234" t="str">
        <f>'Building Bill of Materials_SLIM'!P171</f>
        <v/>
      </c>
      <c r="C171" s="234" t="str">
        <f>'Building Bill of Materials_SLIM'!Q171</f>
        <v/>
      </c>
      <c r="D171" s="234" t="str">
        <f>'Building Bill of Materials_SLIM'!R171</f>
        <v/>
      </c>
      <c r="E171" s="234" t="str">
        <f>'Building Bill of Materials_SLIM'!S171</f>
        <v/>
      </c>
      <c r="F171" s="234"/>
      <c r="G171" s="234"/>
      <c r="H171" s="234" t="str">
        <f>'Building Bill of Materials_SLIM'!T171</f>
        <v/>
      </c>
      <c r="I171" s="234" t="str">
        <f>'Building Bill of Materials_SLIM'!U171</f>
        <v/>
      </c>
      <c r="J171" s="234" t="str">
        <f>'Building Bill of Materials_SLIM'!V171</f>
        <v/>
      </c>
      <c r="K171" s="192"/>
      <c r="L171" s="238"/>
      <c r="M171" s="238"/>
      <c r="N171" s="291"/>
      <c r="O171" s="291"/>
      <c r="P171" s="291"/>
      <c r="Q171" s="291"/>
      <c r="R171" s="291"/>
      <c r="S171" s="291"/>
      <c r="T171" s="291"/>
      <c r="U171" s="291"/>
      <c r="V171" s="291"/>
      <c r="W171" s="291"/>
      <c r="X171" s="291"/>
      <c r="Y171" s="291"/>
      <c r="Z171" s="291"/>
      <c r="AA171" s="291"/>
      <c r="AB171" s="291"/>
      <c r="AC171" s="291"/>
      <c r="AD171" s="291"/>
      <c r="AE171" s="291"/>
      <c r="AF171" s="291"/>
      <c r="AG171" s="291"/>
    </row>
    <row r="172" ht="18.75" customHeight="1">
      <c r="A172" s="283"/>
      <c r="B172" s="234" t="str">
        <f>'Building Bill of Materials_SLIM'!P172</f>
        <v/>
      </c>
      <c r="C172" s="234" t="str">
        <f>'Building Bill of Materials_SLIM'!Q172</f>
        <v/>
      </c>
      <c r="D172" s="234" t="str">
        <f>'Building Bill of Materials_SLIM'!R172</f>
        <v/>
      </c>
      <c r="E172" s="234" t="str">
        <f>'Building Bill of Materials_SLIM'!S172</f>
        <v/>
      </c>
      <c r="F172" s="234"/>
      <c r="G172" s="234"/>
      <c r="H172" s="234" t="str">
        <f>'Building Bill of Materials_SLIM'!T172</f>
        <v/>
      </c>
      <c r="I172" s="234" t="str">
        <f>'Building Bill of Materials_SLIM'!U172</f>
        <v/>
      </c>
      <c r="J172" s="234" t="str">
        <f>'Building Bill of Materials_SLIM'!V172</f>
        <v/>
      </c>
      <c r="K172" s="192"/>
      <c r="L172" s="238"/>
      <c r="M172" s="238"/>
      <c r="N172" s="291"/>
      <c r="O172" s="291"/>
      <c r="P172" s="291"/>
      <c r="Q172" s="291"/>
      <c r="R172" s="291"/>
      <c r="S172" s="291"/>
      <c r="T172" s="291"/>
      <c r="U172" s="291"/>
      <c r="V172" s="291"/>
      <c r="W172" s="291"/>
      <c r="X172" s="291"/>
      <c r="Y172" s="291"/>
      <c r="Z172" s="291"/>
      <c r="AA172" s="291"/>
      <c r="AB172" s="291"/>
      <c r="AC172" s="291"/>
      <c r="AD172" s="291"/>
      <c r="AE172" s="291"/>
      <c r="AF172" s="291"/>
      <c r="AG172" s="291"/>
    </row>
    <row r="173" ht="18.75" customHeight="1">
      <c r="A173" s="283"/>
      <c r="B173" s="234" t="str">
        <f>'Building Bill of Materials_SLIM'!P173</f>
        <v/>
      </c>
      <c r="C173" s="234" t="str">
        <f>'Building Bill of Materials_SLIM'!Q173</f>
        <v/>
      </c>
      <c r="D173" s="234" t="str">
        <f>'Building Bill of Materials_SLIM'!R173</f>
        <v/>
      </c>
      <c r="E173" s="234" t="str">
        <f>'Building Bill of Materials_SLIM'!S173</f>
        <v/>
      </c>
      <c r="F173" s="234"/>
      <c r="G173" s="234"/>
      <c r="H173" s="234" t="str">
        <f>'Building Bill of Materials_SLIM'!T173</f>
        <v/>
      </c>
      <c r="I173" s="234" t="str">
        <f>'Building Bill of Materials_SLIM'!U173</f>
        <v/>
      </c>
      <c r="J173" s="234" t="str">
        <f>'Building Bill of Materials_SLIM'!V173</f>
        <v/>
      </c>
      <c r="K173" s="192"/>
      <c r="L173" s="238"/>
      <c r="M173" s="238"/>
      <c r="N173" s="291"/>
      <c r="O173" s="291"/>
      <c r="P173" s="291"/>
      <c r="Q173" s="291"/>
      <c r="R173" s="291"/>
      <c r="S173" s="291"/>
      <c r="T173" s="291"/>
      <c r="U173" s="291"/>
      <c r="V173" s="291"/>
      <c r="W173" s="291"/>
      <c r="X173" s="291"/>
      <c r="Y173" s="291"/>
      <c r="Z173" s="291"/>
      <c r="AA173" s="291"/>
      <c r="AB173" s="291"/>
      <c r="AC173" s="291"/>
      <c r="AD173" s="291"/>
      <c r="AE173" s="291"/>
      <c r="AF173" s="291"/>
      <c r="AG173" s="291"/>
    </row>
    <row r="174" ht="18.75" customHeight="1">
      <c r="A174" s="283"/>
      <c r="B174" s="234" t="str">
        <f>'Building Bill of Materials_SLIM'!P174</f>
        <v/>
      </c>
      <c r="C174" s="234" t="str">
        <f>'Building Bill of Materials_SLIM'!Q174</f>
        <v/>
      </c>
      <c r="D174" s="234" t="str">
        <f>'Building Bill of Materials_SLIM'!R174</f>
        <v/>
      </c>
      <c r="E174" s="234" t="str">
        <f>'Building Bill of Materials_SLIM'!S174</f>
        <v/>
      </c>
      <c r="F174" s="234"/>
      <c r="G174" s="234"/>
      <c r="H174" s="234" t="str">
        <f>'Building Bill of Materials_SLIM'!T174</f>
        <v/>
      </c>
      <c r="I174" s="234" t="str">
        <f>'Building Bill of Materials_SLIM'!U174</f>
        <v/>
      </c>
      <c r="J174" s="234" t="str">
        <f>'Building Bill of Materials_SLIM'!V174</f>
        <v/>
      </c>
      <c r="K174" s="192"/>
      <c r="L174" s="238"/>
      <c r="M174" s="238"/>
      <c r="N174" s="291"/>
      <c r="O174" s="291"/>
      <c r="P174" s="291"/>
      <c r="Q174" s="291"/>
      <c r="R174" s="291"/>
      <c r="S174" s="291"/>
      <c r="T174" s="291"/>
      <c r="U174" s="291"/>
      <c r="V174" s="291"/>
      <c r="W174" s="291"/>
      <c r="X174" s="291"/>
      <c r="Y174" s="291"/>
      <c r="Z174" s="291"/>
      <c r="AA174" s="291"/>
      <c r="AB174" s="291"/>
      <c r="AC174" s="291"/>
      <c r="AD174" s="291"/>
      <c r="AE174" s="291"/>
      <c r="AF174" s="291"/>
      <c r="AG174" s="291"/>
    </row>
    <row r="175" ht="18.75" customHeight="1">
      <c r="A175" s="283"/>
      <c r="B175" s="234" t="str">
        <f>'Building Bill of Materials_SLIM'!P175</f>
        <v/>
      </c>
      <c r="C175" s="234" t="str">
        <f>'Building Bill of Materials_SLIM'!Q175</f>
        <v/>
      </c>
      <c r="D175" s="234" t="str">
        <f>'Building Bill of Materials_SLIM'!R175</f>
        <v/>
      </c>
      <c r="E175" s="234" t="str">
        <f>'Building Bill of Materials_SLIM'!S175</f>
        <v/>
      </c>
      <c r="F175" s="234"/>
      <c r="G175" s="234"/>
      <c r="H175" s="234" t="str">
        <f>'Building Bill of Materials_SLIM'!T175</f>
        <v/>
      </c>
      <c r="I175" s="234" t="str">
        <f>'Building Bill of Materials_SLIM'!U175</f>
        <v/>
      </c>
      <c r="J175" s="234" t="str">
        <f>'Building Bill of Materials_SLIM'!V175</f>
        <v/>
      </c>
      <c r="K175" s="192"/>
      <c r="L175" s="238"/>
      <c r="M175" s="238"/>
      <c r="N175" s="291"/>
      <c r="O175" s="291"/>
      <c r="P175" s="291"/>
      <c r="Q175" s="291"/>
      <c r="R175" s="291"/>
      <c r="S175" s="291"/>
      <c r="T175" s="291"/>
      <c r="U175" s="291"/>
      <c r="V175" s="291"/>
      <c r="W175" s="291"/>
      <c r="X175" s="291"/>
      <c r="Y175" s="291"/>
      <c r="Z175" s="291"/>
      <c r="AA175" s="291"/>
      <c r="AB175" s="291"/>
      <c r="AC175" s="291"/>
      <c r="AD175" s="291"/>
      <c r="AE175" s="291"/>
      <c r="AF175" s="291"/>
      <c r="AG175" s="291"/>
    </row>
    <row r="176" ht="18.75" customHeight="1">
      <c r="A176" s="283"/>
      <c r="B176" s="234" t="str">
        <f>'Building Bill of Materials_SLIM'!P176</f>
        <v/>
      </c>
      <c r="C176" s="234" t="str">
        <f>'Building Bill of Materials_SLIM'!Q176</f>
        <v/>
      </c>
      <c r="D176" s="234" t="str">
        <f>'Building Bill of Materials_SLIM'!R176</f>
        <v/>
      </c>
      <c r="E176" s="234" t="str">
        <f>'Building Bill of Materials_SLIM'!S176</f>
        <v/>
      </c>
      <c r="F176" s="234"/>
      <c r="G176" s="234"/>
      <c r="H176" s="234" t="str">
        <f>'Building Bill of Materials_SLIM'!T176</f>
        <v/>
      </c>
      <c r="I176" s="234" t="str">
        <f>'Building Bill of Materials_SLIM'!U176</f>
        <v/>
      </c>
      <c r="J176" s="234" t="str">
        <f>'Building Bill of Materials_SLIM'!V176</f>
        <v/>
      </c>
      <c r="K176" s="192"/>
      <c r="L176" s="238"/>
      <c r="M176" s="238"/>
      <c r="N176" s="291"/>
      <c r="O176" s="291"/>
      <c r="P176" s="291"/>
      <c r="Q176" s="291"/>
      <c r="R176" s="291"/>
      <c r="S176" s="291"/>
      <c r="T176" s="291"/>
      <c r="U176" s="291"/>
      <c r="V176" s="291"/>
      <c r="W176" s="291"/>
      <c r="X176" s="291"/>
      <c r="Y176" s="291"/>
      <c r="Z176" s="291"/>
      <c r="AA176" s="291"/>
      <c r="AB176" s="291"/>
      <c r="AC176" s="291"/>
      <c r="AD176" s="291"/>
      <c r="AE176" s="291"/>
      <c r="AF176" s="291"/>
      <c r="AG176" s="291"/>
    </row>
    <row r="177" ht="18.75" customHeight="1">
      <c r="A177" s="283"/>
      <c r="B177" s="234" t="str">
        <f>'Building Bill of Materials_SLIM'!P177</f>
        <v/>
      </c>
      <c r="C177" s="234" t="str">
        <f>'Building Bill of Materials_SLIM'!Q177</f>
        <v/>
      </c>
      <c r="D177" s="234" t="str">
        <f>'Building Bill of Materials_SLIM'!R177</f>
        <v/>
      </c>
      <c r="E177" s="234" t="str">
        <f>'Building Bill of Materials_SLIM'!S177</f>
        <v/>
      </c>
      <c r="F177" s="234"/>
      <c r="G177" s="234"/>
      <c r="H177" s="234" t="str">
        <f>'Building Bill of Materials_SLIM'!T177</f>
        <v/>
      </c>
      <c r="I177" s="234" t="str">
        <f>'Building Bill of Materials_SLIM'!U177</f>
        <v/>
      </c>
      <c r="J177" s="234" t="str">
        <f>'Building Bill of Materials_SLIM'!V177</f>
        <v/>
      </c>
      <c r="K177" s="192"/>
      <c r="L177" s="238"/>
      <c r="M177" s="238"/>
      <c r="N177" s="291"/>
      <c r="O177" s="291"/>
      <c r="P177" s="291"/>
      <c r="Q177" s="291"/>
      <c r="R177" s="291"/>
      <c r="S177" s="291"/>
      <c r="T177" s="291"/>
      <c r="U177" s="291"/>
      <c r="V177" s="291"/>
      <c r="W177" s="291"/>
      <c r="X177" s="291"/>
      <c r="Y177" s="291"/>
      <c r="Z177" s="291"/>
      <c r="AA177" s="291"/>
      <c r="AB177" s="291"/>
      <c r="AC177" s="291"/>
      <c r="AD177" s="291"/>
      <c r="AE177" s="291"/>
      <c r="AF177" s="291"/>
      <c r="AG177" s="291"/>
    </row>
    <row r="178" ht="18.75" customHeight="1">
      <c r="A178" s="283"/>
      <c r="B178" s="234" t="str">
        <f>'Building Bill of Materials_SLIM'!P178</f>
        <v/>
      </c>
      <c r="C178" s="234" t="str">
        <f>'Building Bill of Materials_SLIM'!Q178</f>
        <v/>
      </c>
      <c r="D178" s="234" t="str">
        <f>'Building Bill of Materials_SLIM'!R178</f>
        <v/>
      </c>
      <c r="E178" s="234" t="str">
        <f>'Building Bill of Materials_SLIM'!S178</f>
        <v/>
      </c>
      <c r="F178" s="234"/>
      <c r="G178" s="234"/>
      <c r="H178" s="234" t="str">
        <f>'Building Bill of Materials_SLIM'!T178</f>
        <v/>
      </c>
      <c r="I178" s="234" t="str">
        <f>'Building Bill of Materials_SLIM'!U178</f>
        <v/>
      </c>
      <c r="J178" s="234" t="str">
        <f>'Building Bill of Materials_SLIM'!V178</f>
        <v/>
      </c>
      <c r="K178" s="192"/>
      <c r="L178" s="238"/>
      <c r="M178" s="238"/>
      <c r="N178" s="291"/>
      <c r="O178" s="291"/>
      <c r="P178" s="291"/>
      <c r="Q178" s="291"/>
      <c r="R178" s="291"/>
      <c r="S178" s="291"/>
      <c r="T178" s="291"/>
      <c r="U178" s="291"/>
      <c r="V178" s="291"/>
      <c r="W178" s="291"/>
      <c r="X178" s="291"/>
      <c r="Y178" s="291"/>
      <c r="Z178" s="291"/>
      <c r="AA178" s="291"/>
      <c r="AB178" s="291"/>
      <c r="AC178" s="291"/>
      <c r="AD178" s="291"/>
      <c r="AE178" s="291"/>
      <c r="AF178" s="291"/>
      <c r="AG178" s="291"/>
    </row>
    <row r="179" ht="18.75" customHeight="1">
      <c r="A179" s="283"/>
      <c r="B179" s="234" t="str">
        <f>'Building Bill of Materials_SLIM'!P179</f>
        <v/>
      </c>
      <c r="C179" s="234" t="str">
        <f>'Building Bill of Materials_SLIM'!Q179</f>
        <v/>
      </c>
      <c r="D179" s="234" t="str">
        <f>'Building Bill of Materials_SLIM'!R179</f>
        <v/>
      </c>
      <c r="E179" s="234" t="str">
        <f>'Building Bill of Materials_SLIM'!S179</f>
        <v/>
      </c>
      <c r="F179" s="234"/>
      <c r="G179" s="234"/>
      <c r="H179" s="234" t="str">
        <f>'Building Bill of Materials_SLIM'!T179</f>
        <v/>
      </c>
      <c r="I179" s="234" t="str">
        <f>'Building Bill of Materials_SLIM'!U179</f>
        <v/>
      </c>
      <c r="J179" s="234" t="str">
        <f>'Building Bill of Materials_SLIM'!V179</f>
        <v/>
      </c>
      <c r="K179" s="192"/>
      <c r="L179" s="238"/>
      <c r="M179" s="238"/>
      <c r="N179" s="291"/>
      <c r="O179" s="291"/>
      <c r="P179" s="291"/>
      <c r="Q179" s="291"/>
      <c r="R179" s="291"/>
      <c r="S179" s="291"/>
      <c r="T179" s="291"/>
      <c r="U179" s="291"/>
      <c r="V179" s="291"/>
      <c r="W179" s="291"/>
      <c r="X179" s="291"/>
      <c r="Y179" s="291"/>
      <c r="Z179" s="291"/>
      <c r="AA179" s="291"/>
      <c r="AB179" s="291"/>
      <c r="AC179" s="291"/>
      <c r="AD179" s="291"/>
      <c r="AE179" s="291"/>
      <c r="AF179" s="291"/>
      <c r="AG179" s="291"/>
    </row>
    <row r="180" ht="18.75" customHeight="1">
      <c r="A180" s="283"/>
      <c r="B180" s="234" t="str">
        <f>'Building Bill of Materials_SLIM'!P180</f>
        <v/>
      </c>
      <c r="C180" s="234" t="str">
        <f>'Building Bill of Materials_SLIM'!Q180</f>
        <v/>
      </c>
      <c r="D180" s="234" t="str">
        <f>'Building Bill of Materials_SLIM'!R180</f>
        <v/>
      </c>
      <c r="E180" s="234" t="str">
        <f>'Building Bill of Materials_SLIM'!S180</f>
        <v/>
      </c>
      <c r="F180" s="234"/>
      <c r="G180" s="234"/>
      <c r="H180" s="234" t="str">
        <f>'Building Bill of Materials_SLIM'!T180</f>
        <v/>
      </c>
      <c r="I180" s="234" t="str">
        <f>'Building Bill of Materials_SLIM'!U180</f>
        <v/>
      </c>
      <c r="J180" s="234" t="str">
        <f>'Building Bill of Materials_SLIM'!V180</f>
        <v/>
      </c>
      <c r="K180" s="192"/>
      <c r="L180" s="242"/>
      <c r="M180" s="242"/>
      <c r="N180" s="291"/>
      <c r="O180" s="291"/>
      <c r="P180" s="291"/>
      <c r="Q180" s="291"/>
      <c r="R180" s="291"/>
      <c r="S180" s="291"/>
      <c r="T180" s="291"/>
      <c r="U180" s="291"/>
      <c r="V180" s="291"/>
      <c r="W180" s="291"/>
      <c r="X180" s="291"/>
      <c r="Y180" s="291"/>
      <c r="Z180" s="291"/>
      <c r="AA180" s="291"/>
      <c r="AB180" s="291"/>
      <c r="AC180" s="291"/>
      <c r="AD180" s="291"/>
      <c r="AE180" s="291"/>
      <c r="AF180" s="291"/>
      <c r="AG180" s="291"/>
    </row>
    <row r="181" ht="18.75" customHeight="1">
      <c r="A181" s="283"/>
      <c r="B181" s="234" t="str">
        <f>'Building Bill of Materials_SLIM'!P181</f>
        <v/>
      </c>
      <c r="C181" s="234" t="str">
        <f>'Building Bill of Materials_SLIM'!Q181</f>
        <v/>
      </c>
      <c r="D181" s="234" t="str">
        <f>'Building Bill of Materials_SLIM'!R181</f>
        <v/>
      </c>
      <c r="E181" s="234" t="str">
        <f>'Building Bill of Materials_SLIM'!S181</f>
        <v/>
      </c>
      <c r="F181" s="234"/>
      <c r="G181" s="234"/>
      <c r="H181" s="234" t="str">
        <f>'Building Bill of Materials_SLIM'!T181</f>
        <v/>
      </c>
      <c r="I181" s="234" t="str">
        <f>'Building Bill of Materials_SLIM'!U181</f>
        <v/>
      </c>
      <c r="J181" s="234" t="str">
        <f>'Building Bill of Materials_SLIM'!V181</f>
        <v/>
      </c>
      <c r="K181" s="192"/>
      <c r="L181" s="242"/>
      <c r="M181" s="242"/>
      <c r="N181" s="291"/>
      <c r="O181" s="291"/>
      <c r="P181" s="291"/>
      <c r="Q181" s="291"/>
      <c r="R181" s="291"/>
      <c r="S181" s="291"/>
      <c r="T181" s="291"/>
      <c r="U181" s="291"/>
      <c r="V181" s="291"/>
      <c r="W181" s="291"/>
      <c r="X181" s="291"/>
      <c r="Y181" s="291"/>
      <c r="Z181" s="291"/>
      <c r="AA181" s="291"/>
      <c r="AB181" s="291"/>
      <c r="AC181" s="291"/>
      <c r="AD181" s="291"/>
      <c r="AE181" s="291"/>
      <c r="AF181" s="291"/>
      <c r="AG181" s="291"/>
    </row>
    <row r="182" ht="18.75" customHeight="1">
      <c r="A182" s="283"/>
      <c r="B182" s="234" t="str">
        <f>'Building Bill of Materials_SLIM'!P182</f>
        <v/>
      </c>
      <c r="C182" s="234" t="str">
        <f>'Building Bill of Materials_SLIM'!Q182</f>
        <v/>
      </c>
      <c r="D182" s="234" t="str">
        <f>'Building Bill of Materials_SLIM'!R182</f>
        <v/>
      </c>
      <c r="E182" s="234" t="str">
        <f>'Building Bill of Materials_SLIM'!S182</f>
        <v/>
      </c>
      <c r="F182" s="234"/>
      <c r="G182" s="234"/>
      <c r="H182" s="234" t="str">
        <f>'Building Bill of Materials_SLIM'!T182</f>
        <v/>
      </c>
      <c r="I182" s="234" t="str">
        <f>'Building Bill of Materials_SLIM'!U182</f>
        <v/>
      </c>
      <c r="J182" s="234" t="str">
        <f>'Building Bill of Materials_SLIM'!V182</f>
        <v/>
      </c>
      <c r="K182" s="192"/>
      <c r="L182" s="242"/>
      <c r="M182" s="242"/>
      <c r="N182" s="291"/>
      <c r="O182" s="291"/>
      <c r="P182" s="291"/>
      <c r="Q182" s="291"/>
      <c r="R182" s="291"/>
      <c r="S182" s="291"/>
      <c r="T182" s="291"/>
      <c r="U182" s="291"/>
      <c r="V182" s="291"/>
      <c r="W182" s="291"/>
      <c r="X182" s="291"/>
      <c r="Y182" s="291"/>
      <c r="Z182" s="291"/>
      <c r="AA182" s="291"/>
      <c r="AB182" s="291"/>
      <c r="AC182" s="291"/>
      <c r="AD182" s="291"/>
      <c r="AE182" s="291"/>
      <c r="AF182" s="291"/>
      <c r="AG182" s="291"/>
    </row>
    <row r="183" ht="18.75" customHeight="1">
      <c r="A183" s="283"/>
      <c r="B183" s="234" t="str">
        <f>'Building Bill of Materials_SLIM'!P183</f>
        <v/>
      </c>
      <c r="C183" s="234" t="str">
        <f>'Building Bill of Materials_SLIM'!Q183</f>
        <v/>
      </c>
      <c r="D183" s="234" t="str">
        <f>'Building Bill of Materials_SLIM'!R183</f>
        <v/>
      </c>
      <c r="E183" s="234" t="str">
        <f>'Building Bill of Materials_SLIM'!S183</f>
        <v/>
      </c>
      <c r="F183" s="234"/>
      <c r="G183" s="234"/>
      <c r="H183" s="234" t="str">
        <f>'Building Bill of Materials_SLIM'!T183</f>
        <v/>
      </c>
      <c r="I183" s="234" t="str">
        <f>'Building Bill of Materials_SLIM'!U183</f>
        <v/>
      </c>
      <c r="J183" s="234" t="str">
        <f>'Building Bill of Materials_SLIM'!V183</f>
        <v/>
      </c>
      <c r="K183" s="192"/>
      <c r="L183" s="242"/>
      <c r="M183" s="242"/>
      <c r="N183" s="291"/>
      <c r="O183" s="291"/>
      <c r="P183" s="291"/>
      <c r="Q183" s="291"/>
      <c r="R183" s="291"/>
      <c r="S183" s="291"/>
      <c r="T183" s="291"/>
      <c r="U183" s="291"/>
      <c r="V183" s="291"/>
      <c r="W183" s="291"/>
      <c r="X183" s="291"/>
      <c r="Y183" s="291"/>
      <c r="Z183" s="291"/>
      <c r="AA183" s="291"/>
      <c r="AB183" s="291"/>
      <c r="AC183" s="291"/>
      <c r="AD183" s="291"/>
      <c r="AE183" s="291"/>
      <c r="AF183" s="291"/>
      <c r="AG183" s="291"/>
    </row>
    <row r="184" ht="18.75" customHeight="1">
      <c r="A184" s="283"/>
      <c r="B184" s="234" t="str">
        <f>'Building Bill of Materials_SLIM'!P184</f>
        <v/>
      </c>
      <c r="C184" s="234" t="str">
        <f>'Building Bill of Materials_SLIM'!Q184</f>
        <v/>
      </c>
      <c r="D184" s="234" t="str">
        <f>'Building Bill of Materials_SLIM'!R184</f>
        <v/>
      </c>
      <c r="E184" s="234" t="str">
        <f>'Building Bill of Materials_SLIM'!S184</f>
        <v/>
      </c>
      <c r="F184" s="234"/>
      <c r="G184" s="234"/>
      <c r="H184" s="234" t="str">
        <f>'Building Bill of Materials_SLIM'!T184</f>
        <v/>
      </c>
      <c r="I184" s="234" t="str">
        <f>'Building Bill of Materials_SLIM'!U184</f>
        <v/>
      </c>
      <c r="J184" s="234" t="str">
        <f>'Building Bill of Materials_SLIM'!V184</f>
        <v/>
      </c>
      <c r="K184" s="192"/>
      <c r="L184" s="242"/>
      <c r="M184" s="242"/>
      <c r="N184" s="291"/>
      <c r="O184" s="291"/>
      <c r="P184" s="291"/>
      <c r="Q184" s="291"/>
      <c r="R184" s="291"/>
      <c r="S184" s="291"/>
      <c r="T184" s="291"/>
      <c r="U184" s="291"/>
      <c r="V184" s="291"/>
      <c r="W184" s="291"/>
      <c r="X184" s="291"/>
      <c r="Y184" s="291"/>
      <c r="Z184" s="291"/>
      <c r="AA184" s="291"/>
      <c r="AB184" s="291"/>
      <c r="AC184" s="291"/>
      <c r="AD184" s="291"/>
      <c r="AE184" s="291"/>
      <c r="AF184" s="291"/>
      <c r="AG184" s="291"/>
    </row>
    <row r="185" ht="18.75" customHeight="1">
      <c r="A185" s="283"/>
      <c r="B185" s="234" t="str">
        <f>'Building Bill of Materials_SLIM'!P185</f>
        <v/>
      </c>
      <c r="C185" s="234" t="str">
        <f>'Building Bill of Materials_SLIM'!Q185</f>
        <v/>
      </c>
      <c r="D185" s="234" t="str">
        <f>'Building Bill of Materials_SLIM'!R185</f>
        <v/>
      </c>
      <c r="E185" s="234" t="str">
        <f>'Building Bill of Materials_SLIM'!S185</f>
        <v/>
      </c>
      <c r="F185" s="234"/>
      <c r="G185" s="234"/>
      <c r="H185" s="234" t="str">
        <f>'Building Bill of Materials_SLIM'!T185</f>
        <v/>
      </c>
      <c r="I185" s="234" t="str">
        <f>'Building Bill of Materials_SLIM'!U185</f>
        <v/>
      </c>
      <c r="J185" s="234" t="str">
        <f>'Building Bill of Materials_SLIM'!V185</f>
        <v/>
      </c>
      <c r="K185" s="192"/>
      <c r="L185" s="242"/>
      <c r="M185" s="242"/>
      <c r="N185" s="291"/>
      <c r="O185" s="291"/>
      <c r="P185" s="291"/>
      <c r="Q185" s="291"/>
      <c r="R185" s="291"/>
      <c r="S185" s="291"/>
      <c r="T185" s="291"/>
      <c r="U185" s="291"/>
      <c r="V185" s="291"/>
      <c r="W185" s="291"/>
      <c r="X185" s="291"/>
      <c r="Y185" s="291"/>
      <c r="Z185" s="291"/>
      <c r="AA185" s="291"/>
      <c r="AB185" s="291"/>
      <c r="AC185" s="291"/>
      <c r="AD185" s="291"/>
      <c r="AE185" s="291"/>
      <c r="AF185" s="291"/>
      <c r="AG185" s="291"/>
    </row>
    <row r="186" ht="18.75" customHeight="1">
      <c r="A186" s="283"/>
      <c r="B186" s="234" t="str">
        <f>'Building Bill of Materials_SLIM'!P186</f>
        <v/>
      </c>
      <c r="C186" s="234" t="str">
        <f>'Building Bill of Materials_SLIM'!Q186</f>
        <v/>
      </c>
      <c r="D186" s="234" t="str">
        <f>'Building Bill of Materials_SLIM'!R186</f>
        <v/>
      </c>
      <c r="E186" s="234" t="str">
        <f>'Building Bill of Materials_SLIM'!S186</f>
        <v/>
      </c>
      <c r="F186" s="234"/>
      <c r="G186" s="234"/>
      <c r="H186" s="234" t="str">
        <f>'Building Bill of Materials_SLIM'!T186</f>
        <v/>
      </c>
      <c r="I186" s="234" t="str">
        <f>'Building Bill of Materials_SLIM'!U186</f>
        <v/>
      </c>
      <c r="J186" s="234" t="str">
        <f>'Building Bill of Materials_SLIM'!V186</f>
        <v/>
      </c>
      <c r="K186" s="192"/>
      <c r="L186" s="242"/>
      <c r="M186" s="242"/>
      <c r="N186" s="291"/>
      <c r="O186" s="291"/>
      <c r="P186" s="291"/>
      <c r="Q186" s="291"/>
      <c r="R186" s="291"/>
      <c r="S186" s="291"/>
      <c r="T186" s="291"/>
      <c r="U186" s="291"/>
      <c r="V186" s="291"/>
      <c r="W186" s="291"/>
      <c r="X186" s="291"/>
      <c r="Y186" s="291"/>
      <c r="Z186" s="291"/>
      <c r="AA186" s="291"/>
      <c r="AB186" s="291"/>
      <c r="AC186" s="291"/>
      <c r="AD186" s="291"/>
      <c r="AE186" s="291"/>
      <c r="AF186" s="291"/>
      <c r="AG186" s="291"/>
    </row>
    <row r="187" ht="18.75" customHeight="1">
      <c r="A187" s="283"/>
      <c r="B187" s="234" t="str">
        <f>'Building Bill of Materials_SLIM'!P187</f>
        <v/>
      </c>
      <c r="C187" s="234" t="str">
        <f>'Building Bill of Materials_SLIM'!Q187</f>
        <v/>
      </c>
      <c r="D187" s="234" t="str">
        <f>'Building Bill of Materials_SLIM'!R187</f>
        <v/>
      </c>
      <c r="E187" s="234" t="str">
        <f>'Building Bill of Materials_SLIM'!S187</f>
        <v/>
      </c>
      <c r="F187" s="234"/>
      <c r="G187" s="234"/>
      <c r="H187" s="234" t="str">
        <f>'Building Bill of Materials_SLIM'!T187</f>
        <v/>
      </c>
      <c r="I187" s="234" t="str">
        <f>'Building Bill of Materials_SLIM'!U187</f>
        <v/>
      </c>
      <c r="J187" s="234" t="str">
        <f>'Building Bill of Materials_SLIM'!V187</f>
        <v/>
      </c>
      <c r="K187" s="192"/>
      <c r="L187" s="242"/>
      <c r="M187" s="242"/>
      <c r="N187" s="291"/>
      <c r="O187" s="291"/>
      <c r="P187" s="291"/>
      <c r="Q187" s="291"/>
      <c r="R187" s="291"/>
      <c r="S187" s="291"/>
      <c r="T187" s="291"/>
      <c r="U187" s="291"/>
      <c r="V187" s="291"/>
      <c r="W187" s="291"/>
      <c r="X187" s="291"/>
      <c r="Y187" s="291"/>
      <c r="Z187" s="291"/>
      <c r="AA187" s="291"/>
      <c r="AB187" s="291"/>
      <c r="AC187" s="291"/>
      <c r="AD187" s="291"/>
      <c r="AE187" s="291"/>
      <c r="AF187" s="291"/>
      <c r="AG187" s="291"/>
    </row>
    <row r="188" ht="18.75" customHeight="1">
      <c r="A188" s="283"/>
      <c r="B188" s="234" t="str">
        <f>'Building Bill of Materials_SLIM'!P188</f>
        <v/>
      </c>
      <c r="C188" s="234" t="str">
        <f>'Building Bill of Materials_SLIM'!Q188</f>
        <v/>
      </c>
      <c r="D188" s="234" t="str">
        <f>'Building Bill of Materials_SLIM'!R188</f>
        <v/>
      </c>
      <c r="E188" s="234" t="str">
        <f>'Building Bill of Materials_SLIM'!S188</f>
        <v/>
      </c>
      <c r="F188" s="234"/>
      <c r="G188" s="234"/>
      <c r="H188" s="234" t="str">
        <f>'Building Bill of Materials_SLIM'!T188</f>
        <v/>
      </c>
      <c r="I188" s="234" t="str">
        <f>'Building Bill of Materials_SLIM'!U188</f>
        <v/>
      </c>
      <c r="J188" s="234" t="str">
        <f>'Building Bill of Materials_SLIM'!V188</f>
        <v/>
      </c>
      <c r="K188" s="192"/>
      <c r="L188" s="242"/>
      <c r="M188" s="242"/>
      <c r="N188" s="291"/>
      <c r="O188" s="291"/>
      <c r="P188" s="291"/>
      <c r="Q188" s="291"/>
      <c r="R188" s="291"/>
      <c r="S188" s="291"/>
      <c r="T188" s="291"/>
      <c r="U188" s="291"/>
      <c r="V188" s="291"/>
      <c r="W188" s="291"/>
      <c r="X188" s="291"/>
      <c r="Y188" s="291"/>
      <c r="Z188" s="291"/>
      <c r="AA188" s="291"/>
      <c r="AB188" s="291"/>
      <c r="AC188" s="291"/>
      <c r="AD188" s="291"/>
      <c r="AE188" s="291"/>
      <c r="AF188" s="291"/>
      <c r="AG188" s="291"/>
    </row>
    <row r="189" ht="18.75" customHeight="1">
      <c r="A189" s="283"/>
      <c r="B189" s="234" t="str">
        <f>'Building Bill of Materials_SLIM'!P189</f>
        <v/>
      </c>
      <c r="C189" s="234" t="str">
        <f>'Building Bill of Materials_SLIM'!Q189</f>
        <v/>
      </c>
      <c r="D189" s="234" t="str">
        <f>'Building Bill of Materials_SLIM'!R189</f>
        <v/>
      </c>
      <c r="E189" s="234" t="str">
        <f>'Building Bill of Materials_SLIM'!S189</f>
        <v/>
      </c>
      <c r="F189" s="234"/>
      <c r="G189" s="234"/>
      <c r="H189" s="234" t="str">
        <f>'Building Bill of Materials_SLIM'!T189</f>
        <v/>
      </c>
      <c r="I189" s="234" t="str">
        <f>'Building Bill of Materials_SLIM'!U189</f>
        <v/>
      </c>
      <c r="J189" s="234" t="str">
        <f>'Building Bill of Materials_SLIM'!V189</f>
        <v/>
      </c>
      <c r="K189" s="192"/>
      <c r="L189" s="242"/>
      <c r="M189" s="242"/>
      <c r="N189" s="291"/>
      <c r="O189" s="291"/>
      <c r="P189" s="291"/>
      <c r="Q189" s="291"/>
      <c r="R189" s="291"/>
      <c r="S189" s="291"/>
      <c r="T189" s="291"/>
      <c r="U189" s="291"/>
      <c r="V189" s="291"/>
      <c r="W189" s="291"/>
      <c r="X189" s="291"/>
      <c r="Y189" s="291"/>
      <c r="Z189" s="291"/>
      <c r="AA189" s="291"/>
      <c r="AB189" s="291"/>
      <c r="AC189" s="291"/>
      <c r="AD189" s="291"/>
      <c r="AE189" s="291"/>
      <c r="AF189" s="291"/>
      <c r="AG189" s="291"/>
    </row>
    <row r="190" ht="18.75" customHeight="1">
      <c r="A190" s="283"/>
      <c r="B190" s="234" t="str">
        <f>'Building Bill of Materials_SLIM'!P190</f>
        <v/>
      </c>
      <c r="C190" s="234" t="str">
        <f>'Building Bill of Materials_SLIM'!Q190</f>
        <v/>
      </c>
      <c r="D190" s="234" t="str">
        <f>'Building Bill of Materials_SLIM'!R190</f>
        <v/>
      </c>
      <c r="E190" s="234" t="str">
        <f>'Building Bill of Materials_SLIM'!S190</f>
        <v/>
      </c>
      <c r="F190" s="234"/>
      <c r="G190" s="234"/>
      <c r="H190" s="234" t="str">
        <f>'Building Bill of Materials_SLIM'!T190</f>
        <v/>
      </c>
      <c r="I190" s="234" t="str">
        <f>'Building Bill of Materials_SLIM'!U190</f>
        <v/>
      </c>
      <c r="J190" s="234" t="str">
        <f>'Building Bill of Materials_SLIM'!V190</f>
        <v/>
      </c>
      <c r="K190" s="192"/>
      <c r="L190" s="242"/>
      <c r="M190" s="242"/>
      <c r="N190" s="291"/>
      <c r="O190" s="291"/>
      <c r="P190" s="291"/>
      <c r="Q190" s="291"/>
      <c r="R190" s="291"/>
      <c r="S190" s="291"/>
      <c r="T190" s="291"/>
      <c r="U190" s="291"/>
      <c r="V190" s="291"/>
      <c r="W190" s="291"/>
      <c r="X190" s="291"/>
      <c r="Y190" s="291"/>
      <c r="Z190" s="291"/>
      <c r="AA190" s="291"/>
      <c r="AB190" s="291"/>
      <c r="AC190" s="291"/>
      <c r="AD190" s="291"/>
      <c r="AE190" s="291"/>
      <c r="AF190" s="291"/>
      <c r="AG190" s="291"/>
    </row>
    <row r="191" ht="18.75" customHeight="1">
      <c r="A191" s="283"/>
      <c r="B191" s="234" t="str">
        <f>'Building Bill of Materials_SLIM'!P191</f>
        <v/>
      </c>
      <c r="C191" s="234" t="str">
        <f>'Building Bill of Materials_SLIM'!Q191</f>
        <v/>
      </c>
      <c r="D191" s="234" t="str">
        <f>'Building Bill of Materials_SLIM'!R191</f>
        <v/>
      </c>
      <c r="E191" s="234" t="str">
        <f>'Building Bill of Materials_SLIM'!S191</f>
        <v/>
      </c>
      <c r="F191" s="234"/>
      <c r="G191" s="234"/>
      <c r="H191" s="234" t="str">
        <f>'Building Bill of Materials_SLIM'!T191</f>
        <v/>
      </c>
      <c r="I191" s="234" t="str">
        <f>'Building Bill of Materials_SLIM'!U191</f>
        <v/>
      </c>
      <c r="J191" s="234" t="str">
        <f>'Building Bill of Materials_SLIM'!V191</f>
        <v/>
      </c>
      <c r="K191" s="192"/>
      <c r="L191" s="242"/>
      <c r="M191" s="242"/>
      <c r="N191" s="291"/>
      <c r="O191" s="291"/>
      <c r="P191" s="291"/>
      <c r="Q191" s="291"/>
      <c r="R191" s="291"/>
      <c r="S191" s="291"/>
      <c r="T191" s="291"/>
      <c r="U191" s="291"/>
      <c r="V191" s="291"/>
      <c r="W191" s="291"/>
      <c r="X191" s="291"/>
      <c r="Y191" s="291"/>
      <c r="Z191" s="291"/>
      <c r="AA191" s="291"/>
      <c r="AB191" s="291"/>
      <c r="AC191" s="291"/>
      <c r="AD191" s="291"/>
      <c r="AE191" s="291"/>
      <c r="AF191" s="291"/>
      <c r="AG191" s="291"/>
    </row>
    <row r="192" ht="18.75" customHeight="1">
      <c r="A192" s="283"/>
      <c r="B192" s="234" t="str">
        <f>'Building Bill of Materials_SLIM'!P192</f>
        <v/>
      </c>
      <c r="C192" s="234" t="str">
        <f>'Building Bill of Materials_SLIM'!Q192</f>
        <v/>
      </c>
      <c r="D192" s="234" t="str">
        <f>'Building Bill of Materials_SLIM'!R192</f>
        <v/>
      </c>
      <c r="E192" s="234" t="str">
        <f>'Building Bill of Materials_SLIM'!S192</f>
        <v/>
      </c>
      <c r="F192" s="234"/>
      <c r="G192" s="234"/>
      <c r="H192" s="234" t="str">
        <f>'Building Bill of Materials_SLIM'!T192</f>
        <v/>
      </c>
      <c r="I192" s="234" t="str">
        <f>'Building Bill of Materials_SLIM'!U192</f>
        <v/>
      </c>
      <c r="J192" s="234" t="str">
        <f>'Building Bill of Materials_SLIM'!V192</f>
        <v/>
      </c>
      <c r="K192" s="192"/>
      <c r="L192" s="242"/>
      <c r="M192" s="242"/>
      <c r="N192" s="291"/>
      <c r="O192" s="291"/>
      <c r="P192" s="291"/>
      <c r="Q192" s="291"/>
      <c r="R192" s="291"/>
      <c r="S192" s="291"/>
      <c r="T192" s="291"/>
      <c r="U192" s="291"/>
      <c r="V192" s="291"/>
      <c r="W192" s="291"/>
      <c r="X192" s="291"/>
      <c r="Y192" s="291"/>
      <c r="Z192" s="291"/>
      <c r="AA192" s="291"/>
      <c r="AB192" s="291"/>
      <c r="AC192" s="291"/>
      <c r="AD192" s="291"/>
      <c r="AE192" s="291"/>
      <c r="AF192" s="291"/>
      <c r="AG192" s="291"/>
    </row>
    <row r="193" ht="18.75" customHeight="1">
      <c r="A193" s="283"/>
      <c r="B193" s="234" t="str">
        <f>'Building Bill of Materials_SLIM'!P193</f>
        <v/>
      </c>
      <c r="C193" s="234" t="str">
        <f>'Building Bill of Materials_SLIM'!Q193</f>
        <v/>
      </c>
      <c r="D193" s="234" t="str">
        <f>'Building Bill of Materials_SLIM'!R193</f>
        <v/>
      </c>
      <c r="E193" s="234" t="str">
        <f>'Building Bill of Materials_SLIM'!S193</f>
        <v/>
      </c>
      <c r="F193" s="234"/>
      <c r="G193" s="234"/>
      <c r="H193" s="234" t="str">
        <f>'Building Bill of Materials_SLIM'!T193</f>
        <v/>
      </c>
      <c r="I193" s="234" t="str">
        <f>'Building Bill of Materials_SLIM'!U193</f>
        <v/>
      </c>
      <c r="J193" s="234" t="str">
        <f>'Building Bill of Materials_SLIM'!V193</f>
        <v/>
      </c>
      <c r="K193" s="192"/>
      <c r="L193" s="242"/>
      <c r="M193" s="242"/>
      <c r="N193" s="291"/>
      <c r="O193" s="291"/>
      <c r="P193" s="291"/>
      <c r="Q193" s="291"/>
      <c r="R193" s="291"/>
      <c r="S193" s="291"/>
      <c r="T193" s="291"/>
      <c r="U193" s="291"/>
      <c r="V193" s="291"/>
      <c r="W193" s="291"/>
      <c r="X193" s="291"/>
      <c r="Y193" s="291"/>
      <c r="Z193" s="291"/>
      <c r="AA193" s="291"/>
      <c r="AB193" s="291"/>
      <c r="AC193" s="291"/>
      <c r="AD193" s="291"/>
      <c r="AE193" s="291"/>
      <c r="AF193" s="291"/>
      <c r="AG193" s="291"/>
    </row>
    <row r="194" ht="18.75" customHeight="1">
      <c r="A194" s="283"/>
      <c r="B194" s="234" t="str">
        <f>'Building Bill of Materials_SLIM'!P194</f>
        <v/>
      </c>
      <c r="C194" s="234" t="str">
        <f>'Building Bill of Materials_SLIM'!Q194</f>
        <v/>
      </c>
      <c r="D194" s="234" t="str">
        <f>'Building Bill of Materials_SLIM'!R194</f>
        <v/>
      </c>
      <c r="E194" s="234" t="str">
        <f>'Building Bill of Materials_SLIM'!S194</f>
        <v/>
      </c>
      <c r="F194" s="234"/>
      <c r="G194" s="234"/>
      <c r="H194" s="234" t="str">
        <f>'Building Bill of Materials_SLIM'!T194</f>
        <v/>
      </c>
      <c r="I194" s="234" t="str">
        <f>'Building Bill of Materials_SLIM'!U194</f>
        <v/>
      </c>
      <c r="J194" s="234" t="str">
        <f>'Building Bill of Materials_SLIM'!V194</f>
        <v/>
      </c>
      <c r="K194" s="192"/>
      <c r="L194" s="242"/>
      <c r="M194" s="242"/>
      <c r="N194" s="291"/>
      <c r="O194" s="291"/>
      <c r="P194" s="291"/>
      <c r="Q194" s="291"/>
      <c r="R194" s="291"/>
      <c r="S194" s="291"/>
      <c r="T194" s="291"/>
      <c r="U194" s="291"/>
      <c r="V194" s="291"/>
      <c r="W194" s="291"/>
      <c r="X194" s="291"/>
      <c r="Y194" s="291"/>
      <c r="Z194" s="291"/>
      <c r="AA194" s="291"/>
      <c r="AB194" s="291"/>
      <c r="AC194" s="291"/>
      <c r="AD194" s="291"/>
      <c r="AE194" s="291"/>
      <c r="AF194" s="291"/>
      <c r="AG194" s="291"/>
    </row>
    <row r="195" ht="18.75" customHeight="1">
      <c r="A195" s="283"/>
      <c r="B195" s="234" t="str">
        <f>'Building Bill of Materials_SLIM'!P195</f>
        <v/>
      </c>
      <c r="C195" s="234" t="str">
        <f>'Building Bill of Materials_SLIM'!Q195</f>
        <v/>
      </c>
      <c r="D195" s="234" t="str">
        <f>'Building Bill of Materials_SLIM'!R195</f>
        <v/>
      </c>
      <c r="E195" s="234" t="str">
        <f>'Building Bill of Materials_SLIM'!S195</f>
        <v/>
      </c>
      <c r="F195" s="234"/>
      <c r="G195" s="234"/>
      <c r="H195" s="234" t="str">
        <f>'Building Bill of Materials_SLIM'!T195</f>
        <v/>
      </c>
      <c r="I195" s="234" t="str">
        <f>'Building Bill of Materials_SLIM'!U195</f>
        <v/>
      </c>
      <c r="J195" s="234" t="str">
        <f>'Building Bill of Materials_SLIM'!V195</f>
        <v/>
      </c>
      <c r="K195" s="192"/>
      <c r="L195" s="242"/>
      <c r="M195" s="242"/>
      <c r="N195" s="291"/>
      <c r="O195" s="291"/>
      <c r="P195" s="291"/>
      <c r="Q195" s="291"/>
      <c r="R195" s="291"/>
      <c r="S195" s="291"/>
      <c r="T195" s="291"/>
      <c r="U195" s="291"/>
      <c r="V195" s="291"/>
      <c r="W195" s="291"/>
      <c r="X195" s="291"/>
      <c r="Y195" s="291"/>
      <c r="Z195" s="291"/>
      <c r="AA195" s="291"/>
      <c r="AB195" s="291"/>
      <c r="AC195" s="291"/>
      <c r="AD195" s="291"/>
      <c r="AE195" s="291"/>
      <c r="AF195" s="291"/>
      <c r="AG195" s="291"/>
    </row>
    <row r="196" ht="18.75" customHeight="1">
      <c r="A196" s="283"/>
      <c r="B196" s="234" t="str">
        <f>'Building Bill of Materials_SLIM'!P196</f>
        <v/>
      </c>
      <c r="C196" s="234" t="str">
        <f>'Building Bill of Materials_SLIM'!Q196</f>
        <v/>
      </c>
      <c r="D196" s="234" t="str">
        <f>'Building Bill of Materials_SLIM'!R196</f>
        <v/>
      </c>
      <c r="E196" s="234" t="str">
        <f>'Building Bill of Materials_SLIM'!S196</f>
        <v/>
      </c>
      <c r="F196" s="234"/>
      <c r="G196" s="234"/>
      <c r="H196" s="234" t="str">
        <f>'Building Bill of Materials_SLIM'!T196</f>
        <v/>
      </c>
      <c r="I196" s="234" t="str">
        <f>'Building Bill of Materials_SLIM'!U196</f>
        <v/>
      </c>
      <c r="J196" s="234" t="str">
        <f>'Building Bill of Materials_SLIM'!V196</f>
        <v/>
      </c>
      <c r="K196" s="192"/>
      <c r="L196" s="242"/>
      <c r="M196" s="242"/>
      <c r="N196" s="291"/>
      <c r="O196" s="291"/>
      <c r="P196" s="291"/>
      <c r="Q196" s="291"/>
      <c r="R196" s="291"/>
      <c r="S196" s="291"/>
      <c r="T196" s="291"/>
      <c r="U196" s="291"/>
      <c r="V196" s="291"/>
      <c r="W196" s="291"/>
      <c r="X196" s="291"/>
      <c r="Y196" s="291"/>
      <c r="Z196" s="291"/>
      <c r="AA196" s="291"/>
      <c r="AB196" s="291"/>
      <c r="AC196" s="291"/>
      <c r="AD196" s="291"/>
      <c r="AE196" s="291"/>
      <c r="AF196" s="291"/>
      <c r="AG196" s="291"/>
    </row>
    <row r="197" ht="18.75" customHeight="1">
      <c r="A197" s="283"/>
      <c r="B197" s="234" t="str">
        <f>'Building Bill of Materials_SLIM'!P197</f>
        <v/>
      </c>
      <c r="C197" s="234" t="str">
        <f>'Building Bill of Materials_SLIM'!Q197</f>
        <v/>
      </c>
      <c r="D197" s="234" t="str">
        <f>'Building Bill of Materials_SLIM'!R197</f>
        <v/>
      </c>
      <c r="E197" s="234" t="str">
        <f>'Building Bill of Materials_SLIM'!S197</f>
        <v/>
      </c>
      <c r="F197" s="234"/>
      <c r="G197" s="234"/>
      <c r="H197" s="234" t="str">
        <f>'Building Bill of Materials_SLIM'!T197</f>
        <v/>
      </c>
      <c r="I197" s="234" t="str">
        <f>'Building Bill of Materials_SLIM'!U197</f>
        <v/>
      </c>
      <c r="J197" s="234" t="str">
        <f>'Building Bill of Materials_SLIM'!V197</f>
        <v/>
      </c>
      <c r="K197" s="192"/>
      <c r="L197" s="242"/>
      <c r="M197" s="242"/>
      <c r="N197" s="291"/>
      <c r="O197" s="291"/>
      <c r="P197" s="291"/>
      <c r="Q197" s="291"/>
      <c r="R197" s="291"/>
      <c r="S197" s="291"/>
      <c r="T197" s="291"/>
      <c r="U197" s="291"/>
      <c r="V197" s="291"/>
      <c r="W197" s="291"/>
      <c r="X197" s="291"/>
      <c r="Y197" s="291"/>
      <c r="Z197" s="291"/>
      <c r="AA197" s="291"/>
      <c r="AB197" s="291"/>
      <c r="AC197" s="291"/>
      <c r="AD197" s="291"/>
      <c r="AE197" s="291"/>
      <c r="AF197" s="291"/>
      <c r="AG197" s="291"/>
    </row>
    <row r="198" ht="18.75" customHeight="1">
      <c r="A198" s="283"/>
      <c r="B198" s="234" t="str">
        <f>'Building Bill of Materials_SLIM'!P198</f>
        <v/>
      </c>
      <c r="C198" s="234" t="str">
        <f>'Building Bill of Materials_SLIM'!Q198</f>
        <v/>
      </c>
      <c r="D198" s="234" t="str">
        <f>'Building Bill of Materials_SLIM'!R198</f>
        <v/>
      </c>
      <c r="E198" s="234" t="str">
        <f>'Building Bill of Materials_SLIM'!S198</f>
        <v/>
      </c>
      <c r="F198" s="234"/>
      <c r="G198" s="234"/>
      <c r="H198" s="234" t="str">
        <f>'Building Bill of Materials_SLIM'!T198</f>
        <v/>
      </c>
      <c r="I198" s="234" t="str">
        <f>'Building Bill of Materials_SLIM'!U198</f>
        <v/>
      </c>
      <c r="J198" s="234" t="str">
        <f>'Building Bill of Materials_SLIM'!V198</f>
        <v/>
      </c>
      <c r="K198" s="192"/>
      <c r="L198" s="242"/>
      <c r="M198" s="242"/>
      <c r="N198" s="291"/>
      <c r="O198" s="291"/>
      <c r="P198" s="291"/>
      <c r="Q198" s="291"/>
      <c r="R198" s="291"/>
      <c r="S198" s="291"/>
      <c r="T198" s="291"/>
      <c r="U198" s="291"/>
      <c r="V198" s="291"/>
      <c r="W198" s="291"/>
      <c r="X198" s="291"/>
      <c r="Y198" s="291"/>
      <c r="Z198" s="291"/>
      <c r="AA198" s="291"/>
      <c r="AB198" s="291"/>
      <c r="AC198" s="291"/>
      <c r="AD198" s="291"/>
      <c r="AE198" s="291"/>
      <c r="AF198" s="291"/>
      <c r="AG198" s="291"/>
    </row>
    <row r="199" ht="18.75" customHeight="1">
      <c r="A199" s="283"/>
      <c r="B199" s="234" t="str">
        <f>'Building Bill of Materials_SLIM'!P199</f>
        <v/>
      </c>
      <c r="C199" s="234" t="str">
        <f>'Building Bill of Materials_SLIM'!Q199</f>
        <v/>
      </c>
      <c r="D199" s="234" t="str">
        <f>'Building Bill of Materials_SLIM'!R199</f>
        <v/>
      </c>
      <c r="E199" s="234" t="str">
        <f>'Building Bill of Materials_SLIM'!S199</f>
        <v/>
      </c>
      <c r="F199" s="234"/>
      <c r="G199" s="234"/>
      <c r="H199" s="234" t="str">
        <f>'Building Bill of Materials_SLIM'!T199</f>
        <v/>
      </c>
      <c r="I199" s="234" t="str">
        <f>'Building Bill of Materials_SLIM'!U199</f>
        <v/>
      </c>
      <c r="J199" s="234" t="str">
        <f>'Building Bill of Materials_SLIM'!V199</f>
        <v/>
      </c>
      <c r="K199" s="192"/>
      <c r="L199" s="242"/>
      <c r="M199" s="242"/>
      <c r="N199" s="291"/>
      <c r="O199" s="291"/>
      <c r="P199" s="291"/>
      <c r="Q199" s="291"/>
      <c r="R199" s="291"/>
      <c r="S199" s="291"/>
      <c r="T199" s="291"/>
      <c r="U199" s="291"/>
      <c r="V199" s="291"/>
      <c r="W199" s="291"/>
      <c r="X199" s="291"/>
      <c r="Y199" s="291"/>
      <c r="Z199" s="291"/>
      <c r="AA199" s="291"/>
      <c r="AB199" s="291"/>
      <c r="AC199" s="291"/>
      <c r="AD199" s="291"/>
      <c r="AE199" s="291"/>
      <c r="AF199" s="291"/>
      <c r="AG199" s="291"/>
    </row>
    <row r="200" ht="18.75" customHeight="1">
      <c r="A200" s="283"/>
      <c r="B200" s="234" t="str">
        <f>'Building Bill of Materials_SLIM'!P200</f>
        <v/>
      </c>
      <c r="C200" s="234" t="str">
        <f>'Building Bill of Materials_SLIM'!Q200</f>
        <v/>
      </c>
      <c r="D200" s="234" t="str">
        <f>'Building Bill of Materials_SLIM'!R200</f>
        <v/>
      </c>
      <c r="E200" s="234" t="str">
        <f>'Building Bill of Materials_SLIM'!S200</f>
        <v/>
      </c>
      <c r="F200" s="234"/>
      <c r="G200" s="234"/>
      <c r="H200" s="234" t="str">
        <f>'Building Bill of Materials_SLIM'!T200</f>
        <v/>
      </c>
      <c r="I200" s="234" t="str">
        <f>'Building Bill of Materials_SLIM'!U200</f>
        <v/>
      </c>
      <c r="J200" s="234" t="str">
        <f>'Building Bill of Materials_SLIM'!V200</f>
        <v/>
      </c>
      <c r="K200" s="192"/>
      <c r="L200" s="242"/>
      <c r="M200" s="242"/>
      <c r="N200" s="291"/>
      <c r="O200" s="291"/>
      <c r="P200" s="291"/>
      <c r="Q200" s="291"/>
      <c r="R200" s="291"/>
      <c r="S200" s="291"/>
      <c r="T200" s="291"/>
      <c r="U200" s="291"/>
      <c r="V200" s="291"/>
      <c r="W200" s="291"/>
      <c r="X200" s="291"/>
      <c r="Y200" s="291"/>
      <c r="Z200" s="291"/>
      <c r="AA200" s="291"/>
      <c r="AB200" s="291"/>
      <c r="AC200" s="291"/>
      <c r="AD200" s="291"/>
      <c r="AE200" s="291"/>
      <c r="AF200" s="291"/>
      <c r="AG200" s="291"/>
    </row>
    <row r="201" ht="18.75" customHeight="1">
      <c r="A201" s="283"/>
      <c r="B201" s="234" t="str">
        <f>'Building Bill of Materials_SLIM'!P201</f>
        <v/>
      </c>
      <c r="C201" s="234" t="str">
        <f>'Building Bill of Materials_SLIM'!Q201</f>
        <v/>
      </c>
      <c r="D201" s="234" t="str">
        <f>'Building Bill of Materials_SLIM'!R201</f>
        <v/>
      </c>
      <c r="E201" s="234" t="str">
        <f>'Building Bill of Materials_SLIM'!S201</f>
        <v/>
      </c>
      <c r="F201" s="234"/>
      <c r="G201" s="234"/>
      <c r="H201" s="234" t="str">
        <f>'Building Bill of Materials_SLIM'!T201</f>
        <v/>
      </c>
      <c r="I201" s="234" t="str">
        <f>'Building Bill of Materials_SLIM'!U201</f>
        <v/>
      </c>
      <c r="J201" s="234" t="str">
        <f>'Building Bill of Materials_SLIM'!V201</f>
        <v/>
      </c>
      <c r="K201" s="192"/>
      <c r="L201" s="242"/>
      <c r="M201" s="242"/>
      <c r="N201" s="291"/>
      <c r="O201" s="291"/>
      <c r="P201" s="291"/>
      <c r="Q201" s="291"/>
      <c r="R201" s="291"/>
      <c r="S201" s="291"/>
      <c r="T201" s="291"/>
      <c r="U201" s="291"/>
      <c r="V201" s="291"/>
      <c r="W201" s="291"/>
      <c r="X201" s="291"/>
      <c r="Y201" s="291"/>
      <c r="Z201" s="291"/>
      <c r="AA201" s="291"/>
      <c r="AB201" s="291"/>
      <c r="AC201" s="291"/>
      <c r="AD201" s="291"/>
      <c r="AE201" s="291"/>
      <c r="AF201" s="291"/>
      <c r="AG201" s="291"/>
    </row>
    <row r="202" ht="18.75" customHeight="1">
      <c r="A202" s="283"/>
      <c r="B202" s="234" t="str">
        <f>'Building Bill of Materials_SLIM'!P202</f>
        <v/>
      </c>
      <c r="C202" s="234" t="str">
        <f>'Building Bill of Materials_SLIM'!Q202</f>
        <v/>
      </c>
      <c r="D202" s="234" t="str">
        <f>'Building Bill of Materials_SLIM'!R202</f>
        <v/>
      </c>
      <c r="E202" s="234" t="str">
        <f>'Building Bill of Materials_SLIM'!S202</f>
        <v/>
      </c>
      <c r="F202" s="234"/>
      <c r="G202" s="234"/>
      <c r="H202" s="234" t="str">
        <f>'Building Bill of Materials_SLIM'!T202</f>
        <v/>
      </c>
      <c r="I202" s="234" t="str">
        <f>'Building Bill of Materials_SLIM'!U202</f>
        <v/>
      </c>
      <c r="J202" s="234" t="str">
        <f>'Building Bill of Materials_SLIM'!V202</f>
        <v/>
      </c>
      <c r="K202" s="192"/>
      <c r="L202" s="242"/>
      <c r="M202" s="242"/>
      <c r="N202" s="291"/>
      <c r="O202" s="291"/>
      <c r="P202" s="291"/>
      <c r="Q202" s="291"/>
      <c r="R202" s="291"/>
      <c r="S202" s="291"/>
      <c r="T202" s="291"/>
      <c r="U202" s="291"/>
      <c r="V202" s="291"/>
      <c r="W202" s="291"/>
      <c r="X202" s="291"/>
      <c r="Y202" s="291"/>
      <c r="Z202" s="291"/>
      <c r="AA202" s="291"/>
      <c r="AB202" s="291"/>
      <c r="AC202" s="291"/>
      <c r="AD202" s="291"/>
      <c r="AE202" s="291"/>
      <c r="AF202" s="291"/>
      <c r="AG202" s="291"/>
    </row>
    <row r="203" ht="18.75" customHeight="1">
      <c r="A203" s="283"/>
      <c r="B203" s="234" t="str">
        <f>'Building Bill of Materials_SLIM'!P203</f>
        <v/>
      </c>
      <c r="C203" s="234" t="str">
        <f>'Building Bill of Materials_SLIM'!Q203</f>
        <v/>
      </c>
      <c r="D203" s="234" t="str">
        <f>'Building Bill of Materials_SLIM'!R203</f>
        <v/>
      </c>
      <c r="E203" s="234" t="str">
        <f>'Building Bill of Materials_SLIM'!S203</f>
        <v/>
      </c>
      <c r="F203" s="234"/>
      <c r="G203" s="234"/>
      <c r="H203" s="234" t="str">
        <f>'Building Bill of Materials_SLIM'!T203</f>
        <v/>
      </c>
      <c r="I203" s="234" t="str">
        <f>'Building Bill of Materials_SLIM'!U203</f>
        <v/>
      </c>
      <c r="J203" s="234" t="str">
        <f>'Building Bill of Materials_SLIM'!V203</f>
        <v/>
      </c>
      <c r="K203" s="192"/>
      <c r="L203" s="242"/>
      <c r="M203" s="242"/>
      <c r="N203" s="291"/>
      <c r="O203" s="291"/>
      <c r="P203" s="291"/>
      <c r="Q203" s="291"/>
      <c r="R203" s="291"/>
      <c r="S203" s="291"/>
      <c r="T203" s="291"/>
      <c r="U203" s="291"/>
      <c r="V203" s="291"/>
      <c r="W203" s="291"/>
      <c r="X203" s="291"/>
      <c r="Y203" s="291"/>
      <c r="Z203" s="291"/>
      <c r="AA203" s="291"/>
      <c r="AB203" s="291"/>
      <c r="AC203" s="291"/>
      <c r="AD203" s="291"/>
      <c r="AE203" s="291"/>
      <c r="AF203" s="291"/>
      <c r="AG203" s="291"/>
    </row>
    <row r="204" ht="18.75" customHeight="1">
      <c r="A204" s="283"/>
      <c r="B204" s="234" t="str">
        <f>'Building Bill of Materials_SLIM'!P204</f>
        <v/>
      </c>
      <c r="C204" s="234" t="str">
        <f>'Building Bill of Materials_SLIM'!Q204</f>
        <v/>
      </c>
      <c r="D204" s="234" t="str">
        <f>'Building Bill of Materials_SLIM'!R204</f>
        <v/>
      </c>
      <c r="E204" s="234" t="str">
        <f>'Building Bill of Materials_SLIM'!S204</f>
        <v/>
      </c>
      <c r="F204" s="234"/>
      <c r="G204" s="234"/>
      <c r="H204" s="234" t="str">
        <f>'Building Bill of Materials_SLIM'!T204</f>
        <v/>
      </c>
      <c r="I204" s="234" t="str">
        <f>'Building Bill of Materials_SLIM'!U204</f>
        <v/>
      </c>
      <c r="J204" s="234" t="str">
        <f>'Building Bill of Materials_SLIM'!V204</f>
        <v/>
      </c>
      <c r="K204" s="192"/>
      <c r="L204" s="242"/>
      <c r="M204" s="242"/>
      <c r="N204" s="291"/>
      <c r="O204" s="291"/>
      <c r="P204" s="291"/>
      <c r="Q204" s="291"/>
      <c r="R204" s="291"/>
      <c r="S204" s="291"/>
      <c r="T204" s="291"/>
      <c r="U204" s="291"/>
      <c r="V204" s="291"/>
      <c r="W204" s="291"/>
      <c r="X204" s="291"/>
      <c r="Y204" s="291"/>
      <c r="Z204" s="291"/>
      <c r="AA204" s="291"/>
      <c r="AB204" s="291"/>
      <c r="AC204" s="291"/>
      <c r="AD204" s="291"/>
      <c r="AE204" s="291"/>
      <c r="AF204" s="291"/>
      <c r="AG204" s="291"/>
    </row>
    <row r="205" ht="18.75" customHeight="1">
      <c r="A205" s="283"/>
      <c r="B205" s="234" t="str">
        <f>'Building Bill of Materials_SLIM'!P205</f>
        <v/>
      </c>
      <c r="C205" s="234" t="str">
        <f>'Building Bill of Materials_SLIM'!Q205</f>
        <v/>
      </c>
      <c r="D205" s="234" t="str">
        <f>'Building Bill of Materials_SLIM'!R205</f>
        <v/>
      </c>
      <c r="E205" s="234" t="str">
        <f>'Building Bill of Materials_SLIM'!S205</f>
        <v/>
      </c>
      <c r="F205" s="234"/>
      <c r="G205" s="234"/>
      <c r="H205" s="234" t="str">
        <f>'Building Bill of Materials_SLIM'!T205</f>
        <v/>
      </c>
      <c r="I205" s="234" t="str">
        <f>'Building Bill of Materials_SLIM'!U205</f>
        <v/>
      </c>
      <c r="J205" s="234" t="str">
        <f>'Building Bill of Materials_SLIM'!V205</f>
        <v/>
      </c>
      <c r="K205" s="192"/>
      <c r="L205" s="242"/>
      <c r="M205" s="242"/>
      <c r="N205" s="291"/>
      <c r="O205" s="291"/>
      <c r="P205" s="291"/>
      <c r="Q205" s="291"/>
      <c r="R205" s="291"/>
      <c r="S205" s="291"/>
      <c r="T205" s="291"/>
      <c r="U205" s="291"/>
      <c r="V205" s="291"/>
      <c r="W205" s="291"/>
      <c r="X205" s="291"/>
      <c r="Y205" s="291"/>
      <c r="Z205" s="291"/>
      <c r="AA205" s="291"/>
      <c r="AB205" s="291"/>
      <c r="AC205" s="291"/>
      <c r="AD205" s="291"/>
      <c r="AE205" s="291"/>
      <c r="AF205" s="291"/>
      <c r="AG205" s="291"/>
    </row>
    <row r="206" ht="18.75" customHeight="1">
      <c r="A206" s="283"/>
      <c r="B206" s="234" t="str">
        <f>'Building Bill of Materials_SLIM'!P206</f>
        <v/>
      </c>
      <c r="C206" s="234" t="str">
        <f>'Building Bill of Materials_SLIM'!Q206</f>
        <v/>
      </c>
      <c r="D206" s="234" t="str">
        <f>'Building Bill of Materials_SLIM'!R206</f>
        <v/>
      </c>
      <c r="E206" s="234" t="str">
        <f>'Building Bill of Materials_SLIM'!S206</f>
        <v/>
      </c>
      <c r="F206" s="234"/>
      <c r="G206" s="234"/>
      <c r="H206" s="234" t="str">
        <f>'Building Bill of Materials_SLIM'!T206</f>
        <v/>
      </c>
      <c r="I206" s="234" t="str">
        <f>'Building Bill of Materials_SLIM'!U206</f>
        <v/>
      </c>
      <c r="J206" s="234" t="str">
        <f>'Building Bill of Materials_SLIM'!V206</f>
        <v/>
      </c>
      <c r="K206" s="192"/>
      <c r="L206" s="242"/>
      <c r="M206" s="242"/>
      <c r="N206" s="291"/>
      <c r="O206" s="291"/>
      <c r="P206" s="291"/>
      <c r="Q206" s="291"/>
      <c r="R206" s="291"/>
      <c r="S206" s="291"/>
      <c r="T206" s="291"/>
      <c r="U206" s="291"/>
      <c r="V206" s="291"/>
      <c r="W206" s="291"/>
      <c r="X206" s="291"/>
      <c r="Y206" s="291"/>
      <c r="Z206" s="291"/>
      <c r="AA206" s="291"/>
      <c r="AB206" s="291"/>
      <c r="AC206" s="291"/>
      <c r="AD206" s="291"/>
      <c r="AE206" s="291"/>
      <c r="AF206" s="291"/>
      <c r="AG206" s="291"/>
    </row>
    <row r="207" ht="18.75" customHeight="1">
      <c r="A207" s="283"/>
      <c r="B207" s="234" t="str">
        <f>'Building Bill of Materials_SLIM'!P207</f>
        <v/>
      </c>
      <c r="C207" s="234" t="str">
        <f>'Building Bill of Materials_SLIM'!Q207</f>
        <v/>
      </c>
      <c r="D207" s="234" t="str">
        <f>'Building Bill of Materials_SLIM'!R207</f>
        <v/>
      </c>
      <c r="E207" s="234" t="str">
        <f>'Building Bill of Materials_SLIM'!S207</f>
        <v/>
      </c>
      <c r="F207" s="234"/>
      <c r="G207" s="234"/>
      <c r="H207" s="234" t="str">
        <f>'Building Bill of Materials_SLIM'!T207</f>
        <v/>
      </c>
      <c r="I207" s="234" t="str">
        <f>'Building Bill of Materials_SLIM'!U207</f>
        <v/>
      </c>
      <c r="J207" s="234" t="str">
        <f>'Building Bill of Materials_SLIM'!V207</f>
        <v/>
      </c>
      <c r="K207" s="192"/>
      <c r="L207" s="242"/>
      <c r="M207" s="242"/>
      <c r="N207" s="291"/>
      <c r="O207" s="291"/>
      <c r="P207" s="291"/>
      <c r="Q207" s="291"/>
      <c r="R207" s="291"/>
      <c r="S207" s="291"/>
      <c r="T207" s="291"/>
      <c r="U207" s="291"/>
      <c r="V207" s="291"/>
      <c r="W207" s="291"/>
      <c r="X207" s="291"/>
      <c r="Y207" s="291"/>
      <c r="Z207" s="291"/>
      <c r="AA207" s="291"/>
      <c r="AB207" s="291"/>
      <c r="AC207" s="291"/>
      <c r="AD207" s="291"/>
      <c r="AE207" s="291"/>
      <c r="AF207" s="291"/>
      <c r="AG207" s="291"/>
    </row>
    <row r="208" ht="18.75" customHeight="1">
      <c r="A208" s="283"/>
      <c r="B208" s="234" t="str">
        <f>'Building Bill of Materials_SLIM'!P208</f>
        <v/>
      </c>
      <c r="C208" s="234" t="str">
        <f>'Building Bill of Materials_SLIM'!Q208</f>
        <v/>
      </c>
      <c r="D208" s="234" t="str">
        <f>'Building Bill of Materials_SLIM'!R208</f>
        <v/>
      </c>
      <c r="E208" s="234" t="str">
        <f>'Building Bill of Materials_SLIM'!S208</f>
        <v/>
      </c>
      <c r="F208" s="234"/>
      <c r="G208" s="234"/>
      <c r="H208" s="234" t="str">
        <f>'Building Bill of Materials_SLIM'!T208</f>
        <v/>
      </c>
      <c r="I208" s="234" t="str">
        <f>'Building Bill of Materials_SLIM'!U208</f>
        <v/>
      </c>
      <c r="J208" s="234" t="str">
        <f>'Building Bill of Materials_SLIM'!V208</f>
        <v/>
      </c>
      <c r="K208" s="192"/>
      <c r="L208" s="242"/>
      <c r="M208" s="242"/>
      <c r="N208" s="291"/>
      <c r="O208" s="291"/>
      <c r="P208" s="291"/>
      <c r="Q208" s="291"/>
      <c r="R208" s="291"/>
      <c r="S208" s="291"/>
      <c r="T208" s="291"/>
      <c r="U208" s="291"/>
      <c r="V208" s="291"/>
      <c r="W208" s="291"/>
      <c r="X208" s="291"/>
      <c r="Y208" s="291"/>
      <c r="Z208" s="291"/>
      <c r="AA208" s="291"/>
      <c r="AB208" s="291"/>
      <c r="AC208" s="291"/>
      <c r="AD208" s="291"/>
      <c r="AE208" s="291"/>
      <c r="AF208" s="291"/>
      <c r="AG208" s="291"/>
    </row>
    <row r="209" ht="18.75" customHeight="1">
      <c r="A209" s="283"/>
      <c r="B209" s="234" t="str">
        <f>'Building Bill of Materials_SLIM'!P209</f>
        <v/>
      </c>
      <c r="C209" s="234" t="str">
        <f>'Building Bill of Materials_SLIM'!Q209</f>
        <v/>
      </c>
      <c r="D209" s="234" t="str">
        <f>'Building Bill of Materials_SLIM'!R209</f>
        <v/>
      </c>
      <c r="E209" s="234" t="str">
        <f>'Building Bill of Materials_SLIM'!S209</f>
        <v/>
      </c>
      <c r="F209" s="234"/>
      <c r="G209" s="234"/>
      <c r="H209" s="234" t="str">
        <f>'Building Bill of Materials_SLIM'!T209</f>
        <v/>
      </c>
      <c r="I209" s="234" t="str">
        <f>'Building Bill of Materials_SLIM'!U209</f>
        <v/>
      </c>
      <c r="J209" s="234" t="str">
        <f>'Building Bill of Materials_SLIM'!V209</f>
        <v/>
      </c>
      <c r="K209" s="192"/>
      <c r="L209" s="242"/>
      <c r="M209" s="242"/>
      <c r="N209" s="291"/>
      <c r="O209" s="291"/>
      <c r="P209" s="291"/>
      <c r="Q209" s="291"/>
      <c r="R209" s="291"/>
      <c r="S209" s="291"/>
      <c r="T209" s="291"/>
      <c r="U209" s="291"/>
      <c r="V209" s="291"/>
      <c r="W209" s="291"/>
      <c r="X209" s="291"/>
      <c r="Y209" s="291"/>
      <c r="Z209" s="291"/>
      <c r="AA209" s="291"/>
      <c r="AB209" s="291"/>
      <c r="AC209" s="291"/>
      <c r="AD209" s="291"/>
      <c r="AE209" s="291"/>
      <c r="AF209" s="291"/>
      <c r="AG209" s="291"/>
    </row>
    <row r="210" ht="18.75" customHeight="1">
      <c r="A210" s="283"/>
      <c r="B210" s="234" t="str">
        <f>'Building Bill of Materials_SLIM'!P210</f>
        <v/>
      </c>
      <c r="C210" s="234" t="str">
        <f>'Building Bill of Materials_SLIM'!Q210</f>
        <v/>
      </c>
      <c r="D210" s="234" t="str">
        <f>'Building Bill of Materials_SLIM'!R210</f>
        <v/>
      </c>
      <c r="E210" s="234" t="str">
        <f>'Building Bill of Materials_SLIM'!S210</f>
        <v/>
      </c>
      <c r="F210" s="234"/>
      <c r="G210" s="234"/>
      <c r="H210" s="234" t="str">
        <f>'Building Bill of Materials_SLIM'!T210</f>
        <v/>
      </c>
      <c r="I210" s="234" t="str">
        <f>'Building Bill of Materials_SLIM'!U210</f>
        <v/>
      </c>
      <c r="J210" s="234" t="str">
        <f>'Building Bill of Materials_SLIM'!V210</f>
        <v/>
      </c>
      <c r="K210" s="192"/>
      <c r="L210" s="242"/>
      <c r="M210" s="242"/>
      <c r="N210" s="291"/>
      <c r="O210" s="291"/>
      <c r="P210" s="291"/>
      <c r="Q210" s="291"/>
      <c r="R210" s="291"/>
      <c r="S210" s="291"/>
      <c r="T210" s="291"/>
      <c r="U210" s="291"/>
      <c r="V210" s="291"/>
      <c r="W210" s="291"/>
      <c r="X210" s="291"/>
      <c r="Y210" s="291"/>
      <c r="Z210" s="291"/>
      <c r="AA210" s="291"/>
      <c r="AB210" s="291"/>
      <c r="AC210" s="291"/>
      <c r="AD210" s="291"/>
      <c r="AE210" s="291"/>
      <c r="AF210" s="291"/>
      <c r="AG210" s="291"/>
    </row>
    <row r="211" ht="18.75" customHeight="1">
      <c r="A211" s="283"/>
      <c r="B211" s="234" t="str">
        <f>'Building Bill of Materials_SLIM'!P211</f>
        <v/>
      </c>
      <c r="C211" s="234" t="str">
        <f>'Building Bill of Materials_SLIM'!Q211</f>
        <v/>
      </c>
      <c r="D211" s="234" t="str">
        <f>'Building Bill of Materials_SLIM'!R211</f>
        <v/>
      </c>
      <c r="E211" s="234" t="str">
        <f>'Building Bill of Materials_SLIM'!S211</f>
        <v/>
      </c>
      <c r="F211" s="234"/>
      <c r="G211" s="234"/>
      <c r="H211" s="234" t="str">
        <f>'Building Bill of Materials_SLIM'!T211</f>
        <v/>
      </c>
      <c r="I211" s="234" t="str">
        <f>'Building Bill of Materials_SLIM'!U211</f>
        <v/>
      </c>
      <c r="J211" s="234" t="str">
        <f>'Building Bill of Materials_SLIM'!V211</f>
        <v/>
      </c>
      <c r="K211" s="192"/>
      <c r="L211" s="242"/>
      <c r="M211" s="242"/>
      <c r="N211" s="291"/>
      <c r="O211" s="291"/>
      <c r="P211" s="291"/>
      <c r="Q211" s="291"/>
      <c r="R211" s="291"/>
      <c r="S211" s="291"/>
      <c r="T211" s="291"/>
      <c r="U211" s="291"/>
      <c r="V211" s="291"/>
      <c r="W211" s="291"/>
      <c r="X211" s="291"/>
      <c r="Y211" s="291"/>
      <c r="Z211" s="291"/>
      <c r="AA211" s="291"/>
      <c r="AB211" s="291"/>
      <c r="AC211" s="291"/>
      <c r="AD211" s="291"/>
      <c r="AE211" s="291"/>
      <c r="AF211" s="291"/>
      <c r="AG211" s="291"/>
    </row>
    <row r="212" ht="18.75" customHeight="1">
      <c r="A212" s="283"/>
      <c r="B212" s="234" t="str">
        <f>'Building Bill of Materials_SLIM'!P212</f>
        <v/>
      </c>
      <c r="C212" s="234" t="str">
        <f>'Building Bill of Materials_SLIM'!Q212</f>
        <v/>
      </c>
      <c r="D212" s="234" t="str">
        <f>'Building Bill of Materials_SLIM'!R212</f>
        <v/>
      </c>
      <c r="E212" s="234" t="str">
        <f>'Building Bill of Materials_SLIM'!S212</f>
        <v/>
      </c>
      <c r="F212" s="234"/>
      <c r="G212" s="234"/>
      <c r="H212" s="234" t="str">
        <f>'Building Bill of Materials_SLIM'!T212</f>
        <v/>
      </c>
      <c r="I212" s="234" t="str">
        <f>'Building Bill of Materials_SLIM'!U212</f>
        <v/>
      </c>
      <c r="J212" s="234" t="str">
        <f>'Building Bill of Materials_SLIM'!V212</f>
        <v/>
      </c>
      <c r="K212" s="192"/>
      <c r="L212" s="242"/>
      <c r="M212" s="242"/>
      <c r="N212" s="291"/>
      <c r="O212" s="291"/>
      <c r="P212" s="291"/>
      <c r="Q212" s="291"/>
      <c r="R212" s="291"/>
      <c r="S212" s="291"/>
      <c r="T212" s="291"/>
      <c r="U212" s="291"/>
      <c r="V212" s="291"/>
      <c r="W212" s="291"/>
      <c r="X212" s="291"/>
      <c r="Y212" s="291"/>
      <c r="Z212" s="291"/>
      <c r="AA212" s="291"/>
      <c r="AB212" s="291"/>
      <c r="AC212" s="291"/>
      <c r="AD212" s="291"/>
      <c r="AE212" s="291"/>
      <c r="AF212" s="291"/>
      <c r="AG212" s="291"/>
    </row>
    <row r="213" ht="18.75" customHeight="1">
      <c r="A213" s="283"/>
      <c r="B213" s="234" t="str">
        <f>'Building Bill of Materials_SLIM'!P213</f>
        <v/>
      </c>
      <c r="C213" s="234" t="str">
        <f>'Building Bill of Materials_SLIM'!Q213</f>
        <v/>
      </c>
      <c r="D213" s="234" t="str">
        <f>'Building Bill of Materials_SLIM'!R213</f>
        <v/>
      </c>
      <c r="E213" s="234" t="str">
        <f>'Building Bill of Materials_SLIM'!S213</f>
        <v/>
      </c>
      <c r="F213" s="234"/>
      <c r="G213" s="234"/>
      <c r="H213" s="234" t="str">
        <f>'Building Bill of Materials_SLIM'!T213</f>
        <v/>
      </c>
      <c r="I213" s="234" t="str">
        <f>'Building Bill of Materials_SLIM'!U213</f>
        <v/>
      </c>
      <c r="J213" s="234" t="str">
        <f>'Building Bill of Materials_SLIM'!V213</f>
        <v/>
      </c>
      <c r="K213" s="192"/>
      <c r="L213" s="242"/>
      <c r="M213" s="242"/>
      <c r="N213" s="291"/>
      <c r="O213" s="291"/>
      <c r="P213" s="291"/>
      <c r="Q213" s="291"/>
      <c r="R213" s="291"/>
      <c r="S213" s="291"/>
      <c r="T213" s="291"/>
      <c r="U213" s="291"/>
      <c r="V213" s="291"/>
      <c r="W213" s="291"/>
      <c r="X213" s="291"/>
      <c r="Y213" s="291"/>
      <c r="Z213" s="291"/>
      <c r="AA213" s="291"/>
      <c r="AB213" s="291"/>
      <c r="AC213" s="291"/>
      <c r="AD213" s="291"/>
      <c r="AE213" s="291"/>
      <c r="AF213" s="291"/>
      <c r="AG213" s="291"/>
    </row>
    <row r="214" ht="18.75" customHeight="1">
      <c r="A214" s="283"/>
      <c r="B214" s="234" t="str">
        <f>'Building Bill of Materials_SLIM'!P214</f>
        <v/>
      </c>
      <c r="C214" s="234" t="str">
        <f>'Building Bill of Materials_SLIM'!Q214</f>
        <v/>
      </c>
      <c r="D214" s="234" t="str">
        <f>'Building Bill of Materials_SLIM'!R214</f>
        <v/>
      </c>
      <c r="E214" s="234" t="str">
        <f>'Building Bill of Materials_SLIM'!S214</f>
        <v/>
      </c>
      <c r="F214" s="234"/>
      <c r="G214" s="234"/>
      <c r="H214" s="234" t="str">
        <f>'Building Bill of Materials_SLIM'!T214</f>
        <v/>
      </c>
      <c r="I214" s="234" t="str">
        <f>'Building Bill of Materials_SLIM'!U214</f>
        <v/>
      </c>
      <c r="J214" s="234" t="str">
        <f>'Building Bill of Materials_SLIM'!V214</f>
        <v/>
      </c>
      <c r="K214" s="192"/>
      <c r="L214" s="242"/>
      <c r="M214" s="242"/>
      <c r="N214" s="291"/>
      <c r="O214" s="291"/>
      <c r="P214" s="291"/>
      <c r="Q214" s="291"/>
      <c r="R214" s="291"/>
      <c r="S214" s="291"/>
      <c r="T214" s="291"/>
      <c r="U214" s="291"/>
      <c r="V214" s="291"/>
      <c r="W214" s="291"/>
      <c r="X214" s="291"/>
      <c r="Y214" s="291"/>
      <c r="Z214" s="291"/>
      <c r="AA214" s="291"/>
      <c r="AB214" s="291"/>
      <c r="AC214" s="291"/>
      <c r="AD214" s="291"/>
      <c r="AE214" s="291"/>
      <c r="AF214" s="291"/>
      <c r="AG214" s="291"/>
    </row>
    <row r="215" ht="18.75" customHeight="1">
      <c r="A215" s="283"/>
      <c r="B215" s="234" t="str">
        <f>'Building Bill of Materials_SLIM'!P215</f>
        <v/>
      </c>
      <c r="C215" s="234" t="str">
        <f>'Building Bill of Materials_SLIM'!Q215</f>
        <v/>
      </c>
      <c r="D215" s="234" t="str">
        <f>'Building Bill of Materials_SLIM'!R215</f>
        <v/>
      </c>
      <c r="E215" s="234" t="str">
        <f>'Building Bill of Materials_SLIM'!S215</f>
        <v/>
      </c>
      <c r="F215" s="234"/>
      <c r="G215" s="234"/>
      <c r="H215" s="234" t="str">
        <f>'Building Bill of Materials_SLIM'!T215</f>
        <v/>
      </c>
      <c r="I215" s="234" t="str">
        <f>'Building Bill of Materials_SLIM'!U215</f>
        <v/>
      </c>
      <c r="J215" s="234" t="str">
        <f>'Building Bill of Materials_SLIM'!V215</f>
        <v/>
      </c>
      <c r="K215" s="192"/>
      <c r="L215" s="242"/>
      <c r="M215" s="242"/>
      <c r="N215" s="291"/>
      <c r="O215" s="291"/>
      <c r="P215" s="291"/>
      <c r="Q215" s="291"/>
      <c r="R215" s="291"/>
      <c r="S215" s="291"/>
      <c r="T215" s="291"/>
      <c r="U215" s="291"/>
      <c r="V215" s="291"/>
      <c r="W215" s="291"/>
      <c r="X215" s="291"/>
      <c r="Y215" s="291"/>
      <c r="Z215" s="291"/>
      <c r="AA215" s="291"/>
      <c r="AB215" s="291"/>
      <c r="AC215" s="291"/>
      <c r="AD215" s="291"/>
      <c r="AE215" s="291"/>
      <c r="AF215" s="291"/>
      <c r="AG215" s="291"/>
    </row>
    <row r="216" ht="18.75" customHeight="1">
      <c r="A216" s="283"/>
      <c r="B216" s="234" t="str">
        <f>'Building Bill of Materials_SLIM'!P216</f>
        <v/>
      </c>
      <c r="C216" s="234" t="str">
        <f>'Building Bill of Materials_SLIM'!Q216</f>
        <v/>
      </c>
      <c r="D216" s="234" t="str">
        <f>'Building Bill of Materials_SLIM'!R216</f>
        <v/>
      </c>
      <c r="E216" s="234" t="str">
        <f>'Building Bill of Materials_SLIM'!S216</f>
        <v/>
      </c>
      <c r="F216" s="234"/>
      <c r="G216" s="234"/>
      <c r="H216" s="234" t="str">
        <f>'Building Bill of Materials_SLIM'!T216</f>
        <v/>
      </c>
      <c r="I216" s="234" t="str">
        <f>'Building Bill of Materials_SLIM'!U216</f>
        <v/>
      </c>
      <c r="J216" s="234" t="str">
        <f>'Building Bill of Materials_SLIM'!V216</f>
        <v/>
      </c>
      <c r="K216" s="192"/>
      <c r="L216" s="242"/>
      <c r="M216" s="242"/>
      <c r="N216" s="291"/>
      <c r="O216" s="291"/>
      <c r="P216" s="291"/>
      <c r="Q216" s="291"/>
      <c r="R216" s="291"/>
      <c r="S216" s="291"/>
      <c r="T216" s="291"/>
      <c r="U216" s="291"/>
      <c r="V216" s="291"/>
      <c r="W216" s="291"/>
      <c r="X216" s="291"/>
      <c r="Y216" s="291"/>
      <c r="Z216" s="291"/>
      <c r="AA216" s="291"/>
      <c r="AB216" s="291"/>
      <c r="AC216" s="291"/>
      <c r="AD216" s="291"/>
      <c r="AE216" s="291"/>
      <c r="AF216" s="291"/>
      <c r="AG216" s="291"/>
    </row>
    <row r="217" ht="18.75" customHeight="1">
      <c r="A217" s="283"/>
      <c r="B217" s="234" t="str">
        <f>'Building Bill of Materials_SLIM'!P217</f>
        <v/>
      </c>
      <c r="C217" s="234" t="str">
        <f>'Building Bill of Materials_SLIM'!Q217</f>
        <v/>
      </c>
      <c r="D217" s="234" t="str">
        <f>'Building Bill of Materials_SLIM'!R217</f>
        <v/>
      </c>
      <c r="E217" s="234" t="str">
        <f>'Building Bill of Materials_SLIM'!S217</f>
        <v/>
      </c>
      <c r="F217" s="234"/>
      <c r="G217" s="234"/>
      <c r="H217" s="234" t="str">
        <f>'Building Bill of Materials_SLIM'!T217</f>
        <v/>
      </c>
      <c r="I217" s="234" t="str">
        <f>'Building Bill of Materials_SLIM'!U217</f>
        <v/>
      </c>
      <c r="J217" s="234" t="str">
        <f>'Building Bill of Materials_SLIM'!V217</f>
        <v/>
      </c>
      <c r="K217" s="192"/>
      <c r="L217" s="242"/>
      <c r="M217" s="242"/>
      <c r="N217" s="291"/>
      <c r="O217" s="291"/>
      <c r="P217" s="291"/>
      <c r="Q217" s="291"/>
      <c r="R217" s="291"/>
      <c r="S217" s="291"/>
      <c r="T217" s="291"/>
      <c r="U217" s="291"/>
      <c r="V217" s="291"/>
      <c r="W217" s="291"/>
      <c r="X217" s="291"/>
      <c r="Y217" s="291"/>
      <c r="Z217" s="291"/>
      <c r="AA217" s="291"/>
      <c r="AB217" s="291"/>
      <c r="AC217" s="291"/>
      <c r="AD217" s="291"/>
      <c r="AE217" s="291"/>
      <c r="AF217" s="291"/>
      <c r="AG217" s="291"/>
    </row>
    <row r="218" ht="18.75" customHeight="1">
      <c r="A218" s="283"/>
      <c r="B218" s="234" t="str">
        <f>'Building Bill of Materials_SLIM'!P218</f>
        <v/>
      </c>
      <c r="C218" s="234" t="str">
        <f>'Building Bill of Materials_SLIM'!Q218</f>
        <v/>
      </c>
      <c r="D218" s="234" t="str">
        <f>'Building Bill of Materials_SLIM'!R218</f>
        <v/>
      </c>
      <c r="E218" s="234" t="str">
        <f>'Building Bill of Materials_SLIM'!S218</f>
        <v/>
      </c>
      <c r="F218" s="234"/>
      <c r="G218" s="234"/>
      <c r="H218" s="234" t="str">
        <f>'Building Bill of Materials_SLIM'!T218</f>
        <v/>
      </c>
      <c r="I218" s="234" t="str">
        <f>'Building Bill of Materials_SLIM'!U218</f>
        <v/>
      </c>
      <c r="J218" s="234" t="str">
        <f>'Building Bill of Materials_SLIM'!V218</f>
        <v/>
      </c>
      <c r="K218" s="192"/>
      <c r="L218" s="242"/>
      <c r="M218" s="242"/>
      <c r="N218" s="291"/>
      <c r="O218" s="291"/>
      <c r="P218" s="291"/>
      <c r="Q218" s="291"/>
      <c r="R218" s="291"/>
      <c r="S218" s="291"/>
      <c r="T218" s="291"/>
      <c r="U218" s="291"/>
      <c r="V218" s="291"/>
      <c r="W218" s="291"/>
      <c r="X218" s="291"/>
      <c r="Y218" s="291"/>
      <c r="Z218" s="291"/>
      <c r="AA218" s="291"/>
      <c r="AB218" s="291"/>
      <c r="AC218" s="291"/>
      <c r="AD218" s="291"/>
      <c r="AE218" s="291"/>
      <c r="AF218" s="291"/>
      <c r="AG218" s="291"/>
    </row>
    <row r="219" ht="18.75" customHeight="1">
      <c r="A219" s="283"/>
      <c r="B219" s="234" t="str">
        <f>'Building Bill of Materials_SLIM'!P219</f>
        <v/>
      </c>
      <c r="C219" s="234" t="str">
        <f>'Building Bill of Materials_SLIM'!Q219</f>
        <v/>
      </c>
      <c r="D219" s="234" t="str">
        <f>'Building Bill of Materials_SLIM'!R219</f>
        <v/>
      </c>
      <c r="E219" s="234" t="str">
        <f>'Building Bill of Materials_SLIM'!S219</f>
        <v/>
      </c>
      <c r="F219" s="234"/>
      <c r="G219" s="234"/>
      <c r="H219" s="234" t="str">
        <f>'Building Bill of Materials_SLIM'!T219</f>
        <v/>
      </c>
      <c r="I219" s="234" t="str">
        <f>'Building Bill of Materials_SLIM'!U219</f>
        <v/>
      </c>
      <c r="J219" s="234" t="str">
        <f>'Building Bill of Materials_SLIM'!V219</f>
        <v/>
      </c>
      <c r="K219" s="192"/>
      <c r="L219" s="242"/>
      <c r="M219" s="242"/>
      <c r="N219" s="291"/>
      <c r="O219" s="291"/>
      <c r="P219" s="291"/>
      <c r="Q219" s="291"/>
      <c r="R219" s="291"/>
      <c r="S219" s="291"/>
      <c r="T219" s="291"/>
      <c r="U219" s="291"/>
      <c r="V219" s="291"/>
      <c r="W219" s="291"/>
      <c r="X219" s="291"/>
      <c r="Y219" s="291"/>
      <c r="Z219" s="291"/>
      <c r="AA219" s="291"/>
      <c r="AB219" s="291"/>
      <c r="AC219" s="291"/>
      <c r="AD219" s="291"/>
      <c r="AE219" s="291"/>
      <c r="AF219" s="291"/>
      <c r="AG219" s="291"/>
    </row>
    <row r="220" ht="18.75" customHeight="1">
      <c r="A220" s="283"/>
      <c r="B220" s="234" t="str">
        <f>'Building Bill of Materials_SLIM'!P220</f>
        <v/>
      </c>
      <c r="C220" s="234" t="str">
        <f>'Building Bill of Materials_SLIM'!Q220</f>
        <v/>
      </c>
      <c r="D220" s="234" t="str">
        <f>'Building Bill of Materials_SLIM'!R220</f>
        <v/>
      </c>
      <c r="E220" s="234" t="str">
        <f>'Building Bill of Materials_SLIM'!S220</f>
        <v/>
      </c>
      <c r="F220" s="234"/>
      <c r="G220" s="234"/>
      <c r="H220" s="234" t="str">
        <f>'Building Bill of Materials_SLIM'!T220</f>
        <v/>
      </c>
      <c r="I220" s="234" t="str">
        <f>'Building Bill of Materials_SLIM'!U220</f>
        <v/>
      </c>
      <c r="J220" s="234" t="str">
        <f>'Building Bill of Materials_SLIM'!V220</f>
        <v/>
      </c>
      <c r="K220" s="192"/>
      <c r="L220" s="242"/>
      <c r="M220" s="242"/>
      <c r="N220" s="291"/>
      <c r="O220" s="291"/>
      <c r="P220" s="291"/>
      <c r="Q220" s="291"/>
      <c r="R220" s="291"/>
      <c r="S220" s="291"/>
      <c r="T220" s="291"/>
      <c r="U220" s="291"/>
      <c r="V220" s="291"/>
      <c r="W220" s="291"/>
      <c r="X220" s="291"/>
      <c r="Y220" s="291"/>
      <c r="Z220" s="291"/>
      <c r="AA220" s="291"/>
      <c r="AB220" s="291"/>
      <c r="AC220" s="291"/>
      <c r="AD220" s="291"/>
      <c r="AE220" s="291"/>
      <c r="AF220" s="291"/>
      <c r="AG220" s="291"/>
    </row>
    <row r="221" ht="18.75" customHeight="1">
      <c r="A221" s="283"/>
      <c r="B221" s="234" t="str">
        <f>'Building Bill of Materials_SLIM'!P221</f>
        <v/>
      </c>
      <c r="C221" s="234" t="str">
        <f>'Building Bill of Materials_SLIM'!Q221</f>
        <v/>
      </c>
      <c r="D221" s="234" t="str">
        <f>'Building Bill of Materials_SLIM'!R221</f>
        <v/>
      </c>
      <c r="E221" s="234" t="str">
        <f>'Building Bill of Materials_SLIM'!S221</f>
        <v/>
      </c>
      <c r="F221" s="234"/>
      <c r="G221" s="234"/>
      <c r="H221" s="234" t="str">
        <f>'Building Bill of Materials_SLIM'!T221</f>
        <v/>
      </c>
      <c r="I221" s="234" t="str">
        <f>'Building Bill of Materials_SLIM'!U221</f>
        <v/>
      </c>
      <c r="J221" s="234" t="str">
        <f>'Building Bill of Materials_SLIM'!V221</f>
        <v/>
      </c>
      <c r="K221" s="192"/>
      <c r="L221" s="242"/>
      <c r="M221" s="242"/>
      <c r="N221" s="291"/>
      <c r="O221" s="291"/>
      <c r="P221" s="291"/>
      <c r="Q221" s="291"/>
      <c r="R221" s="291"/>
      <c r="S221" s="291"/>
      <c r="T221" s="291"/>
      <c r="U221" s="291"/>
      <c r="V221" s="291"/>
      <c r="W221" s="291"/>
      <c r="X221" s="291"/>
      <c r="Y221" s="291"/>
      <c r="Z221" s="291"/>
      <c r="AA221" s="291"/>
      <c r="AB221" s="291"/>
      <c r="AC221" s="291"/>
      <c r="AD221" s="291"/>
      <c r="AE221" s="291"/>
      <c r="AF221" s="291"/>
      <c r="AG221" s="291"/>
    </row>
    <row r="222" ht="18.75" customHeight="1">
      <c r="A222" s="283"/>
      <c r="B222" s="234" t="str">
        <f>'Building Bill of Materials_SLIM'!P222</f>
        <v/>
      </c>
      <c r="C222" s="234" t="str">
        <f>'Building Bill of Materials_SLIM'!Q222</f>
        <v/>
      </c>
      <c r="D222" s="234" t="str">
        <f>'Building Bill of Materials_SLIM'!R222</f>
        <v/>
      </c>
      <c r="E222" s="234" t="str">
        <f>'Building Bill of Materials_SLIM'!S222</f>
        <v/>
      </c>
      <c r="F222" s="234"/>
      <c r="G222" s="234"/>
      <c r="H222" s="234" t="str">
        <f>'Building Bill of Materials_SLIM'!T222</f>
        <v/>
      </c>
      <c r="I222" s="234" t="str">
        <f>'Building Bill of Materials_SLIM'!U222</f>
        <v/>
      </c>
      <c r="J222" s="234" t="str">
        <f>'Building Bill of Materials_SLIM'!V222</f>
        <v/>
      </c>
      <c r="K222" s="192"/>
      <c r="L222" s="242"/>
      <c r="M222" s="242"/>
      <c r="N222" s="291"/>
      <c r="O222" s="291"/>
      <c r="P222" s="291"/>
      <c r="Q222" s="291"/>
      <c r="R222" s="291"/>
      <c r="S222" s="291"/>
      <c r="T222" s="291"/>
      <c r="U222" s="291"/>
      <c r="V222" s="291"/>
      <c r="W222" s="291"/>
      <c r="X222" s="291"/>
      <c r="Y222" s="291"/>
      <c r="Z222" s="291"/>
      <c r="AA222" s="291"/>
      <c r="AB222" s="291"/>
      <c r="AC222" s="291"/>
      <c r="AD222" s="291"/>
      <c r="AE222" s="291"/>
      <c r="AF222" s="291"/>
      <c r="AG222" s="291"/>
    </row>
    <row r="223" ht="18.75" customHeight="1">
      <c r="A223" s="283"/>
      <c r="B223" s="234" t="str">
        <f>'Building Bill of Materials_SLIM'!P223</f>
        <v/>
      </c>
      <c r="C223" s="234" t="str">
        <f>'Building Bill of Materials_SLIM'!Q223</f>
        <v/>
      </c>
      <c r="D223" s="234" t="str">
        <f>'Building Bill of Materials_SLIM'!R223</f>
        <v/>
      </c>
      <c r="E223" s="234" t="str">
        <f>'Building Bill of Materials_SLIM'!S223</f>
        <v/>
      </c>
      <c r="F223" s="234"/>
      <c r="G223" s="234"/>
      <c r="H223" s="234" t="str">
        <f>'Building Bill of Materials_SLIM'!T223</f>
        <v/>
      </c>
      <c r="I223" s="234" t="str">
        <f>'Building Bill of Materials_SLIM'!U223</f>
        <v/>
      </c>
      <c r="J223" s="234" t="str">
        <f>'Building Bill of Materials_SLIM'!V223</f>
        <v/>
      </c>
      <c r="K223" s="192"/>
      <c r="L223" s="242"/>
      <c r="M223" s="242"/>
      <c r="N223" s="291"/>
      <c r="O223" s="291"/>
      <c r="P223" s="291"/>
      <c r="Q223" s="291"/>
      <c r="R223" s="291"/>
      <c r="S223" s="291"/>
      <c r="T223" s="291"/>
      <c r="U223" s="291"/>
      <c r="V223" s="291"/>
      <c r="W223" s="291"/>
      <c r="X223" s="291"/>
      <c r="Y223" s="291"/>
      <c r="Z223" s="291"/>
      <c r="AA223" s="291"/>
      <c r="AB223" s="291"/>
      <c r="AC223" s="291"/>
      <c r="AD223" s="291"/>
      <c r="AE223" s="291"/>
      <c r="AF223" s="291"/>
      <c r="AG223" s="291"/>
    </row>
    <row r="224" ht="18.75" customHeight="1">
      <c r="A224" s="283"/>
      <c r="B224" s="234" t="str">
        <f>'Building Bill of Materials_SLIM'!P224</f>
        <v/>
      </c>
      <c r="C224" s="234" t="str">
        <f>'Building Bill of Materials_SLIM'!Q224</f>
        <v/>
      </c>
      <c r="D224" s="234" t="str">
        <f>'Building Bill of Materials_SLIM'!R224</f>
        <v/>
      </c>
      <c r="E224" s="234" t="str">
        <f>'Building Bill of Materials_SLIM'!S224</f>
        <v/>
      </c>
      <c r="F224" s="234"/>
      <c r="G224" s="234"/>
      <c r="H224" s="234" t="str">
        <f>'Building Bill of Materials_SLIM'!T224</f>
        <v/>
      </c>
      <c r="I224" s="234" t="str">
        <f>'Building Bill of Materials_SLIM'!U224</f>
        <v/>
      </c>
      <c r="J224" s="234" t="str">
        <f>'Building Bill of Materials_SLIM'!V224</f>
        <v/>
      </c>
      <c r="K224" s="192"/>
      <c r="L224" s="242"/>
      <c r="M224" s="242"/>
      <c r="N224" s="291"/>
      <c r="O224" s="291"/>
      <c r="P224" s="291"/>
      <c r="Q224" s="291"/>
      <c r="R224" s="291"/>
      <c r="S224" s="291"/>
      <c r="T224" s="291"/>
      <c r="U224" s="291"/>
      <c r="V224" s="291"/>
      <c r="W224" s="291"/>
      <c r="X224" s="291"/>
      <c r="Y224" s="291"/>
      <c r="Z224" s="291"/>
      <c r="AA224" s="291"/>
      <c r="AB224" s="291"/>
      <c r="AC224" s="291"/>
      <c r="AD224" s="291"/>
      <c r="AE224" s="291"/>
      <c r="AF224" s="291"/>
      <c r="AG224" s="291"/>
    </row>
    <row r="225" ht="18.75" customHeight="1">
      <c r="A225" s="283"/>
      <c r="B225" s="234" t="str">
        <f>'Building Bill of Materials_SLIM'!P225</f>
        <v/>
      </c>
      <c r="C225" s="234" t="str">
        <f>'Building Bill of Materials_SLIM'!Q225</f>
        <v/>
      </c>
      <c r="D225" s="234" t="str">
        <f>'Building Bill of Materials_SLIM'!R225</f>
        <v/>
      </c>
      <c r="E225" s="234" t="str">
        <f>'Building Bill of Materials_SLIM'!S225</f>
        <v/>
      </c>
      <c r="F225" s="234"/>
      <c r="G225" s="234"/>
      <c r="H225" s="234" t="str">
        <f>'Building Bill of Materials_SLIM'!T225</f>
        <v/>
      </c>
      <c r="I225" s="234" t="str">
        <f>'Building Bill of Materials_SLIM'!U225</f>
        <v/>
      </c>
      <c r="J225" s="234" t="str">
        <f>'Building Bill of Materials_SLIM'!V225</f>
        <v/>
      </c>
      <c r="K225" s="192"/>
      <c r="L225" s="242"/>
      <c r="M225" s="242"/>
      <c r="N225" s="291"/>
      <c r="O225" s="291"/>
      <c r="P225" s="291"/>
      <c r="Q225" s="291"/>
      <c r="R225" s="291"/>
      <c r="S225" s="291"/>
      <c r="T225" s="291"/>
      <c r="U225" s="291"/>
      <c r="V225" s="291"/>
      <c r="W225" s="291"/>
      <c r="X225" s="291"/>
      <c r="Y225" s="291"/>
      <c r="Z225" s="291"/>
      <c r="AA225" s="291"/>
      <c r="AB225" s="291"/>
      <c r="AC225" s="291"/>
      <c r="AD225" s="291"/>
      <c r="AE225" s="291"/>
      <c r="AF225" s="291"/>
      <c r="AG225" s="291"/>
    </row>
    <row r="226" ht="18.75" customHeight="1">
      <c r="A226" s="283"/>
      <c r="B226" s="234" t="str">
        <f>'Building Bill of Materials_SLIM'!P226</f>
        <v/>
      </c>
      <c r="C226" s="234" t="str">
        <f>'Building Bill of Materials_SLIM'!Q226</f>
        <v/>
      </c>
      <c r="D226" s="234" t="str">
        <f>'Building Bill of Materials_SLIM'!R226</f>
        <v/>
      </c>
      <c r="E226" s="234" t="str">
        <f>'Building Bill of Materials_SLIM'!S226</f>
        <v/>
      </c>
      <c r="F226" s="234"/>
      <c r="G226" s="234"/>
      <c r="H226" s="234" t="str">
        <f>'Building Bill of Materials_SLIM'!T226</f>
        <v/>
      </c>
      <c r="I226" s="234" t="str">
        <f>'Building Bill of Materials_SLIM'!U226</f>
        <v/>
      </c>
      <c r="J226" s="234" t="str">
        <f>'Building Bill of Materials_SLIM'!V226</f>
        <v/>
      </c>
      <c r="K226" s="192"/>
      <c r="L226" s="242"/>
      <c r="M226" s="242"/>
      <c r="N226" s="291"/>
      <c r="O226" s="291"/>
      <c r="P226" s="291"/>
      <c r="Q226" s="291"/>
      <c r="R226" s="291"/>
      <c r="S226" s="291"/>
      <c r="T226" s="291"/>
      <c r="U226" s="291"/>
      <c r="V226" s="291"/>
      <c r="W226" s="291"/>
      <c r="X226" s="291"/>
      <c r="Y226" s="291"/>
      <c r="Z226" s="291"/>
      <c r="AA226" s="291"/>
      <c r="AB226" s="291"/>
      <c r="AC226" s="291"/>
      <c r="AD226" s="291"/>
      <c r="AE226" s="291"/>
      <c r="AF226" s="291"/>
      <c r="AG226" s="291"/>
    </row>
    <row r="227" ht="18.75" customHeight="1">
      <c r="A227" s="283"/>
      <c r="B227" s="234" t="str">
        <f>'Building Bill of Materials_SLIM'!P227</f>
        <v/>
      </c>
      <c r="C227" s="234" t="str">
        <f>'Building Bill of Materials_SLIM'!Q227</f>
        <v/>
      </c>
      <c r="D227" s="234" t="str">
        <f>'Building Bill of Materials_SLIM'!R227</f>
        <v/>
      </c>
      <c r="E227" s="234" t="str">
        <f>'Building Bill of Materials_SLIM'!S227</f>
        <v/>
      </c>
      <c r="F227" s="234"/>
      <c r="G227" s="234"/>
      <c r="H227" s="234" t="str">
        <f>'Building Bill of Materials_SLIM'!T227</f>
        <v/>
      </c>
      <c r="I227" s="234" t="str">
        <f>'Building Bill of Materials_SLIM'!U227</f>
        <v/>
      </c>
      <c r="J227" s="234" t="str">
        <f>'Building Bill of Materials_SLIM'!V227</f>
        <v/>
      </c>
      <c r="K227" s="192"/>
      <c r="L227" s="242"/>
      <c r="M227" s="242"/>
      <c r="N227" s="291"/>
      <c r="O227" s="291"/>
      <c r="P227" s="291"/>
      <c r="Q227" s="291"/>
      <c r="R227" s="291"/>
      <c r="S227" s="291"/>
      <c r="T227" s="291"/>
      <c r="U227" s="291"/>
      <c r="V227" s="291"/>
      <c r="W227" s="291"/>
      <c r="X227" s="291"/>
      <c r="Y227" s="291"/>
      <c r="Z227" s="291"/>
      <c r="AA227" s="291"/>
      <c r="AB227" s="291"/>
      <c r="AC227" s="291"/>
      <c r="AD227" s="291"/>
      <c r="AE227" s="291"/>
      <c r="AF227" s="291"/>
      <c r="AG227" s="291"/>
    </row>
    <row r="228" ht="18.75" customHeight="1">
      <c r="A228" s="283"/>
      <c r="B228" s="234" t="str">
        <f>'Building Bill of Materials_SLIM'!P228</f>
        <v/>
      </c>
      <c r="C228" s="234" t="str">
        <f>'Building Bill of Materials_SLIM'!Q228</f>
        <v/>
      </c>
      <c r="D228" s="234" t="str">
        <f>'Building Bill of Materials_SLIM'!R228</f>
        <v/>
      </c>
      <c r="E228" s="234" t="str">
        <f>'Building Bill of Materials_SLIM'!S228</f>
        <v/>
      </c>
      <c r="F228" s="234"/>
      <c r="G228" s="234"/>
      <c r="H228" s="234" t="str">
        <f>'Building Bill of Materials_SLIM'!T228</f>
        <v/>
      </c>
      <c r="I228" s="234" t="str">
        <f>'Building Bill of Materials_SLIM'!U228</f>
        <v/>
      </c>
      <c r="J228" s="234" t="str">
        <f>'Building Bill of Materials_SLIM'!V228</f>
        <v/>
      </c>
      <c r="K228" s="192"/>
      <c r="L228" s="242"/>
      <c r="M228" s="242"/>
      <c r="N228" s="291"/>
      <c r="O228" s="291"/>
      <c r="P228" s="291"/>
      <c r="Q228" s="291"/>
      <c r="R228" s="291"/>
      <c r="S228" s="291"/>
      <c r="T228" s="291"/>
      <c r="U228" s="291"/>
      <c r="V228" s="291"/>
      <c r="W228" s="291"/>
      <c r="X228" s="291"/>
      <c r="Y228" s="291"/>
      <c r="Z228" s="291"/>
      <c r="AA228" s="291"/>
      <c r="AB228" s="291"/>
      <c r="AC228" s="291"/>
      <c r="AD228" s="291"/>
      <c r="AE228" s="291"/>
      <c r="AF228" s="291"/>
      <c r="AG228" s="291"/>
    </row>
    <row r="229" ht="18.75" customHeight="1">
      <c r="A229" s="283"/>
      <c r="B229" s="234" t="str">
        <f>'Building Bill of Materials_SLIM'!P229</f>
        <v/>
      </c>
      <c r="C229" s="234" t="str">
        <f>'Building Bill of Materials_SLIM'!Q229</f>
        <v/>
      </c>
      <c r="D229" s="234" t="str">
        <f>'Building Bill of Materials_SLIM'!R229</f>
        <v/>
      </c>
      <c r="E229" s="234" t="str">
        <f>'Building Bill of Materials_SLIM'!S229</f>
        <v/>
      </c>
      <c r="F229" s="234"/>
      <c r="G229" s="234"/>
      <c r="H229" s="234" t="str">
        <f>'Building Bill of Materials_SLIM'!T229</f>
        <v/>
      </c>
      <c r="I229" s="234" t="str">
        <f>'Building Bill of Materials_SLIM'!U229</f>
        <v/>
      </c>
      <c r="J229" s="234" t="str">
        <f>'Building Bill of Materials_SLIM'!V229</f>
        <v/>
      </c>
      <c r="K229" s="192"/>
      <c r="L229" s="242"/>
      <c r="M229" s="242"/>
      <c r="N229" s="291"/>
      <c r="O229" s="291"/>
      <c r="P229" s="291"/>
      <c r="Q229" s="291"/>
      <c r="R229" s="291"/>
      <c r="S229" s="291"/>
      <c r="T229" s="291"/>
      <c r="U229" s="291"/>
      <c r="V229" s="291"/>
      <c r="W229" s="291"/>
      <c r="X229" s="291"/>
      <c r="Y229" s="291"/>
      <c r="Z229" s="291"/>
      <c r="AA229" s="291"/>
      <c r="AB229" s="291"/>
      <c r="AC229" s="291"/>
      <c r="AD229" s="291"/>
      <c r="AE229" s="291"/>
      <c r="AF229" s="291"/>
      <c r="AG229" s="291"/>
    </row>
    <row r="230" ht="18.75" customHeight="1">
      <c r="A230" s="283"/>
      <c r="B230" s="234" t="str">
        <f>'Building Bill of Materials_SLIM'!P230</f>
        <v/>
      </c>
      <c r="C230" s="234" t="str">
        <f>'Building Bill of Materials_SLIM'!Q230</f>
        <v/>
      </c>
      <c r="D230" s="234" t="str">
        <f>'Building Bill of Materials_SLIM'!R230</f>
        <v/>
      </c>
      <c r="E230" s="234" t="str">
        <f>'Building Bill of Materials_SLIM'!S230</f>
        <v/>
      </c>
      <c r="F230" s="234"/>
      <c r="G230" s="234"/>
      <c r="H230" s="234" t="str">
        <f>'Building Bill of Materials_SLIM'!T230</f>
        <v/>
      </c>
      <c r="I230" s="234" t="str">
        <f>'Building Bill of Materials_SLIM'!U230</f>
        <v/>
      </c>
      <c r="J230" s="234" t="str">
        <f>'Building Bill of Materials_SLIM'!V230</f>
        <v/>
      </c>
      <c r="K230" s="192"/>
      <c r="L230" s="242"/>
      <c r="M230" s="242"/>
      <c r="N230" s="291"/>
      <c r="O230" s="291"/>
      <c r="P230" s="291"/>
      <c r="Q230" s="291"/>
      <c r="R230" s="291"/>
      <c r="S230" s="291"/>
      <c r="T230" s="291"/>
      <c r="U230" s="291"/>
      <c r="V230" s="291"/>
      <c r="W230" s="291"/>
      <c r="X230" s="291"/>
      <c r="Y230" s="291"/>
      <c r="Z230" s="291"/>
      <c r="AA230" s="291"/>
      <c r="AB230" s="291"/>
      <c r="AC230" s="291"/>
      <c r="AD230" s="291"/>
      <c r="AE230" s="291"/>
      <c r="AF230" s="291"/>
      <c r="AG230" s="291"/>
    </row>
    <row r="231" ht="18.75" customHeight="1">
      <c r="A231" s="283"/>
      <c r="B231" s="234" t="str">
        <f>'Building Bill of Materials_SLIM'!P231</f>
        <v/>
      </c>
      <c r="C231" s="234" t="str">
        <f>'Building Bill of Materials_SLIM'!Q231</f>
        <v/>
      </c>
      <c r="D231" s="234" t="str">
        <f>'Building Bill of Materials_SLIM'!R231</f>
        <v/>
      </c>
      <c r="E231" s="234" t="str">
        <f>'Building Bill of Materials_SLIM'!S231</f>
        <v/>
      </c>
      <c r="F231" s="234"/>
      <c r="G231" s="234"/>
      <c r="H231" s="234" t="str">
        <f>'Building Bill of Materials_SLIM'!T231</f>
        <v/>
      </c>
      <c r="I231" s="234" t="str">
        <f>'Building Bill of Materials_SLIM'!U231</f>
        <v/>
      </c>
      <c r="J231" s="234" t="str">
        <f>'Building Bill of Materials_SLIM'!V231</f>
        <v/>
      </c>
      <c r="K231" s="192"/>
      <c r="L231" s="242"/>
      <c r="M231" s="242"/>
      <c r="N231" s="291"/>
      <c r="O231" s="291"/>
      <c r="P231" s="291"/>
      <c r="Q231" s="291"/>
      <c r="R231" s="291"/>
      <c r="S231" s="291"/>
      <c r="T231" s="291"/>
      <c r="U231" s="291"/>
      <c r="V231" s="291"/>
      <c r="W231" s="291"/>
      <c r="X231" s="291"/>
      <c r="Y231" s="291"/>
      <c r="Z231" s="291"/>
      <c r="AA231" s="291"/>
      <c r="AB231" s="291"/>
      <c r="AC231" s="291"/>
      <c r="AD231" s="291"/>
      <c r="AE231" s="291"/>
      <c r="AF231" s="291"/>
      <c r="AG231" s="291"/>
    </row>
    <row r="232" ht="18.75" customHeight="1">
      <c r="A232" s="283"/>
      <c r="B232" s="234" t="str">
        <f>'Building Bill of Materials_SLIM'!P232</f>
        <v/>
      </c>
      <c r="C232" s="234" t="str">
        <f>'Building Bill of Materials_SLIM'!Q232</f>
        <v/>
      </c>
      <c r="D232" s="234" t="str">
        <f>'Building Bill of Materials_SLIM'!R232</f>
        <v/>
      </c>
      <c r="E232" s="234" t="str">
        <f>'Building Bill of Materials_SLIM'!S232</f>
        <v/>
      </c>
      <c r="F232" s="234"/>
      <c r="G232" s="234"/>
      <c r="H232" s="234" t="str">
        <f>'Building Bill of Materials_SLIM'!T232</f>
        <v/>
      </c>
      <c r="I232" s="234" t="str">
        <f>'Building Bill of Materials_SLIM'!U232</f>
        <v/>
      </c>
      <c r="J232" s="234" t="str">
        <f>'Building Bill of Materials_SLIM'!V232</f>
        <v/>
      </c>
      <c r="K232" s="192"/>
      <c r="L232" s="242"/>
      <c r="M232" s="242"/>
      <c r="N232" s="291"/>
      <c r="O232" s="291"/>
      <c r="P232" s="291"/>
      <c r="Q232" s="291"/>
      <c r="R232" s="291"/>
      <c r="S232" s="291"/>
      <c r="T232" s="291"/>
      <c r="U232" s="291"/>
      <c r="V232" s="291"/>
      <c r="W232" s="291"/>
      <c r="X232" s="291"/>
      <c r="Y232" s="291"/>
      <c r="Z232" s="291"/>
      <c r="AA232" s="291"/>
      <c r="AB232" s="291"/>
      <c r="AC232" s="291"/>
      <c r="AD232" s="291"/>
      <c r="AE232" s="291"/>
      <c r="AF232" s="291"/>
      <c r="AG232" s="291"/>
    </row>
    <row r="233" ht="18.75" customHeight="1">
      <c r="A233" s="283"/>
      <c r="B233" s="234" t="str">
        <f>'Building Bill of Materials_SLIM'!P233</f>
        <v/>
      </c>
      <c r="C233" s="234" t="str">
        <f>'Building Bill of Materials_SLIM'!Q233</f>
        <v/>
      </c>
      <c r="D233" s="234" t="str">
        <f>'Building Bill of Materials_SLIM'!R233</f>
        <v/>
      </c>
      <c r="E233" s="234" t="str">
        <f>'Building Bill of Materials_SLIM'!S233</f>
        <v/>
      </c>
      <c r="F233" s="234"/>
      <c r="G233" s="234"/>
      <c r="H233" s="234" t="str">
        <f>'Building Bill of Materials_SLIM'!T233</f>
        <v/>
      </c>
      <c r="I233" s="234" t="str">
        <f>'Building Bill of Materials_SLIM'!U233</f>
        <v/>
      </c>
      <c r="J233" s="234" t="str">
        <f>'Building Bill of Materials_SLIM'!V233</f>
        <v/>
      </c>
      <c r="K233" s="192"/>
      <c r="L233" s="242"/>
      <c r="M233" s="242"/>
      <c r="N233" s="291"/>
      <c r="O233" s="291"/>
      <c r="P233" s="291"/>
      <c r="Q233" s="291"/>
      <c r="R233" s="291"/>
      <c r="S233" s="291"/>
      <c r="T233" s="291"/>
      <c r="U233" s="291"/>
      <c r="V233" s="291"/>
      <c r="W233" s="291"/>
      <c r="X233" s="291"/>
      <c r="Y233" s="291"/>
      <c r="Z233" s="291"/>
      <c r="AA233" s="291"/>
      <c r="AB233" s="291"/>
      <c r="AC233" s="291"/>
      <c r="AD233" s="291"/>
      <c r="AE233" s="291"/>
      <c r="AF233" s="291"/>
      <c r="AG233" s="291"/>
    </row>
    <row r="234" ht="18.75" customHeight="1">
      <c r="A234" s="283"/>
      <c r="B234" s="234" t="str">
        <f>'Building Bill of Materials_SLIM'!P234</f>
        <v/>
      </c>
      <c r="C234" s="234" t="str">
        <f>'Building Bill of Materials_SLIM'!Q234</f>
        <v/>
      </c>
      <c r="D234" s="234" t="str">
        <f>'Building Bill of Materials_SLIM'!R234</f>
        <v/>
      </c>
      <c r="E234" s="234" t="str">
        <f>'Building Bill of Materials_SLIM'!S234</f>
        <v/>
      </c>
      <c r="F234" s="234"/>
      <c r="G234" s="234"/>
      <c r="H234" s="234" t="str">
        <f>'Building Bill of Materials_SLIM'!T234</f>
        <v/>
      </c>
      <c r="I234" s="234" t="str">
        <f>'Building Bill of Materials_SLIM'!U234</f>
        <v/>
      </c>
      <c r="J234" s="234" t="str">
        <f>'Building Bill of Materials_SLIM'!V234</f>
        <v/>
      </c>
      <c r="K234" s="192"/>
      <c r="L234" s="242"/>
      <c r="M234" s="242"/>
      <c r="N234" s="291"/>
      <c r="O234" s="291"/>
      <c r="P234" s="291"/>
      <c r="Q234" s="291"/>
      <c r="R234" s="291"/>
      <c r="S234" s="291"/>
      <c r="T234" s="291"/>
      <c r="U234" s="291"/>
      <c r="V234" s="291"/>
      <c r="W234" s="291"/>
      <c r="X234" s="291"/>
      <c r="Y234" s="291"/>
      <c r="Z234" s="291"/>
      <c r="AA234" s="291"/>
      <c r="AB234" s="291"/>
      <c r="AC234" s="291"/>
      <c r="AD234" s="291"/>
      <c r="AE234" s="291"/>
      <c r="AF234" s="291"/>
      <c r="AG234" s="291"/>
    </row>
    <row r="235" ht="18.75" customHeight="1">
      <c r="A235" s="283"/>
      <c r="B235" s="234" t="str">
        <f>'Building Bill of Materials_SLIM'!P235</f>
        <v/>
      </c>
      <c r="C235" s="234" t="str">
        <f>'Building Bill of Materials_SLIM'!Q235</f>
        <v/>
      </c>
      <c r="D235" s="234" t="str">
        <f>'Building Bill of Materials_SLIM'!R235</f>
        <v/>
      </c>
      <c r="E235" s="234" t="str">
        <f>'Building Bill of Materials_SLIM'!S235</f>
        <v/>
      </c>
      <c r="F235" s="234"/>
      <c r="G235" s="234"/>
      <c r="H235" s="234" t="str">
        <f>'Building Bill of Materials_SLIM'!T235</f>
        <v/>
      </c>
      <c r="I235" s="234" t="str">
        <f>'Building Bill of Materials_SLIM'!U235</f>
        <v/>
      </c>
      <c r="J235" s="234" t="str">
        <f>'Building Bill of Materials_SLIM'!V235</f>
        <v/>
      </c>
      <c r="K235" s="192"/>
      <c r="L235" s="242"/>
      <c r="M235" s="242"/>
      <c r="N235" s="291"/>
      <c r="O235" s="291"/>
      <c r="P235" s="291"/>
      <c r="Q235" s="291"/>
      <c r="R235" s="291"/>
      <c r="S235" s="291"/>
      <c r="T235" s="291"/>
      <c r="U235" s="291"/>
      <c r="V235" s="291"/>
      <c r="W235" s="291"/>
      <c r="X235" s="291"/>
      <c r="Y235" s="291"/>
      <c r="Z235" s="291"/>
      <c r="AA235" s="291"/>
      <c r="AB235" s="291"/>
      <c r="AC235" s="291"/>
      <c r="AD235" s="291"/>
      <c r="AE235" s="291"/>
      <c r="AF235" s="291"/>
      <c r="AG235" s="291"/>
    </row>
    <row r="236" ht="18.75" customHeight="1">
      <c r="A236" s="283"/>
      <c r="B236" s="234" t="str">
        <f>'Building Bill of Materials_SLIM'!P236</f>
        <v/>
      </c>
      <c r="C236" s="234" t="str">
        <f>'Building Bill of Materials_SLIM'!Q236</f>
        <v/>
      </c>
      <c r="D236" s="234" t="str">
        <f>'Building Bill of Materials_SLIM'!R236</f>
        <v/>
      </c>
      <c r="E236" s="234" t="str">
        <f>'Building Bill of Materials_SLIM'!S236</f>
        <v/>
      </c>
      <c r="F236" s="234"/>
      <c r="G236" s="234"/>
      <c r="H236" s="234" t="str">
        <f>'Building Bill of Materials_SLIM'!T236</f>
        <v/>
      </c>
      <c r="I236" s="234" t="str">
        <f>'Building Bill of Materials_SLIM'!U236</f>
        <v/>
      </c>
      <c r="J236" s="234" t="str">
        <f>'Building Bill of Materials_SLIM'!V236</f>
        <v/>
      </c>
      <c r="K236" s="192"/>
      <c r="L236" s="242"/>
      <c r="M236" s="242"/>
      <c r="N236" s="291"/>
      <c r="O236" s="291"/>
      <c r="P236" s="291"/>
      <c r="Q236" s="291"/>
      <c r="R236" s="291"/>
      <c r="S236" s="291"/>
      <c r="T236" s="291"/>
      <c r="U236" s="291"/>
      <c r="V236" s="291"/>
      <c r="W236" s="291"/>
      <c r="X236" s="291"/>
      <c r="Y236" s="291"/>
      <c r="Z236" s="291"/>
      <c r="AA236" s="291"/>
      <c r="AB236" s="291"/>
      <c r="AC236" s="291"/>
      <c r="AD236" s="291"/>
      <c r="AE236" s="291"/>
      <c r="AF236" s="291"/>
      <c r="AG236" s="291"/>
    </row>
    <row r="237" ht="18.75" customHeight="1">
      <c r="A237" s="283"/>
      <c r="B237" s="234" t="str">
        <f>'Building Bill of Materials_SLIM'!P237</f>
        <v/>
      </c>
      <c r="C237" s="234" t="str">
        <f>'Building Bill of Materials_SLIM'!Q237</f>
        <v/>
      </c>
      <c r="D237" s="234" t="str">
        <f>'Building Bill of Materials_SLIM'!R237</f>
        <v/>
      </c>
      <c r="E237" s="234" t="str">
        <f>'Building Bill of Materials_SLIM'!S237</f>
        <v/>
      </c>
      <c r="F237" s="234"/>
      <c r="G237" s="234"/>
      <c r="H237" s="234" t="str">
        <f>'Building Bill of Materials_SLIM'!T237</f>
        <v/>
      </c>
      <c r="I237" s="234" t="str">
        <f>'Building Bill of Materials_SLIM'!U237</f>
        <v/>
      </c>
      <c r="J237" s="234" t="str">
        <f>'Building Bill of Materials_SLIM'!V237</f>
        <v/>
      </c>
      <c r="K237" s="192"/>
      <c r="L237" s="242"/>
      <c r="M237" s="242"/>
      <c r="N237" s="291"/>
      <c r="O237" s="291"/>
      <c r="P237" s="291"/>
      <c r="Q237" s="291"/>
      <c r="R237" s="291"/>
      <c r="S237" s="291"/>
      <c r="T237" s="291"/>
      <c r="U237" s="291"/>
      <c r="V237" s="291"/>
      <c r="W237" s="291"/>
      <c r="X237" s="291"/>
      <c r="Y237" s="291"/>
      <c r="Z237" s="291"/>
      <c r="AA237" s="291"/>
      <c r="AB237" s="291"/>
      <c r="AC237" s="291"/>
      <c r="AD237" s="291"/>
      <c r="AE237" s="291"/>
      <c r="AF237" s="291"/>
      <c r="AG237" s="291"/>
    </row>
    <row r="238" ht="18.75" customHeight="1">
      <c r="A238" s="283"/>
      <c r="B238" s="234" t="str">
        <f>'Building Bill of Materials_SLIM'!P238</f>
        <v/>
      </c>
      <c r="C238" s="234" t="str">
        <f>'Building Bill of Materials_SLIM'!Q238</f>
        <v/>
      </c>
      <c r="D238" s="234" t="str">
        <f>'Building Bill of Materials_SLIM'!R238</f>
        <v/>
      </c>
      <c r="E238" s="234" t="str">
        <f>'Building Bill of Materials_SLIM'!S238</f>
        <v/>
      </c>
      <c r="F238" s="234"/>
      <c r="G238" s="234"/>
      <c r="H238" s="234" t="str">
        <f>'Building Bill of Materials_SLIM'!T238</f>
        <v/>
      </c>
      <c r="I238" s="234" t="str">
        <f>'Building Bill of Materials_SLIM'!U238</f>
        <v/>
      </c>
      <c r="J238" s="234" t="str">
        <f>'Building Bill of Materials_SLIM'!V238</f>
        <v/>
      </c>
      <c r="K238" s="192"/>
      <c r="L238" s="242"/>
      <c r="M238" s="242"/>
      <c r="N238" s="291"/>
      <c r="O238" s="291"/>
      <c r="P238" s="291"/>
      <c r="Q238" s="291"/>
      <c r="R238" s="291"/>
      <c r="S238" s="291"/>
      <c r="T238" s="291"/>
      <c r="U238" s="291"/>
      <c r="V238" s="291"/>
      <c r="W238" s="291"/>
      <c r="X238" s="291"/>
      <c r="Y238" s="291"/>
      <c r="Z238" s="291"/>
      <c r="AA238" s="291"/>
      <c r="AB238" s="291"/>
      <c r="AC238" s="291"/>
      <c r="AD238" s="291"/>
      <c r="AE238" s="291"/>
      <c r="AF238" s="291"/>
      <c r="AG238" s="291"/>
    </row>
    <row r="239" ht="18.75" customHeight="1">
      <c r="A239" s="283"/>
      <c r="B239" s="234" t="str">
        <f>'Building Bill of Materials_SLIM'!P239</f>
        <v/>
      </c>
      <c r="C239" s="234" t="str">
        <f>'Building Bill of Materials_SLIM'!Q239</f>
        <v/>
      </c>
      <c r="D239" s="234" t="str">
        <f>'Building Bill of Materials_SLIM'!R239</f>
        <v/>
      </c>
      <c r="E239" s="234" t="str">
        <f>'Building Bill of Materials_SLIM'!S239</f>
        <v/>
      </c>
      <c r="F239" s="234"/>
      <c r="G239" s="234"/>
      <c r="H239" s="234" t="str">
        <f>'Building Bill of Materials_SLIM'!T239</f>
        <v/>
      </c>
      <c r="I239" s="234" t="str">
        <f>'Building Bill of Materials_SLIM'!U239</f>
        <v/>
      </c>
      <c r="J239" s="234" t="str">
        <f>'Building Bill of Materials_SLIM'!V239</f>
        <v/>
      </c>
      <c r="K239" s="192"/>
      <c r="L239" s="242"/>
      <c r="M239" s="242"/>
      <c r="N239" s="291"/>
      <c r="O239" s="291"/>
      <c r="P239" s="291"/>
      <c r="Q239" s="291"/>
      <c r="R239" s="291"/>
      <c r="S239" s="291"/>
      <c r="T239" s="291"/>
      <c r="U239" s="291"/>
      <c r="V239" s="291"/>
      <c r="W239" s="291"/>
      <c r="X239" s="291"/>
      <c r="Y239" s="291"/>
      <c r="Z239" s="291"/>
      <c r="AA239" s="291"/>
      <c r="AB239" s="291"/>
      <c r="AC239" s="291"/>
      <c r="AD239" s="291"/>
      <c r="AE239" s="291"/>
      <c r="AF239" s="291"/>
      <c r="AG239" s="291"/>
    </row>
    <row r="240" ht="18.75" customHeight="1">
      <c r="A240" s="283"/>
      <c r="B240" s="234" t="str">
        <f>'Building Bill of Materials_SLIM'!P240</f>
        <v/>
      </c>
      <c r="C240" s="234" t="str">
        <f>'Building Bill of Materials_SLIM'!Q240</f>
        <v/>
      </c>
      <c r="D240" s="234" t="str">
        <f>'Building Bill of Materials_SLIM'!R240</f>
        <v/>
      </c>
      <c r="E240" s="234" t="str">
        <f>'Building Bill of Materials_SLIM'!S240</f>
        <v/>
      </c>
      <c r="F240" s="234"/>
      <c r="G240" s="234"/>
      <c r="H240" s="234" t="str">
        <f>'Building Bill of Materials_SLIM'!T240</f>
        <v/>
      </c>
      <c r="I240" s="234" t="str">
        <f>'Building Bill of Materials_SLIM'!U240</f>
        <v/>
      </c>
      <c r="J240" s="234" t="str">
        <f>'Building Bill of Materials_SLIM'!V240</f>
        <v/>
      </c>
      <c r="K240" s="192"/>
      <c r="L240" s="242"/>
      <c r="M240" s="242"/>
      <c r="N240" s="291"/>
      <c r="O240" s="291"/>
      <c r="P240" s="291"/>
      <c r="Q240" s="291"/>
      <c r="R240" s="291"/>
      <c r="S240" s="291"/>
      <c r="T240" s="291"/>
      <c r="U240" s="291"/>
      <c r="V240" s="291"/>
      <c r="W240" s="291"/>
      <c r="X240" s="291"/>
      <c r="Y240" s="291"/>
      <c r="Z240" s="291"/>
      <c r="AA240" s="291"/>
      <c r="AB240" s="291"/>
      <c r="AC240" s="291"/>
      <c r="AD240" s="291"/>
      <c r="AE240" s="291"/>
      <c r="AF240" s="291"/>
      <c r="AG240" s="291"/>
    </row>
    <row r="241" ht="18.75" customHeight="1">
      <c r="A241" s="283"/>
      <c r="B241" s="234" t="str">
        <f>'Building Bill of Materials_SLIM'!P241</f>
        <v/>
      </c>
      <c r="C241" s="234" t="str">
        <f>'Building Bill of Materials_SLIM'!Q241</f>
        <v/>
      </c>
      <c r="D241" s="234" t="str">
        <f>'Building Bill of Materials_SLIM'!R241</f>
        <v/>
      </c>
      <c r="E241" s="234" t="str">
        <f>'Building Bill of Materials_SLIM'!S241</f>
        <v/>
      </c>
      <c r="F241" s="234"/>
      <c r="G241" s="234"/>
      <c r="H241" s="234" t="str">
        <f>'Building Bill of Materials_SLIM'!T241</f>
        <v/>
      </c>
      <c r="I241" s="234" t="str">
        <f>'Building Bill of Materials_SLIM'!U241</f>
        <v/>
      </c>
      <c r="J241" s="234" t="str">
        <f>'Building Bill of Materials_SLIM'!V241</f>
        <v/>
      </c>
      <c r="K241" s="192"/>
      <c r="L241" s="242"/>
      <c r="M241" s="242"/>
      <c r="N241" s="291"/>
      <c r="O241" s="291"/>
      <c r="P241" s="291"/>
      <c r="Q241" s="291"/>
      <c r="R241" s="291"/>
      <c r="S241" s="291"/>
      <c r="T241" s="291"/>
      <c r="U241" s="291"/>
      <c r="V241" s="291"/>
      <c r="W241" s="291"/>
      <c r="X241" s="291"/>
      <c r="Y241" s="291"/>
      <c r="Z241" s="291"/>
      <c r="AA241" s="291"/>
      <c r="AB241" s="291"/>
      <c r="AC241" s="291"/>
      <c r="AD241" s="291"/>
      <c r="AE241" s="291"/>
      <c r="AF241" s="291"/>
      <c r="AG241" s="291"/>
    </row>
    <row r="242" ht="18.75" customHeight="1">
      <c r="A242" s="283"/>
      <c r="B242" s="234" t="str">
        <f>'Building Bill of Materials_SLIM'!P242</f>
        <v/>
      </c>
      <c r="C242" s="234" t="str">
        <f>'Building Bill of Materials_SLIM'!Q242</f>
        <v/>
      </c>
      <c r="D242" s="234" t="str">
        <f>'Building Bill of Materials_SLIM'!R242</f>
        <v/>
      </c>
      <c r="E242" s="234" t="str">
        <f>'Building Bill of Materials_SLIM'!S242</f>
        <v/>
      </c>
      <c r="F242" s="234"/>
      <c r="G242" s="234"/>
      <c r="H242" s="234" t="str">
        <f>'Building Bill of Materials_SLIM'!T242</f>
        <v/>
      </c>
      <c r="I242" s="234" t="str">
        <f>'Building Bill of Materials_SLIM'!U242</f>
        <v/>
      </c>
      <c r="J242" s="234" t="str">
        <f>'Building Bill of Materials_SLIM'!V242</f>
        <v/>
      </c>
      <c r="K242" s="192"/>
      <c r="L242" s="242"/>
      <c r="M242" s="242"/>
      <c r="N242" s="291"/>
      <c r="O242" s="291"/>
      <c r="P242" s="291"/>
      <c r="Q242" s="291"/>
      <c r="R242" s="291"/>
      <c r="S242" s="291"/>
      <c r="T242" s="291"/>
      <c r="U242" s="291"/>
      <c r="V242" s="291"/>
      <c r="W242" s="291"/>
      <c r="X242" s="291"/>
      <c r="Y242" s="291"/>
      <c r="Z242" s="291"/>
      <c r="AA242" s="291"/>
      <c r="AB242" s="291"/>
      <c r="AC242" s="291"/>
      <c r="AD242" s="291"/>
      <c r="AE242" s="291"/>
      <c r="AF242" s="291"/>
      <c r="AG242" s="291"/>
    </row>
    <row r="243" ht="18.75" customHeight="1">
      <c r="A243" s="283"/>
      <c r="B243" s="234" t="str">
        <f>'Building Bill of Materials_SLIM'!P243</f>
        <v/>
      </c>
      <c r="C243" s="234" t="str">
        <f>'Building Bill of Materials_SLIM'!Q243</f>
        <v/>
      </c>
      <c r="D243" s="234" t="str">
        <f>'Building Bill of Materials_SLIM'!R243</f>
        <v/>
      </c>
      <c r="E243" s="234" t="str">
        <f>'Building Bill of Materials_SLIM'!S243</f>
        <v/>
      </c>
      <c r="F243" s="234"/>
      <c r="G243" s="234"/>
      <c r="H243" s="234" t="str">
        <f>'Building Bill of Materials_SLIM'!T243</f>
        <v/>
      </c>
      <c r="I243" s="234" t="str">
        <f>'Building Bill of Materials_SLIM'!U243</f>
        <v/>
      </c>
      <c r="J243" s="234" t="str">
        <f>'Building Bill of Materials_SLIM'!V243</f>
        <v/>
      </c>
      <c r="K243" s="192"/>
      <c r="L243" s="242"/>
      <c r="M243" s="242"/>
      <c r="N243" s="291"/>
      <c r="O243" s="291"/>
      <c r="P243" s="291"/>
      <c r="Q243" s="291"/>
      <c r="R243" s="291"/>
      <c r="S243" s="291"/>
      <c r="T243" s="291"/>
      <c r="U243" s="291"/>
      <c r="V243" s="291"/>
      <c r="W243" s="291"/>
      <c r="X243" s="291"/>
      <c r="Y243" s="291"/>
      <c r="Z243" s="291"/>
      <c r="AA243" s="291"/>
      <c r="AB243" s="291"/>
      <c r="AC243" s="291"/>
      <c r="AD243" s="291"/>
      <c r="AE243" s="291"/>
      <c r="AF243" s="291"/>
      <c r="AG243" s="291"/>
    </row>
    <row r="244" ht="18.75" customHeight="1">
      <c r="A244" s="283"/>
      <c r="B244" s="234" t="str">
        <f>'Building Bill of Materials_SLIM'!P244</f>
        <v/>
      </c>
      <c r="C244" s="234" t="str">
        <f>'Building Bill of Materials_SLIM'!Q244</f>
        <v/>
      </c>
      <c r="D244" s="234" t="str">
        <f>'Building Bill of Materials_SLIM'!R244</f>
        <v/>
      </c>
      <c r="E244" s="234" t="str">
        <f>'Building Bill of Materials_SLIM'!S244</f>
        <v/>
      </c>
      <c r="F244" s="234"/>
      <c r="G244" s="234"/>
      <c r="H244" s="234" t="str">
        <f>'Building Bill of Materials_SLIM'!T244</f>
        <v/>
      </c>
      <c r="I244" s="234" t="str">
        <f>'Building Bill of Materials_SLIM'!U244</f>
        <v/>
      </c>
      <c r="J244" s="234" t="str">
        <f>'Building Bill of Materials_SLIM'!V244</f>
        <v/>
      </c>
      <c r="K244" s="192"/>
      <c r="L244" s="242"/>
      <c r="M244" s="242"/>
      <c r="N244" s="291"/>
      <c r="O244" s="291"/>
      <c r="P244" s="291"/>
      <c r="Q244" s="291"/>
      <c r="R244" s="291"/>
      <c r="S244" s="291"/>
      <c r="T244" s="291"/>
      <c r="U244" s="291"/>
      <c r="V244" s="291"/>
      <c r="W244" s="291"/>
      <c r="X244" s="291"/>
      <c r="Y244" s="291"/>
      <c r="Z244" s="291"/>
      <c r="AA244" s="291"/>
      <c r="AB244" s="291"/>
      <c r="AC244" s="291"/>
      <c r="AD244" s="291"/>
      <c r="AE244" s="291"/>
      <c r="AF244" s="291"/>
      <c r="AG244" s="291"/>
    </row>
    <row r="245" ht="18.75" customHeight="1">
      <c r="A245" s="283"/>
      <c r="B245" s="234" t="str">
        <f>'Building Bill of Materials_SLIM'!P245</f>
        <v/>
      </c>
      <c r="C245" s="234" t="str">
        <f>'Building Bill of Materials_SLIM'!Q245</f>
        <v/>
      </c>
      <c r="D245" s="234" t="str">
        <f>'Building Bill of Materials_SLIM'!R245</f>
        <v/>
      </c>
      <c r="E245" s="234" t="str">
        <f>'Building Bill of Materials_SLIM'!S245</f>
        <v/>
      </c>
      <c r="F245" s="234"/>
      <c r="G245" s="234"/>
      <c r="H245" s="234" t="str">
        <f>'Building Bill of Materials_SLIM'!T245</f>
        <v/>
      </c>
      <c r="I245" s="234" t="str">
        <f>'Building Bill of Materials_SLIM'!U245</f>
        <v/>
      </c>
      <c r="J245" s="234" t="str">
        <f>'Building Bill of Materials_SLIM'!V245</f>
        <v/>
      </c>
      <c r="K245" s="192"/>
      <c r="L245" s="242"/>
      <c r="M245" s="242"/>
      <c r="N245" s="291"/>
      <c r="O245" s="291"/>
      <c r="P245" s="291"/>
      <c r="Q245" s="291"/>
      <c r="R245" s="291"/>
      <c r="S245" s="291"/>
      <c r="T245" s="291"/>
      <c r="U245" s="291"/>
      <c r="V245" s="291"/>
      <c r="W245" s="291"/>
      <c r="X245" s="291"/>
      <c r="Y245" s="291"/>
      <c r="Z245" s="291"/>
      <c r="AA245" s="291"/>
      <c r="AB245" s="291"/>
      <c r="AC245" s="291"/>
      <c r="AD245" s="291"/>
      <c r="AE245" s="291"/>
      <c r="AF245" s="291"/>
      <c r="AG245" s="291"/>
    </row>
    <row r="246" ht="18.75" customHeight="1">
      <c r="A246" s="283"/>
      <c r="B246" s="234" t="str">
        <f>'Building Bill of Materials_SLIM'!P246</f>
        <v/>
      </c>
      <c r="C246" s="234" t="str">
        <f>'Building Bill of Materials_SLIM'!Q246</f>
        <v/>
      </c>
      <c r="D246" s="234" t="str">
        <f>'Building Bill of Materials_SLIM'!R246</f>
        <v/>
      </c>
      <c r="E246" s="234" t="str">
        <f>'Building Bill of Materials_SLIM'!S246</f>
        <v/>
      </c>
      <c r="F246" s="234"/>
      <c r="G246" s="234"/>
      <c r="H246" s="234" t="str">
        <f>'Building Bill of Materials_SLIM'!T246</f>
        <v/>
      </c>
      <c r="I246" s="234" t="str">
        <f>'Building Bill of Materials_SLIM'!U246</f>
        <v/>
      </c>
      <c r="J246" s="234" t="str">
        <f>'Building Bill of Materials_SLIM'!V246</f>
        <v/>
      </c>
      <c r="K246" s="192"/>
      <c r="L246" s="242"/>
      <c r="M246" s="242"/>
      <c r="N246" s="291"/>
      <c r="O246" s="291"/>
      <c r="P246" s="291"/>
      <c r="Q246" s="291"/>
      <c r="R246" s="291"/>
      <c r="S246" s="291"/>
      <c r="T246" s="291"/>
      <c r="U246" s="291"/>
      <c r="V246" s="291"/>
      <c r="W246" s="291"/>
      <c r="X246" s="291"/>
      <c r="Y246" s="291"/>
      <c r="Z246" s="291"/>
      <c r="AA246" s="291"/>
      <c r="AB246" s="291"/>
      <c r="AC246" s="291"/>
      <c r="AD246" s="291"/>
      <c r="AE246" s="291"/>
      <c r="AF246" s="291"/>
      <c r="AG246" s="291"/>
    </row>
    <row r="247" ht="18.75" customHeight="1">
      <c r="A247" s="283"/>
      <c r="B247" s="234" t="str">
        <f>'Building Bill of Materials_SLIM'!P247</f>
        <v/>
      </c>
      <c r="C247" s="234" t="str">
        <f>'Building Bill of Materials_SLIM'!Q247</f>
        <v/>
      </c>
      <c r="D247" s="234" t="str">
        <f>'Building Bill of Materials_SLIM'!R247</f>
        <v/>
      </c>
      <c r="E247" s="234" t="str">
        <f>'Building Bill of Materials_SLIM'!S247</f>
        <v/>
      </c>
      <c r="F247" s="234"/>
      <c r="G247" s="234"/>
      <c r="H247" s="234" t="str">
        <f>'Building Bill of Materials_SLIM'!T247</f>
        <v/>
      </c>
      <c r="I247" s="234" t="str">
        <f>'Building Bill of Materials_SLIM'!U247</f>
        <v/>
      </c>
      <c r="J247" s="234" t="str">
        <f>'Building Bill of Materials_SLIM'!V247</f>
        <v/>
      </c>
      <c r="K247" s="192"/>
      <c r="L247" s="242"/>
      <c r="M247" s="242"/>
      <c r="N247" s="291"/>
      <c r="O247" s="291"/>
      <c r="P247" s="291"/>
      <c r="Q247" s="291"/>
      <c r="R247" s="291"/>
      <c r="S247" s="291"/>
      <c r="T247" s="291"/>
      <c r="U247" s="291"/>
      <c r="V247" s="291"/>
      <c r="W247" s="291"/>
      <c r="X247" s="291"/>
      <c r="Y247" s="291"/>
      <c r="Z247" s="291"/>
      <c r="AA247" s="291"/>
      <c r="AB247" s="291"/>
      <c r="AC247" s="291"/>
      <c r="AD247" s="291"/>
      <c r="AE247" s="291"/>
      <c r="AF247" s="291"/>
      <c r="AG247" s="291"/>
    </row>
    <row r="248" ht="18.75" customHeight="1">
      <c r="A248" s="283"/>
      <c r="B248" s="234" t="str">
        <f>'Building Bill of Materials_SLIM'!P248</f>
        <v/>
      </c>
      <c r="C248" s="234" t="str">
        <f>'Building Bill of Materials_SLIM'!Q248</f>
        <v/>
      </c>
      <c r="D248" s="234" t="str">
        <f>'Building Bill of Materials_SLIM'!R248</f>
        <v/>
      </c>
      <c r="E248" s="234" t="str">
        <f>'Building Bill of Materials_SLIM'!S248</f>
        <v/>
      </c>
      <c r="F248" s="234"/>
      <c r="G248" s="234"/>
      <c r="H248" s="234" t="str">
        <f>'Building Bill of Materials_SLIM'!T248</f>
        <v/>
      </c>
      <c r="I248" s="234" t="str">
        <f>'Building Bill of Materials_SLIM'!U248</f>
        <v/>
      </c>
      <c r="J248" s="234" t="str">
        <f>'Building Bill of Materials_SLIM'!V248</f>
        <v/>
      </c>
      <c r="K248" s="192"/>
      <c r="L248" s="242"/>
      <c r="M248" s="242"/>
      <c r="N248" s="291"/>
      <c r="O248" s="291"/>
      <c r="P248" s="291"/>
      <c r="Q248" s="291"/>
      <c r="R248" s="291"/>
      <c r="S248" s="291"/>
      <c r="T248" s="291"/>
      <c r="U248" s="291"/>
      <c r="V248" s="291"/>
      <c r="W248" s="291"/>
      <c r="X248" s="291"/>
      <c r="Y248" s="291"/>
      <c r="Z248" s="291"/>
      <c r="AA248" s="291"/>
      <c r="AB248" s="291"/>
      <c r="AC248" s="291"/>
      <c r="AD248" s="291"/>
      <c r="AE248" s="291"/>
      <c r="AF248" s="291"/>
      <c r="AG248" s="291"/>
    </row>
    <row r="249" ht="18.75" customHeight="1">
      <c r="A249" s="283"/>
      <c r="B249" s="234" t="str">
        <f>'Building Bill of Materials_SLIM'!P249</f>
        <v/>
      </c>
      <c r="C249" s="234" t="str">
        <f>'Building Bill of Materials_SLIM'!Q249</f>
        <v/>
      </c>
      <c r="D249" s="234" t="str">
        <f>'Building Bill of Materials_SLIM'!R249</f>
        <v/>
      </c>
      <c r="E249" s="234" t="str">
        <f>'Building Bill of Materials_SLIM'!S249</f>
        <v/>
      </c>
      <c r="F249" s="234"/>
      <c r="G249" s="234"/>
      <c r="H249" s="234" t="str">
        <f>'Building Bill of Materials_SLIM'!T249</f>
        <v/>
      </c>
      <c r="I249" s="234" t="str">
        <f>'Building Bill of Materials_SLIM'!U249</f>
        <v/>
      </c>
      <c r="J249" s="234" t="str">
        <f>'Building Bill of Materials_SLIM'!V249</f>
        <v/>
      </c>
      <c r="K249" s="192"/>
      <c r="L249" s="242"/>
      <c r="M249" s="242"/>
      <c r="N249" s="291"/>
      <c r="O249" s="291"/>
      <c r="P249" s="291"/>
      <c r="Q249" s="291"/>
      <c r="R249" s="291"/>
      <c r="S249" s="291"/>
      <c r="T249" s="291"/>
      <c r="U249" s="291"/>
      <c r="V249" s="291"/>
      <c r="W249" s="291"/>
      <c r="X249" s="291"/>
      <c r="Y249" s="291"/>
      <c r="Z249" s="291"/>
      <c r="AA249" s="291"/>
      <c r="AB249" s="291"/>
      <c r="AC249" s="291"/>
      <c r="AD249" s="291"/>
      <c r="AE249" s="291"/>
      <c r="AF249" s="291"/>
      <c r="AG249" s="291"/>
    </row>
    <row r="250" ht="18.75" customHeight="1">
      <c r="A250" s="283"/>
      <c r="B250" s="234" t="str">
        <f>'Building Bill of Materials_SLIM'!P250</f>
        <v/>
      </c>
      <c r="C250" s="234" t="str">
        <f>'Building Bill of Materials_SLIM'!Q250</f>
        <v/>
      </c>
      <c r="D250" s="234" t="str">
        <f>'Building Bill of Materials_SLIM'!R250</f>
        <v/>
      </c>
      <c r="E250" s="234" t="str">
        <f>'Building Bill of Materials_SLIM'!S250</f>
        <v/>
      </c>
      <c r="F250" s="234"/>
      <c r="G250" s="234"/>
      <c r="H250" s="234" t="str">
        <f>'Building Bill of Materials_SLIM'!T250</f>
        <v/>
      </c>
      <c r="I250" s="234" t="str">
        <f>'Building Bill of Materials_SLIM'!U250</f>
        <v/>
      </c>
      <c r="J250" s="234" t="str">
        <f>'Building Bill of Materials_SLIM'!V250</f>
        <v/>
      </c>
      <c r="K250" s="192"/>
      <c r="L250" s="242"/>
      <c r="M250" s="242"/>
      <c r="N250" s="291"/>
      <c r="O250" s="291"/>
      <c r="P250" s="291"/>
      <c r="Q250" s="291"/>
      <c r="R250" s="291"/>
      <c r="S250" s="291"/>
      <c r="T250" s="291"/>
      <c r="U250" s="291"/>
      <c r="V250" s="291"/>
      <c r="W250" s="291"/>
      <c r="X250" s="291"/>
      <c r="Y250" s="291"/>
      <c r="Z250" s="291"/>
      <c r="AA250" s="291"/>
      <c r="AB250" s="291"/>
      <c r="AC250" s="291"/>
      <c r="AD250" s="291"/>
      <c r="AE250" s="291"/>
      <c r="AF250" s="291"/>
      <c r="AG250" s="291"/>
    </row>
    <row r="251" ht="18.75" customHeight="1">
      <c r="A251" s="283"/>
      <c r="B251" s="234" t="str">
        <f>'Building Bill of Materials_SLIM'!P251</f>
        <v/>
      </c>
      <c r="C251" s="234" t="str">
        <f>'Building Bill of Materials_SLIM'!Q251</f>
        <v/>
      </c>
      <c r="D251" s="234" t="str">
        <f>'Building Bill of Materials_SLIM'!R251</f>
        <v/>
      </c>
      <c r="E251" s="234" t="str">
        <f>'Building Bill of Materials_SLIM'!S251</f>
        <v/>
      </c>
      <c r="F251" s="234"/>
      <c r="G251" s="234"/>
      <c r="H251" s="234" t="str">
        <f>'Building Bill of Materials_SLIM'!T251</f>
        <v/>
      </c>
      <c r="I251" s="234" t="str">
        <f>'Building Bill of Materials_SLIM'!U251</f>
        <v/>
      </c>
      <c r="J251" s="234" t="str">
        <f>'Building Bill of Materials_SLIM'!V251</f>
        <v/>
      </c>
      <c r="K251" s="192"/>
      <c r="L251" s="242"/>
      <c r="M251" s="242"/>
      <c r="N251" s="291"/>
      <c r="O251" s="291"/>
      <c r="P251" s="291"/>
      <c r="Q251" s="291"/>
      <c r="R251" s="291"/>
      <c r="S251" s="291"/>
      <c r="T251" s="291"/>
      <c r="U251" s="291"/>
      <c r="V251" s="291"/>
      <c r="W251" s="291"/>
      <c r="X251" s="291"/>
      <c r="Y251" s="291"/>
      <c r="Z251" s="291"/>
      <c r="AA251" s="291"/>
      <c r="AB251" s="291"/>
      <c r="AC251" s="291"/>
      <c r="AD251" s="291"/>
      <c r="AE251" s="291"/>
      <c r="AF251" s="291"/>
      <c r="AG251" s="291"/>
    </row>
    <row r="252" ht="18.75" customHeight="1">
      <c r="A252" s="283"/>
      <c r="B252" s="234" t="str">
        <f>'Building Bill of Materials_SLIM'!P252</f>
        <v/>
      </c>
      <c r="C252" s="234" t="str">
        <f>'Building Bill of Materials_SLIM'!Q252</f>
        <v/>
      </c>
      <c r="D252" s="234" t="str">
        <f>'Building Bill of Materials_SLIM'!R252</f>
        <v/>
      </c>
      <c r="E252" s="234" t="str">
        <f>'Building Bill of Materials_SLIM'!S252</f>
        <v/>
      </c>
      <c r="F252" s="234"/>
      <c r="G252" s="234"/>
      <c r="H252" s="234" t="str">
        <f>'Building Bill of Materials_SLIM'!T252</f>
        <v/>
      </c>
      <c r="I252" s="234" t="str">
        <f>'Building Bill of Materials_SLIM'!U252</f>
        <v/>
      </c>
      <c r="J252" s="234" t="str">
        <f>'Building Bill of Materials_SLIM'!V252</f>
        <v/>
      </c>
      <c r="K252" s="192"/>
      <c r="L252" s="242"/>
      <c r="M252" s="242"/>
      <c r="N252" s="291"/>
      <c r="O252" s="291"/>
      <c r="P252" s="291"/>
      <c r="Q252" s="291"/>
      <c r="R252" s="291"/>
      <c r="S252" s="291"/>
      <c r="T252" s="291"/>
      <c r="U252" s="291"/>
      <c r="V252" s="291"/>
      <c r="W252" s="291"/>
      <c r="X252" s="291"/>
      <c r="Y252" s="291"/>
      <c r="Z252" s="291"/>
      <c r="AA252" s="291"/>
      <c r="AB252" s="291"/>
      <c r="AC252" s="291"/>
      <c r="AD252" s="291"/>
      <c r="AE252" s="291"/>
      <c r="AF252" s="291"/>
      <c r="AG252" s="291"/>
    </row>
    <row r="253" ht="18.75" customHeight="1">
      <c r="A253" s="283"/>
      <c r="B253" s="234" t="str">
        <f>'Building Bill of Materials_SLIM'!P253</f>
        <v/>
      </c>
      <c r="C253" s="234" t="str">
        <f>'Building Bill of Materials_SLIM'!Q253</f>
        <v/>
      </c>
      <c r="D253" s="234" t="str">
        <f>'Building Bill of Materials_SLIM'!R253</f>
        <v/>
      </c>
      <c r="E253" s="234" t="str">
        <f>'Building Bill of Materials_SLIM'!S253</f>
        <v/>
      </c>
      <c r="F253" s="234"/>
      <c r="G253" s="234"/>
      <c r="H253" s="234" t="str">
        <f>'Building Bill of Materials_SLIM'!T253</f>
        <v/>
      </c>
      <c r="I253" s="234" t="str">
        <f>'Building Bill of Materials_SLIM'!U253</f>
        <v/>
      </c>
      <c r="J253" s="234" t="str">
        <f>'Building Bill of Materials_SLIM'!V253</f>
        <v/>
      </c>
      <c r="K253" s="192"/>
      <c r="L253" s="242"/>
      <c r="M253" s="242"/>
      <c r="N253" s="291"/>
      <c r="O253" s="291"/>
      <c r="P253" s="291"/>
      <c r="Q253" s="291"/>
      <c r="R253" s="291"/>
      <c r="S253" s="291"/>
      <c r="T253" s="291"/>
      <c r="U253" s="291"/>
      <c r="V253" s="291"/>
      <c r="W253" s="291"/>
      <c r="X253" s="291"/>
      <c r="Y253" s="291"/>
      <c r="Z253" s="291"/>
      <c r="AA253" s="291"/>
      <c r="AB253" s="291"/>
      <c r="AC253" s="291"/>
      <c r="AD253" s="291"/>
      <c r="AE253" s="291"/>
      <c r="AF253" s="291"/>
      <c r="AG253" s="291"/>
    </row>
    <row r="254" ht="18.75" customHeight="1">
      <c r="A254" s="283"/>
      <c r="B254" s="234" t="str">
        <f>'Building Bill of Materials_SLIM'!P254</f>
        <v/>
      </c>
      <c r="C254" s="234" t="str">
        <f>'Building Bill of Materials_SLIM'!Q254</f>
        <v/>
      </c>
      <c r="D254" s="234" t="str">
        <f>'Building Bill of Materials_SLIM'!R254</f>
        <v/>
      </c>
      <c r="E254" s="234" t="str">
        <f>'Building Bill of Materials_SLIM'!S254</f>
        <v/>
      </c>
      <c r="F254" s="234"/>
      <c r="G254" s="234"/>
      <c r="H254" s="234" t="str">
        <f>'Building Bill of Materials_SLIM'!T254</f>
        <v/>
      </c>
      <c r="I254" s="234" t="str">
        <f>'Building Bill of Materials_SLIM'!U254</f>
        <v/>
      </c>
      <c r="J254" s="234" t="str">
        <f>'Building Bill of Materials_SLIM'!V254</f>
        <v/>
      </c>
      <c r="K254" s="192"/>
      <c r="L254" s="242"/>
      <c r="M254" s="242"/>
      <c r="N254" s="291"/>
      <c r="O254" s="291"/>
      <c r="P254" s="291"/>
      <c r="Q254" s="291"/>
      <c r="R254" s="291"/>
      <c r="S254" s="291"/>
      <c r="T254" s="291"/>
      <c r="U254" s="291"/>
      <c r="V254" s="291"/>
      <c r="W254" s="291"/>
      <c r="X254" s="291"/>
      <c r="Y254" s="291"/>
      <c r="Z254" s="291"/>
      <c r="AA254" s="291"/>
      <c r="AB254" s="291"/>
      <c r="AC254" s="291"/>
      <c r="AD254" s="291"/>
      <c r="AE254" s="291"/>
      <c r="AF254" s="291"/>
      <c r="AG254" s="291"/>
    </row>
    <row r="255" ht="18.75" customHeight="1">
      <c r="A255" s="283"/>
      <c r="B255" s="234" t="str">
        <f>'Building Bill of Materials_SLIM'!P255</f>
        <v/>
      </c>
      <c r="C255" s="234" t="str">
        <f>'Building Bill of Materials_SLIM'!Q255</f>
        <v/>
      </c>
      <c r="D255" s="234" t="str">
        <f>'Building Bill of Materials_SLIM'!R255</f>
        <v/>
      </c>
      <c r="E255" s="234" t="str">
        <f>'Building Bill of Materials_SLIM'!S255</f>
        <v/>
      </c>
      <c r="F255" s="234"/>
      <c r="G255" s="234"/>
      <c r="H255" s="234" t="str">
        <f>'Building Bill of Materials_SLIM'!T255</f>
        <v/>
      </c>
      <c r="I255" s="234" t="str">
        <f>'Building Bill of Materials_SLIM'!U255</f>
        <v/>
      </c>
      <c r="J255" s="234" t="str">
        <f>'Building Bill of Materials_SLIM'!V255</f>
        <v/>
      </c>
      <c r="K255" s="192"/>
      <c r="L255" s="242"/>
      <c r="M255" s="242"/>
      <c r="N255" s="291"/>
      <c r="O255" s="291"/>
      <c r="P255" s="291"/>
      <c r="Q255" s="291"/>
      <c r="R255" s="291"/>
      <c r="S255" s="291"/>
      <c r="T255" s="291"/>
      <c r="U255" s="291"/>
      <c r="V255" s="291"/>
      <c r="W255" s="291"/>
      <c r="X255" s="291"/>
      <c r="Y255" s="291"/>
      <c r="Z255" s="291"/>
      <c r="AA255" s="291"/>
      <c r="AB255" s="291"/>
      <c r="AC255" s="291"/>
      <c r="AD255" s="291"/>
      <c r="AE255" s="291"/>
      <c r="AF255" s="291"/>
      <c r="AG255" s="291"/>
    </row>
    <row r="256" ht="18.75" customHeight="1">
      <c r="A256" s="283"/>
      <c r="B256" s="234" t="str">
        <f>'Building Bill of Materials_SLIM'!P256</f>
        <v/>
      </c>
      <c r="C256" s="234" t="str">
        <f>'Building Bill of Materials_SLIM'!Q256</f>
        <v/>
      </c>
      <c r="D256" s="234" t="str">
        <f>'Building Bill of Materials_SLIM'!R256</f>
        <v/>
      </c>
      <c r="E256" s="234" t="str">
        <f>'Building Bill of Materials_SLIM'!S256</f>
        <v/>
      </c>
      <c r="F256" s="234"/>
      <c r="G256" s="234"/>
      <c r="H256" s="234" t="str">
        <f>'Building Bill of Materials_SLIM'!T256</f>
        <v/>
      </c>
      <c r="I256" s="234" t="str">
        <f>'Building Bill of Materials_SLIM'!U256</f>
        <v/>
      </c>
      <c r="J256" s="234" t="str">
        <f>'Building Bill of Materials_SLIM'!V256</f>
        <v/>
      </c>
      <c r="K256" s="192"/>
      <c r="L256" s="242"/>
      <c r="M256" s="242"/>
      <c r="N256" s="291"/>
      <c r="O256" s="291"/>
      <c r="P256" s="291"/>
      <c r="Q256" s="291"/>
      <c r="R256" s="291"/>
      <c r="S256" s="291"/>
      <c r="T256" s="291"/>
      <c r="U256" s="291"/>
      <c r="V256" s="291"/>
      <c r="W256" s="291"/>
      <c r="X256" s="291"/>
      <c r="Y256" s="291"/>
      <c r="Z256" s="291"/>
      <c r="AA256" s="291"/>
      <c r="AB256" s="291"/>
      <c r="AC256" s="291"/>
      <c r="AD256" s="291"/>
      <c r="AE256" s="291"/>
      <c r="AF256" s="291"/>
      <c r="AG256" s="291"/>
    </row>
    <row r="257" ht="18.75" customHeight="1">
      <c r="A257" s="283"/>
      <c r="B257" s="234" t="str">
        <f>'Building Bill of Materials_SLIM'!P257</f>
        <v/>
      </c>
      <c r="C257" s="234" t="str">
        <f>'Building Bill of Materials_SLIM'!Q257</f>
        <v/>
      </c>
      <c r="D257" s="234" t="str">
        <f>'Building Bill of Materials_SLIM'!R257</f>
        <v/>
      </c>
      <c r="E257" s="234" t="str">
        <f>'Building Bill of Materials_SLIM'!S257</f>
        <v/>
      </c>
      <c r="F257" s="234"/>
      <c r="G257" s="234"/>
      <c r="H257" s="234" t="str">
        <f>'Building Bill of Materials_SLIM'!T257</f>
        <v/>
      </c>
      <c r="I257" s="234" t="str">
        <f>'Building Bill of Materials_SLIM'!U257</f>
        <v/>
      </c>
      <c r="J257" s="234" t="str">
        <f>'Building Bill of Materials_SLIM'!V257</f>
        <v/>
      </c>
      <c r="K257" s="192"/>
      <c r="L257" s="242"/>
      <c r="M257" s="242"/>
      <c r="N257" s="291"/>
      <c r="O257" s="291"/>
      <c r="P257" s="291"/>
      <c r="Q257" s="291"/>
      <c r="R257" s="291"/>
      <c r="S257" s="291"/>
      <c r="T257" s="291"/>
      <c r="U257" s="291"/>
      <c r="V257" s="291"/>
      <c r="W257" s="291"/>
      <c r="X257" s="291"/>
      <c r="Y257" s="291"/>
      <c r="Z257" s="291"/>
      <c r="AA257" s="291"/>
      <c r="AB257" s="291"/>
      <c r="AC257" s="291"/>
      <c r="AD257" s="291"/>
      <c r="AE257" s="291"/>
      <c r="AF257" s="291"/>
      <c r="AG257" s="291"/>
    </row>
    <row r="258" ht="18.75" customHeight="1">
      <c r="A258" s="283"/>
      <c r="B258" s="234" t="str">
        <f>'Building Bill of Materials_SLIM'!P258</f>
        <v/>
      </c>
      <c r="C258" s="234" t="str">
        <f>'Building Bill of Materials_SLIM'!Q258</f>
        <v/>
      </c>
      <c r="D258" s="234" t="str">
        <f>'Building Bill of Materials_SLIM'!R258</f>
        <v/>
      </c>
      <c r="E258" s="234" t="str">
        <f>'Building Bill of Materials_SLIM'!S258</f>
        <v/>
      </c>
      <c r="F258" s="234"/>
      <c r="G258" s="234"/>
      <c r="H258" s="234" t="str">
        <f>'Building Bill of Materials_SLIM'!T258</f>
        <v/>
      </c>
      <c r="I258" s="234" t="str">
        <f>'Building Bill of Materials_SLIM'!U258</f>
        <v/>
      </c>
      <c r="J258" s="234" t="str">
        <f>'Building Bill of Materials_SLIM'!V258</f>
        <v/>
      </c>
      <c r="K258" s="192"/>
      <c r="L258" s="242"/>
      <c r="M258" s="242"/>
      <c r="N258" s="291"/>
      <c r="O258" s="291"/>
      <c r="P258" s="291"/>
      <c r="Q258" s="291"/>
      <c r="R258" s="291"/>
      <c r="S258" s="291"/>
      <c r="T258" s="291"/>
      <c r="U258" s="291"/>
      <c r="V258" s="291"/>
      <c r="W258" s="291"/>
      <c r="X258" s="291"/>
      <c r="Y258" s="291"/>
      <c r="Z258" s="291"/>
      <c r="AA258" s="291"/>
      <c r="AB258" s="291"/>
      <c r="AC258" s="291"/>
      <c r="AD258" s="291"/>
      <c r="AE258" s="291"/>
      <c r="AF258" s="291"/>
      <c r="AG258" s="291"/>
    </row>
    <row r="259" ht="18.75" customHeight="1">
      <c r="A259" s="283"/>
      <c r="B259" s="234" t="str">
        <f>'Building Bill of Materials_SLIM'!P259</f>
        <v/>
      </c>
      <c r="C259" s="234" t="str">
        <f>'Building Bill of Materials_SLIM'!Q259</f>
        <v/>
      </c>
      <c r="D259" s="234" t="str">
        <f>'Building Bill of Materials_SLIM'!R259</f>
        <v/>
      </c>
      <c r="E259" s="234" t="str">
        <f>'Building Bill of Materials_SLIM'!S259</f>
        <v/>
      </c>
      <c r="F259" s="234"/>
      <c r="G259" s="234"/>
      <c r="H259" s="234" t="str">
        <f>'Building Bill of Materials_SLIM'!T259</f>
        <v/>
      </c>
      <c r="I259" s="234" t="str">
        <f>'Building Bill of Materials_SLIM'!U259</f>
        <v/>
      </c>
      <c r="J259" s="234" t="str">
        <f>'Building Bill of Materials_SLIM'!V259</f>
        <v/>
      </c>
      <c r="K259" s="192"/>
      <c r="L259" s="242"/>
      <c r="M259" s="242"/>
      <c r="N259" s="291"/>
      <c r="O259" s="291"/>
      <c r="P259" s="291"/>
      <c r="Q259" s="291"/>
      <c r="R259" s="291"/>
      <c r="S259" s="291"/>
      <c r="T259" s="291"/>
      <c r="U259" s="291"/>
      <c r="V259" s="291"/>
      <c r="W259" s="291"/>
      <c r="X259" s="291"/>
      <c r="Y259" s="291"/>
      <c r="Z259" s="291"/>
      <c r="AA259" s="291"/>
      <c r="AB259" s="291"/>
      <c r="AC259" s="291"/>
      <c r="AD259" s="291"/>
      <c r="AE259" s="291"/>
      <c r="AF259" s="291"/>
      <c r="AG259" s="291"/>
    </row>
    <row r="260" ht="18.75" customHeight="1">
      <c r="A260" s="283"/>
      <c r="B260" s="234" t="str">
        <f>'Building Bill of Materials_SLIM'!P260</f>
        <v/>
      </c>
      <c r="C260" s="234" t="str">
        <f>'Building Bill of Materials_SLIM'!Q260</f>
        <v/>
      </c>
      <c r="D260" s="234" t="str">
        <f>'Building Bill of Materials_SLIM'!R260</f>
        <v/>
      </c>
      <c r="E260" s="234" t="str">
        <f>'Building Bill of Materials_SLIM'!S260</f>
        <v/>
      </c>
      <c r="F260" s="234"/>
      <c r="G260" s="234"/>
      <c r="H260" s="234" t="str">
        <f>'Building Bill of Materials_SLIM'!T260</f>
        <v/>
      </c>
      <c r="I260" s="234" t="str">
        <f>'Building Bill of Materials_SLIM'!U260</f>
        <v/>
      </c>
      <c r="J260" s="234" t="str">
        <f>'Building Bill of Materials_SLIM'!V260</f>
        <v/>
      </c>
      <c r="K260" s="192"/>
      <c r="L260" s="242"/>
      <c r="M260" s="242"/>
      <c r="N260" s="291"/>
      <c r="O260" s="291"/>
      <c r="P260" s="291"/>
      <c r="Q260" s="291"/>
      <c r="R260" s="291"/>
      <c r="S260" s="291"/>
      <c r="T260" s="291"/>
      <c r="U260" s="291"/>
      <c r="V260" s="291"/>
      <c r="W260" s="291"/>
      <c r="X260" s="291"/>
      <c r="Y260" s="291"/>
      <c r="Z260" s="291"/>
      <c r="AA260" s="291"/>
      <c r="AB260" s="291"/>
      <c r="AC260" s="291"/>
      <c r="AD260" s="291"/>
      <c r="AE260" s="291"/>
      <c r="AF260" s="291"/>
      <c r="AG260" s="291"/>
    </row>
    <row r="261" ht="18.75" customHeight="1">
      <c r="A261" s="283"/>
      <c r="B261" s="234" t="str">
        <f>'Building Bill of Materials_SLIM'!P261</f>
        <v/>
      </c>
      <c r="C261" s="234" t="str">
        <f>'Building Bill of Materials_SLIM'!Q261</f>
        <v/>
      </c>
      <c r="D261" s="234" t="str">
        <f>'Building Bill of Materials_SLIM'!R261</f>
        <v/>
      </c>
      <c r="E261" s="234" t="str">
        <f>'Building Bill of Materials_SLIM'!S261</f>
        <v/>
      </c>
      <c r="F261" s="234"/>
      <c r="G261" s="234"/>
      <c r="H261" s="234" t="str">
        <f>'Building Bill of Materials_SLIM'!T261</f>
        <v/>
      </c>
      <c r="I261" s="234" t="str">
        <f>'Building Bill of Materials_SLIM'!U261</f>
        <v/>
      </c>
      <c r="J261" s="234" t="str">
        <f>'Building Bill of Materials_SLIM'!V261</f>
        <v/>
      </c>
      <c r="K261" s="192"/>
      <c r="L261" s="242"/>
      <c r="M261" s="242"/>
      <c r="N261" s="291"/>
      <c r="O261" s="291"/>
      <c r="P261" s="291"/>
      <c r="Q261" s="291"/>
      <c r="R261" s="291"/>
      <c r="S261" s="291"/>
      <c r="T261" s="291"/>
      <c r="U261" s="291"/>
      <c r="V261" s="291"/>
      <c r="W261" s="291"/>
      <c r="X261" s="291"/>
      <c r="Y261" s="291"/>
      <c r="Z261" s="291"/>
      <c r="AA261" s="291"/>
      <c r="AB261" s="291"/>
      <c r="AC261" s="291"/>
      <c r="AD261" s="291"/>
      <c r="AE261" s="291"/>
      <c r="AF261" s="291"/>
      <c r="AG261" s="291"/>
    </row>
    <row r="262" ht="18.75" customHeight="1">
      <c r="A262" s="283"/>
      <c r="B262" s="234" t="str">
        <f>'Building Bill of Materials_SLIM'!P262</f>
        <v/>
      </c>
      <c r="C262" s="234" t="str">
        <f>'Building Bill of Materials_SLIM'!Q262</f>
        <v/>
      </c>
      <c r="D262" s="234" t="str">
        <f>'Building Bill of Materials_SLIM'!R262</f>
        <v/>
      </c>
      <c r="E262" s="234" t="str">
        <f>'Building Bill of Materials_SLIM'!S262</f>
        <v/>
      </c>
      <c r="F262" s="234"/>
      <c r="G262" s="234"/>
      <c r="H262" s="234" t="str">
        <f>'Building Bill of Materials_SLIM'!T262</f>
        <v/>
      </c>
      <c r="I262" s="234" t="str">
        <f>'Building Bill of Materials_SLIM'!U262</f>
        <v/>
      </c>
      <c r="J262" s="234" t="str">
        <f>'Building Bill of Materials_SLIM'!V262</f>
        <v/>
      </c>
      <c r="K262" s="192"/>
      <c r="L262" s="242"/>
      <c r="M262" s="242"/>
      <c r="N262" s="291"/>
      <c r="O262" s="291"/>
      <c r="P262" s="291"/>
      <c r="Q262" s="291"/>
      <c r="R262" s="291"/>
      <c r="S262" s="291"/>
      <c r="T262" s="291"/>
      <c r="U262" s="291"/>
      <c r="V262" s="291"/>
      <c r="W262" s="291"/>
      <c r="X262" s="291"/>
      <c r="Y262" s="291"/>
      <c r="Z262" s="291"/>
      <c r="AA262" s="291"/>
      <c r="AB262" s="291"/>
      <c r="AC262" s="291"/>
      <c r="AD262" s="291"/>
      <c r="AE262" s="291"/>
      <c r="AF262" s="291"/>
      <c r="AG262" s="291"/>
    </row>
    <row r="263" ht="18.75" customHeight="1">
      <c r="A263" s="283"/>
      <c r="B263" s="234" t="str">
        <f>'Building Bill of Materials_SLIM'!P263</f>
        <v/>
      </c>
      <c r="C263" s="234" t="str">
        <f>'Building Bill of Materials_SLIM'!Q263</f>
        <v/>
      </c>
      <c r="D263" s="234" t="str">
        <f>'Building Bill of Materials_SLIM'!R263</f>
        <v/>
      </c>
      <c r="E263" s="234" t="str">
        <f>'Building Bill of Materials_SLIM'!S263</f>
        <v/>
      </c>
      <c r="F263" s="234"/>
      <c r="G263" s="234"/>
      <c r="H263" s="234" t="str">
        <f>'Building Bill of Materials_SLIM'!T263</f>
        <v/>
      </c>
      <c r="I263" s="234" t="str">
        <f>'Building Bill of Materials_SLIM'!U263</f>
        <v/>
      </c>
      <c r="J263" s="234" t="str">
        <f>'Building Bill of Materials_SLIM'!V263</f>
        <v/>
      </c>
      <c r="K263" s="192"/>
      <c r="L263" s="242"/>
      <c r="M263" s="242"/>
      <c r="N263" s="291"/>
      <c r="O263" s="291"/>
      <c r="P263" s="291"/>
      <c r="Q263" s="291"/>
      <c r="R263" s="291"/>
      <c r="S263" s="291"/>
      <c r="T263" s="291"/>
      <c r="U263" s="291"/>
      <c r="V263" s="291"/>
      <c r="W263" s="291"/>
      <c r="X263" s="291"/>
      <c r="Y263" s="291"/>
      <c r="Z263" s="291"/>
      <c r="AA263" s="291"/>
      <c r="AB263" s="291"/>
      <c r="AC263" s="291"/>
      <c r="AD263" s="291"/>
      <c r="AE263" s="291"/>
      <c r="AF263" s="291"/>
      <c r="AG263" s="291"/>
    </row>
    <row r="264" ht="18.75" customHeight="1">
      <c r="A264" s="283"/>
      <c r="B264" s="234" t="str">
        <f>'Building Bill of Materials_SLIM'!P264</f>
        <v/>
      </c>
      <c r="C264" s="234" t="str">
        <f>'Building Bill of Materials_SLIM'!Q264</f>
        <v/>
      </c>
      <c r="D264" s="234" t="str">
        <f>'Building Bill of Materials_SLIM'!R264</f>
        <v/>
      </c>
      <c r="E264" s="234" t="str">
        <f>'Building Bill of Materials_SLIM'!S264</f>
        <v/>
      </c>
      <c r="F264" s="234"/>
      <c r="G264" s="234"/>
      <c r="H264" s="234" t="str">
        <f>'Building Bill of Materials_SLIM'!T264</f>
        <v/>
      </c>
      <c r="I264" s="234" t="str">
        <f>'Building Bill of Materials_SLIM'!U264</f>
        <v/>
      </c>
      <c r="J264" s="234" t="str">
        <f>'Building Bill of Materials_SLIM'!V264</f>
        <v/>
      </c>
      <c r="K264" s="192"/>
      <c r="L264" s="242"/>
      <c r="M264" s="242"/>
      <c r="N264" s="291"/>
      <c r="O264" s="291"/>
      <c r="P264" s="291"/>
      <c r="Q264" s="291"/>
      <c r="R264" s="291"/>
      <c r="S264" s="291"/>
      <c r="T264" s="291"/>
      <c r="U264" s="291"/>
      <c r="V264" s="291"/>
      <c r="W264" s="291"/>
      <c r="X264" s="291"/>
      <c r="Y264" s="291"/>
      <c r="Z264" s="291"/>
      <c r="AA264" s="291"/>
      <c r="AB264" s="291"/>
      <c r="AC264" s="291"/>
      <c r="AD264" s="291"/>
      <c r="AE264" s="291"/>
      <c r="AF264" s="291"/>
      <c r="AG264" s="291"/>
    </row>
    <row r="265" ht="18.75" customHeight="1">
      <c r="A265" s="283"/>
      <c r="B265" s="234" t="str">
        <f>'Building Bill of Materials_SLIM'!P265</f>
        <v/>
      </c>
      <c r="C265" s="234" t="str">
        <f>'Building Bill of Materials_SLIM'!Q265</f>
        <v/>
      </c>
      <c r="D265" s="234" t="str">
        <f>'Building Bill of Materials_SLIM'!R265</f>
        <v/>
      </c>
      <c r="E265" s="234" t="str">
        <f>'Building Bill of Materials_SLIM'!S265</f>
        <v/>
      </c>
      <c r="F265" s="234"/>
      <c r="G265" s="234"/>
      <c r="H265" s="234" t="str">
        <f>'Building Bill of Materials_SLIM'!T265</f>
        <v/>
      </c>
      <c r="I265" s="234" t="str">
        <f>'Building Bill of Materials_SLIM'!U265</f>
        <v/>
      </c>
      <c r="J265" s="234" t="str">
        <f>'Building Bill of Materials_SLIM'!V265</f>
        <v/>
      </c>
      <c r="K265" s="192"/>
      <c r="L265" s="242"/>
      <c r="M265" s="242"/>
      <c r="N265" s="291"/>
      <c r="O265" s="291"/>
      <c r="P265" s="291"/>
      <c r="Q265" s="291"/>
      <c r="R265" s="291"/>
      <c r="S265" s="291"/>
      <c r="T265" s="291"/>
      <c r="U265" s="291"/>
      <c r="V265" s="291"/>
      <c r="W265" s="291"/>
      <c r="X265" s="291"/>
      <c r="Y265" s="291"/>
      <c r="Z265" s="291"/>
      <c r="AA265" s="291"/>
      <c r="AB265" s="291"/>
      <c r="AC265" s="291"/>
      <c r="AD265" s="291"/>
      <c r="AE265" s="291"/>
      <c r="AF265" s="291"/>
      <c r="AG265" s="291"/>
    </row>
    <row r="266" ht="18.75" customHeight="1">
      <c r="A266" s="283"/>
      <c r="B266" s="234" t="str">
        <f>'Building Bill of Materials_SLIM'!P266</f>
        <v/>
      </c>
      <c r="C266" s="234" t="str">
        <f>'Building Bill of Materials_SLIM'!Q266</f>
        <v/>
      </c>
      <c r="D266" s="234" t="str">
        <f>'Building Bill of Materials_SLIM'!R266</f>
        <v/>
      </c>
      <c r="E266" s="234" t="str">
        <f>'Building Bill of Materials_SLIM'!S266</f>
        <v/>
      </c>
      <c r="F266" s="234"/>
      <c r="G266" s="234"/>
      <c r="H266" s="234" t="str">
        <f>'Building Bill of Materials_SLIM'!T266</f>
        <v/>
      </c>
      <c r="I266" s="234" t="str">
        <f>'Building Bill of Materials_SLIM'!U266</f>
        <v/>
      </c>
      <c r="J266" s="234" t="str">
        <f>'Building Bill of Materials_SLIM'!V266</f>
        <v/>
      </c>
      <c r="K266" s="192"/>
      <c r="L266" s="242"/>
      <c r="M266" s="242"/>
      <c r="N266" s="291"/>
      <c r="O266" s="291"/>
      <c r="P266" s="291"/>
      <c r="Q266" s="291"/>
      <c r="R266" s="291"/>
      <c r="S266" s="291"/>
      <c r="T266" s="291"/>
      <c r="U266" s="291"/>
      <c r="V266" s="291"/>
      <c r="W266" s="291"/>
      <c r="X266" s="291"/>
      <c r="Y266" s="291"/>
      <c r="Z266" s="291"/>
      <c r="AA266" s="291"/>
      <c r="AB266" s="291"/>
      <c r="AC266" s="291"/>
      <c r="AD266" s="291"/>
      <c r="AE266" s="291"/>
      <c r="AF266" s="291"/>
      <c r="AG266" s="291"/>
    </row>
    <row r="267" ht="18.75" customHeight="1">
      <c r="A267" s="283"/>
      <c r="B267" s="234" t="str">
        <f>'Building Bill of Materials_SLIM'!P267</f>
        <v/>
      </c>
      <c r="C267" s="234" t="str">
        <f>'Building Bill of Materials_SLIM'!Q267</f>
        <v/>
      </c>
      <c r="D267" s="234" t="str">
        <f>'Building Bill of Materials_SLIM'!R267</f>
        <v/>
      </c>
      <c r="E267" s="234" t="str">
        <f>'Building Bill of Materials_SLIM'!S267</f>
        <v/>
      </c>
      <c r="F267" s="234"/>
      <c r="G267" s="234"/>
      <c r="H267" s="234" t="str">
        <f>'Building Bill of Materials_SLIM'!T267</f>
        <v/>
      </c>
      <c r="I267" s="234" t="str">
        <f>'Building Bill of Materials_SLIM'!U267</f>
        <v/>
      </c>
      <c r="J267" s="234" t="str">
        <f>'Building Bill of Materials_SLIM'!V267</f>
        <v/>
      </c>
      <c r="K267" s="192"/>
      <c r="L267" s="242"/>
      <c r="M267" s="242"/>
      <c r="N267" s="291"/>
      <c r="O267" s="291"/>
      <c r="P267" s="291"/>
      <c r="Q267" s="291"/>
      <c r="R267" s="291"/>
      <c r="S267" s="291"/>
      <c r="T267" s="291"/>
      <c r="U267" s="291"/>
      <c r="V267" s="291"/>
      <c r="W267" s="291"/>
      <c r="X267" s="291"/>
      <c r="Y267" s="291"/>
      <c r="Z267" s="291"/>
      <c r="AA267" s="291"/>
      <c r="AB267" s="291"/>
      <c r="AC267" s="291"/>
      <c r="AD267" s="291"/>
      <c r="AE267" s="291"/>
      <c r="AF267" s="291"/>
      <c r="AG267" s="291"/>
    </row>
    <row r="268" ht="18.75" customHeight="1">
      <c r="A268" s="283"/>
      <c r="B268" s="234" t="str">
        <f>'Building Bill of Materials_SLIM'!P268</f>
        <v/>
      </c>
      <c r="C268" s="234" t="str">
        <f>'Building Bill of Materials_SLIM'!Q268</f>
        <v/>
      </c>
      <c r="D268" s="234" t="str">
        <f>'Building Bill of Materials_SLIM'!R268</f>
        <v/>
      </c>
      <c r="E268" s="234" t="str">
        <f>'Building Bill of Materials_SLIM'!S268</f>
        <v/>
      </c>
      <c r="F268" s="234"/>
      <c r="G268" s="234"/>
      <c r="H268" s="234" t="str">
        <f>'Building Bill of Materials_SLIM'!T268</f>
        <v/>
      </c>
      <c r="I268" s="234" t="str">
        <f>'Building Bill of Materials_SLIM'!U268</f>
        <v/>
      </c>
      <c r="J268" s="234" t="str">
        <f>'Building Bill of Materials_SLIM'!V268</f>
        <v/>
      </c>
      <c r="K268" s="192"/>
      <c r="L268" s="242"/>
      <c r="M268" s="242"/>
      <c r="N268" s="291"/>
      <c r="O268" s="291"/>
      <c r="P268" s="291"/>
      <c r="Q268" s="291"/>
      <c r="R268" s="291"/>
      <c r="S268" s="291"/>
      <c r="T268" s="291"/>
      <c r="U268" s="291"/>
      <c r="V268" s="291"/>
      <c r="W268" s="291"/>
      <c r="X268" s="291"/>
      <c r="Y268" s="291"/>
      <c r="Z268" s="291"/>
      <c r="AA268" s="291"/>
      <c r="AB268" s="291"/>
      <c r="AC268" s="291"/>
      <c r="AD268" s="291"/>
      <c r="AE268" s="291"/>
      <c r="AF268" s="291"/>
      <c r="AG268" s="291"/>
    </row>
    <row r="269" ht="18.75" customHeight="1">
      <c r="A269" s="283"/>
      <c r="B269" s="234" t="str">
        <f>'Building Bill of Materials_SLIM'!P269</f>
        <v/>
      </c>
      <c r="C269" s="234" t="str">
        <f>'Building Bill of Materials_SLIM'!Q269</f>
        <v/>
      </c>
      <c r="D269" s="234" t="str">
        <f>'Building Bill of Materials_SLIM'!R269</f>
        <v/>
      </c>
      <c r="E269" s="234" t="str">
        <f>'Building Bill of Materials_SLIM'!S269</f>
        <v/>
      </c>
      <c r="F269" s="234"/>
      <c r="G269" s="234"/>
      <c r="H269" s="234" t="str">
        <f>'Building Bill of Materials_SLIM'!T269</f>
        <v/>
      </c>
      <c r="I269" s="234" t="str">
        <f>'Building Bill of Materials_SLIM'!U269</f>
        <v/>
      </c>
      <c r="J269" s="234" t="str">
        <f>'Building Bill of Materials_SLIM'!V269</f>
        <v/>
      </c>
      <c r="K269" s="192"/>
      <c r="L269" s="242"/>
      <c r="M269" s="242"/>
      <c r="N269" s="291"/>
      <c r="O269" s="291"/>
      <c r="P269" s="291"/>
      <c r="Q269" s="291"/>
      <c r="R269" s="291"/>
      <c r="S269" s="291"/>
      <c r="T269" s="291"/>
      <c r="U269" s="291"/>
      <c r="V269" s="291"/>
      <c r="W269" s="291"/>
      <c r="X269" s="291"/>
      <c r="Y269" s="291"/>
      <c r="Z269" s="291"/>
      <c r="AA269" s="291"/>
      <c r="AB269" s="291"/>
      <c r="AC269" s="291"/>
      <c r="AD269" s="291"/>
      <c r="AE269" s="291"/>
      <c r="AF269" s="291"/>
      <c r="AG269" s="291"/>
    </row>
    <row r="270" ht="18.75" customHeight="1">
      <c r="A270" s="283"/>
      <c r="B270" s="234" t="str">
        <f>'Building Bill of Materials_SLIM'!P270</f>
        <v/>
      </c>
      <c r="C270" s="234" t="str">
        <f>'Building Bill of Materials_SLIM'!Q270</f>
        <v/>
      </c>
      <c r="D270" s="234" t="str">
        <f>'Building Bill of Materials_SLIM'!R270</f>
        <v/>
      </c>
      <c r="E270" s="234" t="str">
        <f>'Building Bill of Materials_SLIM'!S270</f>
        <v/>
      </c>
      <c r="F270" s="234"/>
      <c r="G270" s="234"/>
      <c r="H270" s="234" t="str">
        <f>'Building Bill of Materials_SLIM'!T270</f>
        <v/>
      </c>
      <c r="I270" s="234" t="str">
        <f>'Building Bill of Materials_SLIM'!U270</f>
        <v/>
      </c>
      <c r="J270" s="234" t="str">
        <f>'Building Bill of Materials_SLIM'!V270</f>
        <v/>
      </c>
      <c r="K270" s="192"/>
      <c r="L270" s="242"/>
      <c r="M270" s="242"/>
      <c r="N270" s="291"/>
      <c r="O270" s="291"/>
      <c r="P270" s="291"/>
      <c r="Q270" s="291"/>
      <c r="R270" s="291"/>
      <c r="S270" s="291"/>
      <c r="T270" s="291"/>
      <c r="U270" s="291"/>
      <c r="V270" s="291"/>
      <c r="W270" s="291"/>
      <c r="X270" s="291"/>
      <c r="Y270" s="291"/>
      <c r="Z270" s="291"/>
      <c r="AA270" s="291"/>
      <c r="AB270" s="291"/>
      <c r="AC270" s="291"/>
      <c r="AD270" s="291"/>
      <c r="AE270" s="291"/>
      <c r="AF270" s="291"/>
      <c r="AG270" s="291"/>
    </row>
    <row r="271" ht="18.75" customHeight="1">
      <c r="A271" s="283"/>
      <c r="B271" s="234" t="str">
        <f>'Building Bill of Materials_SLIM'!P271</f>
        <v/>
      </c>
      <c r="C271" s="234" t="str">
        <f>'Building Bill of Materials_SLIM'!Q271</f>
        <v/>
      </c>
      <c r="D271" s="234" t="str">
        <f>'Building Bill of Materials_SLIM'!R271</f>
        <v/>
      </c>
      <c r="E271" s="234" t="str">
        <f>'Building Bill of Materials_SLIM'!S271</f>
        <v/>
      </c>
      <c r="F271" s="234"/>
      <c r="G271" s="234"/>
      <c r="H271" s="234" t="str">
        <f>'Building Bill of Materials_SLIM'!T271</f>
        <v/>
      </c>
      <c r="I271" s="234" t="str">
        <f>'Building Bill of Materials_SLIM'!U271</f>
        <v/>
      </c>
      <c r="J271" s="234" t="str">
        <f>'Building Bill of Materials_SLIM'!V271</f>
        <v/>
      </c>
      <c r="K271" s="192"/>
      <c r="L271" s="242"/>
      <c r="M271" s="242"/>
      <c r="N271" s="291"/>
      <c r="O271" s="291"/>
      <c r="P271" s="291"/>
      <c r="Q271" s="291"/>
      <c r="R271" s="291"/>
      <c r="S271" s="291"/>
      <c r="T271" s="291"/>
      <c r="U271" s="291"/>
      <c r="V271" s="291"/>
      <c r="W271" s="291"/>
      <c r="X271" s="291"/>
      <c r="Y271" s="291"/>
      <c r="Z271" s="291"/>
      <c r="AA271" s="291"/>
      <c r="AB271" s="291"/>
      <c r="AC271" s="291"/>
      <c r="AD271" s="291"/>
      <c r="AE271" s="291"/>
      <c r="AF271" s="291"/>
      <c r="AG271" s="291"/>
    </row>
    <row r="272" ht="18.75" customHeight="1">
      <c r="A272" s="283"/>
      <c r="B272" s="234" t="str">
        <f>'Building Bill of Materials_SLIM'!P272</f>
        <v/>
      </c>
      <c r="C272" s="234" t="str">
        <f>'Building Bill of Materials_SLIM'!Q272</f>
        <v/>
      </c>
      <c r="D272" s="234" t="str">
        <f>'Building Bill of Materials_SLIM'!R272</f>
        <v/>
      </c>
      <c r="E272" s="234" t="str">
        <f>'Building Bill of Materials_SLIM'!S272</f>
        <v/>
      </c>
      <c r="F272" s="234"/>
      <c r="G272" s="234"/>
      <c r="H272" s="234" t="str">
        <f>'Building Bill of Materials_SLIM'!T272</f>
        <v/>
      </c>
      <c r="I272" s="234" t="str">
        <f>'Building Bill of Materials_SLIM'!U272</f>
        <v/>
      </c>
      <c r="J272" s="234" t="str">
        <f>'Building Bill of Materials_SLIM'!V272</f>
        <v/>
      </c>
      <c r="K272" s="192"/>
      <c r="L272" s="242"/>
      <c r="M272" s="242"/>
      <c r="N272" s="291"/>
      <c r="O272" s="291"/>
      <c r="P272" s="291"/>
      <c r="Q272" s="291"/>
      <c r="R272" s="291"/>
      <c r="S272" s="291"/>
      <c r="T272" s="291"/>
      <c r="U272" s="291"/>
      <c r="V272" s="291"/>
      <c r="W272" s="291"/>
      <c r="X272" s="291"/>
      <c r="Y272" s="291"/>
      <c r="Z272" s="291"/>
      <c r="AA272" s="291"/>
      <c r="AB272" s="291"/>
      <c r="AC272" s="291"/>
      <c r="AD272" s="291"/>
      <c r="AE272" s="291"/>
      <c r="AF272" s="291"/>
      <c r="AG272" s="291"/>
    </row>
    <row r="273" ht="18.75" customHeight="1">
      <c r="A273" s="283"/>
      <c r="B273" s="234" t="str">
        <f>'Building Bill of Materials_SLIM'!P273</f>
        <v/>
      </c>
      <c r="C273" s="234" t="str">
        <f>'Building Bill of Materials_SLIM'!Q273</f>
        <v/>
      </c>
      <c r="D273" s="234" t="str">
        <f>'Building Bill of Materials_SLIM'!R273</f>
        <v/>
      </c>
      <c r="E273" s="234" t="str">
        <f>'Building Bill of Materials_SLIM'!S273</f>
        <v/>
      </c>
      <c r="F273" s="234"/>
      <c r="G273" s="234"/>
      <c r="H273" s="234" t="str">
        <f>'Building Bill of Materials_SLIM'!T273</f>
        <v/>
      </c>
      <c r="I273" s="234" t="str">
        <f>'Building Bill of Materials_SLIM'!U273</f>
        <v/>
      </c>
      <c r="J273" s="234" t="str">
        <f>'Building Bill of Materials_SLIM'!V273</f>
        <v/>
      </c>
      <c r="K273" s="192"/>
      <c r="L273" s="242"/>
      <c r="M273" s="242"/>
      <c r="N273" s="291"/>
      <c r="O273" s="291"/>
      <c r="P273" s="291"/>
      <c r="Q273" s="291"/>
      <c r="R273" s="291"/>
      <c r="S273" s="291"/>
      <c r="T273" s="291"/>
      <c r="U273" s="291"/>
      <c r="V273" s="291"/>
      <c r="W273" s="291"/>
      <c r="X273" s="291"/>
      <c r="Y273" s="291"/>
      <c r="Z273" s="291"/>
      <c r="AA273" s="291"/>
      <c r="AB273" s="291"/>
      <c r="AC273" s="291"/>
      <c r="AD273" s="291"/>
      <c r="AE273" s="291"/>
      <c r="AF273" s="291"/>
      <c r="AG273" s="291"/>
    </row>
    <row r="274" ht="18.75" customHeight="1">
      <c r="A274" s="283"/>
      <c r="B274" s="234" t="str">
        <f>'Building Bill of Materials_SLIM'!P274</f>
        <v/>
      </c>
      <c r="C274" s="234" t="str">
        <f>'Building Bill of Materials_SLIM'!Q274</f>
        <v/>
      </c>
      <c r="D274" s="234" t="str">
        <f>'Building Bill of Materials_SLIM'!R274</f>
        <v/>
      </c>
      <c r="E274" s="234" t="str">
        <f>'Building Bill of Materials_SLIM'!S274</f>
        <v/>
      </c>
      <c r="F274" s="234"/>
      <c r="G274" s="234"/>
      <c r="H274" s="234" t="str">
        <f>'Building Bill of Materials_SLIM'!T274</f>
        <v/>
      </c>
      <c r="I274" s="234" t="str">
        <f>'Building Bill of Materials_SLIM'!U274</f>
        <v/>
      </c>
      <c r="J274" s="234" t="str">
        <f>'Building Bill of Materials_SLIM'!V274</f>
        <v/>
      </c>
      <c r="K274" s="192"/>
      <c r="L274" s="242"/>
      <c r="M274" s="242"/>
      <c r="N274" s="291"/>
      <c r="O274" s="291"/>
      <c r="P274" s="291"/>
      <c r="Q274" s="291"/>
      <c r="R274" s="291"/>
      <c r="S274" s="291"/>
      <c r="T274" s="291"/>
      <c r="U274" s="291"/>
      <c r="V274" s="291"/>
      <c r="W274" s="291"/>
      <c r="X274" s="291"/>
      <c r="Y274" s="291"/>
      <c r="Z274" s="291"/>
      <c r="AA274" s="291"/>
      <c r="AB274" s="291"/>
      <c r="AC274" s="291"/>
      <c r="AD274" s="291"/>
      <c r="AE274" s="291"/>
      <c r="AF274" s="291"/>
      <c r="AG274" s="291"/>
    </row>
    <row r="275" ht="18.75" customHeight="1">
      <c r="A275" s="283"/>
      <c r="B275" s="234" t="str">
        <f>'Building Bill of Materials_SLIM'!P275</f>
        <v/>
      </c>
      <c r="C275" s="234" t="str">
        <f>'Building Bill of Materials_SLIM'!Q275</f>
        <v/>
      </c>
      <c r="D275" s="234" t="str">
        <f>'Building Bill of Materials_SLIM'!R275</f>
        <v/>
      </c>
      <c r="E275" s="234" t="str">
        <f>'Building Bill of Materials_SLIM'!S275</f>
        <v/>
      </c>
      <c r="F275" s="234"/>
      <c r="G275" s="234"/>
      <c r="H275" s="234" t="str">
        <f>'Building Bill of Materials_SLIM'!T275</f>
        <v/>
      </c>
      <c r="I275" s="234" t="str">
        <f>'Building Bill of Materials_SLIM'!U275</f>
        <v/>
      </c>
      <c r="J275" s="234" t="str">
        <f>'Building Bill of Materials_SLIM'!V275</f>
        <v/>
      </c>
      <c r="K275" s="192"/>
      <c r="L275" s="242"/>
      <c r="M275" s="242"/>
      <c r="N275" s="291"/>
      <c r="O275" s="291"/>
      <c r="P275" s="291"/>
      <c r="Q275" s="291"/>
      <c r="R275" s="291"/>
      <c r="S275" s="291"/>
      <c r="T275" s="291"/>
      <c r="U275" s="291"/>
      <c r="V275" s="291"/>
      <c r="W275" s="291"/>
      <c r="X275" s="291"/>
      <c r="Y275" s="291"/>
      <c r="Z275" s="291"/>
      <c r="AA275" s="291"/>
      <c r="AB275" s="291"/>
      <c r="AC275" s="291"/>
      <c r="AD275" s="291"/>
      <c r="AE275" s="291"/>
      <c r="AF275" s="291"/>
      <c r="AG275" s="291"/>
    </row>
    <row r="276" ht="18.75" customHeight="1">
      <c r="A276" s="283"/>
      <c r="B276" s="234" t="str">
        <f>'Building Bill of Materials_SLIM'!P276</f>
        <v/>
      </c>
      <c r="C276" s="234" t="str">
        <f>'Building Bill of Materials_SLIM'!Q276</f>
        <v/>
      </c>
      <c r="D276" s="234" t="str">
        <f>'Building Bill of Materials_SLIM'!R276</f>
        <v/>
      </c>
      <c r="E276" s="234" t="str">
        <f>'Building Bill of Materials_SLIM'!S276</f>
        <v/>
      </c>
      <c r="F276" s="234"/>
      <c r="G276" s="234"/>
      <c r="H276" s="234" t="str">
        <f>'Building Bill of Materials_SLIM'!T276</f>
        <v/>
      </c>
      <c r="I276" s="234" t="str">
        <f>'Building Bill of Materials_SLIM'!U276</f>
        <v/>
      </c>
      <c r="J276" s="234" t="str">
        <f>'Building Bill of Materials_SLIM'!V276</f>
        <v/>
      </c>
      <c r="K276" s="192"/>
      <c r="L276" s="242"/>
      <c r="M276" s="242"/>
      <c r="N276" s="291"/>
      <c r="O276" s="291"/>
      <c r="P276" s="291"/>
      <c r="Q276" s="291"/>
      <c r="R276" s="291"/>
      <c r="S276" s="291"/>
      <c r="T276" s="291"/>
      <c r="U276" s="291"/>
      <c r="V276" s="291"/>
      <c r="W276" s="291"/>
      <c r="X276" s="291"/>
      <c r="Y276" s="291"/>
      <c r="Z276" s="291"/>
      <c r="AA276" s="291"/>
      <c r="AB276" s="291"/>
      <c r="AC276" s="291"/>
      <c r="AD276" s="291"/>
      <c r="AE276" s="291"/>
      <c r="AF276" s="291"/>
      <c r="AG276" s="291"/>
    </row>
    <row r="277" ht="18.75" customHeight="1">
      <c r="A277" s="283"/>
      <c r="B277" s="234" t="str">
        <f>'Building Bill of Materials_SLIM'!P277</f>
        <v/>
      </c>
      <c r="C277" s="234" t="str">
        <f>'Building Bill of Materials_SLIM'!Q277</f>
        <v/>
      </c>
      <c r="D277" s="234" t="str">
        <f>'Building Bill of Materials_SLIM'!R277</f>
        <v/>
      </c>
      <c r="E277" s="234" t="str">
        <f>'Building Bill of Materials_SLIM'!S277</f>
        <v/>
      </c>
      <c r="F277" s="234"/>
      <c r="G277" s="234"/>
      <c r="H277" s="234" t="str">
        <f>'Building Bill of Materials_SLIM'!T277</f>
        <v/>
      </c>
      <c r="I277" s="234" t="str">
        <f>'Building Bill of Materials_SLIM'!U277</f>
        <v/>
      </c>
      <c r="J277" s="234" t="str">
        <f>'Building Bill of Materials_SLIM'!V277</f>
        <v/>
      </c>
      <c r="K277" s="192"/>
      <c r="L277" s="242"/>
      <c r="M277" s="242"/>
      <c r="N277" s="291"/>
      <c r="O277" s="291"/>
      <c r="P277" s="291"/>
      <c r="Q277" s="291"/>
      <c r="R277" s="291"/>
      <c r="S277" s="291"/>
      <c r="T277" s="291"/>
      <c r="U277" s="291"/>
      <c r="V277" s="291"/>
      <c r="W277" s="291"/>
      <c r="X277" s="291"/>
      <c r="Y277" s="291"/>
      <c r="Z277" s="291"/>
      <c r="AA277" s="291"/>
      <c r="AB277" s="291"/>
      <c r="AC277" s="291"/>
      <c r="AD277" s="291"/>
      <c r="AE277" s="291"/>
      <c r="AF277" s="291"/>
      <c r="AG277" s="291"/>
    </row>
    <row r="278" ht="18.75" customHeight="1">
      <c r="A278" s="283"/>
      <c r="B278" s="234" t="str">
        <f>'Building Bill of Materials_SLIM'!P278</f>
        <v/>
      </c>
      <c r="C278" s="234" t="str">
        <f>'Building Bill of Materials_SLIM'!Q278</f>
        <v/>
      </c>
      <c r="D278" s="234" t="str">
        <f>'Building Bill of Materials_SLIM'!R278</f>
        <v/>
      </c>
      <c r="E278" s="234" t="str">
        <f>'Building Bill of Materials_SLIM'!S278</f>
        <v/>
      </c>
      <c r="F278" s="234"/>
      <c r="G278" s="234"/>
      <c r="H278" s="234" t="str">
        <f>'Building Bill of Materials_SLIM'!T278</f>
        <v/>
      </c>
      <c r="I278" s="234" t="str">
        <f>'Building Bill of Materials_SLIM'!U278</f>
        <v/>
      </c>
      <c r="J278" s="234" t="str">
        <f>'Building Bill of Materials_SLIM'!V278</f>
        <v/>
      </c>
      <c r="K278" s="192"/>
      <c r="L278" s="242"/>
      <c r="M278" s="242"/>
      <c r="N278" s="291"/>
      <c r="O278" s="291"/>
      <c r="P278" s="291"/>
      <c r="Q278" s="291"/>
      <c r="R278" s="291"/>
      <c r="S278" s="291"/>
      <c r="T278" s="291"/>
      <c r="U278" s="291"/>
      <c r="V278" s="291"/>
      <c r="W278" s="291"/>
      <c r="X278" s="291"/>
      <c r="Y278" s="291"/>
      <c r="Z278" s="291"/>
      <c r="AA278" s="291"/>
      <c r="AB278" s="291"/>
      <c r="AC278" s="291"/>
      <c r="AD278" s="291"/>
      <c r="AE278" s="291"/>
      <c r="AF278" s="291"/>
      <c r="AG278" s="291"/>
    </row>
    <row r="279" ht="18.75" customHeight="1">
      <c r="A279" s="283"/>
      <c r="B279" s="234" t="str">
        <f>'Building Bill of Materials_SLIM'!P279</f>
        <v/>
      </c>
      <c r="C279" s="234" t="str">
        <f>'Building Bill of Materials_SLIM'!Q279</f>
        <v/>
      </c>
      <c r="D279" s="234" t="str">
        <f>'Building Bill of Materials_SLIM'!R279</f>
        <v/>
      </c>
      <c r="E279" s="234" t="str">
        <f>'Building Bill of Materials_SLIM'!S279</f>
        <v/>
      </c>
      <c r="F279" s="234"/>
      <c r="G279" s="234"/>
      <c r="H279" s="234" t="str">
        <f>'Building Bill of Materials_SLIM'!T279</f>
        <v/>
      </c>
      <c r="I279" s="234" t="str">
        <f>'Building Bill of Materials_SLIM'!U279</f>
        <v/>
      </c>
      <c r="J279" s="234" t="str">
        <f>'Building Bill of Materials_SLIM'!V279</f>
        <v/>
      </c>
      <c r="K279" s="192"/>
      <c r="L279" s="242"/>
      <c r="M279" s="242"/>
      <c r="N279" s="291"/>
      <c r="O279" s="291"/>
      <c r="P279" s="291"/>
      <c r="Q279" s="291"/>
      <c r="R279" s="291"/>
      <c r="S279" s="291"/>
      <c r="T279" s="291"/>
      <c r="U279" s="291"/>
      <c r="V279" s="291"/>
      <c r="W279" s="291"/>
      <c r="X279" s="291"/>
      <c r="Y279" s="291"/>
      <c r="Z279" s="291"/>
      <c r="AA279" s="291"/>
      <c r="AB279" s="291"/>
      <c r="AC279" s="291"/>
      <c r="AD279" s="291"/>
      <c r="AE279" s="291"/>
      <c r="AF279" s="291"/>
      <c r="AG279" s="291"/>
    </row>
    <row r="280" ht="18.75" customHeight="1">
      <c r="A280" s="283"/>
      <c r="B280" s="234" t="str">
        <f>'Building Bill of Materials_SLIM'!P280</f>
        <v/>
      </c>
      <c r="C280" s="234" t="str">
        <f>'Building Bill of Materials_SLIM'!Q280</f>
        <v/>
      </c>
      <c r="D280" s="234" t="str">
        <f>'Building Bill of Materials_SLIM'!R280</f>
        <v/>
      </c>
      <c r="E280" s="234" t="str">
        <f>'Building Bill of Materials_SLIM'!S280</f>
        <v/>
      </c>
      <c r="F280" s="234"/>
      <c r="G280" s="234"/>
      <c r="H280" s="234" t="str">
        <f>'Building Bill of Materials_SLIM'!T280</f>
        <v/>
      </c>
      <c r="I280" s="234" t="str">
        <f>'Building Bill of Materials_SLIM'!U280</f>
        <v/>
      </c>
      <c r="J280" s="234" t="str">
        <f>'Building Bill of Materials_SLIM'!V280</f>
        <v/>
      </c>
      <c r="K280" s="192"/>
      <c r="L280" s="242"/>
      <c r="M280" s="242"/>
      <c r="N280" s="291"/>
      <c r="O280" s="291"/>
      <c r="P280" s="291"/>
      <c r="Q280" s="291"/>
      <c r="R280" s="291"/>
      <c r="S280" s="291"/>
      <c r="T280" s="291"/>
      <c r="U280" s="291"/>
      <c r="V280" s="291"/>
      <c r="W280" s="291"/>
      <c r="X280" s="291"/>
      <c r="Y280" s="291"/>
      <c r="Z280" s="291"/>
      <c r="AA280" s="291"/>
      <c r="AB280" s="291"/>
      <c r="AC280" s="291"/>
      <c r="AD280" s="291"/>
      <c r="AE280" s="291"/>
      <c r="AF280" s="291"/>
      <c r="AG280" s="291"/>
    </row>
    <row r="281" ht="18.75" customHeight="1">
      <c r="A281" s="283"/>
      <c r="B281" s="234" t="str">
        <f>'Building Bill of Materials_SLIM'!P281</f>
        <v/>
      </c>
      <c r="C281" s="234" t="str">
        <f>'Building Bill of Materials_SLIM'!Q281</f>
        <v/>
      </c>
      <c r="D281" s="234" t="str">
        <f>'Building Bill of Materials_SLIM'!R281</f>
        <v/>
      </c>
      <c r="E281" s="234" t="str">
        <f>'Building Bill of Materials_SLIM'!S281</f>
        <v/>
      </c>
      <c r="F281" s="234"/>
      <c r="G281" s="234"/>
      <c r="H281" s="234" t="str">
        <f>'Building Bill of Materials_SLIM'!T281</f>
        <v/>
      </c>
      <c r="I281" s="234" t="str">
        <f>'Building Bill of Materials_SLIM'!U281</f>
        <v/>
      </c>
      <c r="J281" s="234" t="str">
        <f>'Building Bill of Materials_SLIM'!V281</f>
        <v/>
      </c>
      <c r="K281" s="192"/>
      <c r="L281" s="242"/>
      <c r="M281" s="242"/>
      <c r="N281" s="291"/>
      <c r="O281" s="291"/>
      <c r="P281" s="291"/>
      <c r="Q281" s="291"/>
      <c r="R281" s="291"/>
      <c r="S281" s="291"/>
      <c r="T281" s="291"/>
      <c r="U281" s="291"/>
      <c r="V281" s="291"/>
      <c r="W281" s="291"/>
      <c r="X281" s="291"/>
      <c r="Y281" s="291"/>
      <c r="Z281" s="291"/>
      <c r="AA281" s="291"/>
      <c r="AB281" s="291"/>
      <c r="AC281" s="291"/>
      <c r="AD281" s="291"/>
      <c r="AE281" s="291"/>
      <c r="AF281" s="291"/>
      <c r="AG281" s="291"/>
    </row>
    <row r="282" ht="18.75" customHeight="1">
      <c r="A282" s="283"/>
      <c r="B282" s="234" t="str">
        <f>'Building Bill of Materials_SLIM'!P282</f>
        <v/>
      </c>
      <c r="C282" s="234" t="str">
        <f>'Building Bill of Materials_SLIM'!Q282</f>
        <v/>
      </c>
      <c r="D282" s="234" t="str">
        <f>'Building Bill of Materials_SLIM'!R282</f>
        <v/>
      </c>
      <c r="E282" s="234" t="str">
        <f>'Building Bill of Materials_SLIM'!S282</f>
        <v/>
      </c>
      <c r="F282" s="234"/>
      <c r="G282" s="234"/>
      <c r="H282" s="234" t="str">
        <f>'Building Bill of Materials_SLIM'!T282</f>
        <v/>
      </c>
      <c r="I282" s="234" t="str">
        <f>'Building Bill of Materials_SLIM'!U282</f>
        <v/>
      </c>
      <c r="J282" s="234" t="str">
        <f>'Building Bill of Materials_SLIM'!V282</f>
        <v/>
      </c>
      <c r="K282" s="192"/>
      <c r="L282" s="242"/>
      <c r="M282" s="242"/>
      <c r="N282" s="291"/>
      <c r="O282" s="291"/>
      <c r="P282" s="291"/>
      <c r="Q282" s="291"/>
      <c r="R282" s="291"/>
      <c r="S282" s="291"/>
      <c r="T282" s="291"/>
      <c r="U282" s="291"/>
      <c r="V282" s="291"/>
      <c r="W282" s="291"/>
      <c r="X282" s="291"/>
      <c r="Y282" s="291"/>
      <c r="Z282" s="291"/>
      <c r="AA282" s="291"/>
      <c r="AB282" s="291"/>
      <c r="AC282" s="291"/>
      <c r="AD282" s="291"/>
      <c r="AE282" s="291"/>
      <c r="AF282" s="291"/>
      <c r="AG282" s="291"/>
    </row>
    <row r="283" ht="18.75" customHeight="1">
      <c r="A283" s="283"/>
      <c r="B283" s="234" t="str">
        <f>'Building Bill of Materials_SLIM'!P283</f>
        <v/>
      </c>
      <c r="C283" s="234" t="str">
        <f>'Building Bill of Materials_SLIM'!Q283</f>
        <v/>
      </c>
      <c r="D283" s="234" t="str">
        <f>'Building Bill of Materials_SLIM'!R283</f>
        <v/>
      </c>
      <c r="E283" s="234" t="str">
        <f>'Building Bill of Materials_SLIM'!S283</f>
        <v/>
      </c>
      <c r="F283" s="234"/>
      <c r="G283" s="234"/>
      <c r="H283" s="234" t="str">
        <f>'Building Bill of Materials_SLIM'!T283</f>
        <v/>
      </c>
      <c r="I283" s="234" t="str">
        <f>'Building Bill of Materials_SLIM'!U283</f>
        <v/>
      </c>
      <c r="J283" s="234" t="str">
        <f>'Building Bill of Materials_SLIM'!V283</f>
        <v/>
      </c>
      <c r="K283" s="192"/>
      <c r="L283" s="242"/>
      <c r="M283" s="242"/>
      <c r="N283" s="291"/>
      <c r="O283" s="291"/>
      <c r="P283" s="291"/>
      <c r="Q283" s="291"/>
      <c r="R283" s="291"/>
      <c r="S283" s="291"/>
      <c r="T283" s="291"/>
      <c r="U283" s="291"/>
      <c r="V283" s="291"/>
      <c r="W283" s="291"/>
      <c r="X283" s="291"/>
      <c r="Y283" s="291"/>
      <c r="Z283" s="291"/>
      <c r="AA283" s="291"/>
      <c r="AB283" s="291"/>
      <c r="AC283" s="291"/>
      <c r="AD283" s="291"/>
      <c r="AE283" s="291"/>
      <c r="AF283" s="291"/>
      <c r="AG283" s="291"/>
    </row>
    <row r="284" ht="18.75" customHeight="1">
      <c r="A284" s="283"/>
      <c r="B284" s="234" t="str">
        <f>'Building Bill of Materials_SLIM'!P284</f>
        <v/>
      </c>
      <c r="C284" s="234" t="str">
        <f>'Building Bill of Materials_SLIM'!Q284</f>
        <v/>
      </c>
      <c r="D284" s="234" t="str">
        <f>'Building Bill of Materials_SLIM'!R284</f>
        <v/>
      </c>
      <c r="E284" s="234" t="str">
        <f>'Building Bill of Materials_SLIM'!S284</f>
        <v/>
      </c>
      <c r="F284" s="234"/>
      <c r="G284" s="234"/>
      <c r="H284" s="234" t="str">
        <f>'Building Bill of Materials_SLIM'!T284</f>
        <v/>
      </c>
      <c r="I284" s="234" t="str">
        <f>'Building Bill of Materials_SLIM'!U284</f>
        <v/>
      </c>
      <c r="J284" s="234" t="str">
        <f>'Building Bill of Materials_SLIM'!V284</f>
        <v/>
      </c>
      <c r="K284" s="192"/>
      <c r="L284" s="242"/>
      <c r="M284" s="242"/>
      <c r="N284" s="291"/>
      <c r="O284" s="291"/>
      <c r="P284" s="291"/>
      <c r="Q284" s="291"/>
      <c r="R284" s="291"/>
      <c r="S284" s="291"/>
      <c r="T284" s="291"/>
      <c r="U284" s="291"/>
      <c r="V284" s="291"/>
      <c r="W284" s="291"/>
      <c r="X284" s="291"/>
      <c r="Y284" s="291"/>
      <c r="Z284" s="291"/>
      <c r="AA284" s="291"/>
      <c r="AB284" s="291"/>
      <c r="AC284" s="291"/>
      <c r="AD284" s="291"/>
      <c r="AE284" s="291"/>
      <c r="AF284" s="291"/>
      <c r="AG284" s="291"/>
    </row>
    <row r="285" ht="18.75" customHeight="1">
      <c r="A285" s="283"/>
      <c r="B285" s="234" t="str">
        <f>'Building Bill of Materials_SLIM'!P285</f>
        <v/>
      </c>
      <c r="C285" s="234" t="str">
        <f>'Building Bill of Materials_SLIM'!Q285</f>
        <v/>
      </c>
      <c r="D285" s="234" t="str">
        <f>'Building Bill of Materials_SLIM'!R285</f>
        <v/>
      </c>
      <c r="E285" s="234" t="str">
        <f>'Building Bill of Materials_SLIM'!S285</f>
        <v/>
      </c>
      <c r="F285" s="234"/>
      <c r="G285" s="234"/>
      <c r="H285" s="234" t="str">
        <f>'Building Bill of Materials_SLIM'!T285</f>
        <v/>
      </c>
      <c r="I285" s="234" t="str">
        <f>'Building Bill of Materials_SLIM'!U285</f>
        <v/>
      </c>
      <c r="J285" s="234" t="str">
        <f>'Building Bill of Materials_SLIM'!V285</f>
        <v/>
      </c>
      <c r="K285" s="192"/>
      <c r="L285" s="242"/>
      <c r="M285" s="242"/>
      <c r="N285" s="291"/>
      <c r="O285" s="291"/>
      <c r="P285" s="291"/>
      <c r="Q285" s="291"/>
      <c r="R285" s="291"/>
      <c r="S285" s="291"/>
      <c r="T285" s="291"/>
      <c r="U285" s="291"/>
      <c r="V285" s="291"/>
      <c r="W285" s="291"/>
      <c r="X285" s="291"/>
      <c r="Y285" s="291"/>
      <c r="Z285" s="291"/>
      <c r="AA285" s="291"/>
      <c r="AB285" s="291"/>
      <c r="AC285" s="291"/>
      <c r="AD285" s="291"/>
      <c r="AE285" s="291"/>
      <c r="AF285" s="291"/>
      <c r="AG285" s="291"/>
    </row>
    <row r="286" ht="18.75" customHeight="1">
      <c r="A286" s="283"/>
      <c r="B286" s="234" t="str">
        <f>'Building Bill of Materials_SLIM'!P286</f>
        <v/>
      </c>
      <c r="C286" s="234" t="str">
        <f>'Building Bill of Materials_SLIM'!Q286</f>
        <v/>
      </c>
      <c r="D286" s="234" t="str">
        <f>'Building Bill of Materials_SLIM'!R286</f>
        <v/>
      </c>
      <c r="E286" s="234" t="str">
        <f>'Building Bill of Materials_SLIM'!S286</f>
        <v/>
      </c>
      <c r="F286" s="234"/>
      <c r="G286" s="234"/>
      <c r="H286" s="234" t="str">
        <f>'Building Bill of Materials_SLIM'!T286</f>
        <v/>
      </c>
      <c r="I286" s="234" t="str">
        <f>'Building Bill of Materials_SLIM'!U286</f>
        <v/>
      </c>
      <c r="J286" s="234" t="str">
        <f>'Building Bill of Materials_SLIM'!V286</f>
        <v/>
      </c>
      <c r="K286" s="192"/>
      <c r="L286" s="242"/>
      <c r="M286" s="242"/>
      <c r="N286" s="291"/>
      <c r="O286" s="291"/>
      <c r="P286" s="291"/>
      <c r="Q286" s="291"/>
      <c r="R286" s="291"/>
      <c r="S286" s="291"/>
      <c r="T286" s="291"/>
      <c r="U286" s="291"/>
      <c r="V286" s="291"/>
      <c r="W286" s="291"/>
      <c r="X286" s="291"/>
      <c r="Y286" s="291"/>
      <c r="Z286" s="291"/>
      <c r="AA286" s="291"/>
      <c r="AB286" s="291"/>
      <c r="AC286" s="291"/>
      <c r="AD286" s="291"/>
      <c r="AE286" s="291"/>
      <c r="AF286" s="291"/>
      <c r="AG286" s="291"/>
    </row>
    <row r="287" ht="18.75" customHeight="1">
      <c r="A287" s="283"/>
      <c r="B287" s="234" t="str">
        <f>'Building Bill of Materials_SLIM'!P287</f>
        <v/>
      </c>
      <c r="C287" s="234" t="str">
        <f>'Building Bill of Materials_SLIM'!Q287</f>
        <v/>
      </c>
      <c r="D287" s="234" t="str">
        <f>'Building Bill of Materials_SLIM'!R287</f>
        <v/>
      </c>
      <c r="E287" s="234" t="str">
        <f>'Building Bill of Materials_SLIM'!S287</f>
        <v/>
      </c>
      <c r="F287" s="234"/>
      <c r="G287" s="234"/>
      <c r="H287" s="234" t="str">
        <f>'Building Bill of Materials_SLIM'!T287</f>
        <v/>
      </c>
      <c r="I287" s="234" t="str">
        <f>'Building Bill of Materials_SLIM'!U287</f>
        <v/>
      </c>
      <c r="J287" s="234" t="str">
        <f>'Building Bill of Materials_SLIM'!V287</f>
        <v/>
      </c>
      <c r="K287" s="192"/>
      <c r="L287" s="242"/>
      <c r="M287" s="242"/>
      <c r="N287" s="291"/>
      <c r="O287" s="291"/>
      <c r="P287" s="291"/>
      <c r="Q287" s="291"/>
      <c r="R287" s="291"/>
      <c r="S287" s="291"/>
      <c r="T287" s="291"/>
      <c r="U287" s="291"/>
      <c r="V287" s="291"/>
      <c r="W287" s="291"/>
      <c r="X287" s="291"/>
      <c r="Y287" s="291"/>
      <c r="Z287" s="291"/>
      <c r="AA287" s="291"/>
      <c r="AB287" s="291"/>
      <c r="AC287" s="291"/>
      <c r="AD287" s="291"/>
      <c r="AE287" s="291"/>
      <c r="AF287" s="291"/>
      <c r="AG287" s="291"/>
    </row>
    <row r="288" ht="18.75" customHeight="1">
      <c r="A288" s="283"/>
      <c r="B288" s="234" t="str">
        <f>'Building Bill of Materials_SLIM'!P288</f>
        <v/>
      </c>
      <c r="C288" s="234" t="str">
        <f>'Building Bill of Materials_SLIM'!Q288</f>
        <v/>
      </c>
      <c r="D288" s="234" t="str">
        <f>'Building Bill of Materials_SLIM'!R288</f>
        <v/>
      </c>
      <c r="E288" s="234" t="str">
        <f>'Building Bill of Materials_SLIM'!S288</f>
        <v/>
      </c>
      <c r="F288" s="234"/>
      <c r="G288" s="234"/>
      <c r="H288" s="234" t="str">
        <f>'Building Bill of Materials_SLIM'!T288</f>
        <v/>
      </c>
      <c r="I288" s="234" t="str">
        <f>'Building Bill of Materials_SLIM'!U288</f>
        <v/>
      </c>
      <c r="J288" s="234" t="str">
        <f>'Building Bill of Materials_SLIM'!V288</f>
        <v/>
      </c>
      <c r="K288" s="192"/>
      <c r="L288" s="242"/>
      <c r="M288" s="242"/>
      <c r="N288" s="291"/>
      <c r="O288" s="291"/>
      <c r="P288" s="291"/>
      <c r="Q288" s="291"/>
      <c r="R288" s="291"/>
      <c r="S288" s="291"/>
      <c r="T288" s="291"/>
      <c r="U288" s="291"/>
      <c r="V288" s="291"/>
      <c r="W288" s="291"/>
      <c r="X288" s="291"/>
      <c r="Y288" s="291"/>
      <c r="Z288" s="291"/>
      <c r="AA288" s="291"/>
      <c r="AB288" s="291"/>
      <c r="AC288" s="291"/>
      <c r="AD288" s="291"/>
      <c r="AE288" s="291"/>
      <c r="AF288" s="291"/>
      <c r="AG288" s="291"/>
    </row>
    <row r="289" ht="18.75" customHeight="1">
      <c r="A289" s="283"/>
      <c r="B289" s="234" t="str">
        <f>'Building Bill of Materials_SLIM'!P289</f>
        <v/>
      </c>
      <c r="C289" s="234" t="str">
        <f>'Building Bill of Materials_SLIM'!Q289</f>
        <v/>
      </c>
      <c r="D289" s="234" t="str">
        <f>'Building Bill of Materials_SLIM'!R289</f>
        <v/>
      </c>
      <c r="E289" s="234" t="str">
        <f>'Building Bill of Materials_SLIM'!S289</f>
        <v/>
      </c>
      <c r="F289" s="234"/>
      <c r="G289" s="234"/>
      <c r="H289" s="234" t="str">
        <f>'Building Bill of Materials_SLIM'!T289</f>
        <v/>
      </c>
      <c r="I289" s="234" t="str">
        <f>'Building Bill of Materials_SLIM'!U289</f>
        <v/>
      </c>
      <c r="J289" s="234" t="str">
        <f>'Building Bill of Materials_SLIM'!V289</f>
        <v/>
      </c>
      <c r="K289" s="192"/>
      <c r="L289" s="242"/>
      <c r="M289" s="242"/>
      <c r="N289" s="291"/>
      <c r="O289" s="291"/>
      <c r="P289" s="291"/>
      <c r="Q289" s="291"/>
      <c r="R289" s="291"/>
      <c r="S289" s="291"/>
      <c r="T289" s="291"/>
      <c r="U289" s="291"/>
      <c r="V289" s="291"/>
      <c r="W289" s="291"/>
      <c r="X289" s="291"/>
      <c r="Y289" s="291"/>
      <c r="Z289" s="291"/>
      <c r="AA289" s="291"/>
      <c r="AB289" s="291"/>
      <c r="AC289" s="291"/>
      <c r="AD289" s="291"/>
      <c r="AE289" s="291"/>
      <c r="AF289" s="291"/>
      <c r="AG289" s="291"/>
    </row>
    <row r="290" ht="18.75" customHeight="1">
      <c r="A290" s="283"/>
      <c r="B290" s="234" t="str">
        <f>'Building Bill of Materials_SLIM'!P290</f>
        <v/>
      </c>
      <c r="C290" s="234" t="str">
        <f>'Building Bill of Materials_SLIM'!Q290</f>
        <v/>
      </c>
      <c r="D290" s="234" t="str">
        <f>'Building Bill of Materials_SLIM'!R290</f>
        <v/>
      </c>
      <c r="E290" s="234" t="str">
        <f>'Building Bill of Materials_SLIM'!S290</f>
        <v/>
      </c>
      <c r="F290" s="234"/>
      <c r="G290" s="234"/>
      <c r="H290" s="234" t="str">
        <f>'Building Bill of Materials_SLIM'!T290</f>
        <v/>
      </c>
      <c r="I290" s="234" t="str">
        <f>'Building Bill of Materials_SLIM'!U290</f>
        <v/>
      </c>
      <c r="J290" s="234" t="str">
        <f>'Building Bill of Materials_SLIM'!V290</f>
        <v/>
      </c>
      <c r="K290" s="192"/>
      <c r="L290" s="242"/>
      <c r="M290" s="242"/>
      <c r="N290" s="291"/>
      <c r="O290" s="291"/>
      <c r="P290" s="291"/>
      <c r="Q290" s="291"/>
      <c r="R290" s="291"/>
      <c r="S290" s="291"/>
      <c r="T290" s="291"/>
      <c r="U290" s="291"/>
      <c r="V290" s="291"/>
      <c r="W290" s="291"/>
      <c r="X290" s="291"/>
      <c r="Y290" s="291"/>
      <c r="Z290" s="291"/>
      <c r="AA290" s="291"/>
      <c r="AB290" s="291"/>
      <c r="AC290" s="291"/>
      <c r="AD290" s="291"/>
      <c r="AE290" s="291"/>
      <c r="AF290" s="291"/>
      <c r="AG290" s="291"/>
    </row>
    <row r="291" ht="18.75" customHeight="1">
      <c r="A291" s="283"/>
      <c r="B291" s="234" t="str">
        <f>'Building Bill of Materials_SLIM'!P291</f>
        <v/>
      </c>
      <c r="C291" s="234" t="str">
        <f>'Building Bill of Materials_SLIM'!Q291</f>
        <v/>
      </c>
      <c r="D291" s="234" t="str">
        <f>'Building Bill of Materials_SLIM'!R291</f>
        <v/>
      </c>
      <c r="E291" s="234" t="str">
        <f>'Building Bill of Materials_SLIM'!S291</f>
        <v/>
      </c>
      <c r="F291" s="234"/>
      <c r="G291" s="234"/>
      <c r="H291" s="234" t="str">
        <f>'Building Bill of Materials_SLIM'!T291</f>
        <v/>
      </c>
      <c r="I291" s="234" t="str">
        <f>'Building Bill of Materials_SLIM'!U291</f>
        <v/>
      </c>
      <c r="J291" s="234" t="str">
        <f>'Building Bill of Materials_SLIM'!V291</f>
        <v/>
      </c>
      <c r="K291" s="192"/>
      <c r="L291" s="242"/>
      <c r="M291" s="242"/>
      <c r="N291" s="291"/>
      <c r="O291" s="291"/>
      <c r="P291" s="291"/>
      <c r="Q291" s="291"/>
      <c r="R291" s="291"/>
      <c r="S291" s="291"/>
      <c r="T291" s="291"/>
      <c r="U291" s="291"/>
      <c r="V291" s="291"/>
      <c r="W291" s="291"/>
      <c r="X291" s="291"/>
      <c r="Y291" s="291"/>
      <c r="Z291" s="291"/>
      <c r="AA291" s="291"/>
      <c r="AB291" s="291"/>
      <c r="AC291" s="291"/>
      <c r="AD291" s="291"/>
      <c r="AE291" s="291"/>
      <c r="AF291" s="291"/>
      <c r="AG291" s="291"/>
    </row>
    <row r="292" ht="18.75" customHeight="1">
      <c r="A292" s="283"/>
      <c r="B292" s="234" t="str">
        <f>'Building Bill of Materials_SLIM'!P292</f>
        <v/>
      </c>
      <c r="C292" s="234" t="str">
        <f>'Building Bill of Materials_SLIM'!Q292</f>
        <v/>
      </c>
      <c r="D292" s="234" t="str">
        <f>'Building Bill of Materials_SLIM'!R292</f>
        <v/>
      </c>
      <c r="E292" s="234" t="str">
        <f>'Building Bill of Materials_SLIM'!S292</f>
        <v/>
      </c>
      <c r="F292" s="234"/>
      <c r="G292" s="234"/>
      <c r="H292" s="234" t="str">
        <f>'Building Bill of Materials_SLIM'!T292</f>
        <v/>
      </c>
      <c r="I292" s="234" t="str">
        <f>'Building Bill of Materials_SLIM'!U292</f>
        <v/>
      </c>
      <c r="J292" s="234" t="str">
        <f>'Building Bill of Materials_SLIM'!V292</f>
        <v/>
      </c>
      <c r="K292" s="192"/>
      <c r="L292" s="242"/>
      <c r="M292" s="242"/>
      <c r="N292" s="291"/>
      <c r="O292" s="291"/>
      <c r="P292" s="291"/>
      <c r="Q292" s="291"/>
      <c r="R292" s="291"/>
      <c r="S292" s="291"/>
      <c r="T292" s="291"/>
      <c r="U292" s="291"/>
      <c r="V292" s="291"/>
      <c r="W292" s="291"/>
      <c r="X292" s="291"/>
      <c r="Y292" s="291"/>
      <c r="Z292" s="291"/>
      <c r="AA292" s="291"/>
      <c r="AB292" s="291"/>
      <c r="AC292" s="291"/>
      <c r="AD292" s="291"/>
      <c r="AE292" s="291"/>
      <c r="AF292" s="291"/>
      <c r="AG292" s="291"/>
    </row>
    <row r="293" ht="18.75" customHeight="1">
      <c r="A293" s="283"/>
      <c r="B293" s="234" t="str">
        <f>'Building Bill of Materials_SLIM'!P293</f>
        <v/>
      </c>
      <c r="C293" s="234" t="str">
        <f>'Building Bill of Materials_SLIM'!Q293</f>
        <v/>
      </c>
      <c r="D293" s="234" t="str">
        <f>'Building Bill of Materials_SLIM'!R293</f>
        <v/>
      </c>
      <c r="E293" s="234" t="str">
        <f>'Building Bill of Materials_SLIM'!S293</f>
        <v/>
      </c>
      <c r="F293" s="234"/>
      <c r="G293" s="234"/>
      <c r="H293" s="234" t="str">
        <f>'Building Bill of Materials_SLIM'!T293</f>
        <v/>
      </c>
      <c r="I293" s="234" t="str">
        <f>'Building Bill of Materials_SLIM'!U293</f>
        <v/>
      </c>
      <c r="J293" s="234" t="str">
        <f>'Building Bill of Materials_SLIM'!V293</f>
        <v/>
      </c>
      <c r="K293" s="192"/>
      <c r="L293" s="242"/>
      <c r="M293" s="242"/>
      <c r="N293" s="291"/>
      <c r="O293" s="291"/>
      <c r="P293" s="291"/>
      <c r="Q293" s="291"/>
      <c r="R293" s="291"/>
      <c r="S293" s="291"/>
      <c r="T293" s="291"/>
      <c r="U293" s="291"/>
      <c r="V293" s="291"/>
      <c r="W293" s="291"/>
      <c r="X293" s="291"/>
      <c r="Y293" s="291"/>
      <c r="Z293" s="291"/>
      <c r="AA293" s="291"/>
      <c r="AB293" s="291"/>
      <c r="AC293" s="291"/>
      <c r="AD293" s="291"/>
      <c r="AE293" s="291"/>
      <c r="AF293" s="291"/>
      <c r="AG293" s="291"/>
    </row>
    <row r="294" ht="18.75" customHeight="1">
      <c r="A294" s="283"/>
      <c r="B294" s="234" t="str">
        <f>'Building Bill of Materials_SLIM'!P294</f>
        <v/>
      </c>
      <c r="C294" s="234" t="str">
        <f>'Building Bill of Materials_SLIM'!Q294</f>
        <v/>
      </c>
      <c r="D294" s="234" t="str">
        <f>'Building Bill of Materials_SLIM'!R294</f>
        <v/>
      </c>
      <c r="E294" s="234" t="str">
        <f>'Building Bill of Materials_SLIM'!S294</f>
        <v/>
      </c>
      <c r="F294" s="234"/>
      <c r="G294" s="234"/>
      <c r="H294" s="234" t="str">
        <f>'Building Bill of Materials_SLIM'!T294</f>
        <v/>
      </c>
      <c r="I294" s="234" t="str">
        <f>'Building Bill of Materials_SLIM'!U294</f>
        <v/>
      </c>
      <c r="J294" s="234" t="str">
        <f>'Building Bill of Materials_SLIM'!V294</f>
        <v/>
      </c>
      <c r="K294" s="192"/>
      <c r="L294" s="242"/>
      <c r="M294" s="242"/>
      <c r="N294" s="291"/>
      <c r="O294" s="291"/>
      <c r="P294" s="291"/>
      <c r="Q294" s="291"/>
      <c r="R294" s="291"/>
      <c r="S294" s="291"/>
      <c r="T294" s="291"/>
      <c r="U294" s="291"/>
      <c r="V294" s="291"/>
      <c r="W294" s="291"/>
      <c r="X294" s="291"/>
      <c r="Y294" s="291"/>
      <c r="Z294" s="291"/>
      <c r="AA294" s="291"/>
      <c r="AB294" s="291"/>
      <c r="AC294" s="291"/>
      <c r="AD294" s="291"/>
      <c r="AE294" s="291"/>
      <c r="AF294" s="291"/>
      <c r="AG294" s="291"/>
    </row>
    <row r="295" ht="18.75" customHeight="1">
      <c r="A295" s="283"/>
      <c r="B295" s="234" t="str">
        <f>'Building Bill of Materials_SLIM'!P295</f>
        <v/>
      </c>
      <c r="C295" s="234" t="str">
        <f>'Building Bill of Materials_SLIM'!Q295</f>
        <v/>
      </c>
      <c r="D295" s="234" t="str">
        <f>'Building Bill of Materials_SLIM'!R295</f>
        <v/>
      </c>
      <c r="E295" s="234" t="str">
        <f>'Building Bill of Materials_SLIM'!S295</f>
        <v/>
      </c>
      <c r="F295" s="234"/>
      <c r="G295" s="234"/>
      <c r="H295" s="234" t="str">
        <f>'Building Bill of Materials_SLIM'!T295</f>
        <v/>
      </c>
      <c r="I295" s="234" t="str">
        <f>'Building Bill of Materials_SLIM'!U295</f>
        <v/>
      </c>
      <c r="J295" s="234" t="str">
        <f>'Building Bill of Materials_SLIM'!V295</f>
        <v/>
      </c>
      <c r="K295" s="192"/>
      <c r="L295" s="242"/>
      <c r="M295" s="242"/>
      <c r="N295" s="291"/>
      <c r="O295" s="291"/>
      <c r="P295" s="291"/>
      <c r="Q295" s="291"/>
      <c r="R295" s="291"/>
      <c r="S295" s="291"/>
      <c r="T295" s="291"/>
      <c r="U295" s="291"/>
      <c r="V295" s="291"/>
      <c r="W295" s="291"/>
      <c r="X295" s="291"/>
      <c r="Y295" s="291"/>
      <c r="Z295" s="291"/>
      <c r="AA295" s="291"/>
      <c r="AB295" s="291"/>
      <c r="AC295" s="291"/>
      <c r="AD295" s="291"/>
      <c r="AE295" s="291"/>
      <c r="AF295" s="291"/>
      <c r="AG295" s="291"/>
    </row>
    <row r="296" ht="18.75" customHeight="1">
      <c r="A296" s="283"/>
      <c r="B296" s="234" t="str">
        <f>'Building Bill of Materials_SLIM'!P296</f>
        <v/>
      </c>
      <c r="C296" s="234" t="str">
        <f>'Building Bill of Materials_SLIM'!Q296</f>
        <v/>
      </c>
      <c r="D296" s="234" t="str">
        <f>'Building Bill of Materials_SLIM'!R296</f>
        <v/>
      </c>
      <c r="E296" s="234" t="str">
        <f>'Building Bill of Materials_SLIM'!S296</f>
        <v/>
      </c>
      <c r="F296" s="234"/>
      <c r="G296" s="234"/>
      <c r="H296" s="234" t="str">
        <f>'Building Bill of Materials_SLIM'!T296</f>
        <v/>
      </c>
      <c r="I296" s="234" t="str">
        <f>'Building Bill of Materials_SLIM'!U296</f>
        <v/>
      </c>
      <c r="J296" s="234" t="str">
        <f>'Building Bill of Materials_SLIM'!V296</f>
        <v/>
      </c>
      <c r="K296" s="192"/>
      <c r="L296" s="242"/>
      <c r="M296" s="242"/>
      <c r="N296" s="291"/>
      <c r="O296" s="291"/>
      <c r="P296" s="291"/>
      <c r="Q296" s="291"/>
      <c r="R296" s="291"/>
      <c r="S296" s="291"/>
      <c r="T296" s="291"/>
      <c r="U296" s="291"/>
      <c r="V296" s="291"/>
      <c r="W296" s="291"/>
      <c r="X296" s="291"/>
      <c r="Y296" s="291"/>
      <c r="Z296" s="291"/>
      <c r="AA296" s="291"/>
      <c r="AB296" s="291"/>
      <c r="AC296" s="291"/>
      <c r="AD296" s="291"/>
      <c r="AE296" s="291"/>
      <c r="AF296" s="291"/>
      <c r="AG296" s="291"/>
    </row>
    <row r="297" ht="18.75" customHeight="1">
      <c r="A297" s="283"/>
      <c r="B297" s="234" t="str">
        <f>'Building Bill of Materials_SLIM'!P297</f>
        <v/>
      </c>
      <c r="C297" s="234" t="str">
        <f>'Building Bill of Materials_SLIM'!Q297</f>
        <v/>
      </c>
      <c r="D297" s="234" t="str">
        <f>'Building Bill of Materials_SLIM'!R297</f>
        <v/>
      </c>
      <c r="E297" s="234" t="str">
        <f>'Building Bill of Materials_SLIM'!S297</f>
        <v/>
      </c>
      <c r="F297" s="234"/>
      <c r="G297" s="234"/>
      <c r="H297" s="234" t="str">
        <f>'Building Bill of Materials_SLIM'!T297</f>
        <v/>
      </c>
      <c r="I297" s="234" t="str">
        <f>'Building Bill of Materials_SLIM'!U297</f>
        <v/>
      </c>
      <c r="J297" s="234" t="str">
        <f>'Building Bill of Materials_SLIM'!V297</f>
        <v/>
      </c>
      <c r="K297" s="192"/>
      <c r="L297" s="242"/>
      <c r="M297" s="242"/>
      <c r="N297" s="291"/>
      <c r="O297" s="291"/>
      <c r="P297" s="291"/>
      <c r="Q297" s="291"/>
      <c r="R297" s="291"/>
      <c r="S297" s="291"/>
      <c r="T297" s="291"/>
      <c r="U297" s="291"/>
      <c r="V297" s="291"/>
      <c r="W297" s="291"/>
      <c r="X297" s="291"/>
      <c r="Y297" s="291"/>
      <c r="Z297" s="291"/>
      <c r="AA297" s="291"/>
      <c r="AB297" s="291"/>
      <c r="AC297" s="291"/>
      <c r="AD297" s="291"/>
      <c r="AE297" s="291"/>
      <c r="AF297" s="291"/>
      <c r="AG297" s="291"/>
    </row>
    <row r="298" ht="18.75" customHeight="1">
      <c r="A298" s="283"/>
      <c r="B298" s="234" t="str">
        <f>'Building Bill of Materials_SLIM'!P298</f>
        <v/>
      </c>
      <c r="C298" s="234" t="str">
        <f>'Building Bill of Materials_SLIM'!Q298</f>
        <v/>
      </c>
      <c r="D298" s="234" t="str">
        <f>'Building Bill of Materials_SLIM'!R298</f>
        <v/>
      </c>
      <c r="E298" s="234" t="str">
        <f>'Building Bill of Materials_SLIM'!S298</f>
        <v/>
      </c>
      <c r="F298" s="234"/>
      <c r="G298" s="234"/>
      <c r="H298" s="234" t="str">
        <f>'Building Bill of Materials_SLIM'!T298</f>
        <v/>
      </c>
      <c r="I298" s="234" t="str">
        <f>'Building Bill of Materials_SLIM'!U298</f>
        <v/>
      </c>
      <c r="J298" s="234" t="str">
        <f>'Building Bill of Materials_SLIM'!V298</f>
        <v/>
      </c>
      <c r="K298" s="192"/>
      <c r="L298" s="242"/>
      <c r="M298" s="242"/>
      <c r="N298" s="291"/>
      <c r="O298" s="291"/>
      <c r="P298" s="291"/>
      <c r="Q298" s="291"/>
      <c r="R298" s="291"/>
      <c r="S298" s="291"/>
      <c r="T298" s="291"/>
      <c r="U298" s="291"/>
      <c r="V298" s="291"/>
      <c r="W298" s="291"/>
      <c r="X298" s="291"/>
      <c r="Y298" s="291"/>
      <c r="Z298" s="291"/>
      <c r="AA298" s="291"/>
      <c r="AB298" s="291"/>
      <c r="AC298" s="291"/>
      <c r="AD298" s="291"/>
      <c r="AE298" s="291"/>
      <c r="AF298" s="291"/>
      <c r="AG298" s="291"/>
    </row>
    <row r="299" ht="18.75" customHeight="1">
      <c r="A299" s="283"/>
      <c r="B299" s="234" t="str">
        <f>'Building Bill of Materials_SLIM'!P299</f>
        <v/>
      </c>
      <c r="C299" s="234" t="str">
        <f>'Building Bill of Materials_SLIM'!Q299</f>
        <v/>
      </c>
      <c r="D299" s="234" t="str">
        <f>'Building Bill of Materials_SLIM'!R299</f>
        <v/>
      </c>
      <c r="E299" s="234" t="str">
        <f>'Building Bill of Materials_SLIM'!S299</f>
        <v/>
      </c>
      <c r="F299" s="234"/>
      <c r="G299" s="234"/>
      <c r="H299" s="234" t="str">
        <f>'Building Bill of Materials_SLIM'!T299</f>
        <v/>
      </c>
      <c r="I299" s="234" t="str">
        <f>'Building Bill of Materials_SLIM'!U299</f>
        <v/>
      </c>
      <c r="J299" s="234" t="str">
        <f>'Building Bill of Materials_SLIM'!V299</f>
        <v/>
      </c>
      <c r="K299" s="192"/>
      <c r="L299" s="242"/>
      <c r="M299" s="242"/>
      <c r="N299" s="291"/>
      <c r="O299" s="291"/>
      <c r="P299" s="291"/>
      <c r="Q299" s="291"/>
      <c r="R299" s="291"/>
      <c r="S299" s="291"/>
      <c r="T299" s="291"/>
      <c r="U299" s="291"/>
      <c r="V299" s="291"/>
      <c r="W299" s="291"/>
      <c r="X299" s="291"/>
      <c r="Y299" s="291"/>
      <c r="Z299" s="291"/>
      <c r="AA299" s="291"/>
      <c r="AB299" s="291"/>
      <c r="AC299" s="291"/>
      <c r="AD299" s="291"/>
      <c r="AE299" s="291"/>
      <c r="AF299" s="291"/>
      <c r="AG299" s="291"/>
    </row>
    <row r="300" ht="18.75" customHeight="1">
      <c r="A300" s="283"/>
      <c r="B300" s="234" t="str">
        <f>'Building Bill of Materials_SLIM'!P300</f>
        <v/>
      </c>
      <c r="C300" s="234" t="str">
        <f>'Building Bill of Materials_SLIM'!Q300</f>
        <v/>
      </c>
      <c r="D300" s="234" t="str">
        <f>'Building Bill of Materials_SLIM'!R300</f>
        <v/>
      </c>
      <c r="E300" s="234" t="str">
        <f>'Building Bill of Materials_SLIM'!S300</f>
        <v/>
      </c>
      <c r="F300" s="234"/>
      <c r="G300" s="234"/>
      <c r="H300" s="234" t="str">
        <f>'Building Bill of Materials_SLIM'!T300</f>
        <v/>
      </c>
      <c r="I300" s="234" t="str">
        <f>'Building Bill of Materials_SLIM'!U300</f>
        <v/>
      </c>
      <c r="J300" s="234" t="str">
        <f>'Building Bill of Materials_SLIM'!V300</f>
        <v/>
      </c>
      <c r="K300" s="192"/>
      <c r="L300" s="242"/>
      <c r="M300" s="242"/>
      <c r="N300" s="291"/>
      <c r="O300" s="291"/>
      <c r="P300" s="291"/>
      <c r="Q300" s="291"/>
      <c r="R300" s="291"/>
      <c r="S300" s="291"/>
      <c r="T300" s="291"/>
      <c r="U300" s="291"/>
      <c r="V300" s="291"/>
      <c r="W300" s="291"/>
      <c r="X300" s="291"/>
      <c r="Y300" s="291"/>
      <c r="Z300" s="291"/>
      <c r="AA300" s="291"/>
      <c r="AB300" s="291"/>
      <c r="AC300" s="291"/>
      <c r="AD300" s="291"/>
      <c r="AE300" s="291"/>
      <c r="AF300" s="291"/>
      <c r="AG300" s="291"/>
    </row>
    <row r="301" ht="18.75" customHeight="1">
      <c r="A301" s="283"/>
      <c r="B301" s="234" t="str">
        <f>'Building Bill of Materials_SLIM'!P301</f>
        <v/>
      </c>
      <c r="C301" s="234" t="str">
        <f>'Building Bill of Materials_SLIM'!Q301</f>
        <v/>
      </c>
      <c r="D301" s="234" t="str">
        <f>'Building Bill of Materials_SLIM'!R301</f>
        <v/>
      </c>
      <c r="E301" s="234" t="str">
        <f>'Building Bill of Materials_SLIM'!S301</f>
        <v/>
      </c>
      <c r="F301" s="234"/>
      <c r="G301" s="234"/>
      <c r="H301" s="234" t="str">
        <f>'Building Bill of Materials_SLIM'!T301</f>
        <v/>
      </c>
      <c r="I301" s="234" t="str">
        <f>'Building Bill of Materials_SLIM'!U301</f>
        <v/>
      </c>
      <c r="J301" s="234" t="str">
        <f>'Building Bill of Materials_SLIM'!V301</f>
        <v/>
      </c>
      <c r="K301" s="192"/>
      <c r="L301" s="242"/>
      <c r="M301" s="242"/>
      <c r="N301" s="291"/>
      <c r="O301" s="291"/>
      <c r="P301" s="291"/>
      <c r="Q301" s="291"/>
      <c r="R301" s="291"/>
      <c r="S301" s="291"/>
      <c r="T301" s="291"/>
      <c r="U301" s="291"/>
      <c r="V301" s="291"/>
      <c r="W301" s="291"/>
      <c r="X301" s="291"/>
      <c r="Y301" s="291"/>
      <c r="Z301" s="291"/>
      <c r="AA301" s="291"/>
      <c r="AB301" s="291"/>
      <c r="AC301" s="291"/>
      <c r="AD301" s="291"/>
      <c r="AE301" s="291"/>
      <c r="AF301" s="291"/>
      <c r="AG301" s="291"/>
    </row>
    <row r="302" ht="18.75" customHeight="1">
      <c r="A302" s="283"/>
      <c r="B302" s="234" t="str">
        <f>'Building Bill of Materials_SLIM'!P302</f>
        <v/>
      </c>
      <c r="C302" s="234" t="str">
        <f>'Building Bill of Materials_SLIM'!Q302</f>
        <v/>
      </c>
      <c r="D302" s="234" t="str">
        <f>'Building Bill of Materials_SLIM'!R302</f>
        <v/>
      </c>
      <c r="E302" s="234" t="str">
        <f>'Building Bill of Materials_SLIM'!S302</f>
        <v/>
      </c>
      <c r="F302" s="234"/>
      <c r="G302" s="234"/>
      <c r="H302" s="234" t="str">
        <f>'Building Bill of Materials_SLIM'!T302</f>
        <v/>
      </c>
      <c r="I302" s="234" t="str">
        <f>'Building Bill of Materials_SLIM'!U302</f>
        <v/>
      </c>
      <c r="J302" s="234" t="str">
        <f>'Building Bill of Materials_SLIM'!V302</f>
        <v/>
      </c>
      <c r="K302" s="192"/>
      <c r="L302" s="242"/>
      <c r="M302" s="242"/>
      <c r="N302" s="291"/>
      <c r="O302" s="291"/>
      <c r="P302" s="291"/>
      <c r="Q302" s="291"/>
      <c r="R302" s="291"/>
      <c r="S302" s="291"/>
      <c r="T302" s="291"/>
      <c r="U302" s="291"/>
      <c r="V302" s="291"/>
      <c r="W302" s="291"/>
      <c r="X302" s="291"/>
      <c r="Y302" s="291"/>
      <c r="Z302" s="291"/>
      <c r="AA302" s="291"/>
      <c r="AB302" s="291"/>
      <c r="AC302" s="291"/>
      <c r="AD302" s="291"/>
      <c r="AE302" s="291"/>
      <c r="AF302" s="291"/>
      <c r="AG302" s="291"/>
    </row>
    <row r="303" ht="18.75" customHeight="1">
      <c r="A303" s="283"/>
      <c r="B303" s="234" t="str">
        <f>'Building Bill of Materials_SLIM'!P303</f>
        <v/>
      </c>
      <c r="C303" s="234" t="str">
        <f>'Building Bill of Materials_SLIM'!Q303</f>
        <v/>
      </c>
      <c r="D303" s="234" t="str">
        <f>'Building Bill of Materials_SLIM'!R303</f>
        <v/>
      </c>
      <c r="E303" s="234" t="str">
        <f>'Building Bill of Materials_SLIM'!S303</f>
        <v/>
      </c>
      <c r="F303" s="234"/>
      <c r="G303" s="234"/>
      <c r="H303" s="234" t="str">
        <f>'Building Bill of Materials_SLIM'!T303</f>
        <v/>
      </c>
      <c r="I303" s="234" t="str">
        <f>'Building Bill of Materials_SLIM'!U303</f>
        <v/>
      </c>
      <c r="J303" s="234" t="str">
        <f>'Building Bill of Materials_SLIM'!V303</f>
        <v/>
      </c>
      <c r="K303" s="192"/>
      <c r="L303" s="242"/>
      <c r="M303" s="242"/>
      <c r="N303" s="291"/>
      <c r="O303" s="291"/>
      <c r="P303" s="291"/>
      <c r="Q303" s="291"/>
      <c r="R303" s="291"/>
      <c r="S303" s="291"/>
      <c r="T303" s="291"/>
      <c r="U303" s="291"/>
      <c r="V303" s="291"/>
      <c r="W303" s="291"/>
      <c r="X303" s="291"/>
      <c r="Y303" s="291"/>
      <c r="Z303" s="291"/>
      <c r="AA303" s="291"/>
      <c r="AB303" s="291"/>
      <c r="AC303" s="291"/>
      <c r="AD303" s="291"/>
      <c r="AE303" s="291"/>
      <c r="AF303" s="291"/>
      <c r="AG303" s="291"/>
    </row>
    <row r="304" ht="18.75" customHeight="1">
      <c r="A304" s="283"/>
      <c r="B304" s="234" t="str">
        <f>'Building Bill of Materials_SLIM'!P304</f>
        <v/>
      </c>
      <c r="C304" s="234" t="str">
        <f>'Building Bill of Materials_SLIM'!Q304</f>
        <v/>
      </c>
      <c r="D304" s="234" t="str">
        <f>'Building Bill of Materials_SLIM'!R304</f>
        <v/>
      </c>
      <c r="E304" s="234" t="str">
        <f>'Building Bill of Materials_SLIM'!S304</f>
        <v/>
      </c>
      <c r="F304" s="234"/>
      <c r="G304" s="234"/>
      <c r="H304" s="234" t="str">
        <f>'Building Bill of Materials_SLIM'!T304</f>
        <v/>
      </c>
      <c r="I304" s="234" t="str">
        <f>'Building Bill of Materials_SLIM'!U304</f>
        <v/>
      </c>
      <c r="J304" s="234" t="str">
        <f>'Building Bill of Materials_SLIM'!V304</f>
        <v/>
      </c>
      <c r="K304" s="192"/>
      <c r="L304" s="242"/>
      <c r="M304" s="242"/>
      <c r="N304" s="291"/>
      <c r="O304" s="291"/>
      <c r="P304" s="291"/>
      <c r="Q304" s="291"/>
      <c r="R304" s="291"/>
      <c r="S304" s="291"/>
      <c r="T304" s="291"/>
      <c r="U304" s="291"/>
      <c r="V304" s="291"/>
      <c r="W304" s="291"/>
      <c r="X304" s="291"/>
      <c r="Y304" s="291"/>
      <c r="Z304" s="291"/>
      <c r="AA304" s="291"/>
      <c r="AB304" s="291"/>
      <c r="AC304" s="291"/>
      <c r="AD304" s="291"/>
      <c r="AE304" s="291"/>
      <c r="AF304" s="291"/>
      <c r="AG304" s="291"/>
    </row>
    <row r="305" ht="18.75" customHeight="1">
      <c r="A305" s="283"/>
      <c r="B305" s="234" t="str">
        <f>'Building Bill of Materials_SLIM'!P305</f>
        <v/>
      </c>
      <c r="C305" s="234" t="str">
        <f>'Building Bill of Materials_SLIM'!Q305</f>
        <v/>
      </c>
      <c r="D305" s="234" t="str">
        <f>'Building Bill of Materials_SLIM'!R305</f>
        <v/>
      </c>
      <c r="E305" s="234" t="str">
        <f>'Building Bill of Materials_SLIM'!S305</f>
        <v/>
      </c>
      <c r="F305" s="234"/>
      <c r="G305" s="234"/>
      <c r="H305" s="234" t="str">
        <f>'Building Bill of Materials_SLIM'!T305</f>
        <v/>
      </c>
      <c r="I305" s="234" t="str">
        <f>'Building Bill of Materials_SLIM'!U305</f>
        <v/>
      </c>
      <c r="J305" s="234" t="str">
        <f>'Building Bill of Materials_SLIM'!V305</f>
        <v/>
      </c>
      <c r="K305" s="192"/>
      <c r="L305" s="242"/>
      <c r="M305" s="242"/>
      <c r="N305" s="291"/>
      <c r="O305" s="291"/>
      <c r="P305" s="291"/>
      <c r="Q305" s="291"/>
      <c r="R305" s="291"/>
      <c r="S305" s="291"/>
      <c r="T305" s="291"/>
      <c r="U305" s="291"/>
      <c r="V305" s="291"/>
      <c r="W305" s="291"/>
      <c r="X305" s="291"/>
      <c r="Y305" s="291"/>
      <c r="Z305" s="291"/>
      <c r="AA305" s="291"/>
      <c r="AB305" s="291"/>
      <c r="AC305" s="291"/>
      <c r="AD305" s="291"/>
      <c r="AE305" s="291"/>
      <c r="AF305" s="291"/>
      <c r="AG305" s="291"/>
    </row>
    <row r="306" ht="18.75" customHeight="1">
      <c r="A306" s="283"/>
      <c r="B306" s="234" t="str">
        <f>'Building Bill of Materials_SLIM'!P306</f>
        <v/>
      </c>
      <c r="C306" s="234" t="str">
        <f>'Building Bill of Materials_SLIM'!Q306</f>
        <v/>
      </c>
      <c r="D306" s="234" t="str">
        <f>'Building Bill of Materials_SLIM'!R306</f>
        <v/>
      </c>
      <c r="E306" s="234" t="str">
        <f>'Building Bill of Materials_SLIM'!S306</f>
        <v/>
      </c>
      <c r="F306" s="234"/>
      <c r="G306" s="234"/>
      <c r="H306" s="234" t="str">
        <f>'Building Bill of Materials_SLIM'!T306</f>
        <v/>
      </c>
      <c r="I306" s="234" t="str">
        <f>'Building Bill of Materials_SLIM'!U306</f>
        <v/>
      </c>
      <c r="J306" s="234" t="str">
        <f>'Building Bill of Materials_SLIM'!V306</f>
        <v/>
      </c>
      <c r="K306" s="192"/>
      <c r="L306" s="242"/>
      <c r="M306" s="242"/>
      <c r="N306" s="291"/>
      <c r="O306" s="291"/>
      <c r="P306" s="291"/>
      <c r="Q306" s="291"/>
      <c r="R306" s="291"/>
      <c r="S306" s="291"/>
      <c r="T306" s="291"/>
      <c r="U306" s="291"/>
      <c r="V306" s="291"/>
      <c r="W306" s="291"/>
      <c r="X306" s="291"/>
      <c r="Y306" s="291"/>
      <c r="Z306" s="291"/>
      <c r="AA306" s="291"/>
      <c r="AB306" s="291"/>
      <c r="AC306" s="291"/>
      <c r="AD306" s="291"/>
      <c r="AE306" s="291"/>
      <c r="AF306" s="291"/>
      <c r="AG306" s="291"/>
    </row>
    <row r="307" ht="18.75" customHeight="1">
      <c r="A307" s="283"/>
      <c r="B307" s="234" t="str">
        <f>'Building Bill of Materials_SLIM'!P307</f>
        <v/>
      </c>
      <c r="C307" s="234" t="str">
        <f>'Building Bill of Materials_SLIM'!Q307</f>
        <v/>
      </c>
      <c r="D307" s="234" t="str">
        <f>'Building Bill of Materials_SLIM'!R307</f>
        <v/>
      </c>
      <c r="E307" s="234" t="str">
        <f>'Building Bill of Materials_SLIM'!S307</f>
        <v/>
      </c>
      <c r="F307" s="234"/>
      <c r="G307" s="234"/>
      <c r="H307" s="234" t="str">
        <f>'Building Bill of Materials_SLIM'!T307</f>
        <v/>
      </c>
      <c r="I307" s="234" t="str">
        <f>'Building Bill of Materials_SLIM'!U307</f>
        <v/>
      </c>
      <c r="J307" s="234" t="str">
        <f>'Building Bill of Materials_SLIM'!V307</f>
        <v/>
      </c>
      <c r="K307" s="192"/>
      <c r="L307" s="242"/>
      <c r="M307" s="242"/>
      <c r="N307" s="291"/>
      <c r="O307" s="291"/>
      <c r="P307" s="291"/>
      <c r="Q307" s="291"/>
      <c r="R307" s="291"/>
      <c r="S307" s="291"/>
      <c r="T307" s="291"/>
      <c r="U307" s="291"/>
      <c r="V307" s="291"/>
      <c r="W307" s="291"/>
      <c r="X307" s="291"/>
      <c r="Y307" s="291"/>
      <c r="Z307" s="291"/>
      <c r="AA307" s="291"/>
      <c r="AB307" s="291"/>
      <c r="AC307" s="291"/>
      <c r="AD307" s="291"/>
      <c r="AE307" s="291"/>
      <c r="AF307" s="291"/>
      <c r="AG307" s="291"/>
    </row>
    <row r="308" ht="18.75" customHeight="1">
      <c r="A308" s="283"/>
      <c r="B308" s="234" t="str">
        <f>'Building Bill of Materials_SLIM'!P308</f>
        <v/>
      </c>
      <c r="C308" s="234" t="str">
        <f>'Building Bill of Materials_SLIM'!Q308</f>
        <v/>
      </c>
      <c r="D308" s="234" t="str">
        <f>'Building Bill of Materials_SLIM'!R308</f>
        <v/>
      </c>
      <c r="E308" s="234" t="str">
        <f>'Building Bill of Materials_SLIM'!S308</f>
        <v/>
      </c>
      <c r="F308" s="234"/>
      <c r="G308" s="234"/>
      <c r="H308" s="234" t="str">
        <f>'Building Bill of Materials_SLIM'!T308</f>
        <v/>
      </c>
      <c r="I308" s="234" t="str">
        <f>'Building Bill of Materials_SLIM'!U308</f>
        <v/>
      </c>
      <c r="J308" s="234" t="str">
        <f>'Building Bill of Materials_SLIM'!V308</f>
        <v/>
      </c>
      <c r="K308" s="192"/>
      <c r="L308" s="242"/>
      <c r="M308" s="242"/>
      <c r="N308" s="291"/>
      <c r="O308" s="291"/>
      <c r="P308" s="291"/>
      <c r="Q308" s="291"/>
      <c r="R308" s="291"/>
      <c r="S308" s="291"/>
      <c r="T308" s="291"/>
      <c r="U308" s="291"/>
      <c r="V308" s="291"/>
      <c r="W308" s="291"/>
      <c r="X308" s="291"/>
      <c r="Y308" s="291"/>
      <c r="Z308" s="291"/>
      <c r="AA308" s="291"/>
      <c r="AB308" s="291"/>
      <c r="AC308" s="291"/>
      <c r="AD308" s="291"/>
      <c r="AE308" s="291"/>
      <c r="AF308" s="291"/>
      <c r="AG308" s="291"/>
    </row>
    <row r="309" ht="18.75" customHeight="1">
      <c r="A309" s="283"/>
      <c r="B309" s="234" t="str">
        <f>'Building Bill of Materials_SLIM'!P309</f>
        <v/>
      </c>
      <c r="C309" s="234" t="str">
        <f>'Building Bill of Materials_SLIM'!Q309</f>
        <v/>
      </c>
      <c r="D309" s="234" t="str">
        <f>'Building Bill of Materials_SLIM'!R309</f>
        <v/>
      </c>
      <c r="E309" s="234" t="str">
        <f>'Building Bill of Materials_SLIM'!S309</f>
        <v/>
      </c>
      <c r="F309" s="234"/>
      <c r="G309" s="234"/>
      <c r="H309" s="234" t="str">
        <f>'Building Bill of Materials_SLIM'!T309</f>
        <v/>
      </c>
      <c r="I309" s="234" t="str">
        <f>'Building Bill of Materials_SLIM'!U309</f>
        <v/>
      </c>
      <c r="J309" s="234" t="str">
        <f>'Building Bill of Materials_SLIM'!V309</f>
        <v/>
      </c>
      <c r="K309" s="192"/>
      <c r="L309" s="242"/>
      <c r="M309" s="242"/>
      <c r="N309" s="291"/>
      <c r="O309" s="291"/>
      <c r="P309" s="291"/>
      <c r="Q309" s="291"/>
      <c r="R309" s="291"/>
      <c r="S309" s="291"/>
      <c r="T309" s="291"/>
      <c r="U309" s="291"/>
      <c r="V309" s="291"/>
      <c r="W309" s="291"/>
      <c r="X309" s="291"/>
      <c r="Y309" s="291"/>
      <c r="Z309" s="291"/>
      <c r="AA309" s="291"/>
      <c r="AB309" s="291"/>
      <c r="AC309" s="291"/>
      <c r="AD309" s="291"/>
      <c r="AE309" s="291"/>
      <c r="AF309" s="291"/>
      <c r="AG309" s="291"/>
    </row>
    <row r="310" ht="18.75" customHeight="1">
      <c r="A310" s="283"/>
      <c r="B310" s="234" t="str">
        <f>'Building Bill of Materials_SLIM'!P310</f>
        <v/>
      </c>
      <c r="C310" s="234" t="str">
        <f>'Building Bill of Materials_SLIM'!Q310</f>
        <v/>
      </c>
      <c r="D310" s="234" t="str">
        <f>'Building Bill of Materials_SLIM'!R310</f>
        <v/>
      </c>
      <c r="E310" s="234" t="str">
        <f>'Building Bill of Materials_SLIM'!S310</f>
        <v/>
      </c>
      <c r="F310" s="234"/>
      <c r="G310" s="234"/>
      <c r="H310" s="234" t="str">
        <f>'Building Bill of Materials_SLIM'!T310</f>
        <v/>
      </c>
      <c r="I310" s="234" t="str">
        <f>'Building Bill of Materials_SLIM'!U310</f>
        <v/>
      </c>
      <c r="J310" s="234" t="str">
        <f>'Building Bill of Materials_SLIM'!V310</f>
        <v/>
      </c>
      <c r="K310" s="192"/>
      <c r="L310" s="242"/>
      <c r="M310" s="242"/>
      <c r="N310" s="291"/>
      <c r="O310" s="291"/>
      <c r="P310" s="291"/>
      <c r="Q310" s="291"/>
      <c r="R310" s="291"/>
      <c r="S310" s="291"/>
      <c r="T310" s="291"/>
      <c r="U310" s="291"/>
      <c r="V310" s="291"/>
      <c r="W310" s="291"/>
      <c r="X310" s="291"/>
      <c r="Y310" s="291"/>
      <c r="Z310" s="291"/>
      <c r="AA310" s="291"/>
      <c r="AB310" s="291"/>
      <c r="AC310" s="291"/>
      <c r="AD310" s="291"/>
      <c r="AE310" s="291"/>
      <c r="AF310" s="291"/>
      <c r="AG310" s="291"/>
    </row>
    <row r="311" ht="18.75" customHeight="1">
      <c r="A311" s="283"/>
      <c r="B311" s="234" t="str">
        <f>'Building Bill of Materials_SLIM'!P311</f>
        <v/>
      </c>
      <c r="C311" s="234" t="str">
        <f>'Building Bill of Materials_SLIM'!Q311</f>
        <v/>
      </c>
      <c r="D311" s="234" t="str">
        <f>'Building Bill of Materials_SLIM'!R311</f>
        <v/>
      </c>
      <c r="E311" s="234" t="str">
        <f>'Building Bill of Materials_SLIM'!S311</f>
        <v/>
      </c>
      <c r="F311" s="234"/>
      <c r="G311" s="234"/>
      <c r="H311" s="234" t="str">
        <f>'Building Bill of Materials_SLIM'!T311</f>
        <v/>
      </c>
      <c r="I311" s="234" t="str">
        <f>'Building Bill of Materials_SLIM'!U311</f>
        <v/>
      </c>
      <c r="J311" s="234" t="str">
        <f>'Building Bill of Materials_SLIM'!V311</f>
        <v/>
      </c>
      <c r="K311" s="192"/>
      <c r="L311" s="242"/>
      <c r="M311" s="242"/>
      <c r="N311" s="291"/>
      <c r="O311" s="291"/>
      <c r="P311" s="291"/>
      <c r="Q311" s="291"/>
      <c r="R311" s="291"/>
      <c r="S311" s="291"/>
      <c r="T311" s="291"/>
      <c r="U311" s="291"/>
      <c r="V311" s="291"/>
      <c r="W311" s="291"/>
      <c r="X311" s="291"/>
      <c r="Y311" s="291"/>
      <c r="Z311" s="291"/>
      <c r="AA311" s="291"/>
      <c r="AB311" s="291"/>
      <c r="AC311" s="291"/>
      <c r="AD311" s="291"/>
      <c r="AE311" s="291"/>
      <c r="AF311" s="291"/>
      <c r="AG311" s="291"/>
    </row>
    <row r="312" ht="18.75" customHeight="1">
      <c r="A312" s="283"/>
      <c r="B312" s="234" t="str">
        <f>'Building Bill of Materials_SLIM'!P312</f>
        <v/>
      </c>
      <c r="C312" s="234" t="str">
        <f>'Building Bill of Materials_SLIM'!Q312</f>
        <v/>
      </c>
      <c r="D312" s="234" t="str">
        <f>'Building Bill of Materials_SLIM'!R312</f>
        <v/>
      </c>
      <c r="E312" s="234" t="str">
        <f>'Building Bill of Materials_SLIM'!S312</f>
        <v/>
      </c>
      <c r="F312" s="234"/>
      <c r="G312" s="234"/>
      <c r="H312" s="234" t="str">
        <f>'Building Bill of Materials_SLIM'!T312</f>
        <v/>
      </c>
      <c r="I312" s="234" t="str">
        <f>'Building Bill of Materials_SLIM'!U312</f>
        <v/>
      </c>
      <c r="J312" s="234" t="str">
        <f>'Building Bill of Materials_SLIM'!V312</f>
        <v/>
      </c>
      <c r="K312" s="192"/>
      <c r="L312" s="242"/>
      <c r="M312" s="242"/>
      <c r="N312" s="291"/>
      <c r="O312" s="291"/>
      <c r="P312" s="291"/>
      <c r="Q312" s="291"/>
      <c r="R312" s="291"/>
      <c r="S312" s="291"/>
      <c r="T312" s="291"/>
      <c r="U312" s="291"/>
      <c r="V312" s="291"/>
      <c r="W312" s="291"/>
      <c r="X312" s="291"/>
      <c r="Y312" s="291"/>
      <c r="Z312" s="291"/>
      <c r="AA312" s="291"/>
      <c r="AB312" s="291"/>
      <c r="AC312" s="291"/>
      <c r="AD312" s="291"/>
      <c r="AE312" s="291"/>
      <c r="AF312" s="291"/>
      <c r="AG312" s="291"/>
    </row>
    <row r="313" ht="18.75" customHeight="1">
      <c r="A313" s="283"/>
      <c r="B313" s="234" t="str">
        <f>'Building Bill of Materials_SLIM'!P313</f>
        <v/>
      </c>
      <c r="C313" s="234" t="str">
        <f>'Building Bill of Materials_SLIM'!Q313</f>
        <v/>
      </c>
      <c r="D313" s="234" t="str">
        <f>'Building Bill of Materials_SLIM'!R313</f>
        <v/>
      </c>
      <c r="E313" s="234" t="str">
        <f>'Building Bill of Materials_SLIM'!S313</f>
        <v/>
      </c>
      <c r="F313" s="234"/>
      <c r="G313" s="234"/>
      <c r="H313" s="234" t="str">
        <f>'Building Bill of Materials_SLIM'!T313</f>
        <v/>
      </c>
      <c r="I313" s="234" t="str">
        <f>'Building Bill of Materials_SLIM'!U313</f>
        <v/>
      </c>
      <c r="J313" s="234" t="str">
        <f>'Building Bill of Materials_SLIM'!V313</f>
        <v/>
      </c>
      <c r="K313" s="192"/>
      <c r="L313" s="242"/>
      <c r="M313" s="242"/>
      <c r="N313" s="291"/>
      <c r="O313" s="291"/>
      <c r="P313" s="291"/>
      <c r="Q313" s="291"/>
      <c r="R313" s="291"/>
      <c r="S313" s="291"/>
      <c r="T313" s="291"/>
      <c r="U313" s="291"/>
      <c r="V313" s="291"/>
      <c r="W313" s="291"/>
      <c r="X313" s="291"/>
      <c r="Y313" s="291"/>
      <c r="Z313" s="291"/>
      <c r="AA313" s="291"/>
      <c r="AB313" s="291"/>
      <c r="AC313" s="291"/>
      <c r="AD313" s="291"/>
      <c r="AE313" s="291"/>
      <c r="AF313" s="291"/>
      <c r="AG313" s="291"/>
    </row>
    <row r="314" ht="18.75" customHeight="1">
      <c r="A314" s="283"/>
      <c r="B314" s="234" t="str">
        <f>'Building Bill of Materials_SLIM'!P314</f>
        <v/>
      </c>
      <c r="C314" s="234" t="str">
        <f>'Building Bill of Materials_SLIM'!Q314</f>
        <v/>
      </c>
      <c r="D314" s="234" t="str">
        <f>'Building Bill of Materials_SLIM'!R314</f>
        <v/>
      </c>
      <c r="E314" s="234" t="str">
        <f>'Building Bill of Materials_SLIM'!S314</f>
        <v/>
      </c>
      <c r="F314" s="234"/>
      <c r="G314" s="234"/>
      <c r="H314" s="234" t="str">
        <f>'Building Bill of Materials_SLIM'!T314</f>
        <v/>
      </c>
      <c r="I314" s="234" t="str">
        <f>'Building Bill of Materials_SLIM'!U314</f>
        <v/>
      </c>
      <c r="J314" s="234" t="str">
        <f>'Building Bill of Materials_SLIM'!V314</f>
        <v/>
      </c>
      <c r="K314" s="192"/>
      <c r="L314" s="242"/>
      <c r="M314" s="242"/>
      <c r="N314" s="291"/>
      <c r="O314" s="291"/>
      <c r="P314" s="291"/>
      <c r="Q314" s="291"/>
      <c r="R314" s="291"/>
      <c r="S314" s="291"/>
      <c r="T314" s="291"/>
      <c r="U314" s="291"/>
      <c r="V314" s="291"/>
      <c r="W314" s="291"/>
      <c r="X314" s="291"/>
      <c r="Y314" s="291"/>
      <c r="Z314" s="291"/>
      <c r="AA314" s="291"/>
      <c r="AB314" s="291"/>
      <c r="AC314" s="291"/>
      <c r="AD314" s="291"/>
      <c r="AE314" s="291"/>
      <c r="AF314" s="291"/>
      <c r="AG314" s="291"/>
    </row>
    <row r="315" ht="18.75" customHeight="1">
      <c r="A315" s="283"/>
      <c r="B315" s="234" t="str">
        <f>'Building Bill of Materials_SLIM'!P315</f>
        <v/>
      </c>
      <c r="C315" s="234" t="str">
        <f>'Building Bill of Materials_SLIM'!Q315</f>
        <v/>
      </c>
      <c r="D315" s="234" t="str">
        <f>'Building Bill of Materials_SLIM'!R315</f>
        <v/>
      </c>
      <c r="E315" s="234" t="str">
        <f>'Building Bill of Materials_SLIM'!S315</f>
        <v/>
      </c>
      <c r="F315" s="234"/>
      <c r="G315" s="234"/>
      <c r="H315" s="234" t="str">
        <f>'Building Bill of Materials_SLIM'!T315</f>
        <v/>
      </c>
      <c r="I315" s="234" t="str">
        <f>'Building Bill of Materials_SLIM'!U315</f>
        <v/>
      </c>
      <c r="J315" s="234" t="str">
        <f>'Building Bill of Materials_SLIM'!V315</f>
        <v/>
      </c>
      <c r="K315" s="192"/>
      <c r="L315" s="242"/>
      <c r="M315" s="242"/>
      <c r="N315" s="291"/>
      <c r="O315" s="291"/>
      <c r="P315" s="291"/>
      <c r="Q315" s="291"/>
      <c r="R315" s="291"/>
      <c r="S315" s="291"/>
      <c r="T315" s="291"/>
      <c r="U315" s="291"/>
      <c r="V315" s="291"/>
      <c r="W315" s="291"/>
      <c r="X315" s="291"/>
      <c r="Y315" s="291"/>
      <c r="Z315" s="291"/>
      <c r="AA315" s="291"/>
      <c r="AB315" s="291"/>
      <c r="AC315" s="291"/>
      <c r="AD315" s="291"/>
      <c r="AE315" s="291"/>
      <c r="AF315" s="291"/>
      <c r="AG315" s="291"/>
    </row>
    <row r="316" ht="18.75" customHeight="1">
      <c r="A316" s="283"/>
      <c r="B316" s="234" t="str">
        <f>'Building Bill of Materials_SLIM'!P316</f>
        <v/>
      </c>
      <c r="C316" s="234" t="str">
        <f>'Building Bill of Materials_SLIM'!Q316</f>
        <v/>
      </c>
      <c r="D316" s="234" t="str">
        <f>'Building Bill of Materials_SLIM'!R316</f>
        <v/>
      </c>
      <c r="E316" s="234" t="str">
        <f>'Building Bill of Materials_SLIM'!S316</f>
        <v/>
      </c>
      <c r="F316" s="234"/>
      <c r="G316" s="234"/>
      <c r="H316" s="234" t="str">
        <f>'Building Bill of Materials_SLIM'!T316</f>
        <v/>
      </c>
      <c r="I316" s="234" t="str">
        <f>'Building Bill of Materials_SLIM'!U316</f>
        <v/>
      </c>
      <c r="J316" s="234" t="str">
        <f>'Building Bill of Materials_SLIM'!V316</f>
        <v/>
      </c>
      <c r="K316" s="192"/>
      <c r="L316" s="242"/>
      <c r="M316" s="242"/>
      <c r="N316" s="291"/>
      <c r="O316" s="291"/>
      <c r="P316" s="291"/>
      <c r="Q316" s="291"/>
      <c r="R316" s="291"/>
      <c r="S316" s="291"/>
      <c r="T316" s="291"/>
      <c r="U316" s="291"/>
      <c r="V316" s="291"/>
      <c r="W316" s="291"/>
      <c r="X316" s="291"/>
      <c r="Y316" s="291"/>
      <c r="Z316" s="291"/>
      <c r="AA316" s="291"/>
      <c r="AB316" s="291"/>
      <c r="AC316" s="291"/>
      <c r="AD316" s="291"/>
      <c r="AE316" s="291"/>
      <c r="AF316" s="291"/>
      <c r="AG316" s="291"/>
    </row>
    <row r="317" ht="18.75" customHeight="1">
      <c r="A317" s="283"/>
      <c r="B317" s="234" t="str">
        <f>'Building Bill of Materials_SLIM'!P317</f>
        <v/>
      </c>
      <c r="C317" s="234" t="str">
        <f>'Building Bill of Materials_SLIM'!Q317</f>
        <v/>
      </c>
      <c r="D317" s="234" t="str">
        <f>'Building Bill of Materials_SLIM'!R317</f>
        <v/>
      </c>
      <c r="E317" s="234" t="str">
        <f>'Building Bill of Materials_SLIM'!S317</f>
        <v/>
      </c>
      <c r="F317" s="234"/>
      <c r="G317" s="234"/>
      <c r="H317" s="234" t="str">
        <f>'Building Bill of Materials_SLIM'!T317</f>
        <v/>
      </c>
      <c r="I317" s="234" t="str">
        <f>'Building Bill of Materials_SLIM'!U317</f>
        <v/>
      </c>
      <c r="J317" s="234" t="str">
        <f>'Building Bill of Materials_SLIM'!V317</f>
        <v/>
      </c>
      <c r="K317" s="192"/>
      <c r="L317" s="242"/>
      <c r="M317" s="242"/>
      <c r="N317" s="291"/>
      <c r="O317" s="291"/>
      <c r="P317" s="291"/>
      <c r="Q317" s="291"/>
      <c r="R317" s="291"/>
      <c r="S317" s="291"/>
      <c r="T317" s="291"/>
      <c r="U317" s="291"/>
      <c r="V317" s="291"/>
      <c r="W317" s="291"/>
      <c r="X317" s="291"/>
      <c r="Y317" s="291"/>
      <c r="Z317" s="291"/>
      <c r="AA317" s="291"/>
      <c r="AB317" s="291"/>
      <c r="AC317" s="291"/>
      <c r="AD317" s="291"/>
      <c r="AE317" s="291"/>
      <c r="AF317" s="291"/>
      <c r="AG317" s="291"/>
    </row>
    <row r="318" ht="18.75" customHeight="1">
      <c r="A318" s="283"/>
      <c r="B318" s="234" t="str">
        <f>'Building Bill of Materials_SLIM'!P318</f>
        <v/>
      </c>
      <c r="C318" s="234" t="str">
        <f>'Building Bill of Materials_SLIM'!Q318</f>
        <v/>
      </c>
      <c r="D318" s="234" t="str">
        <f>'Building Bill of Materials_SLIM'!R318</f>
        <v/>
      </c>
      <c r="E318" s="234" t="str">
        <f>'Building Bill of Materials_SLIM'!S318</f>
        <v/>
      </c>
      <c r="F318" s="234"/>
      <c r="G318" s="234"/>
      <c r="H318" s="234" t="str">
        <f>'Building Bill of Materials_SLIM'!T318</f>
        <v/>
      </c>
      <c r="I318" s="234" t="str">
        <f>'Building Bill of Materials_SLIM'!U318</f>
        <v/>
      </c>
      <c r="J318" s="234" t="str">
        <f>'Building Bill of Materials_SLIM'!V318</f>
        <v/>
      </c>
      <c r="K318" s="192"/>
      <c r="L318" s="242"/>
      <c r="M318" s="242"/>
      <c r="N318" s="291"/>
      <c r="O318" s="291"/>
      <c r="P318" s="291"/>
      <c r="Q318" s="291"/>
      <c r="R318" s="291"/>
      <c r="S318" s="291"/>
      <c r="T318" s="291"/>
      <c r="U318" s="291"/>
      <c r="V318" s="291"/>
      <c r="W318" s="291"/>
      <c r="X318" s="291"/>
      <c r="Y318" s="291"/>
      <c r="Z318" s="291"/>
      <c r="AA318" s="291"/>
      <c r="AB318" s="291"/>
      <c r="AC318" s="291"/>
      <c r="AD318" s="291"/>
      <c r="AE318" s="291"/>
      <c r="AF318" s="291"/>
      <c r="AG318" s="291"/>
    </row>
    <row r="319" ht="18.75" customHeight="1">
      <c r="A319" s="283"/>
      <c r="B319" s="234" t="str">
        <f>'Building Bill of Materials_SLIM'!P319</f>
        <v/>
      </c>
      <c r="C319" s="234" t="str">
        <f>'Building Bill of Materials_SLIM'!Q319</f>
        <v/>
      </c>
      <c r="D319" s="234" t="str">
        <f>'Building Bill of Materials_SLIM'!R319</f>
        <v/>
      </c>
      <c r="E319" s="234" t="str">
        <f>'Building Bill of Materials_SLIM'!S319</f>
        <v/>
      </c>
      <c r="F319" s="234"/>
      <c r="G319" s="234"/>
      <c r="H319" s="234" t="str">
        <f>'Building Bill of Materials_SLIM'!T319</f>
        <v/>
      </c>
      <c r="I319" s="234" t="str">
        <f>'Building Bill of Materials_SLIM'!U319</f>
        <v/>
      </c>
      <c r="J319" s="234" t="str">
        <f>'Building Bill of Materials_SLIM'!V319</f>
        <v/>
      </c>
      <c r="K319" s="192"/>
      <c r="L319" s="242"/>
      <c r="M319" s="242"/>
      <c r="N319" s="291"/>
      <c r="O319" s="291"/>
      <c r="P319" s="291"/>
      <c r="Q319" s="291"/>
      <c r="R319" s="291"/>
      <c r="S319" s="291"/>
      <c r="T319" s="291"/>
      <c r="U319" s="291"/>
      <c r="V319" s="291"/>
      <c r="W319" s="291"/>
      <c r="X319" s="291"/>
      <c r="Y319" s="291"/>
      <c r="Z319" s="291"/>
      <c r="AA319" s="291"/>
      <c r="AB319" s="291"/>
      <c r="AC319" s="291"/>
      <c r="AD319" s="291"/>
      <c r="AE319" s="291"/>
      <c r="AF319" s="291"/>
      <c r="AG319" s="291"/>
    </row>
    <row r="320" ht="18.75" customHeight="1">
      <c r="A320" s="283"/>
      <c r="B320" s="234" t="str">
        <f>'Building Bill of Materials_SLIM'!P320</f>
        <v/>
      </c>
      <c r="C320" s="234" t="str">
        <f>'Building Bill of Materials_SLIM'!Q320</f>
        <v/>
      </c>
      <c r="D320" s="234" t="str">
        <f>'Building Bill of Materials_SLIM'!R320</f>
        <v/>
      </c>
      <c r="E320" s="234" t="str">
        <f>'Building Bill of Materials_SLIM'!S320</f>
        <v/>
      </c>
      <c r="F320" s="234"/>
      <c r="G320" s="234"/>
      <c r="H320" s="234" t="str">
        <f>'Building Bill of Materials_SLIM'!T320</f>
        <v/>
      </c>
      <c r="I320" s="234" t="str">
        <f>'Building Bill of Materials_SLIM'!U320</f>
        <v/>
      </c>
      <c r="J320" s="234" t="str">
        <f>'Building Bill of Materials_SLIM'!V320</f>
        <v/>
      </c>
      <c r="K320" s="192"/>
      <c r="L320" s="242"/>
      <c r="M320" s="242"/>
      <c r="N320" s="291"/>
      <c r="O320" s="291"/>
      <c r="P320" s="291"/>
      <c r="Q320" s="291"/>
      <c r="R320" s="291"/>
      <c r="S320" s="291"/>
      <c r="T320" s="291"/>
      <c r="U320" s="291"/>
      <c r="V320" s="291"/>
      <c r="W320" s="291"/>
      <c r="X320" s="291"/>
      <c r="Y320" s="291"/>
      <c r="Z320" s="291"/>
      <c r="AA320" s="291"/>
      <c r="AB320" s="291"/>
      <c r="AC320" s="291"/>
      <c r="AD320" s="291"/>
      <c r="AE320" s="291"/>
      <c r="AF320" s="291"/>
      <c r="AG320" s="291"/>
    </row>
    <row r="321" ht="18.75" customHeight="1">
      <c r="A321" s="283"/>
      <c r="B321" s="234" t="str">
        <f>'Building Bill of Materials_SLIM'!P321</f>
        <v/>
      </c>
      <c r="C321" s="234" t="str">
        <f>'Building Bill of Materials_SLIM'!Q321</f>
        <v/>
      </c>
      <c r="D321" s="234" t="str">
        <f>'Building Bill of Materials_SLIM'!R321</f>
        <v/>
      </c>
      <c r="E321" s="234" t="str">
        <f>'Building Bill of Materials_SLIM'!S321</f>
        <v/>
      </c>
      <c r="F321" s="234"/>
      <c r="G321" s="234"/>
      <c r="H321" s="234" t="str">
        <f>'Building Bill of Materials_SLIM'!T321</f>
        <v/>
      </c>
      <c r="I321" s="234" t="str">
        <f>'Building Bill of Materials_SLIM'!U321</f>
        <v/>
      </c>
      <c r="J321" s="234" t="str">
        <f>'Building Bill of Materials_SLIM'!V321</f>
        <v/>
      </c>
      <c r="K321" s="192"/>
      <c r="L321" s="242"/>
      <c r="M321" s="242"/>
      <c r="N321" s="291"/>
      <c r="O321" s="291"/>
      <c r="P321" s="291"/>
      <c r="Q321" s="291"/>
      <c r="R321" s="291"/>
      <c r="S321" s="291"/>
      <c r="T321" s="291"/>
      <c r="U321" s="291"/>
      <c r="V321" s="291"/>
      <c r="W321" s="291"/>
      <c r="X321" s="291"/>
      <c r="Y321" s="291"/>
      <c r="Z321" s="291"/>
      <c r="AA321" s="291"/>
      <c r="AB321" s="291"/>
      <c r="AC321" s="291"/>
      <c r="AD321" s="291"/>
      <c r="AE321" s="291"/>
      <c r="AF321" s="291"/>
      <c r="AG321" s="291"/>
    </row>
    <row r="322" ht="18.75" customHeight="1">
      <c r="A322" s="283"/>
      <c r="B322" s="234" t="str">
        <f>'Building Bill of Materials_SLIM'!P322</f>
        <v/>
      </c>
      <c r="C322" s="234" t="str">
        <f>'Building Bill of Materials_SLIM'!Q322</f>
        <v/>
      </c>
      <c r="D322" s="234" t="str">
        <f>'Building Bill of Materials_SLIM'!R322</f>
        <v/>
      </c>
      <c r="E322" s="234" t="str">
        <f>'Building Bill of Materials_SLIM'!S322</f>
        <v/>
      </c>
      <c r="F322" s="234"/>
      <c r="G322" s="234"/>
      <c r="H322" s="234" t="str">
        <f>'Building Bill of Materials_SLIM'!T322</f>
        <v/>
      </c>
      <c r="I322" s="234" t="str">
        <f>'Building Bill of Materials_SLIM'!U322</f>
        <v/>
      </c>
      <c r="J322" s="234" t="str">
        <f>'Building Bill of Materials_SLIM'!V322</f>
        <v/>
      </c>
      <c r="K322" s="192"/>
      <c r="L322" s="242"/>
      <c r="M322" s="242"/>
      <c r="N322" s="291"/>
      <c r="O322" s="291"/>
      <c r="P322" s="291"/>
      <c r="Q322" s="291"/>
      <c r="R322" s="291"/>
      <c r="S322" s="291"/>
      <c r="T322" s="291"/>
      <c r="U322" s="291"/>
      <c r="V322" s="291"/>
      <c r="W322" s="291"/>
      <c r="X322" s="291"/>
      <c r="Y322" s="291"/>
      <c r="Z322" s="291"/>
      <c r="AA322" s="291"/>
      <c r="AB322" s="291"/>
      <c r="AC322" s="291"/>
      <c r="AD322" s="291"/>
      <c r="AE322" s="291"/>
      <c r="AF322" s="291"/>
      <c r="AG322" s="291"/>
    </row>
    <row r="323" ht="18.75" customHeight="1">
      <c r="A323" s="283"/>
      <c r="B323" s="234" t="str">
        <f>'Building Bill of Materials_SLIM'!P323</f>
        <v/>
      </c>
      <c r="C323" s="234" t="str">
        <f>'Building Bill of Materials_SLIM'!Q323</f>
        <v/>
      </c>
      <c r="D323" s="234" t="str">
        <f>'Building Bill of Materials_SLIM'!R323</f>
        <v/>
      </c>
      <c r="E323" s="234" t="str">
        <f>'Building Bill of Materials_SLIM'!S323</f>
        <v/>
      </c>
      <c r="F323" s="234"/>
      <c r="G323" s="234"/>
      <c r="H323" s="234" t="str">
        <f>'Building Bill of Materials_SLIM'!T323</f>
        <v/>
      </c>
      <c r="I323" s="234" t="str">
        <f>'Building Bill of Materials_SLIM'!U323</f>
        <v/>
      </c>
      <c r="J323" s="234" t="str">
        <f>'Building Bill of Materials_SLIM'!V323</f>
        <v/>
      </c>
      <c r="K323" s="192"/>
      <c r="L323" s="242"/>
      <c r="M323" s="242"/>
      <c r="N323" s="291"/>
      <c r="O323" s="291"/>
      <c r="P323" s="291"/>
      <c r="Q323" s="291"/>
      <c r="R323" s="291"/>
      <c r="S323" s="291"/>
      <c r="T323" s="291"/>
      <c r="U323" s="291"/>
      <c r="V323" s="291"/>
      <c r="W323" s="291"/>
      <c r="X323" s="291"/>
      <c r="Y323" s="291"/>
      <c r="Z323" s="291"/>
      <c r="AA323" s="291"/>
      <c r="AB323" s="291"/>
      <c r="AC323" s="291"/>
      <c r="AD323" s="291"/>
      <c r="AE323" s="291"/>
      <c r="AF323" s="291"/>
      <c r="AG323" s="291"/>
    </row>
    <row r="324" ht="18.75" customHeight="1">
      <c r="A324" s="283"/>
      <c r="B324" s="234" t="str">
        <f>'Building Bill of Materials_SLIM'!P324</f>
        <v/>
      </c>
      <c r="C324" s="234" t="str">
        <f>'Building Bill of Materials_SLIM'!Q324</f>
        <v/>
      </c>
      <c r="D324" s="234" t="str">
        <f>'Building Bill of Materials_SLIM'!R324</f>
        <v/>
      </c>
      <c r="E324" s="234" t="str">
        <f>'Building Bill of Materials_SLIM'!S324</f>
        <v/>
      </c>
      <c r="F324" s="234"/>
      <c r="G324" s="234"/>
      <c r="H324" s="234" t="str">
        <f>'Building Bill of Materials_SLIM'!T324</f>
        <v/>
      </c>
      <c r="I324" s="234" t="str">
        <f>'Building Bill of Materials_SLIM'!U324</f>
        <v/>
      </c>
      <c r="J324" s="234" t="str">
        <f>'Building Bill of Materials_SLIM'!V324</f>
        <v/>
      </c>
      <c r="K324" s="192"/>
      <c r="L324" s="242"/>
      <c r="M324" s="242"/>
      <c r="N324" s="291"/>
      <c r="O324" s="291"/>
      <c r="P324" s="291"/>
      <c r="Q324" s="291"/>
      <c r="R324" s="291"/>
      <c r="S324" s="291"/>
      <c r="T324" s="291"/>
      <c r="U324" s="291"/>
      <c r="V324" s="291"/>
      <c r="W324" s="291"/>
      <c r="X324" s="291"/>
      <c r="Y324" s="291"/>
      <c r="Z324" s="291"/>
      <c r="AA324" s="291"/>
      <c r="AB324" s="291"/>
      <c r="AC324" s="291"/>
      <c r="AD324" s="291"/>
      <c r="AE324" s="291"/>
      <c r="AF324" s="291"/>
      <c r="AG324" s="291"/>
    </row>
    <row r="325" ht="18.75" customHeight="1">
      <c r="A325" s="283"/>
      <c r="B325" s="234" t="str">
        <f>'Building Bill of Materials_SLIM'!P325</f>
        <v/>
      </c>
      <c r="C325" s="234" t="str">
        <f>'Building Bill of Materials_SLIM'!Q325</f>
        <v/>
      </c>
      <c r="D325" s="234" t="str">
        <f>'Building Bill of Materials_SLIM'!R325</f>
        <v/>
      </c>
      <c r="E325" s="234" t="str">
        <f>'Building Bill of Materials_SLIM'!S325</f>
        <v/>
      </c>
      <c r="F325" s="234"/>
      <c r="G325" s="234"/>
      <c r="H325" s="234" t="str">
        <f>'Building Bill of Materials_SLIM'!T325</f>
        <v/>
      </c>
      <c r="I325" s="234" t="str">
        <f>'Building Bill of Materials_SLIM'!U325</f>
        <v/>
      </c>
      <c r="J325" s="234" t="str">
        <f>'Building Bill of Materials_SLIM'!V325</f>
        <v/>
      </c>
      <c r="K325" s="192"/>
      <c r="L325" s="242"/>
      <c r="M325" s="242"/>
      <c r="N325" s="291"/>
      <c r="O325" s="291"/>
      <c r="P325" s="291"/>
      <c r="Q325" s="291"/>
      <c r="R325" s="291"/>
      <c r="S325" s="291"/>
      <c r="T325" s="291"/>
      <c r="U325" s="291"/>
      <c r="V325" s="291"/>
      <c r="W325" s="291"/>
      <c r="X325" s="291"/>
      <c r="Y325" s="291"/>
      <c r="Z325" s="291"/>
      <c r="AA325" s="291"/>
      <c r="AB325" s="291"/>
      <c r="AC325" s="291"/>
      <c r="AD325" s="291"/>
      <c r="AE325" s="291"/>
      <c r="AF325" s="291"/>
      <c r="AG325" s="291"/>
    </row>
    <row r="326" ht="18.75" customHeight="1">
      <c r="A326" s="283"/>
      <c r="B326" s="234" t="str">
        <f>'Building Bill of Materials_SLIM'!P326</f>
        <v/>
      </c>
      <c r="C326" s="234" t="str">
        <f>'Building Bill of Materials_SLIM'!Q326</f>
        <v/>
      </c>
      <c r="D326" s="234" t="str">
        <f>'Building Bill of Materials_SLIM'!R326</f>
        <v/>
      </c>
      <c r="E326" s="234" t="str">
        <f>'Building Bill of Materials_SLIM'!S326</f>
        <v/>
      </c>
      <c r="F326" s="234"/>
      <c r="G326" s="234"/>
      <c r="H326" s="234" t="str">
        <f>'Building Bill of Materials_SLIM'!T326</f>
        <v/>
      </c>
      <c r="I326" s="234" t="str">
        <f>'Building Bill of Materials_SLIM'!U326</f>
        <v/>
      </c>
      <c r="J326" s="234" t="str">
        <f>'Building Bill of Materials_SLIM'!V326</f>
        <v/>
      </c>
      <c r="K326" s="192"/>
      <c r="L326" s="242"/>
      <c r="M326" s="242"/>
      <c r="N326" s="291"/>
      <c r="O326" s="291"/>
      <c r="P326" s="291"/>
      <c r="Q326" s="291"/>
      <c r="R326" s="291"/>
      <c r="S326" s="291"/>
      <c r="T326" s="291"/>
      <c r="U326" s="291"/>
      <c r="V326" s="291"/>
      <c r="W326" s="291"/>
      <c r="X326" s="291"/>
      <c r="Y326" s="291"/>
      <c r="Z326" s="291"/>
      <c r="AA326" s="291"/>
      <c r="AB326" s="291"/>
      <c r="AC326" s="291"/>
      <c r="AD326" s="291"/>
      <c r="AE326" s="291"/>
      <c r="AF326" s="291"/>
      <c r="AG326" s="291"/>
    </row>
    <row r="327" ht="18.75" customHeight="1">
      <c r="A327" s="283"/>
      <c r="B327" s="234" t="str">
        <f>'Building Bill of Materials_SLIM'!P327</f>
        <v/>
      </c>
      <c r="C327" s="234" t="str">
        <f>'Building Bill of Materials_SLIM'!Q327</f>
        <v/>
      </c>
      <c r="D327" s="234" t="str">
        <f>'Building Bill of Materials_SLIM'!R327</f>
        <v/>
      </c>
      <c r="E327" s="234" t="str">
        <f>'Building Bill of Materials_SLIM'!S327</f>
        <v/>
      </c>
      <c r="F327" s="234"/>
      <c r="G327" s="234"/>
      <c r="H327" s="234" t="str">
        <f>'Building Bill of Materials_SLIM'!T327</f>
        <v/>
      </c>
      <c r="I327" s="234" t="str">
        <f>'Building Bill of Materials_SLIM'!U327</f>
        <v/>
      </c>
      <c r="J327" s="234" t="str">
        <f>'Building Bill of Materials_SLIM'!V327</f>
        <v/>
      </c>
      <c r="K327" s="192"/>
      <c r="L327" s="242"/>
      <c r="M327" s="242"/>
      <c r="N327" s="291"/>
      <c r="O327" s="291"/>
      <c r="P327" s="291"/>
      <c r="Q327" s="291"/>
      <c r="R327" s="291"/>
      <c r="S327" s="291"/>
      <c r="T327" s="291"/>
      <c r="U327" s="291"/>
      <c r="V327" s="291"/>
      <c r="W327" s="291"/>
      <c r="X327" s="291"/>
      <c r="Y327" s="291"/>
      <c r="Z327" s="291"/>
      <c r="AA327" s="291"/>
      <c r="AB327" s="291"/>
      <c r="AC327" s="291"/>
      <c r="AD327" s="291"/>
      <c r="AE327" s="291"/>
      <c r="AF327" s="291"/>
      <c r="AG327" s="291"/>
    </row>
    <row r="328" ht="18.75" customHeight="1">
      <c r="A328" s="283"/>
      <c r="B328" s="234" t="str">
        <f>'Building Bill of Materials_SLIM'!P328</f>
        <v/>
      </c>
      <c r="C328" s="234" t="str">
        <f>'Building Bill of Materials_SLIM'!Q328</f>
        <v/>
      </c>
      <c r="D328" s="234" t="str">
        <f>'Building Bill of Materials_SLIM'!R328</f>
        <v/>
      </c>
      <c r="E328" s="234" t="str">
        <f>'Building Bill of Materials_SLIM'!S328</f>
        <v/>
      </c>
      <c r="F328" s="234"/>
      <c r="G328" s="234"/>
      <c r="H328" s="234" t="str">
        <f>'Building Bill of Materials_SLIM'!T328</f>
        <v/>
      </c>
      <c r="I328" s="234" t="str">
        <f>'Building Bill of Materials_SLIM'!U328</f>
        <v/>
      </c>
      <c r="J328" s="234" t="str">
        <f>'Building Bill of Materials_SLIM'!V328</f>
        <v/>
      </c>
      <c r="K328" s="192"/>
      <c r="L328" s="242"/>
      <c r="M328" s="242"/>
      <c r="N328" s="291"/>
      <c r="O328" s="291"/>
      <c r="P328" s="291"/>
      <c r="Q328" s="291"/>
      <c r="R328" s="291"/>
      <c r="S328" s="291"/>
      <c r="T328" s="291"/>
      <c r="U328" s="291"/>
      <c r="V328" s="291"/>
      <c r="W328" s="291"/>
      <c r="X328" s="291"/>
      <c r="Y328" s="291"/>
      <c r="Z328" s="291"/>
      <c r="AA328" s="291"/>
      <c r="AB328" s="291"/>
      <c r="AC328" s="291"/>
      <c r="AD328" s="291"/>
      <c r="AE328" s="291"/>
      <c r="AF328" s="291"/>
      <c r="AG328" s="291"/>
    </row>
    <row r="329" ht="18.75" customHeight="1">
      <c r="A329" s="283"/>
      <c r="B329" s="234" t="str">
        <f>'Building Bill of Materials_SLIM'!P329</f>
        <v/>
      </c>
      <c r="C329" s="234" t="str">
        <f>'Building Bill of Materials_SLIM'!Q329</f>
        <v/>
      </c>
      <c r="D329" s="234" t="str">
        <f>'Building Bill of Materials_SLIM'!R329</f>
        <v/>
      </c>
      <c r="E329" s="234" t="str">
        <f>'Building Bill of Materials_SLIM'!S329</f>
        <v/>
      </c>
      <c r="F329" s="234"/>
      <c r="G329" s="234"/>
      <c r="H329" s="234" t="str">
        <f>'Building Bill of Materials_SLIM'!T329</f>
        <v/>
      </c>
      <c r="I329" s="234" t="str">
        <f>'Building Bill of Materials_SLIM'!U329</f>
        <v/>
      </c>
      <c r="J329" s="234" t="str">
        <f>'Building Bill of Materials_SLIM'!V329</f>
        <v/>
      </c>
      <c r="K329" s="192"/>
      <c r="L329" s="242"/>
      <c r="M329" s="242"/>
      <c r="N329" s="291"/>
      <c r="O329" s="291"/>
      <c r="P329" s="291"/>
      <c r="Q329" s="291"/>
      <c r="R329" s="291"/>
      <c r="S329" s="291"/>
      <c r="T329" s="291"/>
      <c r="U329" s="291"/>
      <c r="V329" s="291"/>
      <c r="W329" s="291"/>
      <c r="X329" s="291"/>
      <c r="Y329" s="291"/>
      <c r="Z329" s="291"/>
      <c r="AA329" s="291"/>
      <c r="AB329" s="291"/>
      <c r="AC329" s="291"/>
      <c r="AD329" s="291"/>
      <c r="AE329" s="291"/>
      <c r="AF329" s="291"/>
      <c r="AG329" s="291"/>
    </row>
    <row r="330" ht="18.75" customHeight="1">
      <c r="A330" s="283"/>
      <c r="B330" s="234" t="str">
        <f>'Building Bill of Materials_SLIM'!P330</f>
        <v/>
      </c>
      <c r="C330" s="234" t="str">
        <f>'Building Bill of Materials_SLIM'!Q330</f>
        <v/>
      </c>
      <c r="D330" s="234" t="str">
        <f>'Building Bill of Materials_SLIM'!R330</f>
        <v/>
      </c>
      <c r="E330" s="234" t="str">
        <f>'Building Bill of Materials_SLIM'!S330</f>
        <v/>
      </c>
      <c r="F330" s="234"/>
      <c r="G330" s="234"/>
      <c r="H330" s="234" t="str">
        <f>'Building Bill of Materials_SLIM'!T330</f>
        <v/>
      </c>
      <c r="I330" s="234" t="str">
        <f>'Building Bill of Materials_SLIM'!U330</f>
        <v/>
      </c>
      <c r="J330" s="234" t="str">
        <f>'Building Bill of Materials_SLIM'!V330</f>
        <v/>
      </c>
      <c r="K330" s="192"/>
      <c r="L330" s="242"/>
      <c r="M330" s="242"/>
      <c r="N330" s="291"/>
      <c r="O330" s="291"/>
      <c r="P330" s="291"/>
      <c r="Q330" s="291"/>
      <c r="R330" s="291"/>
      <c r="S330" s="291"/>
      <c r="T330" s="291"/>
      <c r="U330" s="291"/>
      <c r="V330" s="291"/>
      <c r="W330" s="291"/>
      <c r="X330" s="291"/>
      <c r="Y330" s="291"/>
      <c r="Z330" s="291"/>
      <c r="AA330" s="291"/>
      <c r="AB330" s="291"/>
      <c r="AC330" s="291"/>
      <c r="AD330" s="291"/>
      <c r="AE330" s="291"/>
      <c r="AF330" s="291"/>
      <c r="AG330" s="291"/>
    </row>
    <row r="331" ht="18.75" customHeight="1">
      <c r="A331" s="283"/>
      <c r="B331" s="234" t="str">
        <f>'Building Bill of Materials_SLIM'!P331</f>
        <v/>
      </c>
      <c r="C331" s="234" t="str">
        <f>'Building Bill of Materials_SLIM'!Q331</f>
        <v/>
      </c>
      <c r="D331" s="234" t="str">
        <f>'Building Bill of Materials_SLIM'!R331</f>
        <v/>
      </c>
      <c r="E331" s="234" t="str">
        <f>'Building Bill of Materials_SLIM'!S331</f>
        <v/>
      </c>
      <c r="F331" s="234"/>
      <c r="G331" s="234"/>
      <c r="H331" s="234" t="str">
        <f>'Building Bill of Materials_SLIM'!T331</f>
        <v/>
      </c>
      <c r="I331" s="234" t="str">
        <f>'Building Bill of Materials_SLIM'!U331</f>
        <v/>
      </c>
      <c r="J331" s="234" t="str">
        <f>'Building Bill of Materials_SLIM'!V331</f>
        <v/>
      </c>
      <c r="K331" s="192"/>
      <c r="L331" s="242"/>
      <c r="M331" s="242"/>
      <c r="N331" s="291"/>
      <c r="O331" s="291"/>
      <c r="P331" s="291"/>
      <c r="Q331" s="291"/>
      <c r="R331" s="291"/>
      <c r="S331" s="291"/>
      <c r="T331" s="291"/>
      <c r="U331" s="291"/>
      <c r="V331" s="291"/>
      <c r="W331" s="291"/>
      <c r="X331" s="291"/>
      <c r="Y331" s="291"/>
      <c r="Z331" s="291"/>
      <c r="AA331" s="291"/>
      <c r="AB331" s="291"/>
      <c r="AC331" s="291"/>
      <c r="AD331" s="291"/>
      <c r="AE331" s="291"/>
      <c r="AF331" s="291"/>
      <c r="AG331" s="291"/>
    </row>
    <row r="332" ht="18.75" customHeight="1">
      <c r="A332" s="283"/>
      <c r="B332" s="234" t="str">
        <f>'Building Bill of Materials_SLIM'!P332</f>
        <v/>
      </c>
      <c r="C332" s="234" t="str">
        <f>'Building Bill of Materials_SLIM'!Q332</f>
        <v/>
      </c>
      <c r="D332" s="234" t="str">
        <f>'Building Bill of Materials_SLIM'!R332</f>
        <v/>
      </c>
      <c r="E332" s="234" t="str">
        <f>'Building Bill of Materials_SLIM'!S332</f>
        <v/>
      </c>
      <c r="F332" s="234"/>
      <c r="G332" s="234"/>
      <c r="H332" s="234" t="str">
        <f>'Building Bill of Materials_SLIM'!T332</f>
        <v/>
      </c>
      <c r="I332" s="234" t="str">
        <f>'Building Bill of Materials_SLIM'!U332</f>
        <v/>
      </c>
      <c r="J332" s="234" t="str">
        <f>'Building Bill of Materials_SLIM'!V332</f>
        <v/>
      </c>
      <c r="K332" s="192"/>
      <c r="L332" s="242"/>
      <c r="M332" s="242"/>
      <c r="N332" s="291"/>
      <c r="O332" s="291"/>
      <c r="P332" s="291"/>
      <c r="Q332" s="291"/>
      <c r="R332" s="291"/>
      <c r="S332" s="291"/>
      <c r="T332" s="291"/>
      <c r="U332" s="291"/>
      <c r="V332" s="291"/>
      <c r="W332" s="291"/>
      <c r="X332" s="291"/>
      <c r="Y332" s="291"/>
      <c r="Z332" s="291"/>
      <c r="AA332" s="291"/>
      <c r="AB332" s="291"/>
      <c r="AC332" s="291"/>
      <c r="AD332" s="291"/>
      <c r="AE332" s="291"/>
      <c r="AF332" s="291"/>
      <c r="AG332" s="291"/>
    </row>
    <row r="333" ht="18.75" customHeight="1">
      <c r="A333" s="283"/>
      <c r="B333" s="234" t="str">
        <f>'Building Bill of Materials_SLIM'!P333</f>
        <v/>
      </c>
      <c r="C333" s="234" t="str">
        <f>'Building Bill of Materials_SLIM'!Q333</f>
        <v/>
      </c>
      <c r="D333" s="234" t="str">
        <f>'Building Bill of Materials_SLIM'!R333</f>
        <v/>
      </c>
      <c r="E333" s="234" t="str">
        <f>'Building Bill of Materials_SLIM'!S333</f>
        <v/>
      </c>
      <c r="F333" s="234"/>
      <c r="G333" s="234"/>
      <c r="H333" s="234" t="str">
        <f>'Building Bill of Materials_SLIM'!T333</f>
        <v/>
      </c>
      <c r="I333" s="234" t="str">
        <f>'Building Bill of Materials_SLIM'!U333</f>
        <v/>
      </c>
      <c r="J333" s="234" t="str">
        <f>'Building Bill of Materials_SLIM'!V333</f>
        <v/>
      </c>
      <c r="K333" s="192"/>
      <c r="L333" s="242"/>
      <c r="M333" s="242"/>
      <c r="N333" s="291"/>
      <c r="O333" s="291"/>
      <c r="P333" s="291"/>
      <c r="Q333" s="291"/>
      <c r="R333" s="291"/>
      <c r="S333" s="291"/>
      <c r="T333" s="291"/>
      <c r="U333" s="291"/>
      <c r="V333" s="291"/>
      <c r="W333" s="291"/>
      <c r="X333" s="291"/>
      <c r="Y333" s="291"/>
      <c r="Z333" s="291"/>
      <c r="AA333" s="291"/>
      <c r="AB333" s="291"/>
      <c r="AC333" s="291"/>
      <c r="AD333" s="291"/>
      <c r="AE333" s="291"/>
      <c r="AF333" s="291"/>
      <c r="AG333" s="291"/>
    </row>
    <row r="334" ht="18.75" customHeight="1">
      <c r="A334" s="283"/>
      <c r="B334" s="234" t="str">
        <f>'Building Bill of Materials_SLIM'!P334</f>
        <v/>
      </c>
      <c r="C334" s="234" t="str">
        <f>'Building Bill of Materials_SLIM'!Q334</f>
        <v/>
      </c>
      <c r="D334" s="234" t="str">
        <f>'Building Bill of Materials_SLIM'!R334</f>
        <v/>
      </c>
      <c r="E334" s="234" t="str">
        <f>'Building Bill of Materials_SLIM'!S334</f>
        <v/>
      </c>
      <c r="F334" s="234"/>
      <c r="G334" s="234"/>
      <c r="H334" s="234" t="str">
        <f>'Building Bill of Materials_SLIM'!T334</f>
        <v/>
      </c>
      <c r="I334" s="234" t="str">
        <f>'Building Bill of Materials_SLIM'!U334</f>
        <v/>
      </c>
      <c r="J334" s="234" t="str">
        <f>'Building Bill of Materials_SLIM'!V334</f>
        <v/>
      </c>
      <c r="K334" s="192"/>
      <c r="L334" s="242"/>
      <c r="M334" s="242"/>
      <c r="N334" s="291"/>
      <c r="O334" s="291"/>
      <c r="P334" s="291"/>
      <c r="Q334" s="291"/>
      <c r="R334" s="291"/>
      <c r="S334" s="291"/>
      <c r="T334" s="291"/>
      <c r="U334" s="291"/>
      <c r="V334" s="291"/>
      <c r="W334" s="291"/>
      <c r="X334" s="291"/>
      <c r="Y334" s="291"/>
      <c r="Z334" s="291"/>
      <c r="AA334" s="291"/>
      <c r="AB334" s="291"/>
      <c r="AC334" s="291"/>
      <c r="AD334" s="291"/>
      <c r="AE334" s="291"/>
      <c r="AF334" s="291"/>
      <c r="AG334" s="291"/>
    </row>
    <row r="335" ht="18.75" customHeight="1">
      <c r="A335" s="283"/>
      <c r="B335" s="234" t="str">
        <f>'Building Bill of Materials_SLIM'!P335</f>
        <v/>
      </c>
      <c r="C335" s="234" t="str">
        <f>'Building Bill of Materials_SLIM'!Q335</f>
        <v/>
      </c>
      <c r="D335" s="234" t="str">
        <f>'Building Bill of Materials_SLIM'!R335</f>
        <v/>
      </c>
      <c r="E335" s="234" t="str">
        <f>'Building Bill of Materials_SLIM'!S335</f>
        <v/>
      </c>
      <c r="F335" s="234"/>
      <c r="G335" s="234"/>
      <c r="H335" s="234" t="str">
        <f>'Building Bill of Materials_SLIM'!T335</f>
        <v/>
      </c>
      <c r="I335" s="234" t="str">
        <f>'Building Bill of Materials_SLIM'!U335</f>
        <v/>
      </c>
      <c r="J335" s="234" t="str">
        <f>'Building Bill of Materials_SLIM'!V335</f>
        <v/>
      </c>
      <c r="K335" s="192"/>
      <c r="L335" s="242"/>
      <c r="M335" s="242"/>
      <c r="N335" s="291"/>
      <c r="O335" s="291"/>
      <c r="P335" s="291"/>
      <c r="Q335" s="291"/>
      <c r="R335" s="291"/>
      <c r="S335" s="291"/>
      <c r="T335" s="291"/>
      <c r="U335" s="291"/>
      <c r="V335" s="291"/>
      <c r="W335" s="291"/>
      <c r="X335" s="291"/>
      <c r="Y335" s="291"/>
      <c r="Z335" s="291"/>
      <c r="AA335" s="291"/>
      <c r="AB335" s="291"/>
      <c r="AC335" s="291"/>
      <c r="AD335" s="291"/>
      <c r="AE335" s="291"/>
      <c r="AF335" s="291"/>
      <c r="AG335" s="291"/>
    </row>
    <row r="336" ht="18.75" customHeight="1">
      <c r="A336" s="283"/>
      <c r="B336" s="234" t="str">
        <f>'Building Bill of Materials_SLIM'!P336</f>
        <v/>
      </c>
      <c r="C336" s="234" t="str">
        <f>'Building Bill of Materials_SLIM'!Q336</f>
        <v/>
      </c>
      <c r="D336" s="234" t="str">
        <f>'Building Bill of Materials_SLIM'!R336</f>
        <v/>
      </c>
      <c r="E336" s="234" t="str">
        <f>'Building Bill of Materials_SLIM'!S336</f>
        <v/>
      </c>
      <c r="F336" s="234"/>
      <c r="G336" s="234"/>
      <c r="H336" s="234" t="str">
        <f>'Building Bill of Materials_SLIM'!T336</f>
        <v/>
      </c>
      <c r="I336" s="234" t="str">
        <f>'Building Bill of Materials_SLIM'!U336</f>
        <v/>
      </c>
      <c r="J336" s="234" t="str">
        <f>'Building Bill of Materials_SLIM'!V336</f>
        <v/>
      </c>
      <c r="K336" s="192"/>
      <c r="L336" s="242"/>
      <c r="M336" s="242"/>
      <c r="N336" s="291"/>
      <c r="O336" s="291"/>
      <c r="P336" s="291"/>
      <c r="Q336" s="291"/>
      <c r="R336" s="291"/>
      <c r="S336" s="291"/>
      <c r="T336" s="291"/>
      <c r="U336" s="291"/>
      <c r="V336" s="291"/>
      <c r="W336" s="291"/>
      <c r="X336" s="291"/>
      <c r="Y336" s="291"/>
      <c r="Z336" s="291"/>
      <c r="AA336" s="291"/>
      <c r="AB336" s="291"/>
      <c r="AC336" s="291"/>
      <c r="AD336" s="291"/>
      <c r="AE336" s="291"/>
      <c r="AF336" s="291"/>
      <c r="AG336" s="291"/>
    </row>
    <row r="337" ht="18.75" customHeight="1">
      <c r="A337" s="283"/>
      <c r="B337" s="234" t="str">
        <f>'Building Bill of Materials_SLIM'!P337</f>
        <v/>
      </c>
      <c r="C337" s="234" t="str">
        <f>'Building Bill of Materials_SLIM'!Q337</f>
        <v/>
      </c>
      <c r="D337" s="234" t="str">
        <f>'Building Bill of Materials_SLIM'!R337</f>
        <v/>
      </c>
      <c r="E337" s="234" t="str">
        <f>'Building Bill of Materials_SLIM'!S337</f>
        <v/>
      </c>
      <c r="F337" s="234"/>
      <c r="G337" s="234"/>
      <c r="H337" s="234" t="str">
        <f>'Building Bill of Materials_SLIM'!T337</f>
        <v/>
      </c>
      <c r="I337" s="234" t="str">
        <f>'Building Bill of Materials_SLIM'!U337</f>
        <v/>
      </c>
      <c r="J337" s="234" t="str">
        <f>'Building Bill of Materials_SLIM'!V337</f>
        <v/>
      </c>
      <c r="K337" s="192"/>
      <c r="L337" s="242"/>
      <c r="M337" s="242"/>
      <c r="N337" s="291"/>
      <c r="O337" s="291"/>
      <c r="P337" s="291"/>
      <c r="Q337" s="291"/>
      <c r="R337" s="291"/>
      <c r="S337" s="291"/>
      <c r="T337" s="291"/>
      <c r="U337" s="291"/>
      <c r="V337" s="291"/>
      <c r="W337" s="291"/>
      <c r="X337" s="291"/>
      <c r="Y337" s="291"/>
      <c r="Z337" s="291"/>
      <c r="AA337" s="291"/>
      <c r="AB337" s="291"/>
      <c r="AC337" s="291"/>
      <c r="AD337" s="291"/>
      <c r="AE337" s="291"/>
      <c r="AF337" s="291"/>
      <c r="AG337" s="291"/>
    </row>
    <row r="338" ht="18.75" customHeight="1">
      <c r="A338" s="283"/>
      <c r="B338" s="234" t="str">
        <f>'Building Bill of Materials_SLIM'!P338</f>
        <v/>
      </c>
      <c r="C338" s="234" t="str">
        <f>'Building Bill of Materials_SLIM'!Q338</f>
        <v/>
      </c>
      <c r="D338" s="234" t="str">
        <f>'Building Bill of Materials_SLIM'!R338</f>
        <v/>
      </c>
      <c r="E338" s="234" t="str">
        <f>'Building Bill of Materials_SLIM'!S338</f>
        <v/>
      </c>
      <c r="F338" s="234"/>
      <c r="G338" s="234"/>
      <c r="H338" s="234" t="str">
        <f>'Building Bill of Materials_SLIM'!T338</f>
        <v/>
      </c>
      <c r="I338" s="234" t="str">
        <f>'Building Bill of Materials_SLIM'!U338</f>
        <v/>
      </c>
      <c r="J338" s="234" t="str">
        <f>'Building Bill of Materials_SLIM'!V338</f>
        <v/>
      </c>
      <c r="K338" s="192"/>
      <c r="L338" s="242"/>
      <c r="M338" s="242"/>
      <c r="N338" s="291"/>
      <c r="O338" s="291"/>
      <c r="P338" s="291"/>
      <c r="Q338" s="291"/>
      <c r="R338" s="291"/>
      <c r="S338" s="291"/>
      <c r="T338" s="291"/>
      <c r="U338" s="291"/>
      <c r="V338" s="291"/>
      <c r="W338" s="291"/>
      <c r="X338" s="291"/>
      <c r="Y338" s="291"/>
      <c r="Z338" s="291"/>
      <c r="AA338" s="291"/>
      <c r="AB338" s="291"/>
      <c r="AC338" s="291"/>
      <c r="AD338" s="291"/>
      <c r="AE338" s="291"/>
      <c r="AF338" s="291"/>
      <c r="AG338" s="291"/>
    </row>
    <row r="339" ht="18.75" customHeight="1">
      <c r="A339" s="283"/>
      <c r="B339" s="234" t="str">
        <f>'Building Bill of Materials_SLIM'!P339</f>
        <v/>
      </c>
      <c r="C339" s="234" t="str">
        <f>'Building Bill of Materials_SLIM'!Q339</f>
        <v/>
      </c>
      <c r="D339" s="234" t="str">
        <f>'Building Bill of Materials_SLIM'!R339</f>
        <v/>
      </c>
      <c r="E339" s="234" t="str">
        <f>'Building Bill of Materials_SLIM'!S339</f>
        <v/>
      </c>
      <c r="F339" s="234"/>
      <c r="G339" s="234"/>
      <c r="H339" s="234" t="str">
        <f>'Building Bill of Materials_SLIM'!T339</f>
        <v/>
      </c>
      <c r="I339" s="234" t="str">
        <f>'Building Bill of Materials_SLIM'!U339</f>
        <v/>
      </c>
      <c r="J339" s="234" t="str">
        <f>'Building Bill of Materials_SLIM'!V339</f>
        <v/>
      </c>
      <c r="K339" s="192"/>
      <c r="L339" s="242"/>
      <c r="M339" s="242"/>
      <c r="N339" s="291"/>
      <c r="O339" s="291"/>
      <c r="P339" s="291"/>
      <c r="Q339" s="291"/>
      <c r="R339" s="291"/>
      <c r="S339" s="291"/>
      <c r="T339" s="291"/>
      <c r="U339" s="291"/>
      <c r="V339" s="291"/>
      <c r="W339" s="291"/>
      <c r="X339" s="291"/>
      <c r="Y339" s="291"/>
      <c r="Z339" s="291"/>
      <c r="AA339" s="291"/>
      <c r="AB339" s="291"/>
      <c r="AC339" s="291"/>
      <c r="AD339" s="291"/>
      <c r="AE339" s="291"/>
      <c r="AF339" s="291"/>
      <c r="AG339" s="291"/>
    </row>
    <row r="340" ht="18.75" customHeight="1">
      <c r="A340" s="283"/>
      <c r="B340" s="234" t="str">
        <f>'Building Bill of Materials_SLIM'!P340</f>
        <v/>
      </c>
      <c r="C340" s="234" t="str">
        <f>'Building Bill of Materials_SLIM'!Q340</f>
        <v/>
      </c>
      <c r="D340" s="234" t="str">
        <f>'Building Bill of Materials_SLIM'!R340</f>
        <v/>
      </c>
      <c r="E340" s="234" t="str">
        <f>'Building Bill of Materials_SLIM'!S340</f>
        <v/>
      </c>
      <c r="F340" s="234"/>
      <c r="G340" s="234"/>
      <c r="H340" s="234" t="str">
        <f>'Building Bill of Materials_SLIM'!T340</f>
        <v/>
      </c>
      <c r="I340" s="234" t="str">
        <f>'Building Bill of Materials_SLIM'!U340</f>
        <v/>
      </c>
      <c r="J340" s="234" t="str">
        <f>'Building Bill of Materials_SLIM'!V340</f>
        <v/>
      </c>
      <c r="K340" s="192"/>
      <c r="L340" s="242"/>
      <c r="M340" s="242"/>
      <c r="N340" s="291"/>
      <c r="O340" s="291"/>
      <c r="P340" s="291"/>
      <c r="Q340" s="291"/>
      <c r="R340" s="291"/>
      <c r="S340" s="291"/>
      <c r="T340" s="291"/>
      <c r="U340" s="291"/>
      <c r="V340" s="291"/>
      <c r="W340" s="291"/>
      <c r="X340" s="291"/>
      <c r="Y340" s="291"/>
      <c r="Z340" s="291"/>
      <c r="AA340" s="291"/>
      <c r="AB340" s="291"/>
      <c r="AC340" s="291"/>
      <c r="AD340" s="291"/>
      <c r="AE340" s="291"/>
      <c r="AF340" s="291"/>
      <c r="AG340" s="291"/>
    </row>
    <row r="341" ht="18.75" customHeight="1">
      <c r="A341" s="283"/>
      <c r="B341" s="234" t="str">
        <f>'Building Bill of Materials_SLIM'!P341</f>
        <v/>
      </c>
      <c r="C341" s="234" t="str">
        <f>'Building Bill of Materials_SLIM'!Q341</f>
        <v/>
      </c>
      <c r="D341" s="234" t="str">
        <f>'Building Bill of Materials_SLIM'!R341</f>
        <v/>
      </c>
      <c r="E341" s="234" t="str">
        <f>'Building Bill of Materials_SLIM'!S341</f>
        <v/>
      </c>
      <c r="F341" s="234"/>
      <c r="G341" s="234"/>
      <c r="H341" s="234" t="str">
        <f>'Building Bill of Materials_SLIM'!T341</f>
        <v/>
      </c>
      <c r="I341" s="234" t="str">
        <f>'Building Bill of Materials_SLIM'!U341</f>
        <v/>
      </c>
      <c r="J341" s="234" t="str">
        <f>'Building Bill of Materials_SLIM'!V341</f>
        <v/>
      </c>
      <c r="K341" s="192"/>
      <c r="L341" s="242"/>
      <c r="M341" s="242"/>
      <c r="N341" s="291"/>
      <c r="O341" s="291"/>
      <c r="P341" s="291"/>
      <c r="Q341" s="291"/>
      <c r="R341" s="291"/>
      <c r="S341" s="291"/>
      <c r="T341" s="291"/>
      <c r="U341" s="291"/>
      <c r="V341" s="291"/>
      <c r="W341" s="291"/>
      <c r="X341" s="291"/>
      <c r="Y341" s="291"/>
      <c r="Z341" s="291"/>
      <c r="AA341" s="291"/>
      <c r="AB341" s="291"/>
      <c r="AC341" s="291"/>
      <c r="AD341" s="291"/>
      <c r="AE341" s="291"/>
      <c r="AF341" s="291"/>
      <c r="AG341" s="291"/>
    </row>
    <row r="342" ht="18.75" customHeight="1">
      <c r="A342" s="283"/>
      <c r="B342" s="234" t="str">
        <f>'Building Bill of Materials_SLIM'!P342</f>
        <v/>
      </c>
      <c r="C342" s="234" t="str">
        <f>'Building Bill of Materials_SLIM'!Q342</f>
        <v/>
      </c>
      <c r="D342" s="234" t="str">
        <f>'Building Bill of Materials_SLIM'!R342</f>
        <v/>
      </c>
      <c r="E342" s="234" t="str">
        <f>'Building Bill of Materials_SLIM'!S342</f>
        <v/>
      </c>
      <c r="F342" s="234"/>
      <c r="G342" s="234"/>
      <c r="H342" s="234" t="str">
        <f>'Building Bill of Materials_SLIM'!T342</f>
        <v/>
      </c>
      <c r="I342" s="234" t="str">
        <f>'Building Bill of Materials_SLIM'!U342</f>
        <v/>
      </c>
      <c r="J342" s="234" t="str">
        <f>'Building Bill of Materials_SLIM'!V342</f>
        <v/>
      </c>
      <c r="K342" s="192"/>
      <c r="L342" s="242"/>
      <c r="M342" s="242"/>
      <c r="N342" s="291"/>
      <c r="O342" s="291"/>
      <c r="P342" s="291"/>
      <c r="Q342" s="291"/>
      <c r="R342" s="291"/>
      <c r="S342" s="291"/>
      <c r="T342" s="291"/>
      <c r="U342" s="291"/>
      <c r="V342" s="291"/>
      <c r="W342" s="291"/>
      <c r="X342" s="291"/>
      <c r="Y342" s="291"/>
      <c r="Z342" s="291"/>
      <c r="AA342" s="291"/>
      <c r="AB342" s="291"/>
      <c r="AC342" s="291"/>
      <c r="AD342" s="291"/>
      <c r="AE342" s="291"/>
      <c r="AF342" s="291"/>
      <c r="AG342" s="291"/>
    </row>
    <row r="343" ht="18.75" customHeight="1">
      <c r="A343" s="283"/>
      <c r="B343" s="234" t="str">
        <f>'Building Bill of Materials_SLIM'!P343</f>
        <v/>
      </c>
      <c r="C343" s="234" t="str">
        <f>'Building Bill of Materials_SLIM'!Q343</f>
        <v/>
      </c>
      <c r="D343" s="234" t="str">
        <f>'Building Bill of Materials_SLIM'!R343</f>
        <v/>
      </c>
      <c r="E343" s="234" t="str">
        <f>'Building Bill of Materials_SLIM'!S343</f>
        <v/>
      </c>
      <c r="F343" s="234"/>
      <c r="G343" s="234"/>
      <c r="H343" s="234" t="str">
        <f>'Building Bill of Materials_SLIM'!T343</f>
        <v/>
      </c>
      <c r="I343" s="234" t="str">
        <f>'Building Bill of Materials_SLIM'!U343</f>
        <v/>
      </c>
      <c r="J343" s="234" t="str">
        <f>'Building Bill of Materials_SLIM'!V343</f>
        <v/>
      </c>
      <c r="K343" s="192"/>
      <c r="L343" s="242"/>
      <c r="M343" s="242"/>
      <c r="N343" s="291"/>
      <c r="O343" s="291"/>
      <c r="P343" s="291"/>
      <c r="Q343" s="291"/>
      <c r="R343" s="291"/>
      <c r="S343" s="291"/>
      <c r="T343" s="291"/>
      <c r="U343" s="291"/>
      <c r="V343" s="291"/>
      <c r="W343" s="291"/>
      <c r="X343" s="291"/>
      <c r="Y343" s="291"/>
      <c r="Z343" s="291"/>
      <c r="AA343" s="291"/>
      <c r="AB343" s="291"/>
      <c r="AC343" s="291"/>
      <c r="AD343" s="291"/>
      <c r="AE343" s="291"/>
      <c r="AF343" s="291"/>
      <c r="AG343" s="291"/>
    </row>
    <row r="344" ht="18.75" customHeight="1">
      <c r="A344" s="283"/>
      <c r="B344" s="234" t="str">
        <f>'Building Bill of Materials_SLIM'!P344</f>
        <v/>
      </c>
      <c r="C344" s="234" t="str">
        <f>'Building Bill of Materials_SLIM'!Q344</f>
        <v/>
      </c>
      <c r="D344" s="234" t="str">
        <f>'Building Bill of Materials_SLIM'!R344</f>
        <v/>
      </c>
      <c r="E344" s="234" t="str">
        <f>'Building Bill of Materials_SLIM'!S344</f>
        <v/>
      </c>
      <c r="F344" s="234"/>
      <c r="G344" s="234"/>
      <c r="H344" s="234" t="str">
        <f>'Building Bill of Materials_SLIM'!T344</f>
        <v/>
      </c>
      <c r="I344" s="234" t="str">
        <f>'Building Bill of Materials_SLIM'!U344</f>
        <v/>
      </c>
      <c r="J344" s="234" t="str">
        <f>'Building Bill of Materials_SLIM'!V344</f>
        <v/>
      </c>
      <c r="K344" s="192"/>
      <c r="L344" s="242"/>
      <c r="M344" s="242"/>
      <c r="N344" s="291"/>
      <c r="O344" s="291"/>
      <c r="P344" s="291"/>
      <c r="Q344" s="291"/>
      <c r="R344" s="291"/>
      <c r="S344" s="291"/>
      <c r="T344" s="291"/>
      <c r="U344" s="291"/>
      <c r="V344" s="291"/>
      <c r="W344" s="291"/>
      <c r="X344" s="291"/>
      <c r="Y344" s="291"/>
      <c r="Z344" s="291"/>
      <c r="AA344" s="291"/>
      <c r="AB344" s="291"/>
      <c r="AC344" s="291"/>
      <c r="AD344" s="291"/>
      <c r="AE344" s="291"/>
      <c r="AF344" s="291"/>
      <c r="AG344" s="291"/>
    </row>
    <row r="345" ht="18.75" customHeight="1">
      <c r="A345" s="283"/>
      <c r="B345" s="234" t="str">
        <f>'Building Bill of Materials_SLIM'!P345</f>
        <v/>
      </c>
      <c r="C345" s="234" t="str">
        <f>'Building Bill of Materials_SLIM'!Q345</f>
        <v/>
      </c>
      <c r="D345" s="234" t="str">
        <f>'Building Bill of Materials_SLIM'!R345</f>
        <v/>
      </c>
      <c r="E345" s="234" t="str">
        <f>'Building Bill of Materials_SLIM'!S345</f>
        <v/>
      </c>
      <c r="F345" s="234"/>
      <c r="G345" s="234"/>
      <c r="H345" s="234" t="str">
        <f>'Building Bill of Materials_SLIM'!T345</f>
        <v/>
      </c>
      <c r="I345" s="234" t="str">
        <f>'Building Bill of Materials_SLIM'!U345</f>
        <v/>
      </c>
      <c r="J345" s="234" t="str">
        <f>'Building Bill of Materials_SLIM'!V345</f>
        <v/>
      </c>
      <c r="K345" s="192"/>
      <c r="L345" s="242"/>
      <c r="M345" s="242"/>
      <c r="N345" s="291"/>
      <c r="O345" s="291"/>
      <c r="P345" s="291"/>
      <c r="Q345" s="291"/>
      <c r="R345" s="291"/>
      <c r="S345" s="291"/>
      <c r="T345" s="291"/>
      <c r="U345" s="291"/>
      <c r="V345" s="291"/>
      <c r="W345" s="291"/>
      <c r="X345" s="291"/>
      <c r="Y345" s="291"/>
      <c r="Z345" s="291"/>
      <c r="AA345" s="291"/>
      <c r="AB345" s="291"/>
      <c r="AC345" s="291"/>
      <c r="AD345" s="291"/>
      <c r="AE345" s="291"/>
      <c r="AF345" s="291"/>
      <c r="AG345" s="291"/>
    </row>
    <row r="346" ht="18.75" customHeight="1">
      <c r="A346" s="283"/>
      <c r="B346" s="234" t="str">
        <f>'Building Bill of Materials_SLIM'!P346</f>
        <v/>
      </c>
      <c r="C346" s="234" t="str">
        <f>'Building Bill of Materials_SLIM'!Q346</f>
        <v/>
      </c>
      <c r="D346" s="234" t="str">
        <f>'Building Bill of Materials_SLIM'!R346</f>
        <v/>
      </c>
      <c r="E346" s="234" t="str">
        <f>'Building Bill of Materials_SLIM'!S346</f>
        <v/>
      </c>
      <c r="F346" s="234"/>
      <c r="G346" s="234"/>
      <c r="H346" s="234" t="str">
        <f>'Building Bill of Materials_SLIM'!T346</f>
        <v/>
      </c>
      <c r="I346" s="234" t="str">
        <f>'Building Bill of Materials_SLIM'!U346</f>
        <v/>
      </c>
      <c r="J346" s="234" t="str">
        <f>'Building Bill of Materials_SLIM'!V346</f>
        <v/>
      </c>
      <c r="K346" s="192"/>
      <c r="L346" s="242"/>
      <c r="M346" s="242"/>
      <c r="N346" s="291"/>
      <c r="O346" s="291"/>
      <c r="P346" s="291"/>
      <c r="Q346" s="291"/>
      <c r="R346" s="291"/>
      <c r="S346" s="291"/>
      <c r="T346" s="291"/>
      <c r="U346" s="291"/>
      <c r="V346" s="291"/>
      <c r="W346" s="291"/>
      <c r="X346" s="291"/>
      <c r="Y346" s="291"/>
      <c r="Z346" s="291"/>
      <c r="AA346" s="291"/>
      <c r="AB346" s="291"/>
      <c r="AC346" s="291"/>
      <c r="AD346" s="291"/>
      <c r="AE346" s="291"/>
      <c r="AF346" s="291"/>
      <c r="AG346" s="291"/>
    </row>
    <row r="347" ht="18.75" customHeight="1">
      <c r="A347" s="283"/>
      <c r="B347" s="234" t="str">
        <f>'Building Bill of Materials_SLIM'!P347</f>
        <v/>
      </c>
      <c r="C347" s="234" t="str">
        <f>'Building Bill of Materials_SLIM'!Q347</f>
        <v/>
      </c>
      <c r="D347" s="234" t="str">
        <f>'Building Bill of Materials_SLIM'!R347</f>
        <v/>
      </c>
      <c r="E347" s="234" t="str">
        <f>'Building Bill of Materials_SLIM'!S347</f>
        <v/>
      </c>
      <c r="F347" s="234"/>
      <c r="G347" s="234"/>
      <c r="H347" s="234" t="str">
        <f>'Building Bill of Materials_SLIM'!T347</f>
        <v/>
      </c>
      <c r="I347" s="234" t="str">
        <f>'Building Bill of Materials_SLIM'!U347</f>
        <v/>
      </c>
      <c r="J347" s="234" t="str">
        <f>'Building Bill of Materials_SLIM'!V347</f>
        <v/>
      </c>
      <c r="K347" s="192"/>
      <c r="L347" s="242"/>
      <c r="M347" s="242"/>
      <c r="N347" s="291"/>
      <c r="O347" s="291"/>
      <c r="P347" s="291"/>
      <c r="Q347" s="291"/>
      <c r="R347" s="291"/>
      <c r="S347" s="291"/>
      <c r="T347" s="291"/>
      <c r="U347" s="291"/>
      <c r="V347" s="291"/>
      <c r="W347" s="291"/>
      <c r="X347" s="291"/>
      <c r="Y347" s="291"/>
      <c r="Z347" s="291"/>
      <c r="AA347" s="291"/>
      <c r="AB347" s="291"/>
      <c r="AC347" s="291"/>
      <c r="AD347" s="291"/>
      <c r="AE347" s="291"/>
      <c r="AF347" s="291"/>
      <c r="AG347" s="291"/>
    </row>
    <row r="348" ht="18.75" customHeight="1">
      <c r="A348" s="283"/>
      <c r="B348" s="234" t="str">
        <f>'Building Bill of Materials_SLIM'!P348</f>
        <v/>
      </c>
      <c r="C348" s="234" t="str">
        <f>'Building Bill of Materials_SLIM'!Q348</f>
        <v/>
      </c>
      <c r="D348" s="234" t="str">
        <f>'Building Bill of Materials_SLIM'!R348</f>
        <v/>
      </c>
      <c r="E348" s="234" t="str">
        <f>'Building Bill of Materials_SLIM'!S348</f>
        <v/>
      </c>
      <c r="F348" s="234"/>
      <c r="G348" s="234"/>
      <c r="H348" s="234" t="str">
        <f>'Building Bill of Materials_SLIM'!T348</f>
        <v/>
      </c>
      <c r="I348" s="234" t="str">
        <f>'Building Bill of Materials_SLIM'!U348</f>
        <v/>
      </c>
      <c r="J348" s="234" t="str">
        <f>'Building Bill of Materials_SLIM'!V348</f>
        <v/>
      </c>
      <c r="K348" s="192"/>
      <c r="L348" s="242"/>
      <c r="M348" s="242"/>
      <c r="N348" s="291"/>
      <c r="O348" s="291"/>
      <c r="P348" s="291"/>
      <c r="Q348" s="291"/>
      <c r="R348" s="291"/>
      <c r="S348" s="291"/>
      <c r="T348" s="291"/>
      <c r="U348" s="291"/>
      <c r="V348" s="291"/>
      <c r="W348" s="291"/>
      <c r="X348" s="291"/>
      <c r="Y348" s="291"/>
      <c r="Z348" s="291"/>
      <c r="AA348" s="291"/>
      <c r="AB348" s="291"/>
      <c r="AC348" s="291"/>
      <c r="AD348" s="291"/>
      <c r="AE348" s="291"/>
      <c r="AF348" s="291"/>
      <c r="AG348" s="291"/>
    </row>
    <row r="349" ht="18.75" customHeight="1">
      <c r="A349" s="283"/>
      <c r="B349" s="234" t="str">
        <f>'Building Bill of Materials_SLIM'!P349</f>
        <v/>
      </c>
      <c r="C349" s="234" t="str">
        <f>'Building Bill of Materials_SLIM'!Q349</f>
        <v/>
      </c>
      <c r="D349" s="234" t="str">
        <f>'Building Bill of Materials_SLIM'!R349</f>
        <v/>
      </c>
      <c r="E349" s="234" t="str">
        <f>'Building Bill of Materials_SLIM'!S349</f>
        <v/>
      </c>
      <c r="F349" s="234"/>
      <c r="G349" s="234"/>
      <c r="H349" s="234" t="str">
        <f>'Building Bill of Materials_SLIM'!T349</f>
        <v/>
      </c>
      <c r="I349" s="234" t="str">
        <f>'Building Bill of Materials_SLIM'!U349</f>
        <v/>
      </c>
      <c r="J349" s="234" t="str">
        <f>'Building Bill of Materials_SLIM'!V349</f>
        <v/>
      </c>
      <c r="K349" s="192"/>
      <c r="L349" s="242"/>
      <c r="M349" s="242"/>
      <c r="N349" s="291"/>
      <c r="O349" s="291"/>
      <c r="P349" s="291"/>
      <c r="Q349" s="291"/>
      <c r="R349" s="291"/>
      <c r="S349" s="291"/>
      <c r="T349" s="291"/>
      <c r="U349" s="291"/>
      <c r="V349" s="291"/>
      <c r="W349" s="291"/>
      <c r="X349" s="291"/>
      <c r="Y349" s="291"/>
      <c r="Z349" s="291"/>
      <c r="AA349" s="291"/>
      <c r="AB349" s="291"/>
      <c r="AC349" s="291"/>
      <c r="AD349" s="291"/>
      <c r="AE349" s="291"/>
      <c r="AF349" s="291"/>
      <c r="AG349" s="291"/>
    </row>
    <row r="350" ht="18.75" customHeight="1">
      <c r="A350" s="283"/>
      <c r="B350" s="234" t="str">
        <f>'Building Bill of Materials_SLIM'!P350</f>
        <v/>
      </c>
      <c r="C350" s="234" t="str">
        <f>'Building Bill of Materials_SLIM'!Q350</f>
        <v/>
      </c>
      <c r="D350" s="234" t="str">
        <f>'Building Bill of Materials_SLIM'!R350</f>
        <v/>
      </c>
      <c r="E350" s="234" t="str">
        <f>'Building Bill of Materials_SLIM'!S350</f>
        <v/>
      </c>
      <c r="F350" s="234"/>
      <c r="G350" s="234"/>
      <c r="H350" s="234" t="str">
        <f>'Building Bill of Materials_SLIM'!T350</f>
        <v/>
      </c>
      <c r="I350" s="234" t="str">
        <f>'Building Bill of Materials_SLIM'!U350</f>
        <v/>
      </c>
      <c r="J350" s="234" t="str">
        <f>'Building Bill of Materials_SLIM'!V350</f>
        <v/>
      </c>
      <c r="K350" s="192"/>
      <c r="L350" s="242"/>
      <c r="M350" s="242"/>
      <c r="N350" s="291"/>
      <c r="O350" s="291"/>
      <c r="P350" s="291"/>
      <c r="Q350" s="291"/>
      <c r="R350" s="291"/>
      <c r="S350" s="291"/>
      <c r="T350" s="291"/>
      <c r="U350" s="291"/>
      <c r="V350" s="291"/>
      <c r="W350" s="291"/>
      <c r="X350" s="291"/>
      <c r="Y350" s="291"/>
      <c r="Z350" s="291"/>
      <c r="AA350" s="291"/>
      <c r="AB350" s="291"/>
      <c r="AC350" s="291"/>
      <c r="AD350" s="291"/>
      <c r="AE350" s="291"/>
      <c r="AF350" s="291"/>
      <c r="AG350" s="291"/>
    </row>
    <row r="351" ht="18.75" customHeight="1">
      <c r="A351" s="283"/>
      <c r="B351" s="234" t="str">
        <f>'Building Bill of Materials_SLIM'!P351</f>
        <v/>
      </c>
      <c r="C351" s="234" t="str">
        <f>'Building Bill of Materials_SLIM'!Q351</f>
        <v/>
      </c>
      <c r="D351" s="234" t="str">
        <f>'Building Bill of Materials_SLIM'!R351</f>
        <v/>
      </c>
      <c r="E351" s="234" t="str">
        <f>'Building Bill of Materials_SLIM'!S351</f>
        <v/>
      </c>
      <c r="F351" s="234"/>
      <c r="G351" s="234"/>
      <c r="H351" s="234" t="str">
        <f>'Building Bill of Materials_SLIM'!T351</f>
        <v/>
      </c>
      <c r="I351" s="234" t="str">
        <f>'Building Bill of Materials_SLIM'!U351</f>
        <v/>
      </c>
      <c r="J351" s="234" t="str">
        <f>'Building Bill of Materials_SLIM'!V351</f>
        <v/>
      </c>
      <c r="K351" s="192"/>
      <c r="L351" s="242"/>
      <c r="M351" s="242"/>
      <c r="N351" s="291"/>
      <c r="O351" s="291"/>
      <c r="P351" s="291"/>
      <c r="Q351" s="291"/>
      <c r="R351" s="291"/>
      <c r="S351" s="291"/>
      <c r="T351" s="291"/>
      <c r="U351" s="291"/>
      <c r="V351" s="291"/>
      <c r="W351" s="291"/>
      <c r="X351" s="291"/>
      <c r="Y351" s="291"/>
      <c r="Z351" s="291"/>
      <c r="AA351" s="291"/>
      <c r="AB351" s="291"/>
      <c r="AC351" s="291"/>
      <c r="AD351" s="291"/>
      <c r="AE351" s="291"/>
      <c r="AF351" s="291"/>
      <c r="AG351" s="291"/>
    </row>
    <row r="352" ht="18.75" customHeight="1">
      <c r="A352" s="283"/>
      <c r="B352" s="234" t="str">
        <f>'Building Bill of Materials_SLIM'!P352</f>
        <v/>
      </c>
      <c r="C352" s="234" t="str">
        <f>'Building Bill of Materials_SLIM'!Q352</f>
        <v/>
      </c>
      <c r="D352" s="234" t="str">
        <f>'Building Bill of Materials_SLIM'!R352</f>
        <v/>
      </c>
      <c r="E352" s="234" t="str">
        <f>'Building Bill of Materials_SLIM'!S352</f>
        <v/>
      </c>
      <c r="F352" s="234"/>
      <c r="G352" s="234"/>
      <c r="H352" s="234" t="str">
        <f>'Building Bill of Materials_SLIM'!T352</f>
        <v/>
      </c>
      <c r="I352" s="234" t="str">
        <f>'Building Bill of Materials_SLIM'!U352</f>
        <v/>
      </c>
      <c r="J352" s="234" t="str">
        <f>'Building Bill of Materials_SLIM'!V352</f>
        <v/>
      </c>
      <c r="K352" s="192"/>
      <c r="L352" s="242"/>
      <c r="M352" s="242"/>
      <c r="N352" s="291"/>
      <c r="O352" s="291"/>
      <c r="P352" s="291"/>
      <c r="Q352" s="291"/>
      <c r="R352" s="291"/>
      <c r="S352" s="291"/>
      <c r="T352" s="291"/>
      <c r="U352" s="291"/>
      <c r="V352" s="291"/>
      <c r="W352" s="291"/>
      <c r="X352" s="291"/>
      <c r="Y352" s="291"/>
      <c r="Z352" s="291"/>
      <c r="AA352" s="291"/>
      <c r="AB352" s="291"/>
      <c r="AC352" s="291"/>
      <c r="AD352" s="291"/>
      <c r="AE352" s="291"/>
      <c r="AF352" s="291"/>
      <c r="AG352" s="291"/>
    </row>
    <row r="353" ht="18.75" customHeight="1">
      <c r="A353" s="283"/>
      <c r="B353" s="234" t="str">
        <f>'Building Bill of Materials_SLIM'!P353</f>
        <v/>
      </c>
      <c r="C353" s="234" t="str">
        <f>'Building Bill of Materials_SLIM'!Q353</f>
        <v/>
      </c>
      <c r="D353" s="234" t="str">
        <f>'Building Bill of Materials_SLIM'!R353</f>
        <v/>
      </c>
      <c r="E353" s="234" t="str">
        <f>'Building Bill of Materials_SLIM'!S353</f>
        <v/>
      </c>
      <c r="F353" s="234"/>
      <c r="G353" s="234"/>
      <c r="H353" s="234" t="str">
        <f>'Building Bill of Materials_SLIM'!T353</f>
        <v/>
      </c>
      <c r="I353" s="234" t="str">
        <f>'Building Bill of Materials_SLIM'!U353</f>
        <v/>
      </c>
      <c r="J353" s="234" t="str">
        <f>'Building Bill of Materials_SLIM'!V353</f>
        <v/>
      </c>
      <c r="K353" s="192"/>
      <c r="L353" s="242"/>
      <c r="M353" s="242"/>
      <c r="N353" s="291"/>
      <c r="O353" s="291"/>
      <c r="P353" s="291"/>
      <c r="Q353" s="291"/>
      <c r="R353" s="291"/>
      <c r="S353" s="291"/>
      <c r="T353" s="291"/>
      <c r="U353" s="291"/>
      <c r="V353" s="291"/>
      <c r="W353" s="291"/>
      <c r="X353" s="291"/>
      <c r="Y353" s="291"/>
      <c r="Z353" s="291"/>
      <c r="AA353" s="291"/>
      <c r="AB353" s="291"/>
      <c r="AC353" s="291"/>
      <c r="AD353" s="291"/>
      <c r="AE353" s="291"/>
      <c r="AF353" s="291"/>
      <c r="AG353" s="291"/>
    </row>
    <row r="354" ht="18.75" customHeight="1">
      <c r="A354" s="283"/>
      <c r="B354" s="234" t="str">
        <f>'Building Bill of Materials_SLIM'!P354</f>
        <v/>
      </c>
      <c r="C354" s="234" t="str">
        <f>'Building Bill of Materials_SLIM'!Q354</f>
        <v/>
      </c>
      <c r="D354" s="234" t="str">
        <f>'Building Bill of Materials_SLIM'!R354</f>
        <v/>
      </c>
      <c r="E354" s="234" t="str">
        <f>'Building Bill of Materials_SLIM'!S354</f>
        <v/>
      </c>
      <c r="F354" s="234"/>
      <c r="G354" s="234"/>
      <c r="H354" s="234" t="str">
        <f>'Building Bill of Materials_SLIM'!T354</f>
        <v/>
      </c>
      <c r="I354" s="234" t="str">
        <f>'Building Bill of Materials_SLIM'!U354</f>
        <v/>
      </c>
      <c r="J354" s="234" t="str">
        <f>'Building Bill of Materials_SLIM'!V354</f>
        <v/>
      </c>
      <c r="K354" s="192"/>
      <c r="L354" s="242"/>
      <c r="M354" s="242"/>
      <c r="N354" s="291"/>
      <c r="O354" s="291"/>
      <c r="P354" s="291"/>
      <c r="Q354" s="291"/>
      <c r="R354" s="291"/>
      <c r="S354" s="291"/>
      <c r="T354" s="291"/>
      <c r="U354" s="291"/>
      <c r="V354" s="291"/>
      <c r="W354" s="291"/>
      <c r="X354" s="291"/>
      <c r="Y354" s="291"/>
      <c r="Z354" s="291"/>
      <c r="AA354" s="291"/>
      <c r="AB354" s="291"/>
      <c r="AC354" s="291"/>
      <c r="AD354" s="291"/>
      <c r="AE354" s="291"/>
      <c r="AF354" s="291"/>
      <c r="AG354" s="291"/>
    </row>
    <row r="355" ht="18.75" customHeight="1">
      <c r="A355" s="283"/>
      <c r="B355" s="234" t="str">
        <f>'Building Bill of Materials_SLIM'!P355</f>
        <v/>
      </c>
      <c r="C355" s="234" t="str">
        <f>'Building Bill of Materials_SLIM'!Q355</f>
        <v/>
      </c>
      <c r="D355" s="234" t="str">
        <f>'Building Bill of Materials_SLIM'!R355</f>
        <v/>
      </c>
      <c r="E355" s="234" t="str">
        <f>'Building Bill of Materials_SLIM'!S355</f>
        <v/>
      </c>
      <c r="F355" s="234"/>
      <c r="G355" s="234"/>
      <c r="H355" s="234" t="str">
        <f>'Building Bill of Materials_SLIM'!T355</f>
        <v/>
      </c>
      <c r="I355" s="234" t="str">
        <f>'Building Bill of Materials_SLIM'!U355</f>
        <v/>
      </c>
      <c r="J355" s="234" t="str">
        <f>'Building Bill of Materials_SLIM'!V355</f>
        <v/>
      </c>
      <c r="K355" s="192"/>
      <c r="L355" s="242"/>
      <c r="M355" s="242"/>
      <c r="N355" s="291"/>
      <c r="O355" s="291"/>
      <c r="P355" s="291"/>
      <c r="Q355" s="291"/>
      <c r="R355" s="291"/>
      <c r="S355" s="291"/>
      <c r="T355" s="291"/>
      <c r="U355" s="291"/>
      <c r="V355" s="291"/>
      <c r="W355" s="291"/>
      <c r="X355" s="291"/>
      <c r="Y355" s="291"/>
      <c r="Z355" s="291"/>
      <c r="AA355" s="291"/>
      <c r="AB355" s="291"/>
      <c r="AC355" s="291"/>
      <c r="AD355" s="291"/>
      <c r="AE355" s="291"/>
      <c r="AF355" s="291"/>
      <c r="AG355" s="291"/>
    </row>
    <row r="356" ht="18.75" customHeight="1">
      <c r="A356" s="283"/>
      <c r="B356" s="234" t="str">
        <f>'Building Bill of Materials_SLIM'!P356</f>
        <v/>
      </c>
      <c r="C356" s="234" t="str">
        <f>'Building Bill of Materials_SLIM'!Q356</f>
        <v/>
      </c>
      <c r="D356" s="234" t="str">
        <f>'Building Bill of Materials_SLIM'!R356</f>
        <v/>
      </c>
      <c r="E356" s="234" t="str">
        <f>'Building Bill of Materials_SLIM'!S356</f>
        <v/>
      </c>
      <c r="F356" s="234"/>
      <c r="G356" s="234"/>
      <c r="H356" s="234" t="str">
        <f>'Building Bill of Materials_SLIM'!T356</f>
        <v/>
      </c>
      <c r="I356" s="234" t="str">
        <f>'Building Bill of Materials_SLIM'!U356</f>
        <v/>
      </c>
      <c r="J356" s="234" t="str">
        <f>'Building Bill of Materials_SLIM'!V356</f>
        <v/>
      </c>
      <c r="K356" s="192"/>
      <c r="L356" s="242"/>
      <c r="M356" s="242"/>
      <c r="N356" s="291"/>
      <c r="O356" s="291"/>
      <c r="P356" s="291"/>
      <c r="Q356" s="291"/>
      <c r="R356" s="291"/>
      <c r="S356" s="291"/>
      <c r="T356" s="291"/>
      <c r="U356" s="291"/>
      <c r="V356" s="291"/>
      <c r="W356" s="291"/>
      <c r="X356" s="291"/>
      <c r="Y356" s="291"/>
      <c r="Z356" s="291"/>
      <c r="AA356" s="291"/>
      <c r="AB356" s="291"/>
      <c r="AC356" s="291"/>
      <c r="AD356" s="291"/>
      <c r="AE356" s="291"/>
      <c r="AF356" s="291"/>
      <c r="AG356" s="291"/>
    </row>
    <row r="357" ht="18.75" customHeight="1">
      <c r="A357" s="283"/>
      <c r="B357" s="234" t="str">
        <f>'Building Bill of Materials_SLIM'!P357</f>
        <v/>
      </c>
      <c r="C357" s="234" t="str">
        <f>'Building Bill of Materials_SLIM'!Q357</f>
        <v/>
      </c>
      <c r="D357" s="234" t="str">
        <f>'Building Bill of Materials_SLIM'!R357</f>
        <v/>
      </c>
      <c r="E357" s="234" t="str">
        <f>'Building Bill of Materials_SLIM'!S357</f>
        <v/>
      </c>
      <c r="F357" s="234"/>
      <c r="G357" s="234"/>
      <c r="H357" s="234" t="str">
        <f>'Building Bill of Materials_SLIM'!T357</f>
        <v/>
      </c>
      <c r="I357" s="234" t="str">
        <f>'Building Bill of Materials_SLIM'!U357</f>
        <v/>
      </c>
      <c r="J357" s="234" t="str">
        <f>'Building Bill of Materials_SLIM'!V357</f>
        <v/>
      </c>
      <c r="K357" s="192"/>
      <c r="L357" s="242"/>
      <c r="M357" s="242"/>
      <c r="N357" s="291"/>
      <c r="O357" s="291"/>
      <c r="P357" s="291"/>
      <c r="Q357" s="291"/>
      <c r="R357" s="291"/>
      <c r="S357" s="291"/>
      <c r="T357" s="291"/>
      <c r="U357" s="291"/>
      <c r="V357" s="291"/>
      <c r="W357" s="291"/>
      <c r="X357" s="291"/>
      <c r="Y357" s="291"/>
      <c r="Z357" s="291"/>
      <c r="AA357" s="291"/>
      <c r="AB357" s="291"/>
      <c r="AC357" s="291"/>
      <c r="AD357" s="291"/>
      <c r="AE357" s="291"/>
      <c r="AF357" s="291"/>
      <c r="AG357" s="291"/>
    </row>
    <row r="358" ht="18.75" customHeight="1">
      <c r="A358" s="283"/>
      <c r="B358" s="234" t="str">
        <f>'Building Bill of Materials_SLIM'!P358</f>
        <v/>
      </c>
      <c r="C358" s="234" t="str">
        <f>'Building Bill of Materials_SLIM'!Q358</f>
        <v/>
      </c>
      <c r="D358" s="234" t="str">
        <f>'Building Bill of Materials_SLIM'!R358</f>
        <v/>
      </c>
      <c r="E358" s="234" t="str">
        <f>'Building Bill of Materials_SLIM'!S358</f>
        <v/>
      </c>
      <c r="F358" s="234"/>
      <c r="G358" s="234"/>
      <c r="H358" s="234" t="str">
        <f>'Building Bill of Materials_SLIM'!T358</f>
        <v/>
      </c>
      <c r="I358" s="234" t="str">
        <f>'Building Bill of Materials_SLIM'!U358</f>
        <v/>
      </c>
      <c r="J358" s="234" t="str">
        <f>'Building Bill of Materials_SLIM'!V358</f>
        <v/>
      </c>
      <c r="K358" s="192"/>
      <c r="L358" s="242"/>
      <c r="M358" s="242"/>
      <c r="N358" s="291"/>
      <c r="O358" s="291"/>
      <c r="P358" s="291"/>
      <c r="Q358" s="291"/>
      <c r="R358" s="291"/>
      <c r="S358" s="291"/>
      <c r="T358" s="291"/>
      <c r="U358" s="291"/>
      <c r="V358" s="291"/>
      <c r="W358" s="291"/>
      <c r="X358" s="291"/>
      <c r="Y358" s="291"/>
      <c r="Z358" s="291"/>
      <c r="AA358" s="291"/>
      <c r="AB358" s="291"/>
      <c r="AC358" s="291"/>
      <c r="AD358" s="291"/>
      <c r="AE358" s="291"/>
      <c r="AF358" s="291"/>
      <c r="AG358" s="291"/>
    </row>
    <row r="359" ht="18.75" customHeight="1">
      <c r="A359" s="283"/>
      <c r="B359" s="234" t="str">
        <f>'Building Bill of Materials_SLIM'!P359</f>
        <v/>
      </c>
      <c r="C359" s="234" t="str">
        <f>'Building Bill of Materials_SLIM'!Q359</f>
        <v/>
      </c>
      <c r="D359" s="234" t="str">
        <f>'Building Bill of Materials_SLIM'!R359</f>
        <v/>
      </c>
      <c r="E359" s="234" t="str">
        <f>'Building Bill of Materials_SLIM'!S359</f>
        <v/>
      </c>
      <c r="F359" s="234"/>
      <c r="G359" s="234"/>
      <c r="H359" s="234" t="str">
        <f>'Building Bill of Materials_SLIM'!T359</f>
        <v/>
      </c>
      <c r="I359" s="234" t="str">
        <f>'Building Bill of Materials_SLIM'!U359</f>
        <v/>
      </c>
      <c r="J359" s="234" t="str">
        <f>'Building Bill of Materials_SLIM'!V359</f>
        <v/>
      </c>
      <c r="K359" s="192"/>
      <c r="L359" s="242"/>
      <c r="M359" s="242"/>
      <c r="N359" s="291"/>
      <c r="O359" s="291"/>
      <c r="P359" s="291"/>
      <c r="Q359" s="291"/>
      <c r="R359" s="291"/>
      <c r="S359" s="291"/>
      <c r="T359" s="291"/>
      <c r="U359" s="291"/>
      <c r="V359" s="291"/>
      <c r="W359" s="291"/>
      <c r="X359" s="291"/>
      <c r="Y359" s="291"/>
      <c r="Z359" s="291"/>
      <c r="AA359" s="291"/>
      <c r="AB359" s="291"/>
      <c r="AC359" s="291"/>
      <c r="AD359" s="291"/>
      <c r="AE359" s="291"/>
      <c r="AF359" s="291"/>
      <c r="AG359" s="291"/>
    </row>
    <row r="360" ht="18.75" customHeight="1">
      <c r="A360" s="283"/>
      <c r="B360" s="234" t="str">
        <f>'Building Bill of Materials_SLIM'!P360</f>
        <v/>
      </c>
      <c r="C360" s="234" t="str">
        <f>'Building Bill of Materials_SLIM'!Q360</f>
        <v/>
      </c>
      <c r="D360" s="234" t="str">
        <f>'Building Bill of Materials_SLIM'!R360</f>
        <v/>
      </c>
      <c r="E360" s="234" t="str">
        <f>'Building Bill of Materials_SLIM'!S360</f>
        <v/>
      </c>
      <c r="F360" s="234"/>
      <c r="G360" s="234"/>
      <c r="H360" s="234" t="str">
        <f>'Building Bill of Materials_SLIM'!T360</f>
        <v/>
      </c>
      <c r="I360" s="234" t="str">
        <f>'Building Bill of Materials_SLIM'!U360</f>
        <v/>
      </c>
      <c r="J360" s="234" t="str">
        <f>'Building Bill of Materials_SLIM'!V360</f>
        <v/>
      </c>
      <c r="K360" s="192"/>
      <c r="L360" s="242"/>
      <c r="M360" s="242"/>
      <c r="N360" s="291"/>
      <c r="O360" s="291"/>
      <c r="P360" s="291"/>
      <c r="Q360" s="291"/>
      <c r="R360" s="291"/>
      <c r="S360" s="291"/>
      <c r="T360" s="291"/>
      <c r="U360" s="291"/>
      <c r="V360" s="291"/>
      <c r="W360" s="291"/>
      <c r="X360" s="291"/>
      <c r="Y360" s="291"/>
      <c r="Z360" s="291"/>
      <c r="AA360" s="291"/>
      <c r="AB360" s="291"/>
      <c r="AC360" s="291"/>
      <c r="AD360" s="291"/>
      <c r="AE360" s="291"/>
      <c r="AF360" s="291"/>
      <c r="AG360" s="291"/>
    </row>
    <row r="361" ht="18.75" customHeight="1">
      <c r="A361" s="283"/>
      <c r="B361" s="234" t="str">
        <f>'Building Bill of Materials_SLIM'!P361</f>
        <v/>
      </c>
      <c r="C361" s="234" t="str">
        <f>'Building Bill of Materials_SLIM'!Q361</f>
        <v/>
      </c>
      <c r="D361" s="234" t="str">
        <f>'Building Bill of Materials_SLIM'!R361</f>
        <v/>
      </c>
      <c r="E361" s="234" t="str">
        <f>'Building Bill of Materials_SLIM'!S361</f>
        <v/>
      </c>
      <c r="F361" s="234"/>
      <c r="G361" s="234"/>
      <c r="H361" s="234" t="str">
        <f>'Building Bill of Materials_SLIM'!T361</f>
        <v/>
      </c>
      <c r="I361" s="234" t="str">
        <f>'Building Bill of Materials_SLIM'!U361</f>
        <v/>
      </c>
      <c r="J361" s="234" t="str">
        <f>'Building Bill of Materials_SLIM'!V361</f>
        <v/>
      </c>
      <c r="K361" s="192"/>
      <c r="L361" s="242"/>
      <c r="M361" s="242"/>
      <c r="N361" s="291"/>
      <c r="O361" s="291"/>
      <c r="P361" s="291"/>
      <c r="Q361" s="291"/>
      <c r="R361" s="291"/>
      <c r="S361" s="291"/>
      <c r="T361" s="291"/>
      <c r="U361" s="291"/>
      <c r="V361" s="291"/>
      <c r="W361" s="291"/>
      <c r="X361" s="291"/>
      <c r="Y361" s="291"/>
      <c r="Z361" s="291"/>
      <c r="AA361" s="291"/>
      <c r="AB361" s="291"/>
      <c r="AC361" s="291"/>
      <c r="AD361" s="291"/>
      <c r="AE361" s="291"/>
      <c r="AF361" s="291"/>
      <c r="AG361" s="291"/>
    </row>
    <row r="362" ht="18.75" customHeight="1">
      <c r="A362" s="283"/>
      <c r="B362" s="234" t="str">
        <f>'Building Bill of Materials_SLIM'!P362</f>
        <v/>
      </c>
      <c r="C362" s="234" t="str">
        <f>'Building Bill of Materials_SLIM'!Q362</f>
        <v/>
      </c>
      <c r="D362" s="234" t="str">
        <f>'Building Bill of Materials_SLIM'!R362</f>
        <v/>
      </c>
      <c r="E362" s="234" t="str">
        <f>'Building Bill of Materials_SLIM'!S362</f>
        <v/>
      </c>
      <c r="F362" s="234"/>
      <c r="G362" s="234"/>
      <c r="H362" s="234" t="str">
        <f>'Building Bill of Materials_SLIM'!T362</f>
        <v/>
      </c>
      <c r="I362" s="234" t="str">
        <f>'Building Bill of Materials_SLIM'!U362</f>
        <v/>
      </c>
      <c r="J362" s="234" t="str">
        <f>'Building Bill of Materials_SLIM'!V362</f>
        <v/>
      </c>
      <c r="K362" s="192"/>
      <c r="L362" s="242"/>
      <c r="M362" s="242"/>
      <c r="N362" s="291"/>
      <c r="O362" s="291"/>
      <c r="P362" s="291"/>
      <c r="Q362" s="291"/>
      <c r="R362" s="291"/>
      <c r="S362" s="291"/>
      <c r="T362" s="291"/>
      <c r="U362" s="291"/>
      <c r="V362" s="291"/>
      <c r="W362" s="291"/>
      <c r="X362" s="291"/>
      <c r="Y362" s="291"/>
      <c r="Z362" s="291"/>
      <c r="AA362" s="291"/>
      <c r="AB362" s="291"/>
      <c r="AC362" s="291"/>
      <c r="AD362" s="291"/>
      <c r="AE362" s="291"/>
      <c r="AF362" s="291"/>
      <c r="AG362" s="291"/>
    </row>
    <row r="363" ht="18.75" customHeight="1">
      <c r="A363" s="283"/>
      <c r="B363" s="234" t="str">
        <f>'Building Bill of Materials_SLIM'!P363</f>
        <v/>
      </c>
      <c r="C363" s="234" t="str">
        <f>'Building Bill of Materials_SLIM'!Q363</f>
        <v/>
      </c>
      <c r="D363" s="234" t="str">
        <f>'Building Bill of Materials_SLIM'!R363</f>
        <v/>
      </c>
      <c r="E363" s="234" t="str">
        <f>'Building Bill of Materials_SLIM'!S363</f>
        <v/>
      </c>
      <c r="F363" s="234"/>
      <c r="G363" s="234"/>
      <c r="H363" s="234" t="str">
        <f>'Building Bill of Materials_SLIM'!T363</f>
        <v/>
      </c>
      <c r="I363" s="234" t="str">
        <f>'Building Bill of Materials_SLIM'!U363</f>
        <v/>
      </c>
      <c r="J363" s="234" t="str">
        <f>'Building Bill of Materials_SLIM'!V363</f>
        <v/>
      </c>
      <c r="K363" s="192"/>
      <c r="L363" s="242"/>
      <c r="M363" s="242"/>
      <c r="N363" s="291"/>
      <c r="O363" s="291"/>
      <c r="P363" s="291"/>
      <c r="Q363" s="291"/>
      <c r="R363" s="291"/>
      <c r="S363" s="291"/>
      <c r="T363" s="291"/>
      <c r="U363" s="291"/>
      <c r="V363" s="291"/>
      <c r="W363" s="291"/>
      <c r="X363" s="291"/>
      <c r="Y363" s="291"/>
      <c r="Z363" s="291"/>
      <c r="AA363" s="291"/>
      <c r="AB363" s="291"/>
      <c r="AC363" s="291"/>
      <c r="AD363" s="291"/>
      <c r="AE363" s="291"/>
      <c r="AF363" s="291"/>
      <c r="AG363" s="291"/>
    </row>
    <row r="364" ht="18.75" customHeight="1">
      <c r="A364" s="283"/>
      <c r="B364" s="234" t="str">
        <f>'Building Bill of Materials_SLIM'!P364</f>
        <v/>
      </c>
      <c r="C364" s="234" t="str">
        <f>'Building Bill of Materials_SLIM'!Q364</f>
        <v/>
      </c>
      <c r="D364" s="234" t="str">
        <f>'Building Bill of Materials_SLIM'!R364</f>
        <v/>
      </c>
      <c r="E364" s="234" t="str">
        <f>'Building Bill of Materials_SLIM'!S364</f>
        <v/>
      </c>
      <c r="F364" s="234"/>
      <c r="G364" s="234"/>
      <c r="H364" s="234" t="str">
        <f>'Building Bill of Materials_SLIM'!T364</f>
        <v/>
      </c>
      <c r="I364" s="234" t="str">
        <f>'Building Bill of Materials_SLIM'!U364</f>
        <v/>
      </c>
      <c r="J364" s="234" t="str">
        <f>'Building Bill of Materials_SLIM'!V364</f>
        <v/>
      </c>
      <c r="K364" s="192"/>
      <c r="L364" s="242"/>
      <c r="M364" s="242"/>
      <c r="N364" s="291"/>
      <c r="O364" s="291"/>
      <c r="P364" s="291"/>
      <c r="Q364" s="291"/>
      <c r="R364" s="291"/>
      <c r="S364" s="291"/>
      <c r="T364" s="291"/>
      <c r="U364" s="291"/>
      <c r="V364" s="291"/>
      <c r="W364" s="291"/>
      <c r="X364" s="291"/>
      <c r="Y364" s="291"/>
      <c r="Z364" s="291"/>
      <c r="AA364" s="291"/>
      <c r="AB364" s="291"/>
      <c r="AC364" s="291"/>
      <c r="AD364" s="291"/>
      <c r="AE364" s="291"/>
      <c r="AF364" s="291"/>
      <c r="AG364" s="291"/>
    </row>
    <row r="365" ht="18.75" customHeight="1">
      <c r="A365" s="283"/>
      <c r="B365" s="234" t="str">
        <f>'Building Bill of Materials_SLIM'!P365</f>
        <v/>
      </c>
      <c r="C365" s="234" t="str">
        <f>'Building Bill of Materials_SLIM'!Q365</f>
        <v/>
      </c>
      <c r="D365" s="234" t="str">
        <f>'Building Bill of Materials_SLIM'!R365</f>
        <v/>
      </c>
      <c r="E365" s="234" t="str">
        <f>'Building Bill of Materials_SLIM'!S365</f>
        <v/>
      </c>
      <c r="F365" s="234"/>
      <c r="G365" s="234"/>
      <c r="H365" s="234" t="str">
        <f>'Building Bill of Materials_SLIM'!T365</f>
        <v/>
      </c>
      <c r="I365" s="234" t="str">
        <f>'Building Bill of Materials_SLIM'!U365</f>
        <v/>
      </c>
      <c r="J365" s="234" t="str">
        <f>'Building Bill of Materials_SLIM'!V365</f>
        <v/>
      </c>
      <c r="K365" s="192"/>
      <c r="L365" s="242"/>
      <c r="M365" s="242"/>
      <c r="N365" s="291"/>
      <c r="O365" s="291"/>
      <c r="P365" s="291"/>
      <c r="Q365" s="291"/>
      <c r="R365" s="291"/>
      <c r="S365" s="291"/>
      <c r="T365" s="291"/>
      <c r="U365" s="291"/>
      <c r="V365" s="291"/>
      <c r="W365" s="291"/>
      <c r="X365" s="291"/>
      <c r="Y365" s="291"/>
      <c r="Z365" s="291"/>
      <c r="AA365" s="291"/>
      <c r="AB365" s="291"/>
      <c r="AC365" s="291"/>
      <c r="AD365" s="291"/>
      <c r="AE365" s="291"/>
      <c r="AF365" s="291"/>
      <c r="AG365" s="291"/>
    </row>
    <row r="366" ht="18.75" customHeight="1">
      <c r="A366" s="283"/>
      <c r="B366" s="234" t="str">
        <f>'Building Bill of Materials_SLIM'!P366</f>
        <v/>
      </c>
      <c r="C366" s="234" t="str">
        <f>'Building Bill of Materials_SLIM'!Q366</f>
        <v/>
      </c>
      <c r="D366" s="234" t="str">
        <f>'Building Bill of Materials_SLIM'!R366</f>
        <v/>
      </c>
      <c r="E366" s="234" t="str">
        <f>'Building Bill of Materials_SLIM'!S366</f>
        <v/>
      </c>
      <c r="F366" s="234"/>
      <c r="G366" s="234"/>
      <c r="H366" s="234" t="str">
        <f>'Building Bill of Materials_SLIM'!T366</f>
        <v/>
      </c>
      <c r="I366" s="234" t="str">
        <f>'Building Bill of Materials_SLIM'!U366</f>
        <v/>
      </c>
      <c r="J366" s="234" t="str">
        <f>'Building Bill of Materials_SLIM'!V366</f>
        <v/>
      </c>
      <c r="K366" s="192"/>
      <c r="L366" s="242"/>
      <c r="M366" s="242"/>
      <c r="N366" s="291"/>
      <c r="O366" s="291"/>
      <c r="P366" s="291"/>
      <c r="Q366" s="291"/>
      <c r="R366" s="291"/>
      <c r="S366" s="291"/>
      <c r="T366" s="291"/>
      <c r="U366" s="291"/>
      <c r="V366" s="291"/>
      <c r="W366" s="291"/>
      <c r="X366" s="291"/>
      <c r="Y366" s="291"/>
      <c r="Z366" s="291"/>
      <c r="AA366" s="291"/>
      <c r="AB366" s="291"/>
      <c r="AC366" s="291"/>
      <c r="AD366" s="291"/>
      <c r="AE366" s="291"/>
      <c r="AF366" s="291"/>
      <c r="AG366" s="291"/>
    </row>
    <row r="367" ht="18.75" customHeight="1">
      <c r="A367" s="283"/>
      <c r="B367" s="234" t="str">
        <f>'Building Bill of Materials_SLIM'!P367</f>
        <v/>
      </c>
      <c r="C367" s="234" t="str">
        <f>'Building Bill of Materials_SLIM'!Q367</f>
        <v/>
      </c>
      <c r="D367" s="234" t="str">
        <f>'Building Bill of Materials_SLIM'!R367</f>
        <v/>
      </c>
      <c r="E367" s="234" t="str">
        <f>'Building Bill of Materials_SLIM'!S367</f>
        <v/>
      </c>
      <c r="F367" s="234"/>
      <c r="G367" s="234"/>
      <c r="H367" s="234" t="str">
        <f>'Building Bill of Materials_SLIM'!T367</f>
        <v/>
      </c>
      <c r="I367" s="234" t="str">
        <f>'Building Bill of Materials_SLIM'!U367</f>
        <v/>
      </c>
      <c r="J367" s="234" t="str">
        <f>'Building Bill of Materials_SLIM'!V367</f>
        <v/>
      </c>
      <c r="K367" s="192"/>
      <c r="L367" s="242"/>
      <c r="M367" s="242"/>
      <c r="N367" s="291"/>
      <c r="O367" s="291"/>
      <c r="P367" s="291"/>
      <c r="Q367" s="291"/>
      <c r="R367" s="291"/>
      <c r="S367" s="291"/>
      <c r="T367" s="291"/>
      <c r="U367" s="291"/>
      <c r="V367" s="291"/>
      <c r="W367" s="291"/>
      <c r="X367" s="291"/>
      <c r="Y367" s="291"/>
      <c r="Z367" s="291"/>
      <c r="AA367" s="291"/>
      <c r="AB367" s="291"/>
      <c r="AC367" s="291"/>
      <c r="AD367" s="291"/>
      <c r="AE367" s="291"/>
      <c r="AF367" s="291"/>
      <c r="AG367" s="291"/>
    </row>
    <row r="368" ht="18.75" customHeight="1">
      <c r="A368" s="283"/>
      <c r="B368" s="234" t="str">
        <f>'Building Bill of Materials_SLIM'!P368</f>
        <v/>
      </c>
      <c r="C368" s="234" t="str">
        <f>'Building Bill of Materials_SLIM'!Q368</f>
        <v/>
      </c>
      <c r="D368" s="234" t="str">
        <f>'Building Bill of Materials_SLIM'!R368</f>
        <v/>
      </c>
      <c r="E368" s="234" t="str">
        <f>'Building Bill of Materials_SLIM'!S368</f>
        <v/>
      </c>
      <c r="F368" s="234"/>
      <c r="G368" s="234"/>
      <c r="H368" s="234" t="str">
        <f>'Building Bill of Materials_SLIM'!T368</f>
        <v/>
      </c>
      <c r="I368" s="234" t="str">
        <f>'Building Bill of Materials_SLIM'!U368</f>
        <v/>
      </c>
      <c r="J368" s="234" t="str">
        <f>'Building Bill of Materials_SLIM'!V368</f>
        <v/>
      </c>
      <c r="K368" s="192"/>
      <c r="L368" s="242"/>
      <c r="M368" s="242"/>
      <c r="N368" s="291"/>
      <c r="O368" s="291"/>
      <c r="P368" s="291"/>
      <c r="Q368" s="291"/>
      <c r="R368" s="291"/>
      <c r="S368" s="291"/>
      <c r="T368" s="291"/>
      <c r="U368" s="291"/>
      <c r="V368" s="291"/>
      <c r="W368" s="291"/>
      <c r="X368" s="291"/>
      <c r="Y368" s="291"/>
      <c r="Z368" s="291"/>
      <c r="AA368" s="291"/>
      <c r="AB368" s="291"/>
      <c r="AC368" s="291"/>
      <c r="AD368" s="291"/>
      <c r="AE368" s="291"/>
      <c r="AF368" s="291"/>
      <c r="AG368" s="291"/>
    </row>
    <row r="369" ht="18.75" customHeight="1">
      <c r="A369" s="283"/>
      <c r="B369" s="234" t="str">
        <f>'Building Bill of Materials_SLIM'!P369</f>
        <v/>
      </c>
      <c r="C369" s="234" t="str">
        <f>'Building Bill of Materials_SLIM'!Q369</f>
        <v/>
      </c>
      <c r="D369" s="234" t="str">
        <f>'Building Bill of Materials_SLIM'!R369</f>
        <v/>
      </c>
      <c r="E369" s="234" t="str">
        <f>'Building Bill of Materials_SLIM'!S369</f>
        <v/>
      </c>
      <c r="F369" s="234"/>
      <c r="G369" s="234"/>
      <c r="H369" s="234" t="str">
        <f>'Building Bill of Materials_SLIM'!T369</f>
        <v/>
      </c>
      <c r="I369" s="234" t="str">
        <f>'Building Bill of Materials_SLIM'!U369</f>
        <v/>
      </c>
      <c r="J369" s="234" t="str">
        <f>'Building Bill of Materials_SLIM'!V369</f>
        <v/>
      </c>
      <c r="K369" s="192"/>
      <c r="L369" s="242"/>
      <c r="M369" s="242"/>
      <c r="N369" s="291"/>
      <c r="O369" s="291"/>
      <c r="P369" s="291"/>
      <c r="Q369" s="291"/>
      <c r="R369" s="291"/>
      <c r="S369" s="291"/>
      <c r="T369" s="291"/>
      <c r="U369" s="291"/>
      <c r="V369" s="291"/>
      <c r="W369" s="291"/>
      <c r="X369" s="291"/>
      <c r="Y369" s="291"/>
      <c r="Z369" s="291"/>
      <c r="AA369" s="291"/>
      <c r="AB369" s="291"/>
      <c r="AC369" s="291"/>
      <c r="AD369" s="291"/>
      <c r="AE369" s="291"/>
      <c r="AF369" s="291"/>
      <c r="AG369" s="291"/>
    </row>
    <row r="370" ht="18.75" customHeight="1">
      <c r="A370" s="283"/>
      <c r="B370" s="234" t="str">
        <f>'Building Bill of Materials_SLIM'!P370</f>
        <v/>
      </c>
      <c r="C370" s="234" t="str">
        <f>'Building Bill of Materials_SLIM'!Q370</f>
        <v/>
      </c>
      <c r="D370" s="234" t="str">
        <f>'Building Bill of Materials_SLIM'!R370</f>
        <v/>
      </c>
      <c r="E370" s="234" t="str">
        <f>'Building Bill of Materials_SLIM'!S370</f>
        <v/>
      </c>
      <c r="F370" s="234"/>
      <c r="G370" s="234"/>
      <c r="H370" s="234" t="str">
        <f>'Building Bill of Materials_SLIM'!T370</f>
        <v/>
      </c>
      <c r="I370" s="234" t="str">
        <f>'Building Bill of Materials_SLIM'!U370</f>
        <v/>
      </c>
      <c r="J370" s="234" t="str">
        <f>'Building Bill of Materials_SLIM'!V370</f>
        <v/>
      </c>
      <c r="K370" s="192"/>
      <c r="L370" s="242"/>
      <c r="M370" s="242"/>
      <c r="N370" s="291"/>
      <c r="O370" s="291"/>
      <c r="P370" s="291"/>
      <c r="Q370" s="291"/>
      <c r="R370" s="291"/>
      <c r="S370" s="291"/>
      <c r="T370" s="291"/>
      <c r="U370" s="291"/>
      <c r="V370" s="291"/>
      <c r="W370" s="291"/>
      <c r="X370" s="291"/>
      <c r="Y370" s="291"/>
      <c r="Z370" s="291"/>
      <c r="AA370" s="291"/>
      <c r="AB370" s="291"/>
      <c r="AC370" s="291"/>
      <c r="AD370" s="291"/>
      <c r="AE370" s="291"/>
      <c r="AF370" s="291"/>
      <c r="AG370" s="291"/>
    </row>
    <row r="371" ht="18.75" customHeight="1">
      <c r="A371" s="283"/>
      <c r="B371" s="234" t="str">
        <f>'Building Bill of Materials_SLIM'!P371</f>
        <v/>
      </c>
      <c r="C371" s="234" t="str">
        <f>'Building Bill of Materials_SLIM'!Q371</f>
        <v/>
      </c>
      <c r="D371" s="234" t="str">
        <f>'Building Bill of Materials_SLIM'!R371</f>
        <v/>
      </c>
      <c r="E371" s="234" t="str">
        <f>'Building Bill of Materials_SLIM'!S371</f>
        <v/>
      </c>
      <c r="F371" s="234"/>
      <c r="G371" s="234"/>
      <c r="H371" s="234" t="str">
        <f>'Building Bill of Materials_SLIM'!T371</f>
        <v/>
      </c>
      <c r="I371" s="234" t="str">
        <f>'Building Bill of Materials_SLIM'!U371</f>
        <v/>
      </c>
      <c r="J371" s="234" t="str">
        <f>'Building Bill of Materials_SLIM'!V371</f>
        <v/>
      </c>
      <c r="K371" s="192"/>
      <c r="L371" s="242"/>
      <c r="M371" s="242"/>
      <c r="N371" s="291"/>
      <c r="O371" s="291"/>
      <c r="P371" s="291"/>
      <c r="Q371" s="291"/>
      <c r="R371" s="291"/>
      <c r="S371" s="291"/>
      <c r="T371" s="291"/>
      <c r="U371" s="291"/>
      <c r="V371" s="291"/>
      <c r="W371" s="291"/>
      <c r="X371" s="291"/>
      <c r="Y371" s="291"/>
      <c r="Z371" s="291"/>
      <c r="AA371" s="291"/>
      <c r="AB371" s="291"/>
      <c r="AC371" s="291"/>
      <c r="AD371" s="291"/>
      <c r="AE371" s="291"/>
      <c r="AF371" s="291"/>
      <c r="AG371" s="291"/>
    </row>
    <row r="372" ht="18.75" customHeight="1">
      <c r="A372" s="283"/>
      <c r="B372" s="234" t="str">
        <f>'Building Bill of Materials_SLIM'!P372</f>
        <v/>
      </c>
      <c r="C372" s="234" t="str">
        <f>'Building Bill of Materials_SLIM'!Q372</f>
        <v/>
      </c>
      <c r="D372" s="234" t="str">
        <f>'Building Bill of Materials_SLIM'!R372</f>
        <v/>
      </c>
      <c r="E372" s="234" t="str">
        <f>'Building Bill of Materials_SLIM'!S372</f>
        <v/>
      </c>
      <c r="F372" s="234"/>
      <c r="G372" s="234"/>
      <c r="H372" s="234" t="str">
        <f>'Building Bill of Materials_SLIM'!T372</f>
        <v/>
      </c>
      <c r="I372" s="234" t="str">
        <f>'Building Bill of Materials_SLIM'!U372</f>
        <v/>
      </c>
      <c r="J372" s="234" t="str">
        <f>'Building Bill of Materials_SLIM'!V372</f>
        <v/>
      </c>
      <c r="K372" s="192"/>
      <c r="L372" s="242"/>
      <c r="M372" s="242"/>
      <c r="N372" s="291"/>
      <c r="O372" s="291"/>
      <c r="P372" s="291"/>
      <c r="Q372" s="291"/>
      <c r="R372" s="291"/>
      <c r="S372" s="291"/>
      <c r="T372" s="291"/>
      <c r="U372" s="291"/>
      <c r="V372" s="291"/>
      <c r="W372" s="291"/>
      <c r="X372" s="291"/>
      <c r="Y372" s="291"/>
      <c r="Z372" s="291"/>
      <c r="AA372" s="291"/>
      <c r="AB372" s="291"/>
      <c r="AC372" s="291"/>
      <c r="AD372" s="291"/>
      <c r="AE372" s="291"/>
      <c r="AF372" s="291"/>
      <c r="AG372" s="291"/>
    </row>
    <row r="373" ht="18.75" customHeight="1">
      <c r="A373" s="283"/>
      <c r="B373" s="234" t="str">
        <f>'Building Bill of Materials_SLIM'!P373</f>
        <v/>
      </c>
      <c r="C373" s="234" t="str">
        <f>'Building Bill of Materials_SLIM'!Q373</f>
        <v/>
      </c>
      <c r="D373" s="234" t="str">
        <f>'Building Bill of Materials_SLIM'!R373</f>
        <v/>
      </c>
      <c r="E373" s="234" t="str">
        <f>'Building Bill of Materials_SLIM'!S373</f>
        <v/>
      </c>
      <c r="F373" s="234"/>
      <c r="G373" s="234"/>
      <c r="H373" s="234" t="str">
        <f>'Building Bill of Materials_SLIM'!T373</f>
        <v/>
      </c>
      <c r="I373" s="234" t="str">
        <f>'Building Bill of Materials_SLIM'!U373</f>
        <v/>
      </c>
      <c r="J373" s="234" t="str">
        <f>'Building Bill of Materials_SLIM'!V373</f>
        <v/>
      </c>
      <c r="K373" s="192"/>
      <c r="L373" s="242"/>
      <c r="M373" s="242"/>
      <c r="N373" s="291"/>
      <c r="O373" s="291"/>
      <c r="P373" s="291"/>
      <c r="Q373" s="291"/>
      <c r="R373" s="291"/>
      <c r="S373" s="291"/>
      <c r="T373" s="291"/>
      <c r="U373" s="291"/>
      <c r="V373" s="291"/>
      <c r="W373" s="291"/>
      <c r="X373" s="291"/>
      <c r="Y373" s="291"/>
      <c r="Z373" s="291"/>
      <c r="AA373" s="291"/>
      <c r="AB373" s="291"/>
      <c r="AC373" s="291"/>
      <c r="AD373" s="291"/>
      <c r="AE373" s="291"/>
      <c r="AF373" s="291"/>
      <c r="AG373" s="291"/>
    </row>
    <row r="374" ht="18.75" customHeight="1">
      <c r="A374" s="283"/>
      <c r="B374" s="234" t="str">
        <f>'Building Bill of Materials_SLIM'!P374</f>
        <v/>
      </c>
      <c r="C374" s="234" t="str">
        <f>'Building Bill of Materials_SLIM'!Q374</f>
        <v/>
      </c>
      <c r="D374" s="234" t="str">
        <f>'Building Bill of Materials_SLIM'!R374</f>
        <v/>
      </c>
      <c r="E374" s="234" t="str">
        <f>'Building Bill of Materials_SLIM'!S374</f>
        <v/>
      </c>
      <c r="F374" s="234"/>
      <c r="G374" s="234"/>
      <c r="H374" s="234" t="str">
        <f>'Building Bill of Materials_SLIM'!T374</f>
        <v/>
      </c>
      <c r="I374" s="234" t="str">
        <f>'Building Bill of Materials_SLIM'!U374</f>
        <v/>
      </c>
      <c r="J374" s="234" t="str">
        <f>'Building Bill of Materials_SLIM'!V374</f>
        <v/>
      </c>
      <c r="K374" s="192"/>
      <c r="L374" s="242"/>
      <c r="M374" s="242"/>
      <c r="N374" s="291"/>
      <c r="O374" s="291"/>
      <c r="P374" s="291"/>
      <c r="Q374" s="291"/>
      <c r="R374" s="291"/>
      <c r="S374" s="291"/>
      <c r="T374" s="291"/>
      <c r="U374" s="291"/>
      <c r="V374" s="291"/>
      <c r="W374" s="291"/>
      <c r="X374" s="291"/>
      <c r="Y374" s="291"/>
      <c r="Z374" s="291"/>
      <c r="AA374" s="291"/>
      <c r="AB374" s="291"/>
      <c r="AC374" s="291"/>
      <c r="AD374" s="291"/>
      <c r="AE374" s="291"/>
      <c r="AF374" s="291"/>
      <c r="AG374" s="291"/>
    </row>
    <row r="375" ht="18.75" customHeight="1">
      <c r="A375" s="283"/>
      <c r="B375" s="234" t="str">
        <f>'Building Bill of Materials_SLIM'!P375</f>
        <v/>
      </c>
      <c r="C375" s="234" t="str">
        <f>'Building Bill of Materials_SLIM'!Q375</f>
        <v/>
      </c>
      <c r="D375" s="234" t="str">
        <f>'Building Bill of Materials_SLIM'!R375</f>
        <v/>
      </c>
      <c r="E375" s="234" t="str">
        <f>'Building Bill of Materials_SLIM'!S375</f>
        <v/>
      </c>
      <c r="F375" s="234"/>
      <c r="G375" s="234"/>
      <c r="H375" s="234" t="str">
        <f>'Building Bill of Materials_SLIM'!T375</f>
        <v/>
      </c>
      <c r="I375" s="234" t="str">
        <f>'Building Bill of Materials_SLIM'!U375</f>
        <v/>
      </c>
      <c r="J375" s="234" t="str">
        <f>'Building Bill of Materials_SLIM'!V375</f>
        <v/>
      </c>
      <c r="K375" s="192"/>
      <c r="L375" s="242"/>
      <c r="M375" s="242"/>
      <c r="N375" s="291"/>
      <c r="O375" s="291"/>
      <c r="P375" s="291"/>
      <c r="Q375" s="291"/>
      <c r="R375" s="291"/>
      <c r="S375" s="291"/>
      <c r="T375" s="291"/>
      <c r="U375" s="291"/>
      <c r="V375" s="291"/>
      <c r="W375" s="291"/>
      <c r="X375" s="291"/>
      <c r="Y375" s="291"/>
      <c r="Z375" s="291"/>
      <c r="AA375" s="291"/>
      <c r="AB375" s="291"/>
      <c r="AC375" s="291"/>
      <c r="AD375" s="291"/>
      <c r="AE375" s="291"/>
      <c r="AF375" s="291"/>
      <c r="AG375" s="291"/>
    </row>
    <row r="376" ht="18.75" customHeight="1">
      <c r="A376" s="283"/>
      <c r="B376" s="234" t="str">
        <f>'Building Bill of Materials_SLIM'!P376</f>
        <v/>
      </c>
      <c r="C376" s="234" t="str">
        <f>'Building Bill of Materials_SLIM'!Q376</f>
        <v/>
      </c>
      <c r="D376" s="234" t="str">
        <f>'Building Bill of Materials_SLIM'!R376</f>
        <v/>
      </c>
      <c r="E376" s="234" t="str">
        <f>'Building Bill of Materials_SLIM'!S376</f>
        <v/>
      </c>
      <c r="F376" s="234"/>
      <c r="G376" s="234"/>
      <c r="H376" s="234" t="str">
        <f>'Building Bill of Materials_SLIM'!T376</f>
        <v/>
      </c>
      <c r="I376" s="234" t="str">
        <f>'Building Bill of Materials_SLIM'!U376</f>
        <v/>
      </c>
      <c r="J376" s="234" t="str">
        <f>'Building Bill of Materials_SLIM'!V376</f>
        <v/>
      </c>
      <c r="K376" s="192"/>
      <c r="L376" s="242"/>
      <c r="M376" s="242"/>
      <c r="N376" s="291"/>
      <c r="O376" s="291"/>
      <c r="P376" s="291"/>
      <c r="Q376" s="291"/>
      <c r="R376" s="291"/>
      <c r="S376" s="291"/>
      <c r="T376" s="291"/>
      <c r="U376" s="291"/>
      <c r="V376" s="291"/>
      <c r="W376" s="291"/>
      <c r="X376" s="291"/>
      <c r="Y376" s="291"/>
      <c r="Z376" s="291"/>
      <c r="AA376" s="291"/>
      <c r="AB376" s="291"/>
      <c r="AC376" s="291"/>
      <c r="AD376" s="291"/>
      <c r="AE376" s="291"/>
      <c r="AF376" s="291"/>
      <c r="AG376" s="291"/>
    </row>
    <row r="377" ht="18.75" customHeight="1">
      <c r="A377" s="283"/>
      <c r="B377" s="234" t="str">
        <f>'Building Bill of Materials_SLIM'!P377</f>
        <v/>
      </c>
      <c r="C377" s="234" t="str">
        <f>'Building Bill of Materials_SLIM'!Q377</f>
        <v/>
      </c>
      <c r="D377" s="234" t="str">
        <f>'Building Bill of Materials_SLIM'!R377</f>
        <v/>
      </c>
      <c r="E377" s="234" t="str">
        <f>'Building Bill of Materials_SLIM'!S377</f>
        <v/>
      </c>
      <c r="F377" s="234"/>
      <c r="G377" s="234"/>
      <c r="H377" s="234" t="str">
        <f>'Building Bill of Materials_SLIM'!T377</f>
        <v/>
      </c>
      <c r="I377" s="234" t="str">
        <f>'Building Bill of Materials_SLIM'!U377</f>
        <v/>
      </c>
      <c r="J377" s="234" t="str">
        <f>'Building Bill of Materials_SLIM'!V377</f>
        <v/>
      </c>
      <c r="K377" s="192"/>
      <c r="L377" s="242"/>
      <c r="M377" s="242"/>
      <c r="N377" s="291"/>
      <c r="O377" s="291"/>
      <c r="P377" s="291"/>
      <c r="Q377" s="291"/>
      <c r="R377" s="291"/>
      <c r="S377" s="291"/>
      <c r="T377" s="291"/>
      <c r="U377" s="291"/>
      <c r="V377" s="291"/>
      <c r="W377" s="291"/>
      <c r="X377" s="291"/>
      <c r="Y377" s="291"/>
      <c r="Z377" s="291"/>
      <c r="AA377" s="291"/>
      <c r="AB377" s="291"/>
      <c r="AC377" s="291"/>
      <c r="AD377" s="291"/>
      <c r="AE377" s="291"/>
      <c r="AF377" s="291"/>
      <c r="AG377" s="291"/>
    </row>
    <row r="378" ht="18.75" customHeight="1">
      <c r="A378" s="283"/>
      <c r="B378" s="234" t="str">
        <f>'Building Bill of Materials_SLIM'!P378</f>
        <v/>
      </c>
      <c r="C378" s="234" t="str">
        <f>'Building Bill of Materials_SLIM'!Q378</f>
        <v/>
      </c>
      <c r="D378" s="234" t="str">
        <f>'Building Bill of Materials_SLIM'!R378</f>
        <v/>
      </c>
      <c r="E378" s="234" t="str">
        <f>'Building Bill of Materials_SLIM'!S378</f>
        <v/>
      </c>
      <c r="F378" s="234"/>
      <c r="G378" s="234"/>
      <c r="H378" s="234" t="str">
        <f>'Building Bill of Materials_SLIM'!T378</f>
        <v/>
      </c>
      <c r="I378" s="234" t="str">
        <f>'Building Bill of Materials_SLIM'!U378</f>
        <v/>
      </c>
      <c r="J378" s="234" t="str">
        <f>'Building Bill of Materials_SLIM'!V378</f>
        <v/>
      </c>
      <c r="K378" s="192"/>
      <c r="L378" s="242"/>
      <c r="M378" s="242"/>
      <c r="N378" s="291"/>
      <c r="O378" s="291"/>
      <c r="P378" s="291"/>
      <c r="Q378" s="291"/>
      <c r="R378" s="291"/>
      <c r="S378" s="291"/>
      <c r="T378" s="291"/>
      <c r="U378" s="291"/>
      <c r="V378" s="291"/>
      <c r="W378" s="291"/>
      <c r="X378" s="291"/>
      <c r="Y378" s="291"/>
      <c r="Z378" s="291"/>
      <c r="AA378" s="291"/>
      <c r="AB378" s="291"/>
      <c r="AC378" s="291"/>
      <c r="AD378" s="291"/>
      <c r="AE378" s="291"/>
      <c r="AF378" s="291"/>
      <c r="AG378" s="291"/>
    </row>
    <row r="379" ht="18.75" customHeight="1">
      <c r="A379" s="283"/>
      <c r="B379" s="234" t="str">
        <f>'Building Bill of Materials_SLIM'!P379</f>
        <v/>
      </c>
      <c r="C379" s="234" t="str">
        <f>'Building Bill of Materials_SLIM'!Q379</f>
        <v/>
      </c>
      <c r="D379" s="234" t="str">
        <f>'Building Bill of Materials_SLIM'!R379</f>
        <v/>
      </c>
      <c r="E379" s="234" t="str">
        <f>'Building Bill of Materials_SLIM'!S379</f>
        <v/>
      </c>
      <c r="F379" s="234"/>
      <c r="G379" s="234"/>
      <c r="H379" s="234" t="str">
        <f>'Building Bill of Materials_SLIM'!T379</f>
        <v/>
      </c>
      <c r="I379" s="234" t="str">
        <f>'Building Bill of Materials_SLIM'!U379</f>
        <v/>
      </c>
      <c r="J379" s="234" t="str">
        <f>'Building Bill of Materials_SLIM'!V379</f>
        <v/>
      </c>
      <c r="K379" s="192"/>
      <c r="L379" s="242"/>
      <c r="M379" s="242"/>
      <c r="N379" s="291"/>
      <c r="O379" s="291"/>
      <c r="P379" s="291"/>
      <c r="Q379" s="291"/>
      <c r="R379" s="291"/>
      <c r="S379" s="291"/>
      <c r="T379" s="291"/>
      <c r="U379" s="291"/>
      <c r="V379" s="291"/>
      <c r="W379" s="291"/>
      <c r="X379" s="291"/>
      <c r="Y379" s="291"/>
      <c r="Z379" s="291"/>
      <c r="AA379" s="291"/>
      <c r="AB379" s="291"/>
      <c r="AC379" s="291"/>
      <c r="AD379" s="291"/>
      <c r="AE379" s="291"/>
      <c r="AF379" s="291"/>
      <c r="AG379" s="291"/>
    </row>
    <row r="380" ht="18.75" customHeight="1">
      <c r="A380" s="283"/>
      <c r="B380" s="234" t="str">
        <f>'Building Bill of Materials_SLIM'!P380</f>
        <v/>
      </c>
      <c r="C380" s="234" t="str">
        <f>'Building Bill of Materials_SLIM'!Q380</f>
        <v/>
      </c>
      <c r="D380" s="234" t="str">
        <f>'Building Bill of Materials_SLIM'!R380</f>
        <v/>
      </c>
      <c r="E380" s="234" t="str">
        <f>'Building Bill of Materials_SLIM'!S380</f>
        <v/>
      </c>
      <c r="F380" s="234"/>
      <c r="G380" s="234"/>
      <c r="H380" s="234" t="str">
        <f>'Building Bill of Materials_SLIM'!T380</f>
        <v/>
      </c>
      <c r="I380" s="234" t="str">
        <f>'Building Bill of Materials_SLIM'!U380</f>
        <v/>
      </c>
      <c r="J380" s="234" t="str">
        <f>'Building Bill of Materials_SLIM'!V380</f>
        <v/>
      </c>
      <c r="K380" s="192"/>
      <c r="L380" s="242"/>
      <c r="M380" s="242"/>
      <c r="N380" s="291"/>
      <c r="O380" s="291"/>
      <c r="P380" s="291"/>
      <c r="Q380" s="291"/>
      <c r="R380" s="291"/>
      <c r="S380" s="291"/>
      <c r="T380" s="291"/>
      <c r="U380" s="291"/>
      <c r="V380" s="291"/>
      <c r="W380" s="291"/>
      <c r="X380" s="291"/>
      <c r="Y380" s="291"/>
      <c r="Z380" s="291"/>
      <c r="AA380" s="291"/>
      <c r="AB380" s="291"/>
      <c r="AC380" s="291"/>
      <c r="AD380" s="291"/>
      <c r="AE380" s="291"/>
      <c r="AF380" s="291"/>
      <c r="AG380" s="291"/>
    </row>
    <row r="381" ht="18.75" customHeight="1">
      <c r="A381" s="283"/>
      <c r="B381" s="234" t="str">
        <f>'Building Bill of Materials_SLIM'!P381</f>
        <v/>
      </c>
      <c r="C381" s="234" t="str">
        <f>'Building Bill of Materials_SLIM'!Q381</f>
        <v/>
      </c>
      <c r="D381" s="234" t="str">
        <f>'Building Bill of Materials_SLIM'!R381</f>
        <v/>
      </c>
      <c r="E381" s="234" t="str">
        <f>'Building Bill of Materials_SLIM'!S381</f>
        <v/>
      </c>
      <c r="F381" s="234"/>
      <c r="G381" s="234"/>
      <c r="H381" s="234" t="str">
        <f>'Building Bill of Materials_SLIM'!T381</f>
        <v/>
      </c>
      <c r="I381" s="234" t="str">
        <f>'Building Bill of Materials_SLIM'!U381</f>
        <v/>
      </c>
      <c r="J381" s="234" t="str">
        <f>'Building Bill of Materials_SLIM'!V381</f>
        <v/>
      </c>
      <c r="K381" s="192"/>
      <c r="L381" s="242"/>
      <c r="M381" s="242"/>
      <c r="N381" s="291"/>
      <c r="O381" s="291"/>
      <c r="P381" s="291"/>
      <c r="Q381" s="291"/>
      <c r="R381" s="291"/>
      <c r="S381" s="291"/>
      <c r="T381" s="291"/>
      <c r="U381" s="291"/>
      <c r="V381" s="291"/>
      <c r="W381" s="291"/>
      <c r="X381" s="291"/>
      <c r="Y381" s="291"/>
      <c r="Z381" s="291"/>
      <c r="AA381" s="291"/>
      <c r="AB381" s="291"/>
      <c r="AC381" s="291"/>
      <c r="AD381" s="291"/>
      <c r="AE381" s="291"/>
      <c r="AF381" s="291"/>
      <c r="AG381" s="291"/>
    </row>
    <row r="382" ht="18.75" customHeight="1">
      <c r="A382" s="283"/>
      <c r="B382" s="234" t="str">
        <f>'Building Bill of Materials_SLIM'!P382</f>
        <v/>
      </c>
      <c r="C382" s="234" t="str">
        <f>'Building Bill of Materials_SLIM'!Q382</f>
        <v/>
      </c>
      <c r="D382" s="234" t="str">
        <f>'Building Bill of Materials_SLIM'!R382</f>
        <v/>
      </c>
      <c r="E382" s="234" t="str">
        <f>'Building Bill of Materials_SLIM'!S382</f>
        <v/>
      </c>
      <c r="F382" s="234"/>
      <c r="G382" s="234"/>
      <c r="H382" s="234" t="str">
        <f>'Building Bill of Materials_SLIM'!T382</f>
        <v/>
      </c>
      <c r="I382" s="234" t="str">
        <f>'Building Bill of Materials_SLIM'!U382</f>
        <v/>
      </c>
      <c r="J382" s="234" t="str">
        <f>'Building Bill of Materials_SLIM'!V382</f>
        <v/>
      </c>
      <c r="K382" s="192"/>
      <c r="L382" s="242"/>
      <c r="M382" s="242"/>
      <c r="N382" s="291"/>
      <c r="O382" s="291"/>
      <c r="P382" s="291"/>
      <c r="Q382" s="291"/>
      <c r="R382" s="291"/>
      <c r="S382" s="291"/>
      <c r="T382" s="291"/>
      <c r="U382" s="291"/>
      <c r="V382" s="291"/>
      <c r="W382" s="291"/>
      <c r="X382" s="291"/>
      <c r="Y382" s="291"/>
      <c r="Z382" s="291"/>
      <c r="AA382" s="291"/>
      <c r="AB382" s="291"/>
      <c r="AC382" s="291"/>
      <c r="AD382" s="291"/>
      <c r="AE382" s="291"/>
      <c r="AF382" s="291"/>
      <c r="AG382" s="291"/>
    </row>
    <row r="383" ht="18.75" customHeight="1">
      <c r="A383" s="283"/>
      <c r="B383" s="234" t="str">
        <f>'Building Bill of Materials_SLIM'!P383</f>
        <v/>
      </c>
      <c r="C383" s="234" t="str">
        <f>'Building Bill of Materials_SLIM'!Q383</f>
        <v/>
      </c>
      <c r="D383" s="234" t="str">
        <f>'Building Bill of Materials_SLIM'!R383</f>
        <v/>
      </c>
      <c r="E383" s="234" t="str">
        <f>'Building Bill of Materials_SLIM'!S383</f>
        <v/>
      </c>
      <c r="F383" s="234"/>
      <c r="G383" s="234"/>
      <c r="H383" s="234" t="str">
        <f>'Building Bill of Materials_SLIM'!T383</f>
        <v/>
      </c>
      <c r="I383" s="234" t="str">
        <f>'Building Bill of Materials_SLIM'!U383</f>
        <v/>
      </c>
      <c r="J383" s="234" t="str">
        <f>'Building Bill of Materials_SLIM'!V383</f>
        <v/>
      </c>
      <c r="K383" s="192"/>
      <c r="L383" s="242"/>
      <c r="M383" s="242"/>
      <c r="N383" s="291"/>
      <c r="O383" s="291"/>
      <c r="P383" s="291"/>
      <c r="Q383" s="291"/>
      <c r="R383" s="291"/>
      <c r="S383" s="291"/>
      <c r="T383" s="291"/>
      <c r="U383" s="291"/>
      <c r="V383" s="291"/>
      <c r="W383" s="291"/>
      <c r="X383" s="291"/>
      <c r="Y383" s="291"/>
      <c r="Z383" s="291"/>
      <c r="AA383" s="291"/>
      <c r="AB383" s="291"/>
      <c r="AC383" s="291"/>
      <c r="AD383" s="291"/>
      <c r="AE383" s="291"/>
      <c r="AF383" s="291"/>
      <c r="AG383" s="291"/>
    </row>
    <row r="384" ht="18.75" customHeight="1">
      <c r="A384" s="283"/>
      <c r="B384" s="234" t="str">
        <f>'Building Bill of Materials_SLIM'!P384</f>
        <v/>
      </c>
      <c r="C384" s="234" t="str">
        <f>'Building Bill of Materials_SLIM'!Q384</f>
        <v/>
      </c>
      <c r="D384" s="234" t="str">
        <f>'Building Bill of Materials_SLIM'!R384</f>
        <v/>
      </c>
      <c r="E384" s="234" t="str">
        <f>'Building Bill of Materials_SLIM'!S384</f>
        <v/>
      </c>
      <c r="F384" s="234"/>
      <c r="G384" s="234"/>
      <c r="H384" s="234" t="str">
        <f>'Building Bill of Materials_SLIM'!T384</f>
        <v/>
      </c>
      <c r="I384" s="234" t="str">
        <f>'Building Bill of Materials_SLIM'!U384</f>
        <v/>
      </c>
      <c r="J384" s="234" t="str">
        <f>'Building Bill of Materials_SLIM'!V384</f>
        <v/>
      </c>
      <c r="K384" s="192"/>
      <c r="L384" s="242"/>
      <c r="M384" s="242"/>
      <c r="N384" s="291"/>
      <c r="O384" s="291"/>
      <c r="P384" s="291"/>
      <c r="Q384" s="291"/>
      <c r="R384" s="291"/>
      <c r="S384" s="291"/>
      <c r="T384" s="291"/>
      <c r="U384" s="291"/>
      <c r="V384" s="291"/>
      <c r="W384" s="291"/>
      <c r="X384" s="291"/>
      <c r="Y384" s="291"/>
      <c r="Z384" s="291"/>
      <c r="AA384" s="291"/>
      <c r="AB384" s="291"/>
      <c r="AC384" s="291"/>
      <c r="AD384" s="291"/>
      <c r="AE384" s="291"/>
      <c r="AF384" s="291"/>
      <c r="AG384" s="291"/>
    </row>
    <row r="385" ht="18.75" customHeight="1">
      <c r="A385" s="283"/>
      <c r="B385" s="234" t="str">
        <f>'Building Bill of Materials_SLIM'!P385</f>
        <v/>
      </c>
      <c r="C385" s="234" t="str">
        <f>'Building Bill of Materials_SLIM'!Q385</f>
        <v/>
      </c>
      <c r="D385" s="234" t="str">
        <f>'Building Bill of Materials_SLIM'!R385</f>
        <v/>
      </c>
      <c r="E385" s="234" t="str">
        <f>'Building Bill of Materials_SLIM'!S385</f>
        <v/>
      </c>
      <c r="F385" s="234"/>
      <c r="G385" s="234"/>
      <c r="H385" s="234" t="str">
        <f>'Building Bill of Materials_SLIM'!T385</f>
        <v/>
      </c>
      <c r="I385" s="234" t="str">
        <f>'Building Bill of Materials_SLIM'!U385</f>
        <v/>
      </c>
      <c r="J385" s="234" t="str">
        <f>'Building Bill of Materials_SLIM'!V385</f>
        <v/>
      </c>
      <c r="K385" s="192"/>
      <c r="L385" s="242"/>
      <c r="M385" s="242"/>
      <c r="N385" s="291"/>
      <c r="O385" s="291"/>
      <c r="P385" s="291"/>
      <c r="Q385" s="291"/>
      <c r="R385" s="291"/>
      <c r="S385" s="291"/>
      <c r="T385" s="291"/>
      <c r="U385" s="291"/>
      <c r="V385" s="291"/>
      <c r="W385" s="291"/>
      <c r="X385" s="291"/>
      <c r="Y385" s="291"/>
      <c r="Z385" s="291"/>
      <c r="AA385" s="291"/>
      <c r="AB385" s="291"/>
      <c r="AC385" s="291"/>
      <c r="AD385" s="291"/>
      <c r="AE385" s="291"/>
      <c r="AF385" s="291"/>
      <c r="AG385" s="291"/>
    </row>
    <row r="386" ht="18.75" customHeight="1">
      <c r="A386" s="283"/>
      <c r="B386" s="234" t="str">
        <f>'Building Bill of Materials_SLIM'!P386</f>
        <v/>
      </c>
      <c r="C386" s="234" t="str">
        <f>'Building Bill of Materials_SLIM'!Q386</f>
        <v/>
      </c>
      <c r="D386" s="234" t="str">
        <f>'Building Bill of Materials_SLIM'!R386</f>
        <v/>
      </c>
      <c r="E386" s="234" t="str">
        <f>'Building Bill of Materials_SLIM'!S386</f>
        <v/>
      </c>
      <c r="F386" s="234"/>
      <c r="G386" s="234"/>
      <c r="H386" s="234" t="str">
        <f>'Building Bill of Materials_SLIM'!T386</f>
        <v/>
      </c>
      <c r="I386" s="234" t="str">
        <f>'Building Bill of Materials_SLIM'!U386</f>
        <v/>
      </c>
      <c r="J386" s="234" t="str">
        <f>'Building Bill of Materials_SLIM'!V386</f>
        <v/>
      </c>
      <c r="K386" s="192"/>
      <c r="L386" s="242"/>
      <c r="M386" s="242"/>
      <c r="N386" s="291"/>
      <c r="O386" s="291"/>
      <c r="P386" s="291"/>
      <c r="Q386" s="291"/>
      <c r="R386" s="291"/>
      <c r="S386" s="291"/>
      <c r="T386" s="291"/>
      <c r="U386" s="291"/>
      <c r="V386" s="291"/>
      <c r="W386" s="291"/>
      <c r="X386" s="291"/>
      <c r="Y386" s="291"/>
      <c r="Z386" s="291"/>
      <c r="AA386" s="291"/>
      <c r="AB386" s="291"/>
      <c r="AC386" s="291"/>
      <c r="AD386" s="291"/>
      <c r="AE386" s="291"/>
      <c r="AF386" s="291"/>
      <c r="AG386" s="291"/>
    </row>
    <row r="387" ht="18.75" customHeight="1">
      <c r="A387" s="283"/>
      <c r="B387" s="234" t="str">
        <f>'Building Bill of Materials_SLIM'!P387</f>
        <v/>
      </c>
      <c r="C387" s="234" t="str">
        <f>'Building Bill of Materials_SLIM'!Q387</f>
        <v/>
      </c>
      <c r="D387" s="234" t="str">
        <f>'Building Bill of Materials_SLIM'!R387</f>
        <v/>
      </c>
      <c r="E387" s="234" t="str">
        <f>'Building Bill of Materials_SLIM'!S387</f>
        <v/>
      </c>
      <c r="F387" s="234"/>
      <c r="G387" s="234"/>
      <c r="H387" s="234" t="str">
        <f>'Building Bill of Materials_SLIM'!T387</f>
        <v/>
      </c>
      <c r="I387" s="234" t="str">
        <f>'Building Bill of Materials_SLIM'!U387</f>
        <v/>
      </c>
      <c r="J387" s="234" t="str">
        <f>'Building Bill of Materials_SLIM'!V387</f>
        <v/>
      </c>
      <c r="K387" s="192"/>
      <c r="L387" s="242"/>
      <c r="M387" s="242"/>
      <c r="N387" s="291"/>
      <c r="O387" s="291"/>
      <c r="P387" s="291"/>
      <c r="Q387" s="291"/>
      <c r="R387" s="291"/>
      <c r="S387" s="291"/>
      <c r="T387" s="291"/>
      <c r="U387" s="291"/>
      <c r="V387" s="291"/>
      <c r="W387" s="291"/>
      <c r="X387" s="291"/>
      <c r="Y387" s="291"/>
      <c r="Z387" s="291"/>
      <c r="AA387" s="291"/>
      <c r="AB387" s="291"/>
      <c r="AC387" s="291"/>
      <c r="AD387" s="291"/>
      <c r="AE387" s="291"/>
      <c r="AF387" s="291"/>
      <c r="AG387" s="291"/>
    </row>
    <row r="388" ht="18.75" customHeight="1">
      <c r="A388" s="283"/>
      <c r="B388" s="234" t="str">
        <f>'Building Bill of Materials_SLIM'!P388</f>
        <v/>
      </c>
      <c r="C388" s="234" t="str">
        <f>'Building Bill of Materials_SLIM'!Q388</f>
        <v/>
      </c>
      <c r="D388" s="234" t="str">
        <f>'Building Bill of Materials_SLIM'!R388</f>
        <v/>
      </c>
      <c r="E388" s="234" t="str">
        <f>'Building Bill of Materials_SLIM'!S388</f>
        <v/>
      </c>
      <c r="F388" s="234"/>
      <c r="G388" s="234"/>
      <c r="H388" s="234" t="str">
        <f>'Building Bill of Materials_SLIM'!T388</f>
        <v/>
      </c>
      <c r="I388" s="234" t="str">
        <f>'Building Bill of Materials_SLIM'!U388</f>
        <v/>
      </c>
      <c r="J388" s="234" t="str">
        <f>'Building Bill of Materials_SLIM'!V388</f>
        <v/>
      </c>
      <c r="K388" s="192"/>
      <c r="L388" s="242"/>
      <c r="M388" s="242"/>
      <c r="N388" s="291"/>
      <c r="O388" s="291"/>
      <c r="P388" s="291"/>
      <c r="Q388" s="291"/>
      <c r="R388" s="291"/>
      <c r="S388" s="291"/>
      <c r="T388" s="291"/>
      <c r="U388" s="291"/>
      <c r="V388" s="291"/>
      <c r="W388" s="291"/>
      <c r="X388" s="291"/>
      <c r="Y388" s="291"/>
      <c r="Z388" s="291"/>
      <c r="AA388" s="291"/>
      <c r="AB388" s="291"/>
      <c r="AC388" s="291"/>
      <c r="AD388" s="291"/>
      <c r="AE388" s="291"/>
      <c r="AF388" s="291"/>
      <c r="AG388" s="291"/>
    </row>
    <row r="389" ht="18.75" customHeight="1">
      <c r="A389" s="283"/>
      <c r="B389" s="234" t="str">
        <f>'Building Bill of Materials_SLIM'!P389</f>
        <v/>
      </c>
      <c r="C389" s="234" t="str">
        <f>'Building Bill of Materials_SLIM'!Q389</f>
        <v/>
      </c>
      <c r="D389" s="234" t="str">
        <f>'Building Bill of Materials_SLIM'!R389</f>
        <v/>
      </c>
      <c r="E389" s="234" t="str">
        <f>'Building Bill of Materials_SLIM'!S389</f>
        <v/>
      </c>
      <c r="F389" s="234"/>
      <c r="G389" s="234"/>
      <c r="H389" s="234" t="str">
        <f>'Building Bill of Materials_SLIM'!T389</f>
        <v/>
      </c>
      <c r="I389" s="234" t="str">
        <f>'Building Bill of Materials_SLIM'!U389</f>
        <v/>
      </c>
      <c r="J389" s="234" t="str">
        <f>'Building Bill of Materials_SLIM'!V389</f>
        <v/>
      </c>
      <c r="K389" s="192"/>
      <c r="L389" s="242"/>
      <c r="M389" s="242"/>
      <c r="N389" s="291"/>
      <c r="O389" s="291"/>
      <c r="P389" s="291"/>
      <c r="Q389" s="291"/>
      <c r="R389" s="291"/>
      <c r="S389" s="291"/>
      <c r="T389" s="291"/>
      <c r="U389" s="291"/>
      <c r="V389" s="291"/>
      <c r="W389" s="291"/>
      <c r="X389" s="291"/>
      <c r="Y389" s="291"/>
      <c r="Z389" s="291"/>
      <c r="AA389" s="291"/>
      <c r="AB389" s="291"/>
      <c r="AC389" s="291"/>
      <c r="AD389" s="291"/>
      <c r="AE389" s="291"/>
      <c r="AF389" s="291"/>
      <c r="AG389" s="291"/>
    </row>
    <row r="390" ht="18.75" customHeight="1">
      <c r="A390" s="283"/>
      <c r="B390" s="234" t="str">
        <f>'Building Bill of Materials_SLIM'!P390</f>
        <v/>
      </c>
      <c r="C390" s="234" t="str">
        <f>'Building Bill of Materials_SLIM'!Q390</f>
        <v/>
      </c>
      <c r="D390" s="234" t="str">
        <f>'Building Bill of Materials_SLIM'!R390</f>
        <v/>
      </c>
      <c r="E390" s="234" t="str">
        <f>'Building Bill of Materials_SLIM'!S390</f>
        <v/>
      </c>
      <c r="F390" s="234"/>
      <c r="G390" s="234"/>
      <c r="H390" s="234" t="str">
        <f>'Building Bill of Materials_SLIM'!T390</f>
        <v/>
      </c>
      <c r="I390" s="234" t="str">
        <f>'Building Bill of Materials_SLIM'!U390</f>
        <v/>
      </c>
      <c r="J390" s="234" t="str">
        <f>'Building Bill of Materials_SLIM'!V390</f>
        <v/>
      </c>
      <c r="K390" s="192"/>
      <c r="L390" s="242"/>
      <c r="M390" s="242"/>
      <c r="N390" s="291"/>
      <c r="O390" s="291"/>
      <c r="P390" s="291"/>
      <c r="Q390" s="291"/>
      <c r="R390" s="291"/>
      <c r="S390" s="291"/>
      <c r="T390" s="291"/>
      <c r="U390" s="291"/>
      <c r="V390" s="291"/>
      <c r="W390" s="291"/>
      <c r="X390" s="291"/>
      <c r="Y390" s="291"/>
      <c r="Z390" s="291"/>
      <c r="AA390" s="291"/>
      <c r="AB390" s="291"/>
      <c r="AC390" s="291"/>
      <c r="AD390" s="291"/>
      <c r="AE390" s="291"/>
      <c r="AF390" s="291"/>
      <c r="AG390" s="291"/>
    </row>
    <row r="391" ht="18.75" customHeight="1">
      <c r="A391" s="283"/>
      <c r="B391" s="234" t="str">
        <f>'Building Bill of Materials_SLIM'!P391</f>
        <v/>
      </c>
      <c r="C391" s="234" t="str">
        <f>'Building Bill of Materials_SLIM'!Q391</f>
        <v/>
      </c>
      <c r="D391" s="234" t="str">
        <f>'Building Bill of Materials_SLIM'!R391</f>
        <v/>
      </c>
      <c r="E391" s="234" t="str">
        <f>'Building Bill of Materials_SLIM'!S391</f>
        <v/>
      </c>
      <c r="F391" s="234"/>
      <c r="G391" s="234"/>
      <c r="H391" s="234" t="str">
        <f>'Building Bill of Materials_SLIM'!T391</f>
        <v/>
      </c>
      <c r="I391" s="234" t="str">
        <f>'Building Bill of Materials_SLIM'!U391</f>
        <v/>
      </c>
      <c r="J391" s="234" t="str">
        <f>'Building Bill of Materials_SLIM'!V391</f>
        <v/>
      </c>
      <c r="K391" s="192"/>
      <c r="L391" s="242"/>
      <c r="M391" s="242"/>
      <c r="N391" s="291"/>
      <c r="O391" s="291"/>
      <c r="P391" s="291"/>
      <c r="Q391" s="291"/>
      <c r="R391" s="291"/>
      <c r="S391" s="291"/>
      <c r="T391" s="291"/>
      <c r="U391" s="291"/>
      <c r="V391" s="291"/>
      <c r="W391" s="291"/>
      <c r="X391" s="291"/>
      <c r="Y391" s="291"/>
      <c r="Z391" s="291"/>
      <c r="AA391" s="291"/>
      <c r="AB391" s="291"/>
      <c r="AC391" s="291"/>
      <c r="AD391" s="291"/>
      <c r="AE391" s="291"/>
      <c r="AF391" s="291"/>
      <c r="AG391" s="291"/>
    </row>
    <row r="392" ht="18.75" customHeight="1">
      <c r="A392" s="283"/>
      <c r="B392" s="234" t="str">
        <f>'Building Bill of Materials_SLIM'!P392</f>
        <v/>
      </c>
      <c r="C392" s="234" t="str">
        <f>'Building Bill of Materials_SLIM'!Q392</f>
        <v/>
      </c>
      <c r="D392" s="234" t="str">
        <f>'Building Bill of Materials_SLIM'!R392</f>
        <v/>
      </c>
      <c r="E392" s="234" t="str">
        <f>'Building Bill of Materials_SLIM'!S392</f>
        <v/>
      </c>
      <c r="F392" s="234"/>
      <c r="G392" s="234"/>
      <c r="H392" s="234" t="str">
        <f>'Building Bill of Materials_SLIM'!T392</f>
        <v/>
      </c>
      <c r="I392" s="234" t="str">
        <f>'Building Bill of Materials_SLIM'!U392</f>
        <v/>
      </c>
      <c r="J392" s="234" t="str">
        <f>'Building Bill of Materials_SLIM'!V392</f>
        <v/>
      </c>
      <c r="K392" s="192"/>
      <c r="L392" s="242"/>
      <c r="M392" s="242"/>
      <c r="N392" s="291"/>
      <c r="O392" s="291"/>
      <c r="P392" s="291"/>
      <c r="Q392" s="291"/>
      <c r="R392" s="291"/>
      <c r="S392" s="291"/>
      <c r="T392" s="291"/>
      <c r="U392" s="291"/>
      <c r="V392" s="291"/>
      <c r="W392" s="291"/>
      <c r="X392" s="291"/>
      <c r="Y392" s="291"/>
      <c r="Z392" s="291"/>
      <c r="AA392" s="291"/>
      <c r="AB392" s="291"/>
      <c r="AC392" s="291"/>
      <c r="AD392" s="291"/>
      <c r="AE392" s="291"/>
      <c r="AF392" s="291"/>
      <c r="AG392" s="291"/>
    </row>
    <row r="393" ht="18.75" customHeight="1">
      <c r="A393" s="283"/>
      <c r="B393" s="234" t="str">
        <f>'Building Bill of Materials_SLIM'!P393</f>
        <v/>
      </c>
      <c r="C393" s="234" t="str">
        <f>'Building Bill of Materials_SLIM'!Q393</f>
        <v/>
      </c>
      <c r="D393" s="234" t="str">
        <f>'Building Bill of Materials_SLIM'!R393</f>
        <v/>
      </c>
      <c r="E393" s="234" t="str">
        <f>'Building Bill of Materials_SLIM'!S393</f>
        <v/>
      </c>
      <c r="F393" s="234"/>
      <c r="G393" s="234"/>
      <c r="H393" s="234" t="str">
        <f>'Building Bill of Materials_SLIM'!T393</f>
        <v/>
      </c>
      <c r="I393" s="234" t="str">
        <f>'Building Bill of Materials_SLIM'!U393</f>
        <v/>
      </c>
      <c r="J393" s="234" t="str">
        <f>'Building Bill of Materials_SLIM'!V393</f>
        <v/>
      </c>
      <c r="K393" s="192"/>
      <c r="L393" s="242"/>
      <c r="M393" s="242"/>
      <c r="N393" s="291"/>
      <c r="O393" s="291"/>
      <c r="P393" s="291"/>
      <c r="Q393" s="291"/>
      <c r="R393" s="291"/>
      <c r="S393" s="291"/>
      <c r="T393" s="291"/>
      <c r="U393" s="291"/>
      <c r="V393" s="291"/>
      <c r="W393" s="291"/>
      <c r="X393" s="291"/>
      <c r="Y393" s="291"/>
      <c r="Z393" s="291"/>
      <c r="AA393" s="291"/>
      <c r="AB393" s="291"/>
      <c r="AC393" s="291"/>
      <c r="AD393" s="291"/>
      <c r="AE393" s="291"/>
      <c r="AF393" s="291"/>
      <c r="AG393" s="291"/>
    </row>
    <row r="394" ht="18.75" customHeight="1">
      <c r="A394" s="283"/>
      <c r="B394" s="234" t="str">
        <f>'Building Bill of Materials_SLIM'!P394</f>
        <v/>
      </c>
      <c r="C394" s="234" t="str">
        <f>'Building Bill of Materials_SLIM'!Q394</f>
        <v/>
      </c>
      <c r="D394" s="234" t="str">
        <f>'Building Bill of Materials_SLIM'!R394</f>
        <v/>
      </c>
      <c r="E394" s="234" t="str">
        <f>'Building Bill of Materials_SLIM'!S394</f>
        <v/>
      </c>
      <c r="F394" s="234"/>
      <c r="G394" s="234"/>
      <c r="H394" s="234" t="str">
        <f>'Building Bill of Materials_SLIM'!T394</f>
        <v/>
      </c>
      <c r="I394" s="234" t="str">
        <f>'Building Bill of Materials_SLIM'!U394</f>
        <v/>
      </c>
      <c r="J394" s="234" t="str">
        <f>'Building Bill of Materials_SLIM'!V394</f>
        <v/>
      </c>
      <c r="K394" s="192"/>
      <c r="L394" s="242"/>
      <c r="M394" s="242"/>
      <c r="N394" s="291"/>
      <c r="O394" s="291"/>
      <c r="P394" s="291"/>
      <c r="Q394" s="291"/>
      <c r="R394" s="291"/>
      <c r="S394" s="291"/>
      <c r="T394" s="291"/>
      <c r="U394" s="291"/>
      <c r="V394" s="291"/>
      <c r="W394" s="291"/>
      <c r="X394" s="291"/>
      <c r="Y394" s="291"/>
      <c r="Z394" s="291"/>
      <c r="AA394" s="291"/>
      <c r="AB394" s="291"/>
      <c r="AC394" s="291"/>
      <c r="AD394" s="291"/>
      <c r="AE394" s="291"/>
      <c r="AF394" s="291"/>
      <c r="AG394" s="291"/>
    </row>
    <row r="395" ht="18.75" customHeight="1">
      <c r="A395" s="283"/>
      <c r="B395" s="234" t="str">
        <f>'Building Bill of Materials_SLIM'!P395</f>
        <v/>
      </c>
      <c r="C395" s="234" t="str">
        <f>'Building Bill of Materials_SLIM'!Q395</f>
        <v/>
      </c>
      <c r="D395" s="234" t="str">
        <f>'Building Bill of Materials_SLIM'!R395</f>
        <v/>
      </c>
      <c r="E395" s="234" t="str">
        <f>'Building Bill of Materials_SLIM'!S395</f>
        <v/>
      </c>
      <c r="F395" s="234"/>
      <c r="G395" s="234"/>
      <c r="H395" s="234" t="str">
        <f>'Building Bill of Materials_SLIM'!T395</f>
        <v/>
      </c>
      <c r="I395" s="234" t="str">
        <f>'Building Bill of Materials_SLIM'!U395</f>
        <v/>
      </c>
      <c r="J395" s="234" t="str">
        <f>'Building Bill of Materials_SLIM'!V395</f>
        <v/>
      </c>
      <c r="K395" s="192"/>
      <c r="L395" s="242"/>
      <c r="M395" s="242"/>
      <c r="N395" s="291"/>
      <c r="O395" s="291"/>
      <c r="P395" s="291"/>
      <c r="Q395" s="291"/>
      <c r="R395" s="291"/>
      <c r="S395" s="291"/>
      <c r="T395" s="291"/>
      <c r="U395" s="291"/>
      <c r="V395" s="291"/>
      <c r="W395" s="291"/>
      <c r="X395" s="291"/>
      <c r="Y395" s="291"/>
      <c r="Z395" s="291"/>
      <c r="AA395" s="291"/>
      <c r="AB395" s="291"/>
      <c r="AC395" s="291"/>
      <c r="AD395" s="291"/>
      <c r="AE395" s="291"/>
      <c r="AF395" s="291"/>
      <c r="AG395" s="291"/>
    </row>
    <row r="396" ht="18.75" customHeight="1">
      <c r="A396" s="283"/>
      <c r="B396" s="234" t="str">
        <f>'Building Bill of Materials_SLIM'!P396</f>
        <v/>
      </c>
      <c r="C396" s="234" t="str">
        <f>'Building Bill of Materials_SLIM'!Q396</f>
        <v/>
      </c>
      <c r="D396" s="234" t="str">
        <f>'Building Bill of Materials_SLIM'!R396</f>
        <v/>
      </c>
      <c r="E396" s="234" t="str">
        <f>'Building Bill of Materials_SLIM'!S396</f>
        <v/>
      </c>
      <c r="F396" s="234"/>
      <c r="G396" s="234"/>
      <c r="H396" s="234" t="str">
        <f>'Building Bill of Materials_SLIM'!T396</f>
        <v/>
      </c>
      <c r="I396" s="234" t="str">
        <f>'Building Bill of Materials_SLIM'!U396</f>
        <v/>
      </c>
      <c r="J396" s="234" t="str">
        <f>'Building Bill of Materials_SLIM'!V396</f>
        <v/>
      </c>
      <c r="K396" s="192"/>
      <c r="L396" s="242"/>
      <c r="M396" s="242"/>
      <c r="N396" s="291"/>
      <c r="O396" s="291"/>
      <c r="P396" s="291"/>
      <c r="Q396" s="291"/>
      <c r="R396" s="291"/>
      <c r="S396" s="291"/>
      <c r="T396" s="291"/>
      <c r="U396" s="291"/>
      <c r="V396" s="291"/>
      <c r="W396" s="291"/>
      <c r="X396" s="291"/>
      <c r="Y396" s="291"/>
      <c r="Z396" s="291"/>
      <c r="AA396" s="291"/>
      <c r="AB396" s="291"/>
      <c r="AC396" s="291"/>
      <c r="AD396" s="291"/>
      <c r="AE396" s="291"/>
      <c r="AF396" s="291"/>
      <c r="AG396" s="291"/>
    </row>
    <row r="397" ht="18.75" customHeight="1">
      <c r="A397" s="283"/>
      <c r="B397" s="234" t="str">
        <f>'Building Bill of Materials_SLIM'!P397</f>
        <v/>
      </c>
      <c r="C397" s="234" t="str">
        <f>'Building Bill of Materials_SLIM'!Q397</f>
        <v/>
      </c>
      <c r="D397" s="234" t="str">
        <f>'Building Bill of Materials_SLIM'!R397</f>
        <v/>
      </c>
      <c r="E397" s="234" t="str">
        <f>'Building Bill of Materials_SLIM'!S397</f>
        <v/>
      </c>
      <c r="F397" s="234"/>
      <c r="G397" s="234"/>
      <c r="H397" s="234" t="str">
        <f>'Building Bill of Materials_SLIM'!T397</f>
        <v/>
      </c>
      <c r="I397" s="234" t="str">
        <f>'Building Bill of Materials_SLIM'!U397</f>
        <v/>
      </c>
      <c r="J397" s="234" t="str">
        <f>'Building Bill of Materials_SLIM'!V397</f>
        <v/>
      </c>
      <c r="K397" s="192"/>
      <c r="L397" s="242"/>
      <c r="M397" s="242"/>
      <c r="N397" s="291"/>
      <c r="O397" s="291"/>
      <c r="P397" s="291"/>
      <c r="Q397" s="291"/>
      <c r="R397" s="291"/>
      <c r="S397" s="291"/>
      <c r="T397" s="291"/>
      <c r="U397" s="291"/>
      <c r="V397" s="291"/>
      <c r="W397" s="291"/>
      <c r="X397" s="291"/>
      <c r="Y397" s="291"/>
      <c r="Z397" s="291"/>
      <c r="AA397" s="291"/>
      <c r="AB397" s="291"/>
      <c r="AC397" s="291"/>
      <c r="AD397" s="291"/>
      <c r="AE397" s="291"/>
      <c r="AF397" s="291"/>
      <c r="AG397" s="291"/>
    </row>
    <row r="398" ht="18.75" customHeight="1">
      <c r="A398" s="283"/>
      <c r="B398" s="234" t="str">
        <f>'Building Bill of Materials_SLIM'!P398</f>
        <v/>
      </c>
      <c r="C398" s="234" t="str">
        <f>'Building Bill of Materials_SLIM'!Q398</f>
        <v/>
      </c>
      <c r="D398" s="234" t="str">
        <f>'Building Bill of Materials_SLIM'!R398</f>
        <v/>
      </c>
      <c r="E398" s="234" t="str">
        <f>'Building Bill of Materials_SLIM'!S398</f>
        <v/>
      </c>
      <c r="F398" s="234"/>
      <c r="G398" s="234"/>
      <c r="H398" s="234" t="str">
        <f>'Building Bill of Materials_SLIM'!T398</f>
        <v/>
      </c>
      <c r="I398" s="234" t="str">
        <f>'Building Bill of Materials_SLIM'!U398</f>
        <v/>
      </c>
      <c r="J398" s="234" t="str">
        <f>'Building Bill of Materials_SLIM'!V398</f>
        <v/>
      </c>
      <c r="K398" s="192"/>
      <c r="L398" s="242"/>
      <c r="M398" s="242"/>
      <c r="N398" s="291"/>
      <c r="O398" s="291"/>
      <c r="P398" s="291"/>
      <c r="Q398" s="291"/>
      <c r="R398" s="291"/>
      <c r="S398" s="291"/>
      <c r="T398" s="291"/>
      <c r="U398" s="291"/>
      <c r="V398" s="291"/>
      <c r="W398" s="291"/>
      <c r="X398" s="291"/>
      <c r="Y398" s="291"/>
      <c r="Z398" s="291"/>
      <c r="AA398" s="291"/>
      <c r="AB398" s="291"/>
      <c r="AC398" s="291"/>
      <c r="AD398" s="291"/>
      <c r="AE398" s="291"/>
      <c r="AF398" s="291"/>
      <c r="AG398" s="291"/>
    </row>
    <row r="399" ht="18.75" customHeight="1">
      <c r="A399" s="283"/>
      <c r="B399" s="234" t="str">
        <f>'Building Bill of Materials_SLIM'!P399</f>
        <v/>
      </c>
      <c r="C399" s="234" t="str">
        <f>'Building Bill of Materials_SLIM'!Q399</f>
        <v/>
      </c>
      <c r="D399" s="234" t="str">
        <f>'Building Bill of Materials_SLIM'!R399</f>
        <v/>
      </c>
      <c r="E399" s="234" t="str">
        <f>'Building Bill of Materials_SLIM'!S399</f>
        <v/>
      </c>
      <c r="F399" s="234"/>
      <c r="G399" s="234"/>
      <c r="H399" s="234" t="str">
        <f>'Building Bill of Materials_SLIM'!T399</f>
        <v/>
      </c>
      <c r="I399" s="234" t="str">
        <f>'Building Bill of Materials_SLIM'!U399</f>
        <v/>
      </c>
      <c r="J399" s="234" t="str">
        <f>'Building Bill of Materials_SLIM'!V399</f>
        <v/>
      </c>
      <c r="K399" s="192"/>
      <c r="L399" s="242"/>
      <c r="M399" s="242"/>
      <c r="N399" s="291"/>
      <c r="O399" s="291"/>
      <c r="P399" s="291"/>
      <c r="Q399" s="291"/>
      <c r="R399" s="291"/>
      <c r="S399" s="291"/>
      <c r="T399" s="291"/>
      <c r="U399" s="291"/>
      <c r="V399" s="291"/>
      <c r="W399" s="291"/>
      <c r="X399" s="291"/>
      <c r="Y399" s="291"/>
      <c r="Z399" s="291"/>
      <c r="AA399" s="291"/>
      <c r="AB399" s="291"/>
      <c r="AC399" s="291"/>
      <c r="AD399" s="291"/>
      <c r="AE399" s="291"/>
      <c r="AF399" s="291"/>
      <c r="AG399" s="291"/>
    </row>
    <row r="400" ht="18.75" customHeight="1">
      <c r="A400" s="283"/>
      <c r="B400" s="234" t="str">
        <f>'Building Bill of Materials_SLIM'!P400</f>
        <v/>
      </c>
      <c r="C400" s="234" t="str">
        <f>'Building Bill of Materials_SLIM'!Q400</f>
        <v/>
      </c>
      <c r="D400" s="234" t="str">
        <f>'Building Bill of Materials_SLIM'!R400</f>
        <v/>
      </c>
      <c r="E400" s="234" t="str">
        <f>'Building Bill of Materials_SLIM'!S400</f>
        <v/>
      </c>
      <c r="F400" s="234"/>
      <c r="G400" s="234"/>
      <c r="H400" s="234" t="str">
        <f>'Building Bill of Materials_SLIM'!T400</f>
        <v/>
      </c>
      <c r="I400" s="234" t="str">
        <f>'Building Bill of Materials_SLIM'!U400</f>
        <v/>
      </c>
      <c r="J400" s="234" t="str">
        <f>'Building Bill of Materials_SLIM'!V400</f>
        <v/>
      </c>
      <c r="K400" s="192"/>
      <c r="L400" s="242"/>
      <c r="M400" s="242"/>
      <c r="N400" s="291"/>
      <c r="O400" s="291"/>
      <c r="P400" s="291"/>
      <c r="Q400" s="291"/>
      <c r="R400" s="291"/>
      <c r="S400" s="291"/>
      <c r="T400" s="291"/>
      <c r="U400" s="291"/>
      <c r="V400" s="291"/>
      <c r="W400" s="291"/>
      <c r="X400" s="291"/>
      <c r="Y400" s="291"/>
      <c r="Z400" s="291"/>
      <c r="AA400" s="291"/>
      <c r="AB400" s="291"/>
      <c r="AC400" s="291"/>
      <c r="AD400" s="291"/>
      <c r="AE400" s="291"/>
      <c r="AF400" s="291"/>
      <c r="AG400" s="291"/>
    </row>
    <row r="401" ht="18.75" customHeight="1">
      <c r="A401" s="283"/>
      <c r="B401" s="234" t="str">
        <f>'Building Bill of Materials_SLIM'!P401</f>
        <v/>
      </c>
      <c r="C401" s="234" t="str">
        <f>'Building Bill of Materials_SLIM'!Q401</f>
        <v/>
      </c>
      <c r="D401" s="234" t="str">
        <f>'Building Bill of Materials_SLIM'!R401</f>
        <v/>
      </c>
      <c r="E401" s="234" t="str">
        <f>'Building Bill of Materials_SLIM'!S401</f>
        <v/>
      </c>
      <c r="F401" s="234"/>
      <c r="G401" s="234"/>
      <c r="H401" s="234" t="str">
        <f>'Building Bill of Materials_SLIM'!T401</f>
        <v/>
      </c>
      <c r="I401" s="234" t="str">
        <f>'Building Bill of Materials_SLIM'!U401</f>
        <v/>
      </c>
      <c r="J401" s="234" t="str">
        <f>'Building Bill of Materials_SLIM'!V401</f>
        <v/>
      </c>
      <c r="K401" s="192"/>
      <c r="L401" s="242"/>
      <c r="M401" s="242"/>
      <c r="N401" s="291"/>
      <c r="O401" s="291"/>
      <c r="P401" s="291"/>
      <c r="Q401" s="291"/>
      <c r="R401" s="291"/>
      <c r="S401" s="291"/>
      <c r="T401" s="291"/>
      <c r="U401" s="291"/>
      <c r="V401" s="291"/>
      <c r="W401" s="291"/>
      <c r="X401" s="291"/>
      <c r="Y401" s="291"/>
      <c r="Z401" s="291"/>
      <c r="AA401" s="291"/>
      <c r="AB401" s="291"/>
      <c r="AC401" s="291"/>
      <c r="AD401" s="291"/>
      <c r="AE401" s="291"/>
      <c r="AF401" s="291"/>
      <c r="AG401" s="291"/>
    </row>
    <row r="402" ht="18.75" customHeight="1">
      <c r="A402" s="283"/>
      <c r="B402" s="234" t="str">
        <f>'Building Bill of Materials_SLIM'!P402</f>
        <v/>
      </c>
      <c r="C402" s="234" t="str">
        <f>'Building Bill of Materials_SLIM'!Q402</f>
        <v/>
      </c>
      <c r="D402" s="234" t="str">
        <f>'Building Bill of Materials_SLIM'!R402</f>
        <v/>
      </c>
      <c r="E402" s="234" t="str">
        <f>'Building Bill of Materials_SLIM'!S402</f>
        <v/>
      </c>
      <c r="F402" s="234"/>
      <c r="G402" s="234"/>
      <c r="H402" s="234" t="str">
        <f>'Building Bill of Materials_SLIM'!T402</f>
        <v/>
      </c>
      <c r="I402" s="234" t="str">
        <f>'Building Bill of Materials_SLIM'!U402</f>
        <v/>
      </c>
      <c r="J402" s="234" t="str">
        <f>'Building Bill of Materials_SLIM'!V402</f>
        <v/>
      </c>
      <c r="K402" s="192"/>
      <c r="L402" s="242"/>
      <c r="M402" s="242"/>
      <c r="N402" s="291"/>
      <c r="O402" s="291"/>
      <c r="P402" s="291"/>
      <c r="Q402" s="291"/>
      <c r="R402" s="291"/>
      <c r="S402" s="291"/>
      <c r="T402" s="291"/>
      <c r="U402" s="291"/>
      <c r="V402" s="291"/>
      <c r="W402" s="291"/>
      <c r="X402" s="291"/>
      <c r="Y402" s="291"/>
      <c r="Z402" s="291"/>
      <c r="AA402" s="291"/>
      <c r="AB402" s="291"/>
      <c r="AC402" s="291"/>
      <c r="AD402" s="291"/>
      <c r="AE402" s="291"/>
      <c r="AF402" s="291"/>
      <c r="AG402" s="291"/>
    </row>
    <row r="403" ht="18.75" customHeight="1">
      <c r="A403" s="283"/>
      <c r="B403" s="234" t="str">
        <f>'Building Bill of Materials_SLIM'!P403</f>
        <v/>
      </c>
      <c r="C403" s="234" t="str">
        <f>'Building Bill of Materials_SLIM'!Q403</f>
        <v/>
      </c>
      <c r="D403" s="234" t="str">
        <f>'Building Bill of Materials_SLIM'!R403</f>
        <v/>
      </c>
      <c r="E403" s="234" t="str">
        <f>'Building Bill of Materials_SLIM'!S403</f>
        <v/>
      </c>
      <c r="F403" s="234"/>
      <c r="G403" s="234"/>
      <c r="H403" s="234" t="str">
        <f>'Building Bill of Materials_SLIM'!T403</f>
        <v/>
      </c>
      <c r="I403" s="234" t="str">
        <f>'Building Bill of Materials_SLIM'!U403</f>
        <v/>
      </c>
      <c r="J403" s="234" t="str">
        <f>'Building Bill of Materials_SLIM'!V403</f>
        <v/>
      </c>
      <c r="K403" s="192"/>
      <c r="L403" s="242"/>
      <c r="M403" s="242"/>
      <c r="N403" s="291"/>
      <c r="O403" s="291"/>
      <c r="P403" s="291"/>
      <c r="Q403" s="291"/>
      <c r="R403" s="291"/>
      <c r="S403" s="291"/>
      <c r="T403" s="291"/>
      <c r="U403" s="291"/>
      <c r="V403" s="291"/>
      <c r="W403" s="291"/>
      <c r="X403" s="291"/>
      <c r="Y403" s="291"/>
      <c r="Z403" s="291"/>
      <c r="AA403" s="291"/>
      <c r="AB403" s="291"/>
      <c r="AC403" s="291"/>
      <c r="AD403" s="291"/>
      <c r="AE403" s="291"/>
      <c r="AF403" s="291"/>
      <c r="AG403" s="291"/>
    </row>
    <row r="404" ht="18.75" customHeight="1">
      <c r="A404" s="283"/>
      <c r="B404" s="234" t="str">
        <f>'Building Bill of Materials_SLIM'!P404</f>
        <v/>
      </c>
      <c r="C404" s="234" t="str">
        <f>'Building Bill of Materials_SLIM'!Q404</f>
        <v/>
      </c>
      <c r="D404" s="234" t="str">
        <f>'Building Bill of Materials_SLIM'!R404</f>
        <v/>
      </c>
      <c r="E404" s="234" t="str">
        <f>'Building Bill of Materials_SLIM'!S404</f>
        <v/>
      </c>
      <c r="F404" s="234"/>
      <c r="G404" s="234"/>
      <c r="H404" s="234" t="str">
        <f>'Building Bill of Materials_SLIM'!T404</f>
        <v/>
      </c>
      <c r="I404" s="234" t="str">
        <f>'Building Bill of Materials_SLIM'!U404</f>
        <v/>
      </c>
      <c r="J404" s="234" t="str">
        <f>'Building Bill of Materials_SLIM'!V404</f>
        <v/>
      </c>
      <c r="K404" s="192"/>
      <c r="L404" s="242"/>
      <c r="M404" s="242"/>
      <c r="N404" s="291"/>
      <c r="O404" s="291"/>
      <c r="P404" s="291"/>
      <c r="Q404" s="291"/>
      <c r="R404" s="291"/>
      <c r="S404" s="291"/>
      <c r="T404" s="291"/>
      <c r="U404" s="291"/>
      <c r="V404" s="291"/>
      <c r="W404" s="291"/>
      <c r="X404" s="291"/>
      <c r="Y404" s="291"/>
      <c r="Z404" s="291"/>
      <c r="AA404" s="291"/>
      <c r="AB404" s="291"/>
      <c r="AC404" s="291"/>
      <c r="AD404" s="291"/>
      <c r="AE404" s="291"/>
      <c r="AF404" s="291"/>
      <c r="AG404" s="291"/>
    </row>
    <row r="405" ht="18.75" customHeight="1">
      <c r="A405" s="283"/>
      <c r="B405" s="234" t="str">
        <f>'Building Bill of Materials_SLIM'!P405</f>
        <v/>
      </c>
      <c r="C405" s="234" t="str">
        <f>'Building Bill of Materials_SLIM'!Q405</f>
        <v/>
      </c>
      <c r="D405" s="234" t="str">
        <f>'Building Bill of Materials_SLIM'!R405</f>
        <v/>
      </c>
      <c r="E405" s="234" t="str">
        <f>'Building Bill of Materials_SLIM'!S405</f>
        <v/>
      </c>
      <c r="F405" s="234"/>
      <c r="G405" s="234"/>
      <c r="H405" s="234" t="str">
        <f>'Building Bill of Materials_SLIM'!T405</f>
        <v/>
      </c>
      <c r="I405" s="234" t="str">
        <f>'Building Bill of Materials_SLIM'!U405</f>
        <v/>
      </c>
      <c r="J405" s="234" t="str">
        <f>'Building Bill of Materials_SLIM'!V405</f>
        <v/>
      </c>
      <c r="K405" s="192"/>
      <c r="L405" s="242"/>
      <c r="M405" s="242"/>
      <c r="N405" s="291"/>
      <c r="O405" s="291"/>
      <c r="P405" s="291"/>
      <c r="Q405" s="291"/>
      <c r="R405" s="291"/>
      <c r="S405" s="291"/>
      <c r="T405" s="291"/>
      <c r="U405" s="291"/>
      <c r="V405" s="291"/>
      <c r="W405" s="291"/>
      <c r="X405" s="291"/>
      <c r="Y405" s="291"/>
      <c r="Z405" s="291"/>
      <c r="AA405" s="291"/>
      <c r="AB405" s="291"/>
      <c r="AC405" s="291"/>
      <c r="AD405" s="291"/>
      <c r="AE405" s="291"/>
      <c r="AF405" s="291"/>
      <c r="AG405" s="291"/>
    </row>
    <row r="406" ht="18.75" customHeight="1">
      <c r="A406" s="283"/>
      <c r="B406" s="234" t="str">
        <f>'Building Bill of Materials_SLIM'!P406</f>
        <v/>
      </c>
      <c r="C406" s="234" t="str">
        <f>'Building Bill of Materials_SLIM'!Q406</f>
        <v/>
      </c>
      <c r="D406" s="234" t="str">
        <f>'Building Bill of Materials_SLIM'!R406</f>
        <v/>
      </c>
      <c r="E406" s="234" t="str">
        <f>'Building Bill of Materials_SLIM'!S406</f>
        <v/>
      </c>
      <c r="F406" s="234"/>
      <c r="G406" s="234"/>
      <c r="H406" s="234" t="str">
        <f>'Building Bill of Materials_SLIM'!T406</f>
        <v/>
      </c>
      <c r="I406" s="234" t="str">
        <f>'Building Bill of Materials_SLIM'!U406</f>
        <v/>
      </c>
      <c r="J406" s="234" t="str">
        <f>'Building Bill of Materials_SLIM'!V406</f>
        <v/>
      </c>
      <c r="K406" s="192"/>
      <c r="L406" s="242"/>
      <c r="M406" s="242"/>
      <c r="N406" s="291"/>
      <c r="O406" s="291"/>
      <c r="P406" s="291"/>
      <c r="Q406" s="291"/>
      <c r="R406" s="291"/>
      <c r="S406" s="291"/>
      <c r="T406" s="291"/>
      <c r="U406" s="291"/>
      <c r="V406" s="291"/>
      <c r="W406" s="291"/>
      <c r="X406" s="291"/>
      <c r="Y406" s="291"/>
      <c r="Z406" s="291"/>
      <c r="AA406" s="291"/>
      <c r="AB406" s="291"/>
      <c r="AC406" s="291"/>
      <c r="AD406" s="291"/>
      <c r="AE406" s="291"/>
      <c r="AF406" s="291"/>
      <c r="AG406" s="291"/>
    </row>
    <row r="407" ht="18.75" customHeight="1">
      <c r="A407" s="283"/>
      <c r="B407" s="234" t="str">
        <f>'Building Bill of Materials_SLIM'!P407</f>
        <v/>
      </c>
      <c r="C407" s="234" t="str">
        <f>'Building Bill of Materials_SLIM'!Q407</f>
        <v/>
      </c>
      <c r="D407" s="234" t="str">
        <f>'Building Bill of Materials_SLIM'!R407</f>
        <v/>
      </c>
      <c r="E407" s="234" t="str">
        <f>'Building Bill of Materials_SLIM'!S407</f>
        <v/>
      </c>
      <c r="F407" s="234"/>
      <c r="G407" s="234"/>
      <c r="H407" s="234" t="str">
        <f>'Building Bill of Materials_SLIM'!T407</f>
        <v/>
      </c>
      <c r="I407" s="234" t="str">
        <f>'Building Bill of Materials_SLIM'!U407</f>
        <v/>
      </c>
      <c r="J407" s="234" t="str">
        <f>'Building Bill of Materials_SLIM'!V407</f>
        <v/>
      </c>
      <c r="K407" s="192"/>
      <c r="L407" s="242"/>
      <c r="M407" s="242"/>
      <c r="N407" s="291"/>
      <c r="O407" s="291"/>
      <c r="P407" s="291"/>
      <c r="Q407" s="291"/>
      <c r="R407" s="291"/>
      <c r="S407" s="291"/>
      <c r="T407" s="291"/>
      <c r="U407" s="291"/>
      <c r="V407" s="291"/>
      <c r="W407" s="291"/>
      <c r="X407" s="291"/>
      <c r="Y407" s="291"/>
      <c r="Z407" s="291"/>
      <c r="AA407" s="291"/>
      <c r="AB407" s="291"/>
      <c r="AC407" s="291"/>
      <c r="AD407" s="291"/>
      <c r="AE407" s="291"/>
      <c r="AF407" s="291"/>
      <c r="AG407" s="291"/>
    </row>
    <row r="408" ht="18.75" customHeight="1">
      <c r="A408" s="283"/>
      <c r="B408" s="234" t="str">
        <f>'Building Bill of Materials_SLIM'!P408</f>
        <v/>
      </c>
      <c r="C408" s="234" t="str">
        <f>'Building Bill of Materials_SLIM'!Q408</f>
        <v/>
      </c>
      <c r="D408" s="234" t="str">
        <f>'Building Bill of Materials_SLIM'!R408</f>
        <v/>
      </c>
      <c r="E408" s="234" t="str">
        <f>'Building Bill of Materials_SLIM'!S408</f>
        <v/>
      </c>
      <c r="F408" s="234"/>
      <c r="G408" s="234"/>
      <c r="H408" s="234" t="str">
        <f>'Building Bill of Materials_SLIM'!T408</f>
        <v/>
      </c>
      <c r="I408" s="234" t="str">
        <f>'Building Bill of Materials_SLIM'!U408</f>
        <v/>
      </c>
      <c r="J408" s="234" t="str">
        <f>'Building Bill of Materials_SLIM'!V408</f>
        <v/>
      </c>
      <c r="K408" s="192"/>
      <c r="L408" s="242"/>
      <c r="M408" s="242"/>
      <c r="N408" s="291"/>
      <c r="O408" s="291"/>
      <c r="P408" s="291"/>
      <c r="Q408" s="291"/>
      <c r="R408" s="291"/>
      <c r="S408" s="291"/>
      <c r="T408" s="291"/>
      <c r="U408" s="291"/>
      <c r="V408" s="291"/>
      <c r="W408" s="291"/>
      <c r="X408" s="291"/>
      <c r="Y408" s="291"/>
      <c r="Z408" s="291"/>
      <c r="AA408" s="291"/>
      <c r="AB408" s="291"/>
      <c r="AC408" s="291"/>
      <c r="AD408" s="291"/>
      <c r="AE408" s="291"/>
      <c r="AF408" s="291"/>
      <c r="AG408" s="291"/>
    </row>
    <row r="409" ht="18.75" customHeight="1">
      <c r="A409" s="283"/>
      <c r="B409" s="234" t="str">
        <f>'Building Bill of Materials_SLIM'!P409</f>
        <v/>
      </c>
      <c r="C409" s="234" t="str">
        <f>'Building Bill of Materials_SLIM'!Q409</f>
        <v/>
      </c>
      <c r="D409" s="234" t="str">
        <f>'Building Bill of Materials_SLIM'!R409</f>
        <v/>
      </c>
      <c r="E409" s="234" t="str">
        <f>'Building Bill of Materials_SLIM'!S409</f>
        <v/>
      </c>
      <c r="F409" s="234"/>
      <c r="G409" s="234"/>
      <c r="H409" s="234" t="str">
        <f>'Building Bill of Materials_SLIM'!T409</f>
        <v/>
      </c>
      <c r="I409" s="234" t="str">
        <f>'Building Bill of Materials_SLIM'!U409</f>
        <v/>
      </c>
      <c r="J409" s="234" t="str">
        <f>'Building Bill of Materials_SLIM'!V409</f>
        <v/>
      </c>
      <c r="K409" s="192"/>
      <c r="L409" s="242"/>
      <c r="M409" s="242"/>
      <c r="N409" s="291"/>
      <c r="O409" s="291"/>
      <c r="P409" s="291"/>
      <c r="Q409" s="291"/>
      <c r="R409" s="291"/>
      <c r="S409" s="291"/>
      <c r="T409" s="291"/>
      <c r="U409" s="291"/>
      <c r="V409" s="291"/>
      <c r="W409" s="291"/>
      <c r="X409" s="291"/>
      <c r="Y409" s="291"/>
      <c r="Z409" s="291"/>
      <c r="AA409" s="291"/>
      <c r="AB409" s="291"/>
      <c r="AC409" s="291"/>
      <c r="AD409" s="291"/>
      <c r="AE409" s="291"/>
      <c r="AF409" s="291"/>
      <c r="AG409" s="291"/>
    </row>
    <row r="410" ht="18.75" customHeight="1">
      <c r="A410" s="283"/>
      <c r="B410" s="234" t="str">
        <f>'Building Bill of Materials_SLIM'!P410</f>
        <v/>
      </c>
      <c r="C410" s="234" t="str">
        <f>'Building Bill of Materials_SLIM'!Q410</f>
        <v/>
      </c>
      <c r="D410" s="234" t="str">
        <f>'Building Bill of Materials_SLIM'!R410</f>
        <v/>
      </c>
      <c r="E410" s="234" t="str">
        <f>'Building Bill of Materials_SLIM'!S410</f>
        <v/>
      </c>
      <c r="F410" s="234"/>
      <c r="G410" s="234"/>
      <c r="H410" s="234" t="str">
        <f>'Building Bill of Materials_SLIM'!T410</f>
        <v/>
      </c>
      <c r="I410" s="234" t="str">
        <f>'Building Bill of Materials_SLIM'!U410</f>
        <v/>
      </c>
      <c r="J410" s="234" t="str">
        <f>'Building Bill of Materials_SLIM'!V410</f>
        <v/>
      </c>
      <c r="K410" s="192"/>
      <c r="L410" s="242"/>
      <c r="M410" s="242"/>
      <c r="N410" s="291"/>
      <c r="O410" s="291"/>
      <c r="P410" s="291"/>
      <c r="Q410" s="291"/>
      <c r="R410" s="291"/>
      <c r="S410" s="291"/>
      <c r="T410" s="291"/>
      <c r="U410" s="291"/>
      <c r="V410" s="291"/>
      <c r="W410" s="291"/>
      <c r="X410" s="291"/>
      <c r="Y410" s="291"/>
      <c r="Z410" s="291"/>
      <c r="AA410" s="291"/>
      <c r="AB410" s="291"/>
      <c r="AC410" s="291"/>
      <c r="AD410" s="291"/>
      <c r="AE410" s="291"/>
      <c r="AF410" s="291"/>
      <c r="AG410" s="291"/>
    </row>
    <row r="411" ht="18.75" customHeight="1">
      <c r="A411" s="283"/>
      <c r="B411" s="234" t="str">
        <f>'Building Bill of Materials_SLIM'!P411</f>
        <v/>
      </c>
      <c r="C411" s="234" t="str">
        <f>'Building Bill of Materials_SLIM'!Q411</f>
        <v/>
      </c>
      <c r="D411" s="234" t="str">
        <f>'Building Bill of Materials_SLIM'!R411</f>
        <v/>
      </c>
      <c r="E411" s="234" t="str">
        <f>'Building Bill of Materials_SLIM'!S411</f>
        <v/>
      </c>
      <c r="F411" s="234"/>
      <c r="G411" s="234"/>
      <c r="H411" s="234" t="str">
        <f>'Building Bill of Materials_SLIM'!T411</f>
        <v/>
      </c>
      <c r="I411" s="234" t="str">
        <f>'Building Bill of Materials_SLIM'!U411</f>
        <v/>
      </c>
      <c r="J411" s="234" t="str">
        <f>'Building Bill of Materials_SLIM'!V411</f>
        <v/>
      </c>
      <c r="K411" s="192"/>
      <c r="L411" s="242"/>
      <c r="M411" s="242"/>
      <c r="N411" s="291"/>
      <c r="O411" s="291"/>
      <c r="P411" s="291"/>
      <c r="Q411" s="291"/>
      <c r="R411" s="291"/>
      <c r="S411" s="291"/>
      <c r="T411" s="291"/>
      <c r="U411" s="291"/>
      <c r="V411" s="291"/>
      <c r="W411" s="291"/>
      <c r="X411" s="291"/>
      <c r="Y411" s="291"/>
      <c r="Z411" s="291"/>
      <c r="AA411" s="291"/>
      <c r="AB411" s="291"/>
      <c r="AC411" s="291"/>
      <c r="AD411" s="291"/>
      <c r="AE411" s="291"/>
      <c r="AF411" s="291"/>
      <c r="AG411" s="291"/>
    </row>
    <row r="412" ht="18.75" customHeight="1">
      <c r="A412" s="283"/>
      <c r="B412" s="234" t="str">
        <f>'Building Bill of Materials_SLIM'!P412</f>
        <v/>
      </c>
      <c r="C412" s="234" t="str">
        <f>'Building Bill of Materials_SLIM'!Q412</f>
        <v/>
      </c>
      <c r="D412" s="234" t="str">
        <f>'Building Bill of Materials_SLIM'!R412</f>
        <v/>
      </c>
      <c r="E412" s="234" t="str">
        <f>'Building Bill of Materials_SLIM'!S412</f>
        <v/>
      </c>
      <c r="F412" s="234"/>
      <c r="G412" s="234"/>
      <c r="H412" s="234" t="str">
        <f>'Building Bill of Materials_SLIM'!T412</f>
        <v/>
      </c>
      <c r="I412" s="234" t="str">
        <f>'Building Bill of Materials_SLIM'!U412</f>
        <v/>
      </c>
      <c r="J412" s="234" t="str">
        <f>'Building Bill of Materials_SLIM'!V412</f>
        <v/>
      </c>
      <c r="K412" s="192"/>
      <c r="L412" s="242"/>
      <c r="M412" s="242"/>
      <c r="N412" s="291"/>
      <c r="O412" s="291"/>
      <c r="P412" s="291"/>
      <c r="Q412" s="291"/>
      <c r="R412" s="291"/>
      <c r="S412" s="291"/>
      <c r="T412" s="291"/>
      <c r="U412" s="291"/>
      <c r="V412" s="291"/>
      <c r="W412" s="291"/>
      <c r="X412" s="291"/>
      <c r="Y412" s="291"/>
      <c r="Z412" s="291"/>
      <c r="AA412" s="291"/>
      <c r="AB412" s="291"/>
      <c r="AC412" s="291"/>
      <c r="AD412" s="291"/>
      <c r="AE412" s="291"/>
      <c r="AF412" s="291"/>
      <c r="AG412" s="291"/>
    </row>
    <row r="413" ht="18.75" customHeight="1">
      <c r="A413" s="283"/>
      <c r="B413" s="234" t="str">
        <f>'Building Bill of Materials_SLIM'!P413</f>
        <v/>
      </c>
      <c r="C413" s="234" t="str">
        <f>'Building Bill of Materials_SLIM'!Q413</f>
        <v/>
      </c>
      <c r="D413" s="234" t="str">
        <f>'Building Bill of Materials_SLIM'!R413</f>
        <v/>
      </c>
      <c r="E413" s="234" t="str">
        <f>'Building Bill of Materials_SLIM'!S413</f>
        <v/>
      </c>
      <c r="F413" s="234"/>
      <c r="G413" s="234"/>
      <c r="H413" s="234" t="str">
        <f>'Building Bill of Materials_SLIM'!T413</f>
        <v/>
      </c>
      <c r="I413" s="234" t="str">
        <f>'Building Bill of Materials_SLIM'!U413</f>
        <v/>
      </c>
      <c r="J413" s="234" t="str">
        <f>'Building Bill of Materials_SLIM'!V413</f>
        <v/>
      </c>
      <c r="K413" s="192"/>
      <c r="L413" s="242"/>
      <c r="M413" s="242"/>
      <c r="N413" s="291"/>
      <c r="O413" s="291"/>
      <c r="P413" s="291"/>
      <c r="Q413" s="291"/>
      <c r="R413" s="291"/>
      <c r="S413" s="291"/>
      <c r="T413" s="291"/>
      <c r="U413" s="291"/>
      <c r="V413" s="291"/>
      <c r="W413" s="291"/>
      <c r="X413" s="291"/>
      <c r="Y413" s="291"/>
      <c r="Z413" s="291"/>
      <c r="AA413" s="291"/>
      <c r="AB413" s="291"/>
      <c r="AC413" s="291"/>
      <c r="AD413" s="291"/>
      <c r="AE413" s="291"/>
      <c r="AF413" s="291"/>
      <c r="AG413" s="291"/>
    </row>
    <row r="414" ht="18.75" customHeight="1">
      <c r="A414" s="283"/>
      <c r="B414" s="234" t="str">
        <f>'Building Bill of Materials_SLIM'!P414</f>
        <v/>
      </c>
      <c r="C414" s="234" t="str">
        <f>'Building Bill of Materials_SLIM'!Q414</f>
        <v/>
      </c>
      <c r="D414" s="234" t="str">
        <f>'Building Bill of Materials_SLIM'!R414</f>
        <v/>
      </c>
      <c r="E414" s="234" t="str">
        <f>'Building Bill of Materials_SLIM'!S414</f>
        <v/>
      </c>
      <c r="F414" s="234"/>
      <c r="G414" s="234"/>
      <c r="H414" s="234" t="str">
        <f>'Building Bill of Materials_SLIM'!T414</f>
        <v/>
      </c>
      <c r="I414" s="234" t="str">
        <f>'Building Bill of Materials_SLIM'!U414</f>
        <v/>
      </c>
      <c r="J414" s="234" t="str">
        <f>'Building Bill of Materials_SLIM'!V414</f>
        <v/>
      </c>
      <c r="K414" s="192"/>
      <c r="L414" s="242"/>
      <c r="M414" s="242"/>
      <c r="N414" s="291"/>
      <c r="O414" s="291"/>
      <c r="P414" s="291"/>
      <c r="Q414" s="291"/>
      <c r="R414" s="291"/>
      <c r="S414" s="291"/>
      <c r="T414" s="291"/>
      <c r="U414" s="291"/>
      <c r="V414" s="291"/>
      <c r="W414" s="291"/>
      <c r="X414" s="291"/>
      <c r="Y414" s="291"/>
      <c r="Z414" s="291"/>
      <c r="AA414" s="291"/>
      <c r="AB414" s="291"/>
      <c r="AC414" s="291"/>
      <c r="AD414" s="291"/>
      <c r="AE414" s="291"/>
      <c r="AF414" s="291"/>
      <c r="AG414" s="291"/>
    </row>
    <row r="415" ht="18.75" customHeight="1">
      <c r="A415" s="283"/>
      <c r="B415" s="234" t="str">
        <f>'Building Bill of Materials_SLIM'!P415</f>
        <v/>
      </c>
      <c r="C415" s="234" t="str">
        <f>'Building Bill of Materials_SLIM'!Q415</f>
        <v/>
      </c>
      <c r="D415" s="234" t="str">
        <f>'Building Bill of Materials_SLIM'!R415</f>
        <v/>
      </c>
      <c r="E415" s="234" t="str">
        <f>'Building Bill of Materials_SLIM'!S415</f>
        <v/>
      </c>
      <c r="F415" s="234"/>
      <c r="G415" s="234"/>
      <c r="H415" s="234" t="str">
        <f>'Building Bill of Materials_SLIM'!T415</f>
        <v/>
      </c>
      <c r="I415" s="234" t="str">
        <f>'Building Bill of Materials_SLIM'!U415</f>
        <v/>
      </c>
      <c r="J415" s="234" t="str">
        <f>'Building Bill of Materials_SLIM'!V415</f>
        <v/>
      </c>
      <c r="K415" s="192"/>
      <c r="L415" s="242"/>
      <c r="M415" s="242"/>
      <c r="N415" s="291"/>
      <c r="O415" s="291"/>
      <c r="P415" s="291"/>
      <c r="Q415" s="291"/>
      <c r="R415" s="291"/>
      <c r="S415" s="291"/>
      <c r="T415" s="291"/>
      <c r="U415" s="291"/>
      <c r="V415" s="291"/>
      <c r="W415" s="291"/>
      <c r="X415" s="291"/>
      <c r="Y415" s="291"/>
      <c r="Z415" s="291"/>
      <c r="AA415" s="291"/>
      <c r="AB415" s="291"/>
      <c r="AC415" s="291"/>
      <c r="AD415" s="291"/>
      <c r="AE415" s="291"/>
      <c r="AF415" s="291"/>
      <c r="AG415" s="291"/>
    </row>
    <row r="416" ht="18.75" customHeight="1">
      <c r="A416" s="283"/>
      <c r="B416" s="234" t="str">
        <f>'Building Bill of Materials_SLIM'!P416</f>
        <v/>
      </c>
      <c r="C416" s="234" t="str">
        <f>'Building Bill of Materials_SLIM'!Q416</f>
        <v/>
      </c>
      <c r="D416" s="234" t="str">
        <f>'Building Bill of Materials_SLIM'!R416</f>
        <v/>
      </c>
      <c r="E416" s="234" t="str">
        <f>'Building Bill of Materials_SLIM'!S416</f>
        <v/>
      </c>
      <c r="F416" s="234"/>
      <c r="G416" s="234"/>
      <c r="H416" s="234" t="str">
        <f>'Building Bill of Materials_SLIM'!T416</f>
        <v/>
      </c>
      <c r="I416" s="234" t="str">
        <f>'Building Bill of Materials_SLIM'!U416</f>
        <v/>
      </c>
      <c r="J416" s="234" t="str">
        <f>'Building Bill of Materials_SLIM'!V416</f>
        <v/>
      </c>
      <c r="K416" s="192"/>
      <c r="L416" s="242"/>
      <c r="M416" s="242"/>
      <c r="N416" s="291"/>
      <c r="O416" s="291"/>
      <c r="P416" s="291"/>
      <c r="Q416" s="291"/>
      <c r="R416" s="291"/>
      <c r="S416" s="291"/>
      <c r="T416" s="291"/>
      <c r="U416" s="291"/>
      <c r="V416" s="291"/>
      <c r="W416" s="291"/>
      <c r="X416" s="291"/>
      <c r="Y416" s="291"/>
      <c r="Z416" s="291"/>
      <c r="AA416" s="291"/>
      <c r="AB416" s="291"/>
      <c r="AC416" s="291"/>
      <c r="AD416" s="291"/>
      <c r="AE416" s="291"/>
      <c r="AF416" s="291"/>
      <c r="AG416" s="291"/>
    </row>
    <row r="417" ht="18.75" customHeight="1">
      <c r="A417" s="283"/>
      <c r="B417" s="234" t="str">
        <f>'Building Bill of Materials_SLIM'!P417</f>
        <v/>
      </c>
      <c r="C417" s="234" t="str">
        <f>'Building Bill of Materials_SLIM'!Q417</f>
        <v/>
      </c>
      <c r="D417" s="234" t="str">
        <f>'Building Bill of Materials_SLIM'!R417</f>
        <v/>
      </c>
      <c r="E417" s="234" t="str">
        <f>'Building Bill of Materials_SLIM'!S417</f>
        <v/>
      </c>
      <c r="F417" s="234"/>
      <c r="G417" s="234"/>
      <c r="H417" s="234" t="str">
        <f>'Building Bill of Materials_SLIM'!T417</f>
        <v/>
      </c>
      <c r="I417" s="234" t="str">
        <f>'Building Bill of Materials_SLIM'!U417</f>
        <v/>
      </c>
      <c r="J417" s="234" t="str">
        <f>'Building Bill of Materials_SLIM'!V417</f>
        <v/>
      </c>
      <c r="K417" s="192"/>
      <c r="L417" s="242"/>
      <c r="M417" s="242"/>
      <c r="N417" s="291"/>
      <c r="O417" s="291"/>
      <c r="P417" s="291"/>
      <c r="Q417" s="291"/>
      <c r="R417" s="291"/>
      <c r="S417" s="291"/>
      <c r="T417" s="291"/>
      <c r="U417" s="291"/>
      <c r="V417" s="291"/>
      <c r="W417" s="291"/>
      <c r="X417" s="291"/>
      <c r="Y417" s="291"/>
      <c r="Z417" s="291"/>
      <c r="AA417" s="291"/>
      <c r="AB417" s="291"/>
      <c r="AC417" s="291"/>
      <c r="AD417" s="291"/>
      <c r="AE417" s="291"/>
      <c r="AF417" s="291"/>
      <c r="AG417" s="291"/>
    </row>
    <row r="418" ht="18.75" customHeight="1">
      <c r="A418" s="283"/>
      <c r="B418" s="234" t="str">
        <f>'Building Bill of Materials_SLIM'!P418</f>
        <v/>
      </c>
      <c r="C418" s="234" t="str">
        <f>'Building Bill of Materials_SLIM'!Q418</f>
        <v/>
      </c>
      <c r="D418" s="234" t="str">
        <f>'Building Bill of Materials_SLIM'!R418</f>
        <v/>
      </c>
      <c r="E418" s="234" t="str">
        <f>'Building Bill of Materials_SLIM'!S418</f>
        <v/>
      </c>
      <c r="F418" s="234"/>
      <c r="G418" s="234"/>
      <c r="H418" s="234" t="str">
        <f>'Building Bill of Materials_SLIM'!T418</f>
        <v/>
      </c>
      <c r="I418" s="234" t="str">
        <f>'Building Bill of Materials_SLIM'!U418</f>
        <v/>
      </c>
      <c r="J418" s="234" t="str">
        <f>'Building Bill of Materials_SLIM'!V418</f>
        <v/>
      </c>
      <c r="K418" s="192"/>
      <c r="L418" s="242"/>
      <c r="M418" s="242"/>
      <c r="N418" s="291"/>
      <c r="O418" s="291"/>
      <c r="P418" s="291"/>
      <c r="Q418" s="291"/>
      <c r="R418" s="291"/>
      <c r="S418" s="291"/>
      <c r="T418" s="291"/>
      <c r="U418" s="291"/>
      <c r="V418" s="291"/>
      <c r="W418" s="291"/>
      <c r="X418" s="291"/>
      <c r="Y418" s="291"/>
      <c r="Z418" s="291"/>
      <c r="AA418" s="291"/>
      <c r="AB418" s="291"/>
      <c r="AC418" s="291"/>
      <c r="AD418" s="291"/>
      <c r="AE418" s="291"/>
      <c r="AF418" s="291"/>
      <c r="AG418" s="291"/>
    </row>
    <row r="419" ht="18.75" customHeight="1">
      <c r="A419" s="283"/>
      <c r="B419" s="234" t="str">
        <f>'Building Bill of Materials_SLIM'!P419</f>
        <v/>
      </c>
      <c r="C419" s="234" t="str">
        <f>'Building Bill of Materials_SLIM'!Q419</f>
        <v/>
      </c>
      <c r="D419" s="234" t="str">
        <f>'Building Bill of Materials_SLIM'!R419</f>
        <v/>
      </c>
      <c r="E419" s="234" t="str">
        <f>'Building Bill of Materials_SLIM'!S419</f>
        <v/>
      </c>
      <c r="F419" s="234"/>
      <c r="G419" s="234"/>
      <c r="H419" s="234" t="str">
        <f>'Building Bill of Materials_SLIM'!T419</f>
        <v/>
      </c>
      <c r="I419" s="234" t="str">
        <f>'Building Bill of Materials_SLIM'!U419</f>
        <v/>
      </c>
      <c r="J419" s="234" t="str">
        <f>'Building Bill of Materials_SLIM'!V419</f>
        <v/>
      </c>
      <c r="K419" s="192"/>
      <c r="L419" s="242"/>
      <c r="M419" s="242"/>
      <c r="N419" s="291"/>
      <c r="O419" s="291"/>
      <c r="P419" s="291"/>
      <c r="Q419" s="291"/>
      <c r="R419" s="291"/>
      <c r="S419" s="291"/>
      <c r="T419" s="291"/>
      <c r="U419" s="291"/>
      <c r="V419" s="291"/>
      <c r="W419" s="291"/>
      <c r="X419" s="291"/>
      <c r="Y419" s="291"/>
      <c r="Z419" s="291"/>
      <c r="AA419" s="291"/>
      <c r="AB419" s="291"/>
      <c r="AC419" s="291"/>
      <c r="AD419" s="291"/>
      <c r="AE419" s="291"/>
      <c r="AF419" s="291"/>
      <c r="AG419" s="291"/>
    </row>
    <row r="420" ht="18.75" customHeight="1">
      <c r="A420" s="283"/>
      <c r="B420" s="234" t="str">
        <f>'Building Bill of Materials_SLIM'!P420</f>
        <v/>
      </c>
      <c r="C420" s="234" t="str">
        <f>'Building Bill of Materials_SLIM'!Q420</f>
        <v/>
      </c>
      <c r="D420" s="234" t="str">
        <f>'Building Bill of Materials_SLIM'!R420</f>
        <v/>
      </c>
      <c r="E420" s="234" t="str">
        <f>'Building Bill of Materials_SLIM'!S420</f>
        <v/>
      </c>
      <c r="F420" s="234"/>
      <c r="G420" s="234"/>
      <c r="H420" s="234" t="str">
        <f>'Building Bill of Materials_SLIM'!T420</f>
        <v/>
      </c>
      <c r="I420" s="234" t="str">
        <f>'Building Bill of Materials_SLIM'!U420</f>
        <v/>
      </c>
      <c r="J420" s="234" t="str">
        <f>'Building Bill of Materials_SLIM'!V420</f>
        <v/>
      </c>
      <c r="K420" s="192"/>
      <c r="L420" s="242"/>
      <c r="M420" s="242"/>
      <c r="N420" s="291"/>
      <c r="O420" s="291"/>
      <c r="P420" s="291"/>
      <c r="Q420" s="291"/>
      <c r="R420" s="291"/>
      <c r="S420" s="291"/>
      <c r="T420" s="291"/>
      <c r="U420" s="291"/>
      <c r="V420" s="291"/>
      <c r="W420" s="291"/>
      <c r="X420" s="291"/>
      <c r="Y420" s="291"/>
      <c r="Z420" s="291"/>
      <c r="AA420" s="291"/>
      <c r="AB420" s="291"/>
      <c r="AC420" s="291"/>
      <c r="AD420" s="291"/>
      <c r="AE420" s="291"/>
      <c r="AF420" s="291"/>
      <c r="AG420" s="291"/>
    </row>
    <row r="421" ht="18.75" customHeight="1">
      <c r="A421" s="283"/>
      <c r="B421" s="234" t="str">
        <f>'Building Bill of Materials_SLIM'!P421</f>
        <v/>
      </c>
      <c r="C421" s="234" t="str">
        <f>'Building Bill of Materials_SLIM'!Q421</f>
        <v/>
      </c>
      <c r="D421" s="234" t="str">
        <f>'Building Bill of Materials_SLIM'!R421</f>
        <v/>
      </c>
      <c r="E421" s="234" t="str">
        <f>'Building Bill of Materials_SLIM'!S421</f>
        <v/>
      </c>
      <c r="F421" s="234"/>
      <c r="G421" s="234"/>
      <c r="H421" s="234" t="str">
        <f>'Building Bill of Materials_SLIM'!T421</f>
        <v/>
      </c>
      <c r="I421" s="234" t="str">
        <f>'Building Bill of Materials_SLIM'!U421</f>
        <v/>
      </c>
      <c r="J421" s="234" t="str">
        <f>'Building Bill of Materials_SLIM'!V421</f>
        <v/>
      </c>
      <c r="K421" s="192"/>
      <c r="L421" s="242"/>
      <c r="M421" s="242"/>
      <c r="N421" s="291"/>
      <c r="O421" s="291"/>
      <c r="P421" s="291"/>
      <c r="Q421" s="291"/>
      <c r="R421" s="291"/>
      <c r="S421" s="291"/>
      <c r="T421" s="291"/>
      <c r="U421" s="291"/>
      <c r="V421" s="291"/>
      <c r="W421" s="291"/>
      <c r="X421" s="291"/>
      <c r="Y421" s="291"/>
      <c r="Z421" s="291"/>
      <c r="AA421" s="291"/>
      <c r="AB421" s="291"/>
      <c r="AC421" s="291"/>
      <c r="AD421" s="291"/>
      <c r="AE421" s="291"/>
      <c r="AF421" s="291"/>
      <c r="AG421" s="291"/>
    </row>
    <row r="422" ht="18.75" customHeight="1">
      <c r="A422" s="283"/>
      <c r="B422" s="234" t="str">
        <f>'Building Bill of Materials_SLIM'!P422</f>
        <v/>
      </c>
      <c r="C422" s="234" t="str">
        <f>'Building Bill of Materials_SLIM'!Q422</f>
        <v/>
      </c>
      <c r="D422" s="234" t="str">
        <f>'Building Bill of Materials_SLIM'!R422</f>
        <v/>
      </c>
      <c r="E422" s="234" t="str">
        <f>'Building Bill of Materials_SLIM'!S422</f>
        <v/>
      </c>
      <c r="F422" s="234"/>
      <c r="G422" s="234"/>
      <c r="H422" s="234" t="str">
        <f>'Building Bill of Materials_SLIM'!T422</f>
        <v/>
      </c>
      <c r="I422" s="234" t="str">
        <f>'Building Bill of Materials_SLIM'!U422</f>
        <v/>
      </c>
      <c r="J422" s="234" t="str">
        <f>'Building Bill of Materials_SLIM'!V422</f>
        <v/>
      </c>
      <c r="K422" s="192"/>
      <c r="L422" s="242"/>
      <c r="M422" s="242"/>
      <c r="N422" s="291"/>
      <c r="O422" s="291"/>
      <c r="P422" s="291"/>
      <c r="Q422" s="291"/>
      <c r="R422" s="291"/>
      <c r="S422" s="291"/>
      <c r="T422" s="291"/>
      <c r="U422" s="291"/>
      <c r="V422" s="291"/>
      <c r="W422" s="291"/>
      <c r="X422" s="291"/>
      <c r="Y422" s="291"/>
      <c r="Z422" s="291"/>
      <c r="AA422" s="291"/>
      <c r="AB422" s="291"/>
      <c r="AC422" s="291"/>
      <c r="AD422" s="291"/>
      <c r="AE422" s="291"/>
      <c r="AF422" s="291"/>
      <c r="AG422" s="291"/>
    </row>
    <row r="423" ht="18.75" customHeight="1">
      <c r="A423" s="283"/>
      <c r="B423" s="234" t="str">
        <f>'Building Bill of Materials_SLIM'!P423</f>
        <v/>
      </c>
      <c r="C423" s="234" t="str">
        <f>'Building Bill of Materials_SLIM'!Q423</f>
        <v/>
      </c>
      <c r="D423" s="234" t="str">
        <f>'Building Bill of Materials_SLIM'!R423</f>
        <v/>
      </c>
      <c r="E423" s="234" t="str">
        <f>'Building Bill of Materials_SLIM'!S423</f>
        <v/>
      </c>
      <c r="F423" s="234"/>
      <c r="G423" s="234"/>
      <c r="H423" s="234" t="str">
        <f>'Building Bill of Materials_SLIM'!T423</f>
        <v/>
      </c>
      <c r="I423" s="234" t="str">
        <f>'Building Bill of Materials_SLIM'!U423</f>
        <v/>
      </c>
      <c r="J423" s="234" t="str">
        <f>'Building Bill of Materials_SLIM'!V423</f>
        <v/>
      </c>
      <c r="K423" s="192"/>
      <c r="L423" s="242"/>
      <c r="M423" s="242"/>
      <c r="N423" s="291"/>
      <c r="O423" s="291"/>
      <c r="P423" s="291"/>
      <c r="Q423" s="291"/>
      <c r="R423" s="291"/>
      <c r="S423" s="291"/>
      <c r="T423" s="291"/>
      <c r="U423" s="291"/>
      <c r="V423" s="291"/>
      <c r="W423" s="291"/>
      <c r="X423" s="291"/>
      <c r="Y423" s="291"/>
      <c r="Z423" s="291"/>
      <c r="AA423" s="291"/>
      <c r="AB423" s="291"/>
      <c r="AC423" s="291"/>
      <c r="AD423" s="291"/>
      <c r="AE423" s="291"/>
      <c r="AF423" s="291"/>
      <c r="AG423" s="291"/>
    </row>
    <row r="424" ht="18.75" customHeight="1">
      <c r="A424" s="283"/>
      <c r="B424" s="234" t="str">
        <f>'Building Bill of Materials_SLIM'!P424</f>
        <v/>
      </c>
      <c r="C424" s="234" t="str">
        <f>'Building Bill of Materials_SLIM'!Q424</f>
        <v/>
      </c>
      <c r="D424" s="234" t="str">
        <f>'Building Bill of Materials_SLIM'!R424</f>
        <v/>
      </c>
      <c r="E424" s="234" t="str">
        <f>'Building Bill of Materials_SLIM'!S424</f>
        <v/>
      </c>
      <c r="F424" s="234"/>
      <c r="G424" s="234"/>
      <c r="H424" s="234" t="str">
        <f>'Building Bill of Materials_SLIM'!T424</f>
        <v/>
      </c>
      <c r="I424" s="234" t="str">
        <f>'Building Bill of Materials_SLIM'!U424</f>
        <v/>
      </c>
      <c r="J424" s="234" t="str">
        <f>'Building Bill of Materials_SLIM'!V424</f>
        <v/>
      </c>
      <c r="K424" s="192"/>
      <c r="L424" s="242"/>
      <c r="M424" s="242"/>
      <c r="N424" s="291"/>
      <c r="O424" s="291"/>
      <c r="P424" s="291"/>
      <c r="Q424" s="291"/>
      <c r="R424" s="291"/>
      <c r="S424" s="291"/>
      <c r="T424" s="291"/>
      <c r="U424" s="291"/>
      <c r="V424" s="291"/>
      <c r="W424" s="291"/>
      <c r="X424" s="291"/>
      <c r="Y424" s="291"/>
      <c r="Z424" s="291"/>
      <c r="AA424" s="291"/>
      <c r="AB424" s="291"/>
      <c r="AC424" s="291"/>
      <c r="AD424" s="291"/>
      <c r="AE424" s="291"/>
      <c r="AF424" s="291"/>
      <c r="AG424" s="291"/>
    </row>
    <row r="425" ht="18.75" customHeight="1">
      <c r="A425" s="283"/>
      <c r="B425" s="234" t="str">
        <f>'Building Bill of Materials_SLIM'!P425</f>
        <v/>
      </c>
      <c r="C425" s="234" t="str">
        <f>'Building Bill of Materials_SLIM'!Q425</f>
        <v/>
      </c>
      <c r="D425" s="234" t="str">
        <f>'Building Bill of Materials_SLIM'!R425</f>
        <v/>
      </c>
      <c r="E425" s="234" t="str">
        <f>'Building Bill of Materials_SLIM'!S425</f>
        <v/>
      </c>
      <c r="F425" s="234"/>
      <c r="G425" s="234"/>
      <c r="H425" s="234" t="str">
        <f>'Building Bill of Materials_SLIM'!T425</f>
        <v/>
      </c>
      <c r="I425" s="234" t="str">
        <f>'Building Bill of Materials_SLIM'!U425</f>
        <v/>
      </c>
      <c r="J425" s="234" t="str">
        <f>'Building Bill of Materials_SLIM'!V425</f>
        <v/>
      </c>
      <c r="K425" s="192"/>
      <c r="L425" s="242"/>
      <c r="M425" s="242"/>
      <c r="N425" s="291"/>
      <c r="O425" s="291"/>
      <c r="P425" s="291"/>
      <c r="Q425" s="291"/>
      <c r="R425" s="291"/>
      <c r="S425" s="291"/>
      <c r="T425" s="291"/>
      <c r="U425" s="291"/>
      <c r="V425" s="291"/>
      <c r="W425" s="291"/>
      <c r="X425" s="291"/>
      <c r="Y425" s="291"/>
      <c r="Z425" s="291"/>
      <c r="AA425" s="291"/>
      <c r="AB425" s="291"/>
      <c r="AC425" s="291"/>
      <c r="AD425" s="291"/>
      <c r="AE425" s="291"/>
      <c r="AF425" s="291"/>
      <c r="AG425" s="291"/>
    </row>
    <row r="426" ht="18.75" customHeight="1">
      <c r="A426" s="283"/>
      <c r="B426" s="234" t="str">
        <f>'Building Bill of Materials_SLIM'!P426</f>
        <v/>
      </c>
      <c r="C426" s="234" t="str">
        <f>'Building Bill of Materials_SLIM'!Q426</f>
        <v/>
      </c>
      <c r="D426" s="234" t="str">
        <f>'Building Bill of Materials_SLIM'!R426</f>
        <v/>
      </c>
      <c r="E426" s="234" t="str">
        <f>'Building Bill of Materials_SLIM'!S426</f>
        <v/>
      </c>
      <c r="F426" s="234"/>
      <c r="G426" s="234"/>
      <c r="H426" s="234" t="str">
        <f>'Building Bill of Materials_SLIM'!T426</f>
        <v/>
      </c>
      <c r="I426" s="234" t="str">
        <f>'Building Bill of Materials_SLIM'!U426</f>
        <v/>
      </c>
      <c r="J426" s="234" t="str">
        <f>'Building Bill of Materials_SLIM'!V426</f>
        <v/>
      </c>
      <c r="K426" s="192"/>
      <c r="L426" s="242"/>
      <c r="M426" s="242"/>
      <c r="N426" s="291"/>
      <c r="O426" s="291"/>
      <c r="P426" s="291"/>
      <c r="Q426" s="291"/>
      <c r="R426" s="291"/>
      <c r="S426" s="291"/>
      <c r="T426" s="291"/>
      <c r="U426" s="291"/>
      <c r="V426" s="291"/>
      <c r="W426" s="291"/>
      <c r="X426" s="291"/>
      <c r="Y426" s="291"/>
      <c r="Z426" s="291"/>
      <c r="AA426" s="291"/>
      <c r="AB426" s="291"/>
      <c r="AC426" s="291"/>
      <c r="AD426" s="291"/>
      <c r="AE426" s="291"/>
      <c r="AF426" s="291"/>
      <c r="AG426" s="291"/>
    </row>
    <row r="427" ht="18.75" customHeight="1">
      <c r="A427" s="283"/>
      <c r="B427" s="234" t="str">
        <f>'Building Bill of Materials_SLIM'!P427</f>
        <v/>
      </c>
      <c r="C427" s="234" t="str">
        <f>'Building Bill of Materials_SLIM'!Q427</f>
        <v/>
      </c>
      <c r="D427" s="234" t="str">
        <f>'Building Bill of Materials_SLIM'!R427</f>
        <v/>
      </c>
      <c r="E427" s="234" t="str">
        <f>'Building Bill of Materials_SLIM'!S427</f>
        <v/>
      </c>
      <c r="F427" s="234"/>
      <c r="G427" s="234"/>
      <c r="H427" s="234" t="str">
        <f>'Building Bill of Materials_SLIM'!T427</f>
        <v/>
      </c>
      <c r="I427" s="234" t="str">
        <f>'Building Bill of Materials_SLIM'!U427</f>
        <v/>
      </c>
      <c r="J427" s="234" t="str">
        <f>'Building Bill of Materials_SLIM'!V427</f>
        <v/>
      </c>
      <c r="K427" s="192"/>
      <c r="L427" s="242"/>
      <c r="M427" s="242"/>
      <c r="N427" s="291"/>
      <c r="O427" s="291"/>
      <c r="P427" s="291"/>
      <c r="Q427" s="291"/>
      <c r="R427" s="291"/>
      <c r="S427" s="291"/>
      <c r="T427" s="291"/>
      <c r="U427" s="291"/>
      <c r="V427" s="291"/>
      <c r="W427" s="291"/>
      <c r="X427" s="291"/>
      <c r="Y427" s="291"/>
      <c r="Z427" s="291"/>
      <c r="AA427" s="291"/>
      <c r="AB427" s="291"/>
      <c r="AC427" s="291"/>
      <c r="AD427" s="291"/>
      <c r="AE427" s="291"/>
      <c r="AF427" s="291"/>
      <c r="AG427" s="291"/>
    </row>
    <row r="428" ht="18.75" customHeight="1">
      <c r="A428" s="283"/>
      <c r="B428" s="234" t="str">
        <f>'Building Bill of Materials_SLIM'!P428</f>
        <v/>
      </c>
      <c r="C428" s="234" t="str">
        <f>'Building Bill of Materials_SLIM'!Q428</f>
        <v/>
      </c>
      <c r="D428" s="234" t="str">
        <f>'Building Bill of Materials_SLIM'!R428</f>
        <v/>
      </c>
      <c r="E428" s="234" t="str">
        <f>'Building Bill of Materials_SLIM'!S428</f>
        <v/>
      </c>
      <c r="F428" s="234"/>
      <c r="G428" s="234"/>
      <c r="H428" s="234" t="str">
        <f>'Building Bill of Materials_SLIM'!T428</f>
        <v/>
      </c>
      <c r="I428" s="234" t="str">
        <f>'Building Bill of Materials_SLIM'!U428</f>
        <v/>
      </c>
      <c r="J428" s="234" t="str">
        <f>'Building Bill of Materials_SLIM'!V428</f>
        <v/>
      </c>
      <c r="K428" s="192"/>
      <c r="L428" s="242"/>
      <c r="M428" s="242"/>
      <c r="N428" s="291"/>
      <c r="O428" s="291"/>
      <c r="P428" s="291"/>
      <c r="Q428" s="291"/>
      <c r="R428" s="291"/>
      <c r="S428" s="291"/>
      <c r="T428" s="291"/>
      <c r="U428" s="291"/>
      <c r="V428" s="291"/>
      <c r="W428" s="291"/>
      <c r="X428" s="291"/>
      <c r="Y428" s="291"/>
      <c r="Z428" s="291"/>
      <c r="AA428" s="291"/>
      <c r="AB428" s="291"/>
      <c r="AC428" s="291"/>
      <c r="AD428" s="291"/>
      <c r="AE428" s="291"/>
      <c r="AF428" s="291"/>
      <c r="AG428" s="291"/>
    </row>
    <row r="429" ht="18.75" customHeight="1">
      <c r="A429" s="283"/>
      <c r="B429" s="234" t="str">
        <f>'Building Bill of Materials_SLIM'!P429</f>
        <v/>
      </c>
      <c r="C429" s="234" t="str">
        <f>'Building Bill of Materials_SLIM'!Q429</f>
        <v/>
      </c>
      <c r="D429" s="234" t="str">
        <f>'Building Bill of Materials_SLIM'!R429</f>
        <v/>
      </c>
      <c r="E429" s="234" t="str">
        <f>'Building Bill of Materials_SLIM'!S429</f>
        <v/>
      </c>
      <c r="F429" s="234"/>
      <c r="G429" s="234"/>
      <c r="H429" s="234" t="str">
        <f>'Building Bill of Materials_SLIM'!T429</f>
        <v/>
      </c>
      <c r="I429" s="234" t="str">
        <f>'Building Bill of Materials_SLIM'!U429</f>
        <v/>
      </c>
      <c r="J429" s="234" t="str">
        <f>'Building Bill of Materials_SLIM'!V429</f>
        <v/>
      </c>
      <c r="K429" s="192"/>
      <c r="L429" s="242"/>
      <c r="M429" s="242"/>
      <c r="N429" s="291"/>
      <c r="O429" s="291"/>
      <c r="P429" s="291"/>
      <c r="Q429" s="291"/>
      <c r="R429" s="291"/>
      <c r="S429" s="291"/>
      <c r="T429" s="291"/>
      <c r="U429" s="291"/>
      <c r="V429" s="291"/>
      <c r="W429" s="291"/>
      <c r="X429" s="291"/>
      <c r="Y429" s="291"/>
      <c r="Z429" s="291"/>
      <c r="AA429" s="291"/>
      <c r="AB429" s="291"/>
      <c r="AC429" s="291"/>
      <c r="AD429" s="291"/>
      <c r="AE429" s="291"/>
      <c r="AF429" s="291"/>
      <c r="AG429" s="291"/>
    </row>
    <row r="430" ht="18.75" customHeight="1">
      <c r="A430" s="283"/>
      <c r="B430" s="234" t="str">
        <f>'Building Bill of Materials_SLIM'!P430</f>
        <v/>
      </c>
      <c r="C430" s="234" t="str">
        <f>'Building Bill of Materials_SLIM'!Q430</f>
        <v/>
      </c>
      <c r="D430" s="234" t="str">
        <f>'Building Bill of Materials_SLIM'!R430</f>
        <v/>
      </c>
      <c r="E430" s="234" t="str">
        <f>'Building Bill of Materials_SLIM'!S430</f>
        <v/>
      </c>
      <c r="F430" s="234"/>
      <c r="G430" s="234"/>
      <c r="H430" s="234" t="str">
        <f>'Building Bill of Materials_SLIM'!T430</f>
        <v/>
      </c>
      <c r="I430" s="234" t="str">
        <f>'Building Bill of Materials_SLIM'!U430</f>
        <v/>
      </c>
      <c r="J430" s="234" t="str">
        <f>'Building Bill of Materials_SLIM'!V430</f>
        <v/>
      </c>
      <c r="K430" s="192"/>
      <c r="L430" s="242"/>
      <c r="M430" s="242"/>
      <c r="N430" s="291"/>
      <c r="O430" s="291"/>
      <c r="P430" s="291"/>
      <c r="Q430" s="291"/>
      <c r="R430" s="291"/>
      <c r="S430" s="291"/>
      <c r="T430" s="291"/>
      <c r="U430" s="291"/>
      <c r="V430" s="291"/>
      <c r="W430" s="291"/>
      <c r="X430" s="291"/>
      <c r="Y430" s="291"/>
      <c r="Z430" s="291"/>
      <c r="AA430" s="291"/>
      <c r="AB430" s="291"/>
      <c r="AC430" s="291"/>
      <c r="AD430" s="291"/>
      <c r="AE430" s="291"/>
      <c r="AF430" s="291"/>
      <c r="AG430" s="291"/>
    </row>
    <row r="431" ht="18.75" customHeight="1">
      <c r="A431" s="283"/>
      <c r="B431" s="234" t="str">
        <f>'Building Bill of Materials_SLIM'!P431</f>
        <v/>
      </c>
      <c r="C431" s="234" t="str">
        <f>'Building Bill of Materials_SLIM'!Q431</f>
        <v/>
      </c>
      <c r="D431" s="234" t="str">
        <f>'Building Bill of Materials_SLIM'!R431</f>
        <v/>
      </c>
      <c r="E431" s="234" t="str">
        <f>'Building Bill of Materials_SLIM'!S431</f>
        <v/>
      </c>
      <c r="F431" s="234"/>
      <c r="G431" s="234"/>
      <c r="H431" s="234" t="str">
        <f>'Building Bill of Materials_SLIM'!T431</f>
        <v/>
      </c>
      <c r="I431" s="234" t="str">
        <f>'Building Bill of Materials_SLIM'!U431</f>
        <v/>
      </c>
      <c r="J431" s="234" t="str">
        <f>'Building Bill of Materials_SLIM'!V431</f>
        <v/>
      </c>
      <c r="K431" s="192"/>
      <c r="L431" s="242"/>
      <c r="M431" s="242"/>
      <c r="N431" s="291"/>
      <c r="O431" s="291"/>
      <c r="P431" s="291"/>
      <c r="Q431" s="291"/>
      <c r="R431" s="291"/>
      <c r="S431" s="291"/>
      <c r="T431" s="291"/>
      <c r="U431" s="291"/>
      <c r="V431" s="291"/>
      <c r="W431" s="291"/>
      <c r="X431" s="291"/>
      <c r="Y431" s="291"/>
      <c r="Z431" s="291"/>
      <c r="AA431" s="291"/>
      <c r="AB431" s="291"/>
      <c r="AC431" s="291"/>
      <c r="AD431" s="291"/>
      <c r="AE431" s="291"/>
      <c r="AF431" s="291"/>
      <c r="AG431" s="291"/>
    </row>
    <row r="432" ht="18.75" customHeight="1">
      <c r="A432" s="283"/>
      <c r="B432" s="234" t="str">
        <f>'Building Bill of Materials_SLIM'!P432</f>
        <v/>
      </c>
      <c r="C432" s="234" t="str">
        <f>'Building Bill of Materials_SLIM'!Q432</f>
        <v/>
      </c>
      <c r="D432" s="234" t="str">
        <f>'Building Bill of Materials_SLIM'!R432</f>
        <v/>
      </c>
      <c r="E432" s="234" t="str">
        <f>'Building Bill of Materials_SLIM'!S432</f>
        <v/>
      </c>
      <c r="F432" s="234"/>
      <c r="G432" s="234"/>
      <c r="H432" s="234" t="str">
        <f>'Building Bill of Materials_SLIM'!T432</f>
        <v/>
      </c>
      <c r="I432" s="234" t="str">
        <f>'Building Bill of Materials_SLIM'!U432</f>
        <v/>
      </c>
      <c r="J432" s="234" t="str">
        <f>'Building Bill of Materials_SLIM'!V432</f>
        <v/>
      </c>
      <c r="K432" s="192"/>
      <c r="L432" s="242"/>
      <c r="M432" s="242"/>
      <c r="N432" s="291"/>
      <c r="O432" s="291"/>
      <c r="P432" s="291"/>
      <c r="Q432" s="291"/>
      <c r="R432" s="291"/>
      <c r="S432" s="291"/>
      <c r="T432" s="291"/>
      <c r="U432" s="291"/>
      <c r="V432" s="291"/>
      <c r="W432" s="291"/>
      <c r="X432" s="291"/>
      <c r="Y432" s="291"/>
      <c r="Z432" s="291"/>
      <c r="AA432" s="291"/>
      <c r="AB432" s="291"/>
      <c r="AC432" s="291"/>
      <c r="AD432" s="291"/>
      <c r="AE432" s="291"/>
      <c r="AF432" s="291"/>
      <c r="AG432" s="291"/>
    </row>
    <row r="433" ht="18.75" customHeight="1">
      <c r="A433" s="283"/>
      <c r="B433" s="234" t="str">
        <f>'Building Bill of Materials_SLIM'!P433</f>
        <v/>
      </c>
      <c r="C433" s="234" t="str">
        <f>'Building Bill of Materials_SLIM'!Q433</f>
        <v/>
      </c>
      <c r="D433" s="234" t="str">
        <f>'Building Bill of Materials_SLIM'!R433</f>
        <v/>
      </c>
      <c r="E433" s="234" t="str">
        <f>'Building Bill of Materials_SLIM'!S433</f>
        <v/>
      </c>
      <c r="F433" s="234"/>
      <c r="G433" s="234"/>
      <c r="H433" s="234" t="str">
        <f>'Building Bill of Materials_SLIM'!T433</f>
        <v/>
      </c>
      <c r="I433" s="234" t="str">
        <f>'Building Bill of Materials_SLIM'!U433</f>
        <v/>
      </c>
      <c r="J433" s="234" t="str">
        <f>'Building Bill of Materials_SLIM'!V433</f>
        <v/>
      </c>
      <c r="K433" s="192"/>
      <c r="L433" s="242"/>
      <c r="M433" s="242"/>
      <c r="N433" s="291"/>
      <c r="O433" s="291"/>
      <c r="P433" s="291"/>
      <c r="Q433" s="291"/>
      <c r="R433" s="291"/>
      <c r="S433" s="291"/>
      <c r="T433" s="291"/>
      <c r="U433" s="291"/>
      <c r="V433" s="291"/>
      <c r="W433" s="291"/>
      <c r="X433" s="291"/>
      <c r="Y433" s="291"/>
      <c r="Z433" s="291"/>
      <c r="AA433" s="291"/>
      <c r="AB433" s="291"/>
      <c r="AC433" s="291"/>
      <c r="AD433" s="291"/>
      <c r="AE433" s="291"/>
      <c r="AF433" s="291"/>
      <c r="AG433" s="291"/>
    </row>
    <row r="434" ht="18.75" customHeight="1">
      <c r="A434" s="283"/>
      <c r="B434" s="234" t="str">
        <f>'Building Bill of Materials_SLIM'!P434</f>
        <v/>
      </c>
      <c r="C434" s="234" t="str">
        <f>'Building Bill of Materials_SLIM'!Q434</f>
        <v/>
      </c>
      <c r="D434" s="234" t="str">
        <f>'Building Bill of Materials_SLIM'!R434</f>
        <v/>
      </c>
      <c r="E434" s="234" t="str">
        <f>'Building Bill of Materials_SLIM'!S434</f>
        <v/>
      </c>
      <c r="F434" s="234"/>
      <c r="G434" s="234"/>
      <c r="H434" s="234" t="str">
        <f>'Building Bill of Materials_SLIM'!T434</f>
        <v/>
      </c>
      <c r="I434" s="234" t="str">
        <f>'Building Bill of Materials_SLIM'!U434</f>
        <v/>
      </c>
      <c r="J434" s="234" t="str">
        <f>'Building Bill of Materials_SLIM'!V434</f>
        <v/>
      </c>
      <c r="K434" s="192"/>
      <c r="L434" s="242"/>
      <c r="M434" s="242"/>
      <c r="N434" s="291"/>
      <c r="O434" s="291"/>
      <c r="P434" s="291"/>
      <c r="Q434" s="291"/>
      <c r="R434" s="291"/>
      <c r="S434" s="291"/>
      <c r="T434" s="291"/>
      <c r="U434" s="291"/>
      <c r="V434" s="291"/>
      <c r="W434" s="291"/>
      <c r="X434" s="291"/>
      <c r="Y434" s="291"/>
      <c r="Z434" s="291"/>
      <c r="AA434" s="291"/>
      <c r="AB434" s="291"/>
      <c r="AC434" s="291"/>
      <c r="AD434" s="291"/>
      <c r="AE434" s="291"/>
      <c r="AF434" s="291"/>
      <c r="AG434" s="291"/>
    </row>
    <row r="435" ht="18.75" customHeight="1">
      <c r="A435" s="283"/>
      <c r="B435" s="234" t="str">
        <f>'Building Bill of Materials_SLIM'!P435</f>
        <v/>
      </c>
      <c r="C435" s="234" t="str">
        <f>'Building Bill of Materials_SLIM'!Q435</f>
        <v/>
      </c>
      <c r="D435" s="234" t="str">
        <f>'Building Bill of Materials_SLIM'!R435</f>
        <v/>
      </c>
      <c r="E435" s="234" t="str">
        <f>'Building Bill of Materials_SLIM'!S435</f>
        <v/>
      </c>
      <c r="F435" s="234"/>
      <c r="G435" s="234"/>
      <c r="H435" s="234" t="str">
        <f>'Building Bill of Materials_SLIM'!T435</f>
        <v/>
      </c>
      <c r="I435" s="234" t="str">
        <f>'Building Bill of Materials_SLIM'!U435</f>
        <v/>
      </c>
      <c r="J435" s="234" t="str">
        <f>'Building Bill of Materials_SLIM'!V435</f>
        <v/>
      </c>
      <c r="K435" s="192"/>
      <c r="L435" s="242"/>
      <c r="M435" s="242"/>
      <c r="N435" s="291"/>
      <c r="O435" s="291"/>
      <c r="P435" s="291"/>
      <c r="Q435" s="291"/>
      <c r="R435" s="291"/>
      <c r="S435" s="291"/>
      <c r="T435" s="291"/>
      <c r="U435" s="291"/>
      <c r="V435" s="291"/>
      <c r="W435" s="291"/>
      <c r="X435" s="291"/>
      <c r="Y435" s="291"/>
      <c r="Z435" s="291"/>
      <c r="AA435" s="291"/>
      <c r="AB435" s="291"/>
      <c r="AC435" s="291"/>
      <c r="AD435" s="291"/>
      <c r="AE435" s="291"/>
      <c r="AF435" s="291"/>
      <c r="AG435" s="291"/>
    </row>
    <row r="436" ht="18.75" customHeight="1">
      <c r="A436" s="283"/>
      <c r="B436" s="234" t="str">
        <f>'Building Bill of Materials_SLIM'!P436</f>
        <v/>
      </c>
      <c r="C436" s="234" t="str">
        <f>'Building Bill of Materials_SLIM'!Q436</f>
        <v/>
      </c>
      <c r="D436" s="234" t="str">
        <f>'Building Bill of Materials_SLIM'!R436</f>
        <v/>
      </c>
      <c r="E436" s="234" t="str">
        <f>'Building Bill of Materials_SLIM'!S436</f>
        <v/>
      </c>
      <c r="F436" s="234"/>
      <c r="G436" s="234"/>
      <c r="H436" s="234" t="str">
        <f>'Building Bill of Materials_SLIM'!T436</f>
        <v/>
      </c>
      <c r="I436" s="234" t="str">
        <f>'Building Bill of Materials_SLIM'!U436</f>
        <v/>
      </c>
      <c r="J436" s="234" t="str">
        <f>'Building Bill of Materials_SLIM'!V436</f>
        <v/>
      </c>
      <c r="K436" s="192"/>
      <c r="L436" s="242"/>
      <c r="M436" s="242"/>
      <c r="N436" s="291"/>
      <c r="O436" s="291"/>
      <c r="P436" s="291"/>
      <c r="Q436" s="291"/>
      <c r="R436" s="291"/>
      <c r="S436" s="291"/>
      <c r="T436" s="291"/>
      <c r="U436" s="291"/>
      <c r="V436" s="291"/>
      <c r="W436" s="291"/>
      <c r="X436" s="291"/>
      <c r="Y436" s="291"/>
      <c r="Z436" s="291"/>
      <c r="AA436" s="291"/>
      <c r="AB436" s="291"/>
      <c r="AC436" s="291"/>
      <c r="AD436" s="291"/>
      <c r="AE436" s="291"/>
      <c r="AF436" s="291"/>
      <c r="AG436" s="291"/>
    </row>
    <row r="437" ht="18.75" customHeight="1">
      <c r="A437" s="283"/>
      <c r="B437" s="234" t="str">
        <f>'Building Bill of Materials_SLIM'!P437</f>
        <v/>
      </c>
      <c r="C437" s="234" t="str">
        <f>'Building Bill of Materials_SLIM'!Q437</f>
        <v/>
      </c>
      <c r="D437" s="234" t="str">
        <f>'Building Bill of Materials_SLIM'!R437</f>
        <v/>
      </c>
      <c r="E437" s="234" t="str">
        <f>'Building Bill of Materials_SLIM'!S437</f>
        <v/>
      </c>
      <c r="F437" s="234"/>
      <c r="G437" s="234"/>
      <c r="H437" s="234" t="str">
        <f>'Building Bill of Materials_SLIM'!T437</f>
        <v/>
      </c>
      <c r="I437" s="234" t="str">
        <f>'Building Bill of Materials_SLIM'!U437</f>
        <v/>
      </c>
      <c r="J437" s="234" t="str">
        <f>'Building Bill of Materials_SLIM'!V437</f>
        <v/>
      </c>
      <c r="K437" s="192"/>
      <c r="L437" s="242"/>
      <c r="M437" s="242"/>
      <c r="N437" s="291"/>
      <c r="O437" s="291"/>
      <c r="P437" s="291"/>
      <c r="Q437" s="291"/>
      <c r="R437" s="291"/>
      <c r="S437" s="291"/>
      <c r="T437" s="291"/>
      <c r="U437" s="291"/>
      <c r="V437" s="291"/>
      <c r="W437" s="291"/>
      <c r="X437" s="291"/>
      <c r="Y437" s="291"/>
      <c r="Z437" s="291"/>
      <c r="AA437" s="291"/>
      <c r="AB437" s="291"/>
      <c r="AC437" s="291"/>
      <c r="AD437" s="291"/>
      <c r="AE437" s="291"/>
      <c r="AF437" s="291"/>
      <c r="AG437" s="291"/>
    </row>
    <row r="438" ht="18.75" customHeight="1">
      <c r="A438" s="283"/>
      <c r="B438" s="234" t="str">
        <f>'Building Bill of Materials_SLIM'!P438</f>
        <v/>
      </c>
      <c r="C438" s="234" t="str">
        <f>'Building Bill of Materials_SLIM'!Q438</f>
        <v/>
      </c>
      <c r="D438" s="234" t="str">
        <f>'Building Bill of Materials_SLIM'!R438</f>
        <v/>
      </c>
      <c r="E438" s="234" t="str">
        <f>'Building Bill of Materials_SLIM'!S438</f>
        <v/>
      </c>
      <c r="F438" s="234"/>
      <c r="G438" s="234"/>
      <c r="H438" s="234" t="str">
        <f>'Building Bill of Materials_SLIM'!T438</f>
        <v/>
      </c>
      <c r="I438" s="234" t="str">
        <f>'Building Bill of Materials_SLIM'!U438</f>
        <v/>
      </c>
      <c r="J438" s="234" t="str">
        <f>'Building Bill of Materials_SLIM'!V438</f>
        <v/>
      </c>
      <c r="K438" s="192"/>
      <c r="L438" s="242"/>
      <c r="M438" s="242"/>
      <c r="N438" s="291"/>
      <c r="O438" s="291"/>
      <c r="P438" s="291"/>
      <c r="Q438" s="291"/>
      <c r="R438" s="291"/>
      <c r="S438" s="291"/>
      <c r="T438" s="291"/>
      <c r="U438" s="291"/>
      <c r="V438" s="291"/>
      <c r="W438" s="291"/>
      <c r="X438" s="291"/>
      <c r="Y438" s="291"/>
      <c r="Z438" s="291"/>
      <c r="AA438" s="291"/>
      <c r="AB438" s="291"/>
      <c r="AC438" s="291"/>
      <c r="AD438" s="291"/>
      <c r="AE438" s="291"/>
      <c r="AF438" s="291"/>
      <c r="AG438" s="291"/>
    </row>
    <row r="439" ht="18.75" customHeight="1">
      <c r="A439" s="283"/>
      <c r="B439" s="234" t="str">
        <f>'Building Bill of Materials_SLIM'!P439</f>
        <v/>
      </c>
      <c r="C439" s="234" t="str">
        <f>'Building Bill of Materials_SLIM'!Q439</f>
        <v/>
      </c>
      <c r="D439" s="234" t="str">
        <f>'Building Bill of Materials_SLIM'!R439</f>
        <v/>
      </c>
      <c r="E439" s="234" t="str">
        <f>'Building Bill of Materials_SLIM'!S439</f>
        <v/>
      </c>
      <c r="F439" s="234"/>
      <c r="G439" s="234"/>
      <c r="H439" s="234" t="str">
        <f>'Building Bill of Materials_SLIM'!T439</f>
        <v/>
      </c>
      <c r="I439" s="234" t="str">
        <f>'Building Bill of Materials_SLIM'!U439</f>
        <v/>
      </c>
      <c r="J439" s="234" t="str">
        <f>'Building Bill of Materials_SLIM'!V439</f>
        <v/>
      </c>
      <c r="K439" s="192"/>
      <c r="L439" s="242"/>
      <c r="M439" s="242"/>
      <c r="N439" s="291"/>
      <c r="O439" s="291"/>
      <c r="P439" s="291"/>
      <c r="Q439" s="291"/>
      <c r="R439" s="291"/>
      <c r="S439" s="291"/>
      <c r="T439" s="291"/>
      <c r="U439" s="291"/>
      <c r="V439" s="291"/>
      <c r="W439" s="291"/>
      <c r="X439" s="291"/>
      <c r="Y439" s="291"/>
      <c r="Z439" s="291"/>
      <c r="AA439" s="291"/>
      <c r="AB439" s="291"/>
      <c r="AC439" s="291"/>
      <c r="AD439" s="291"/>
      <c r="AE439" s="291"/>
      <c r="AF439" s="291"/>
      <c r="AG439" s="291"/>
    </row>
    <row r="440" ht="18.75" customHeight="1">
      <c r="A440" s="283"/>
      <c r="B440" s="234" t="str">
        <f>'Building Bill of Materials_SLIM'!P440</f>
        <v/>
      </c>
      <c r="C440" s="234" t="str">
        <f>'Building Bill of Materials_SLIM'!Q440</f>
        <v/>
      </c>
      <c r="D440" s="234" t="str">
        <f>'Building Bill of Materials_SLIM'!R440</f>
        <v/>
      </c>
      <c r="E440" s="234" t="str">
        <f>'Building Bill of Materials_SLIM'!S440</f>
        <v/>
      </c>
      <c r="F440" s="234"/>
      <c r="G440" s="234"/>
      <c r="H440" s="234" t="str">
        <f>'Building Bill of Materials_SLIM'!T440</f>
        <v/>
      </c>
      <c r="I440" s="234" t="str">
        <f>'Building Bill of Materials_SLIM'!U440</f>
        <v/>
      </c>
      <c r="J440" s="234" t="str">
        <f>'Building Bill of Materials_SLIM'!V440</f>
        <v/>
      </c>
      <c r="K440" s="192"/>
      <c r="L440" s="242"/>
      <c r="M440" s="242"/>
      <c r="N440" s="291"/>
      <c r="O440" s="291"/>
      <c r="P440" s="291"/>
      <c r="Q440" s="291"/>
      <c r="R440" s="291"/>
      <c r="S440" s="291"/>
      <c r="T440" s="291"/>
      <c r="U440" s="291"/>
      <c r="V440" s="291"/>
      <c r="W440" s="291"/>
      <c r="X440" s="291"/>
      <c r="Y440" s="291"/>
      <c r="Z440" s="291"/>
      <c r="AA440" s="291"/>
      <c r="AB440" s="291"/>
      <c r="AC440" s="291"/>
      <c r="AD440" s="291"/>
      <c r="AE440" s="291"/>
      <c r="AF440" s="291"/>
      <c r="AG440" s="291"/>
    </row>
    <row r="441" ht="18.75" customHeight="1">
      <c r="A441" s="283"/>
      <c r="B441" s="234" t="str">
        <f>'Building Bill of Materials_SLIM'!P441</f>
        <v/>
      </c>
      <c r="C441" s="234" t="str">
        <f>'Building Bill of Materials_SLIM'!Q441</f>
        <v/>
      </c>
      <c r="D441" s="234" t="str">
        <f>'Building Bill of Materials_SLIM'!R441</f>
        <v/>
      </c>
      <c r="E441" s="234" t="str">
        <f>'Building Bill of Materials_SLIM'!S441</f>
        <v/>
      </c>
      <c r="F441" s="234"/>
      <c r="G441" s="234"/>
      <c r="H441" s="234" t="str">
        <f>'Building Bill of Materials_SLIM'!T441</f>
        <v/>
      </c>
      <c r="I441" s="234" t="str">
        <f>'Building Bill of Materials_SLIM'!U441</f>
        <v/>
      </c>
      <c r="J441" s="234" t="str">
        <f>'Building Bill of Materials_SLIM'!V441</f>
        <v/>
      </c>
      <c r="K441" s="192"/>
      <c r="L441" s="242"/>
      <c r="M441" s="242"/>
      <c r="N441" s="291"/>
      <c r="O441" s="291"/>
      <c r="P441" s="291"/>
      <c r="Q441" s="291"/>
      <c r="R441" s="291"/>
      <c r="S441" s="291"/>
      <c r="T441" s="291"/>
      <c r="U441" s="291"/>
      <c r="V441" s="291"/>
      <c r="W441" s="291"/>
      <c r="X441" s="291"/>
      <c r="Y441" s="291"/>
      <c r="Z441" s="291"/>
      <c r="AA441" s="291"/>
      <c r="AB441" s="291"/>
      <c r="AC441" s="291"/>
      <c r="AD441" s="291"/>
      <c r="AE441" s="291"/>
      <c r="AF441" s="291"/>
      <c r="AG441" s="291"/>
    </row>
    <row r="442" ht="18.75" customHeight="1">
      <c r="A442" s="283"/>
      <c r="B442" s="234" t="str">
        <f>'Building Bill of Materials_SLIM'!P442</f>
        <v/>
      </c>
      <c r="C442" s="234" t="str">
        <f>'Building Bill of Materials_SLIM'!Q442</f>
        <v/>
      </c>
      <c r="D442" s="234" t="str">
        <f>'Building Bill of Materials_SLIM'!R442</f>
        <v/>
      </c>
      <c r="E442" s="234" t="str">
        <f>'Building Bill of Materials_SLIM'!S442</f>
        <v/>
      </c>
      <c r="F442" s="234"/>
      <c r="G442" s="234"/>
      <c r="H442" s="234" t="str">
        <f>'Building Bill of Materials_SLIM'!T442</f>
        <v/>
      </c>
      <c r="I442" s="234" t="str">
        <f>'Building Bill of Materials_SLIM'!U442</f>
        <v/>
      </c>
      <c r="J442" s="234" t="str">
        <f>'Building Bill of Materials_SLIM'!V442</f>
        <v/>
      </c>
      <c r="K442" s="192"/>
      <c r="L442" s="242"/>
      <c r="M442" s="242"/>
      <c r="N442" s="291"/>
      <c r="O442" s="291"/>
      <c r="P442" s="291"/>
      <c r="Q442" s="291"/>
      <c r="R442" s="291"/>
      <c r="S442" s="291"/>
      <c r="T442" s="291"/>
      <c r="U442" s="291"/>
      <c r="V442" s="291"/>
      <c r="W442" s="291"/>
      <c r="X442" s="291"/>
      <c r="Y442" s="291"/>
      <c r="Z442" s="291"/>
      <c r="AA442" s="291"/>
      <c r="AB442" s="291"/>
      <c r="AC442" s="291"/>
      <c r="AD442" s="291"/>
      <c r="AE442" s="291"/>
      <c r="AF442" s="291"/>
      <c r="AG442" s="291"/>
    </row>
    <row r="443" ht="18.75" customHeight="1">
      <c r="A443" s="283"/>
      <c r="B443" s="234" t="str">
        <f>'Building Bill of Materials_SLIM'!P443</f>
        <v/>
      </c>
      <c r="C443" s="234" t="str">
        <f>'Building Bill of Materials_SLIM'!Q443</f>
        <v/>
      </c>
      <c r="D443" s="234" t="str">
        <f>'Building Bill of Materials_SLIM'!R443</f>
        <v/>
      </c>
      <c r="E443" s="234" t="str">
        <f>'Building Bill of Materials_SLIM'!S443</f>
        <v/>
      </c>
      <c r="F443" s="234"/>
      <c r="G443" s="234"/>
      <c r="H443" s="234" t="str">
        <f>'Building Bill of Materials_SLIM'!T443</f>
        <v/>
      </c>
      <c r="I443" s="234" t="str">
        <f>'Building Bill of Materials_SLIM'!U443</f>
        <v/>
      </c>
      <c r="J443" s="234" t="str">
        <f>'Building Bill of Materials_SLIM'!V443</f>
        <v/>
      </c>
      <c r="K443" s="192"/>
      <c r="L443" s="242"/>
      <c r="M443" s="242"/>
      <c r="N443" s="291"/>
      <c r="O443" s="291"/>
      <c r="P443" s="291"/>
      <c r="Q443" s="291"/>
      <c r="R443" s="291"/>
      <c r="S443" s="291"/>
      <c r="T443" s="291"/>
      <c r="U443" s="291"/>
      <c r="V443" s="291"/>
      <c r="W443" s="291"/>
      <c r="X443" s="291"/>
      <c r="Y443" s="291"/>
      <c r="Z443" s="291"/>
      <c r="AA443" s="291"/>
      <c r="AB443" s="291"/>
      <c r="AC443" s="291"/>
      <c r="AD443" s="291"/>
      <c r="AE443" s="291"/>
      <c r="AF443" s="291"/>
      <c r="AG443" s="291"/>
    </row>
    <row r="444" ht="18.75" customHeight="1">
      <c r="A444" s="283"/>
      <c r="B444" s="234" t="str">
        <f>'Building Bill of Materials_SLIM'!P444</f>
        <v/>
      </c>
      <c r="C444" s="234" t="str">
        <f>'Building Bill of Materials_SLIM'!Q444</f>
        <v/>
      </c>
      <c r="D444" s="234" t="str">
        <f>'Building Bill of Materials_SLIM'!R444</f>
        <v/>
      </c>
      <c r="E444" s="234" t="str">
        <f>'Building Bill of Materials_SLIM'!S444</f>
        <v/>
      </c>
      <c r="F444" s="234"/>
      <c r="G444" s="234"/>
      <c r="H444" s="234" t="str">
        <f>'Building Bill of Materials_SLIM'!T444</f>
        <v/>
      </c>
      <c r="I444" s="234" t="str">
        <f>'Building Bill of Materials_SLIM'!U444</f>
        <v/>
      </c>
      <c r="J444" s="234" t="str">
        <f>'Building Bill of Materials_SLIM'!V444</f>
        <v/>
      </c>
      <c r="K444" s="192"/>
      <c r="L444" s="242"/>
      <c r="M444" s="242"/>
      <c r="N444" s="291"/>
      <c r="O444" s="291"/>
      <c r="P444" s="291"/>
      <c r="Q444" s="291"/>
      <c r="R444" s="291"/>
      <c r="S444" s="291"/>
      <c r="T444" s="291"/>
      <c r="U444" s="291"/>
      <c r="V444" s="291"/>
      <c r="W444" s="291"/>
      <c r="X444" s="291"/>
      <c r="Y444" s="291"/>
      <c r="Z444" s="291"/>
      <c r="AA444" s="291"/>
      <c r="AB444" s="291"/>
      <c r="AC444" s="291"/>
      <c r="AD444" s="291"/>
      <c r="AE444" s="291"/>
      <c r="AF444" s="291"/>
      <c r="AG444" s="291"/>
    </row>
    <row r="445" ht="18.75" customHeight="1">
      <c r="A445" s="283"/>
      <c r="B445" s="234" t="str">
        <f>'Building Bill of Materials_SLIM'!P445</f>
        <v/>
      </c>
      <c r="C445" s="234" t="str">
        <f>'Building Bill of Materials_SLIM'!Q445</f>
        <v/>
      </c>
      <c r="D445" s="234" t="str">
        <f>'Building Bill of Materials_SLIM'!R445</f>
        <v/>
      </c>
      <c r="E445" s="234" t="str">
        <f>'Building Bill of Materials_SLIM'!S445</f>
        <v/>
      </c>
      <c r="F445" s="234"/>
      <c r="G445" s="234"/>
      <c r="H445" s="234" t="str">
        <f>'Building Bill of Materials_SLIM'!T445</f>
        <v/>
      </c>
      <c r="I445" s="234" t="str">
        <f>'Building Bill of Materials_SLIM'!U445</f>
        <v/>
      </c>
      <c r="J445" s="234" t="str">
        <f>'Building Bill of Materials_SLIM'!V445</f>
        <v/>
      </c>
      <c r="K445" s="192"/>
      <c r="L445" s="242"/>
      <c r="M445" s="242"/>
      <c r="N445" s="291"/>
      <c r="O445" s="291"/>
      <c r="P445" s="291"/>
      <c r="Q445" s="291"/>
      <c r="R445" s="291"/>
      <c r="S445" s="291"/>
      <c r="T445" s="291"/>
      <c r="U445" s="291"/>
      <c r="V445" s="291"/>
      <c r="W445" s="291"/>
      <c r="X445" s="291"/>
      <c r="Y445" s="291"/>
      <c r="Z445" s="291"/>
      <c r="AA445" s="291"/>
      <c r="AB445" s="291"/>
      <c r="AC445" s="291"/>
      <c r="AD445" s="291"/>
      <c r="AE445" s="291"/>
      <c r="AF445" s="291"/>
      <c r="AG445" s="291"/>
    </row>
    <row r="446" ht="18.75" customHeight="1">
      <c r="A446" s="283"/>
      <c r="B446" s="234" t="str">
        <f>'Building Bill of Materials_SLIM'!P446</f>
        <v/>
      </c>
      <c r="C446" s="234" t="str">
        <f>'Building Bill of Materials_SLIM'!Q446</f>
        <v/>
      </c>
      <c r="D446" s="234" t="str">
        <f>'Building Bill of Materials_SLIM'!R446</f>
        <v/>
      </c>
      <c r="E446" s="234" t="str">
        <f>'Building Bill of Materials_SLIM'!S446</f>
        <v/>
      </c>
      <c r="F446" s="234"/>
      <c r="G446" s="234"/>
      <c r="H446" s="234" t="str">
        <f>'Building Bill of Materials_SLIM'!T446</f>
        <v/>
      </c>
      <c r="I446" s="234" t="str">
        <f>'Building Bill of Materials_SLIM'!U446</f>
        <v/>
      </c>
      <c r="J446" s="234" t="str">
        <f>'Building Bill of Materials_SLIM'!V446</f>
        <v/>
      </c>
      <c r="K446" s="192"/>
      <c r="L446" s="242"/>
      <c r="M446" s="242"/>
      <c r="N446" s="291"/>
      <c r="O446" s="291"/>
      <c r="P446" s="291"/>
      <c r="Q446" s="291"/>
      <c r="R446" s="291"/>
      <c r="S446" s="291"/>
      <c r="T446" s="291"/>
      <c r="U446" s="291"/>
      <c r="V446" s="291"/>
      <c r="W446" s="291"/>
      <c r="X446" s="291"/>
      <c r="Y446" s="291"/>
      <c r="Z446" s="291"/>
      <c r="AA446" s="291"/>
      <c r="AB446" s="291"/>
      <c r="AC446" s="291"/>
      <c r="AD446" s="291"/>
      <c r="AE446" s="291"/>
      <c r="AF446" s="291"/>
      <c r="AG446" s="291"/>
    </row>
    <row r="447" ht="18.75" customHeight="1">
      <c r="A447" s="283"/>
      <c r="B447" s="234" t="str">
        <f>'Building Bill of Materials_SLIM'!P447</f>
        <v/>
      </c>
      <c r="C447" s="234" t="str">
        <f>'Building Bill of Materials_SLIM'!Q447</f>
        <v/>
      </c>
      <c r="D447" s="234" t="str">
        <f>'Building Bill of Materials_SLIM'!R447</f>
        <v/>
      </c>
      <c r="E447" s="234" t="str">
        <f>'Building Bill of Materials_SLIM'!S447</f>
        <v/>
      </c>
      <c r="F447" s="234"/>
      <c r="G447" s="234"/>
      <c r="H447" s="234" t="str">
        <f>'Building Bill of Materials_SLIM'!T447</f>
        <v/>
      </c>
      <c r="I447" s="234" t="str">
        <f>'Building Bill of Materials_SLIM'!U447</f>
        <v/>
      </c>
      <c r="J447" s="234" t="str">
        <f>'Building Bill of Materials_SLIM'!V447</f>
        <v/>
      </c>
      <c r="K447" s="192"/>
      <c r="L447" s="242"/>
      <c r="M447" s="242"/>
      <c r="N447" s="291"/>
      <c r="O447" s="291"/>
      <c r="P447" s="291"/>
      <c r="Q447" s="291"/>
      <c r="R447" s="291"/>
      <c r="S447" s="291"/>
      <c r="T447" s="291"/>
      <c r="U447" s="291"/>
      <c r="V447" s="291"/>
      <c r="W447" s="291"/>
      <c r="X447" s="291"/>
      <c r="Y447" s="291"/>
      <c r="Z447" s="291"/>
      <c r="AA447" s="291"/>
      <c r="AB447" s="291"/>
      <c r="AC447" s="291"/>
      <c r="AD447" s="291"/>
      <c r="AE447" s="291"/>
      <c r="AF447" s="291"/>
      <c r="AG447" s="291"/>
    </row>
    <row r="448" ht="18.75" customHeight="1">
      <c r="A448" s="283"/>
      <c r="B448" s="234" t="str">
        <f>'Building Bill of Materials_SLIM'!P448</f>
        <v/>
      </c>
      <c r="C448" s="234" t="str">
        <f>'Building Bill of Materials_SLIM'!Q448</f>
        <v/>
      </c>
      <c r="D448" s="234" t="str">
        <f>'Building Bill of Materials_SLIM'!R448</f>
        <v/>
      </c>
      <c r="E448" s="234" t="str">
        <f>'Building Bill of Materials_SLIM'!S448</f>
        <v/>
      </c>
      <c r="F448" s="234"/>
      <c r="G448" s="234"/>
      <c r="H448" s="234" t="str">
        <f>'Building Bill of Materials_SLIM'!T448</f>
        <v/>
      </c>
      <c r="I448" s="234" t="str">
        <f>'Building Bill of Materials_SLIM'!U448</f>
        <v/>
      </c>
      <c r="J448" s="234" t="str">
        <f>'Building Bill of Materials_SLIM'!V448</f>
        <v/>
      </c>
      <c r="K448" s="192"/>
      <c r="L448" s="242"/>
      <c r="M448" s="242"/>
      <c r="N448" s="291"/>
      <c r="O448" s="291"/>
      <c r="P448" s="291"/>
      <c r="Q448" s="291"/>
      <c r="R448" s="291"/>
      <c r="S448" s="291"/>
      <c r="T448" s="291"/>
      <c r="U448" s="291"/>
      <c r="V448" s="291"/>
      <c r="W448" s="291"/>
      <c r="X448" s="291"/>
      <c r="Y448" s="291"/>
      <c r="Z448" s="291"/>
      <c r="AA448" s="291"/>
      <c r="AB448" s="291"/>
      <c r="AC448" s="291"/>
      <c r="AD448" s="291"/>
      <c r="AE448" s="291"/>
      <c r="AF448" s="291"/>
      <c r="AG448" s="291"/>
    </row>
    <row r="449" ht="18.75" customHeight="1">
      <c r="A449" s="283"/>
      <c r="B449" s="234" t="str">
        <f>'Building Bill of Materials_SLIM'!P449</f>
        <v/>
      </c>
      <c r="C449" s="234" t="str">
        <f>'Building Bill of Materials_SLIM'!Q449</f>
        <v/>
      </c>
      <c r="D449" s="234" t="str">
        <f>'Building Bill of Materials_SLIM'!R449</f>
        <v/>
      </c>
      <c r="E449" s="234" t="str">
        <f>'Building Bill of Materials_SLIM'!S449</f>
        <v/>
      </c>
      <c r="F449" s="234"/>
      <c r="G449" s="234"/>
      <c r="H449" s="234" t="str">
        <f>'Building Bill of Materials_SLIM'!T449</f>
        <v/>
      </c>
      <c r="I449" s="234" t="str">
        <f>'Building Bill of Materials_SLIM'!U449</f>
        <v/>
      </c>
      <c r="J449" s="234" t="str">
        <f>'Building Bill of Materials_SLIM'!V449</f>
        <v/>
      </c>
      <c r="K449" s="192"/>
      <c r="L449" s="242"/>
      <c r="M449" s="242"/>
      <c r="N449" s="291"/>
      <c r="O449" s="291"/>
      <c r="P449" s="291"/>
      <c r="Q449" s="291"/>
      <c r="R449" s="291"/>
      <c r="S449" s="291"/>
      <c r="T449" s="291"/>
      <c r="U449" s="291"/>
      <c r="V449" s="291"/>
      <c r="W449" s="291"/>
      <c r="X449" s="291"/>
      <c r="Y449" s="291"/>
      <c r="Z449" s="291"/>
      <c r="AA449" s="291"/>
      <c r="AB449" s="291"/>
      <c r="AC449" s="291"/>
      <c r="AD449" s="291"/>
      <c r="AE449" s="291"/>
      <c r="AF449" s="291"/>
      <c r="AG449" s="291"/>
    </row>
    <row r="450" ht="18.75" customHeight="1">
      <c r="A450" s="283"/>
      <c r="B450" s="234" t="str">
        <f>'Building Bill of Materials_SLIM'!P450</f>
        <v/>
      </c>
      <c r="C450" s="234" t="str">
        <f>'Building Bill of Materials_SLIM'!Q450</f>
        <v/>
      </c>
      <c r="D450" s="234" t="str">
        <f>'Building Bill of Materials_SLIM'!R450</f>
        <v/>
      </c>
      <c r="E450" s="234" t="str">
        <f>'Building Bill of Materials_SLIM'!S450</f>
        <v/>
      </c>
      <c r="F450" s="234"/>
      <c r="G450" s="234"/>
      <c r="H450" s="234" t="str">
        <f>'Building Bill of Materials_SLIM'!T450</f>
        <v/>
      </c>
      <c r="I450" s="234" t="str">
        <f>'Building Bill of Materials_SLIM'!U450</f>
        <v/>
      </c>
      <c r="J450" s="234" t="str">
        <f>'Building Bill of Materials_SLIM'!V450</f>
        <v/>
      </c>
      <c r="K450" s="192"/>
      <c r="L450" s="242"/>
      <c r="M450" s="242"/>
      <c r="N450" s="291"/>
      <c r="O450" s="291"/>
      <c r="P450" s="291"/>
      <c r="Q450" s="291"/>
      <c r="R450" s="291"/>
      <c r="S450" s="291"/>
      <c r="T450" s="291"/>
      <c r="U450" s="291"/>
      <c r="V450" s="291"/>
      <c r="W450" s="291"/>
      <c r="X450" s="291"/>
      <c r="Y450" s="291"/>
      <c r="Z450" s="291"/>
      <c r="AA450" s="291"/>
      <c r="AB450" s="291"/>
      <c r="AC450" s="291"/>
      <c r="AD450" s="291"/>
      <c r="AE450" s="291"/>
      <c r="AF450" s="291"/>
      <c r="AG450" s="291"/>
    </row>
    <row r="451" ht="18.75" customHeight="1">
      <c r="A451" s="283"/>
      <c r="B451" s="234" t="str">
        <f>'Building Bill of Materials_SLIM'!P451</f>
        <v/>
      </c>
      <c r="C451" s="234" t="str">
        <f>'Building Bill of Materials_SLIM'!Q451</f>
        <v/>
      </c>
      <c r="D451" s="234" t="str">
        <f>'Building Bill of Materials_SLIM'!R451</f>
        <v/>
      </c>
      <c r="E451" s="234" t="str">
        <f>'Building Bill of Materials_SLIM'!S451</f>
        <v/>
      </c>
      <c r="F451" s="234"/>
      <c r="G451" s="234"/>
      <c r="H451" s="234" t="str">
        <f>'Building Bill of Materials_SLIM'!T451</f>
        <v/>
      </c>
      <c r="I451" s="234" t="str">
        <f>'Building Bill of Materials_SLIM'!U451</f>
        <v/>
      </c>
      <c r="J451" s="234" t="str">
        <f>'Building Bill of Materials_SLIM'!V451</f>
        <v/>
      </c>
      <c r="K451" s="192"/>
      <c r="L451" s="242"/>
      <c r="M451" s="242"/>
      <c r="N451" s="291"/>
      <c r="O451" s="291"/>
      <c r="P451" s="291"/>
      <c r="Q451" s="291"/>
      <c r="R451" s="291"/>
      <c r="S451" s="291"/>
      <c r="T451" s="291"/>
      <c r="U451" s="291"/>
      <c r="V451" s="291"/>
      <c r="W451" s="291"/>
      <c r="X451" s="291"/>
      <c r="Y451" s="291"/>
      <c r="Z451" s="291"/>
      <c r="AA451" s="291"/>
      <c r="AB451" s="291"/>
      <c r="AC451" s="291"/>
      <c r="AD451" s="291"/>
      <c r="AE451" s="291"/>
      <c r="AF451" s="291"/>
      <c r="AG451" s="291"/>
    </row>
    <row r="452" ht="18.75" customHeight="1">
      <c r="A452" s="283"/>
      <c r="B452" s="234" t="str">
        <f>'Building Bill of Materials_SLIM'!P452</f>
        <v/>
      </c>
      <c r="C452" s="234" t="str">
        <f>'Building Bill of Materials_SLIM'!Q452</f>
        <v/>
      </c>
      <c r="D452" s="234" t="str">
        <f>'Building Bill of Materials_SLIM'!R452</f>
        <v/>
      </c>
      <c r="E452" s="234" t="str">
        <f>'Building Bill of Materials_SLIM'!S452</f>
        <v/>
      </c>
      <c r="F452" s="234"/>
      <c r="G452" s="234"/>
      <c r="H452" s="234" t="str">
        <f>'Building Bill of Materials_SLIM'!T452</f>
        <v/>
      </c>
      <c r="I452" s="234" t="str">
        <f>'Building Bill of Materials_SLIM'!U452</f>
        <v/>
      </c>
      <c r="J452" s="234" t="str">
        <f>'Building Bill of Materials_SLIM'!V452</f>
        <v/>
      </c>
      <c r="K452" s="192"/>
      <c r="L452" s="242"/>
      <c r="M452" s="242"/>
      <c r="N452" s="291"/>
      <c r="O452" s="291"/>
      <c r="P452" s="291"/>
      <c r="Q452" s="291"/>
      <c r="R452" s="291"/>
      <c r="S452" s="291"/>
      <c r="T452" s="291"/>
      <c r="U452" s="291"/>
      <c r="V452" s="291"/>
      <c r="W452" s="291"/>
      <c r="X452" s="291"/>
      <c r="Y452" s="291"/>
      <c r="Z452" s="291"/>
      <c r="AA452" s="291"/>
      <c r="AB452" s="291"/>
      <c r="AC452" s="291"/>
      <c r="AD452" s="291"/>
      <c r="AE452" s="291"/>
      <c r="AF452" s="291"/>
      <c r="AG452" s="291"/>
    </row>
    <row r="453" ht="18.75" customHeight="1">
      <c r="A453" s="283"/>
      <c r="B453" s="234" t="str">
        <f>'Building Bill of Materials_SLIM'!P453</f>
        <v/>
      </c>
      <c r="C453" s="234" t="str">
        <f>'Building Bill of Materials_SLIM'!Q453</f>
        <v/>
      </c>
      <c r="D453" s="234" t="str">
        <f>'Building Bill of Materials_SLIM'!R453</f>
        <v/>
      </c>
      <c r="E453" s="234" t="str">
        <f>'Building Bill of Materials_SLIM'!S453</f>
        <v/>
      </c>
      <c r="F453" s="234"/>
      <c r="G453" s="234"/>
      <c r="H453" s="234" t="str">
        <f>'Building Bill of Materials_SLIM'!T453</f>
        <v/>
      </c>
      <c r="I453" s="234" t="str">
        <f>'Building Bill of Materials_SLIM'!U453</f>
        <v/>
      </c>
      <c r="J453" s="234" t="str">
        <f>'Building Bill of Materials_SLIM'!V453</f>
        <v/>
      </c>
      <c r="K453" s="192"/>
      <c r="L453" s="242"/>
      <c r="M453" s="242"/>
      <c r="N453" s="291"/>
      <c r="O453" s="291"/>
      <c r="P453" s="291"/>
      <c r="Q453" s="291"/>
      <c r="R453" s="291"/>
      <c r="S453" s="291"/>
      <c r="T453" s="291"/>
      <c r="U453" s="291"/>
      <c r="V453" s="291"/>
      <c r="W453" s="291"/>
      <c r="X453" s="291"/>
      <c r="Y453" s="291"/>
      <c r="Z453" s="291"/>
      <c r="AA453" s="291"/>
      <c r="AB453" s="291"/>
      <c r="AC453" s="291"/>
      <c r="AD453" s="291"/>
      <c r="AE453" s="291"/>
      <c r="AF453" s="291"/>
      <c r="AG453" s="291"/>
    </row>
    <row r="454" ht="18.75" customHeight="1">
      <c r="A454" s="283"/>
      <c r="B454" s="234" t="str">
        <f>'Building Bill of Materials_SLIM'!P454</f>
        <v/>
      </c>
      <c r="C454" s="234" t="str">
        <f>'Building Bill of Materials_SLIM'!Q454</f>
        <v/>
      </c>
      <c r="D454" s="234" t="str">
        <f>'Building Bill of Materials_SLIM'!R454</f>
        <v/>
      </c>
      <c r="E454" s="234" t="str">
        <f>'Building Bill of Materials_SLIM'!S454</f>
        <v/>
      </c>
      <c r="F454" s="234"/>
      <c r="G454" s="234"/>
      <c r="H454" s="234" t="str">
        <f>'Building Bill of Materials_SLIM'!T454</f>
        <v/>
      </c>
      <c r="I454" s="234" t="str">
        <f>'Building Bill of Materials_SLIM'!U454</f>
        <v/>
      </c>
      <c r="J454" s="234" t="str">
        <f>'Building Bill of Materials_SLIM'!V454</f>
        <v/>
      </c>
      <c r="K454" s="192"/>
      <c r="L454" s="242"/>
      <c r="M454" s="242"/>
      <c r="N454" s="291"/>
      <c r="O454" s="291"/>
      <c r="P454" s="291"/>
      <c r="Q454" s="291"/>
      <c r="R454" s="291"/>
      <c r="S454" s="291"/>
      <c r="T454" s="291"/>
      <c r="U454" s="291"/>
      <c r="V454" s="291"/>
      <c r="W454" s="291"/>
      <c r="X454" s="291"/>
      <c r="Y454" s="291"/>
      <c r="Z454" s="291"/>
      <c r="AA454" s="291"/>
      <c r="AB454" s="291"/>
      <c r="AC454" s="291"/>
      <c r="AD454" s="291"/>
      <c r="AE454" s="291"/>
      <c r="AF454" s="291"/>
      <c r="AG454" s="291"/>
    </row>
    <row r="455" ht="18.75" customHeight="1">
      <c r="A455" s="283"/>
      <c r="B455" s="234" t="str">
        <f>'Building Bill of Materials_SLIM'!P455</f>
        <v/>
      </c>
      <c r="C455" s="234" t="str">
        <f>'Building Bill of Materials_SLIM'!Q455</f>
        <v/>
      </c>
      <c r="D455" s="234" t="str">
        <f>'Building Bill of Materials_SLIM'!R455</f>
        <v/>
      </c>
      <c r="E455" s="234" t="str">
        <f>'Building Bill of Materials_SLIM'!S455</f>
        <v/>
      </c>
      <c r="F455" s="234"/>
      <c r="G455" s="234"/>
      <c r="H455" s="234" t="str">
        <f>'Building Bill of Materials_SLIM'!T455</f>
        <v/>
      </c>
      <c r="I455" s="234" t="str">
        <f>'Building Bill of Materials_SLIM'!U455</f>
        <v/>
      </c>
      <c r="J455" s="234" t="str">
        <f>'Building Bill of Materials_SLIM'!V455</f>
        <v/>
      </c>
      <c r="K455" s="192"/>
      <c r="L455" s="242"/>
      <c r="M455" s="242"/>
      <c r="N455" s="291"/>
      <c r="O455" s="291"/>
      <c r="P455" s="291"/>
      <c r="Q455" s="291"/>
      <c r="R455" s="291"/>
      <c r="S455" s="291"/>
      <c r="T455" s="291"/>
      <c r="U455" s="291"/>
      <c r="V455" s="291"/>
      <c r="W455" s="291"/>
      <c r="X455" s="291"/>
      <c r="Y455" s="291"/>
      <c r="Z455" s="291"/>
      <c r="AA455" s="291"/>
      <c r="AB455" s="291"/>
      <c r="AC455" s="291"/>
      <c r="AD455" s="291"/>
      <c r="AE455" s="291"/>
      <c r="AF455" s="291"/>
      <c r="AG455" s="291"/>
    </row>
    <row r="456" ht="18.75" customHeight="1">
      <c r="A456" s="283"/>
      <c r="B456" s="234" t="str">
        <f>'Building Bill of Materials_SLIM'!P456</f>
        <v/>
      </c>
      <c r="C456" s="234" t="str">
        <f>'Building Bill of Materials_SLIM'!Q456</f>
        <v/>
      </c>
      <c r="D456" s="234" t="str">
        <f>'Building Bill of Materials_SLIM'!R456</f>
        <v/>
      </c>
      <c r="E456" s="234" t="str">
        <f>'Building Bill of Materials_SLIM'!S456</f>
        <v/>
      </c>
      <c r="F456" s="234"/>
      <c r="G456" s="234"/>
      <c r="H456" s="234" t="str">
        <f>'Building Bill of Materials_SLIM'!T456</f>
        <v/>
      </c>
      <c r="I456" s="234" t="str">
        <f>'Building Bill of Materials_SLIM'!U456</f>
        <v/>
      </c>
      <c r="J456" s="234" t="str">
        <f>'Building Bill of Materials_SLIM'!V456</f>
        <v/>
      </c>
      <c r="K456" s="192"/>
      <c r="L456" s="242"/>
      <c r="M456" s="242"/>
      <c r="N456" s="291"/>
      <c r="O456" s="291"/>
      <c r="P456" s="291"/>
      <c r="Q456" s="291"/>
      <c r="R456" s="291"/>
      <c r="S456" s="291"/>
      <c r="T456" s="291"/>
      <c r="U456" s="291"/>
      <c r="V456" s="291"/>
      <c r="W456" s="291"/>
      <c r="X456" s="291"/>
      <c r="Y456" s="291"/>
      <c r="Z456" s="291"/>
      <c r="AA456" s="291"/>
      <c r="AB456" s="291"/>
      <c r="AC456" s="291"/>
      <c r="AD456" s="291"/>
      <c r="AE456" s="291"/>
      <c r="AF456" s="291"/>
      <c r="AG456" s="291"/>
    </row>
    <row r="457" ht="18.75" customHeight="1">
      <c r="A457" s="283"/>
      <c r="B457" s="234" t="str">
        <f>'Building Bill of Materials_SLIM'!P457</f>
        <v/>
      </c>
      <c r="C457" s="234" t="str">
        <f>'Building Bill of Materials_SLIM'!Q457</f>
        <v/>
      </c>
      <c r="D457" s="234" t="str">
        <f>'Building Bill of Materials_SLIM'!R457</f>
        <v/>
      </c>
      <c r="E457" s="234" t="str">
        <f>'Building Bill of Materials_SLIM'!S457</f>
        <v/>
      </c>
      <c r="F457" s="234"/>
      <c r="G457" s="234"/>
      <c r="H457" s="234" t="str">
        <f>'Building Bill of Materials_SLIM'!T457</f>
        <v/>
      </c>
      <c r="I457" s="234" t="str">
        <f>'Building Bill of Materials_SLIM'!U457</f>
        <v/>
      </c>
      <c r="J457" s="234" t="str">
        <f>'Building Bill of Materials_SLIM'!V457</f>
        <v/>
      </c>
      <c r="K457" s="192"/>
      <c r="L457" s="242"/>
      <c r="M457" s="242"/>
      <c r="N457" s="291"/>
      <c r="O457" s="291"/>
      <c r="P457" s="291"/>
      <c r="Q457" s="291"/>
      <c r="R457" s="291"/>
      <c r="S457" s="291"/>
      <c r="T457" s="291"/>
      <c r="U457" s="291"/>
      <c r="V457" s="291"/>
      <c r="W457" s="291"/>
      <c r="X457" s="291"/>
      <c r="Y457" s="291"/>
      <c r="Z457" s="291"/>
      <c r="AA457" s="291"/>
      <c r="AB457" s="291"/>
      <c r="AC457" s="291"/>
      <c r="AD457" s="291"/>
      <c r="AE457" s="291"/>
      <c r="AF457" s="291"/>
      <c r="AG457" s="291"/>
    </row>
    <row r="458" ht="18.75" customHeight="1">
      <c r="A458" s="283"/>
      <c r="B458" s="234" t="str">
        <f>'Building Bill of Materials_SLIM'!P458</f>
        <v/>
      </c>
      <c r="C458" s="234" t="str">
        <f>'Building Bill of Materials_SLIM'!Q458</f>
        <v/>
      </c>
      <c r="D458" s="234" t="str">
        <f>'Building Bill of Materials_SLIM'!R458</f>
        <v/>
      </c>
      <c r="E458" s="234" t="str">
        <f>'Building Bill of Materials_SLIM'!S458</f>
        <v/>
      </c>
      <c r="F458" s="234"/>
      <c r="G458" s="234"/>
      <c r="H458" s="234" t="str">
        <f>'Building Bill of Materials_SLIM'!T458</f>
        <v/>
      </c>
      <c r="I458" s="234" t="str">
        <f>'Building Bill of Materials_SLIM'!U458</f>
        <v/>
      </c>
      <c r="J458" s="234" t="str">
        <f>'Building Bill of Materials_SLIM'!V458</f>
        <v/>
      </c>
      <c r="K458" s="192"/>
      <c r="L458" s="242"/>
      <c r="M458" s="242"/>
      <c r="N458" s="291"/>
      <c r="O458" s="291"/>
      <c r="P458" s="291"/>
      <c r="Q458" s="291"/>
      <c r="R458" s="291"/>
      <c r="S458" s="291"/>
      <c r="T458" s="291"/>
      <c r="U458" s="291"/>
      <c r="V458" s="291"/>
      <c r="W458" s="291"/>
      <c r="X458" s="291"/>
      <c r="Y458" s="291"/>
      <c r="Z458" s="291"/>
      <c r="AA458" s="291"/>
      <c r="AB458" s="291"/>
      <c r="AC458" s="291"/>
      <c r="AD458" s="291"/>
      <c r="AE458" s="291"/>
      <c r="AF458" s="291"/>
      <c r="AG458" s="291"/>
    </row>
    <row r="459" ht="18.75" customHeight="1">
      <c r="A459" s="283"/>
      <c r="B459" s="234" t="str">
        <f>'Building Bill of Materials_SLIM'!P459</f>
        <v/>
      </c>
      <c r="C459" s="234" t="str">
        <f>'Building Bill of Materials_SLIM'!Q459</f>
        <v/>
      </c>
      <c r="D459" s="234" t="str">
        <f>'Building Bill of Materials_SLIM'!R459</f>
        <v/>
      </c>
      <c r="E459" s="234" t="str">
        <f>'Building Bill of Materials_SLIM'!S459</f>
        <v/>
      </c>
      <c r="F459" s="234"/>
      <c r="G459" s="234"/>
      <c r="H459" s="234" t="str">
        <f>'Building Bill of Materials_SLIM'!T459</f>
        <v/>
      </c>
      <c r="I459" s="234" t="str">
        <f>'Building Bill of Materials_SLIM'!U459</f>
        <v/>
      </c>
      <c r="J459" s="234" t="str">
        <f>'Building Bill of Materials_SLIM'!V459</f>
        <v/>
      </c>
      <c r="K459" s="192"/>
      <c r="L459" s="242"/>
      <c r="M459" s="242"/>
      <c r="N459" s="291"/>
      <c r="O459" s="291"/>
      <c r="P459" s="291"/>
      <c r="Q459" s="291"/>
      <c r="R459" s="291"/>
      <c r="S459" s="291"/>
      <c r="T459" s="291"/>
      <c r="U459" s="291"/>
      <c r="V459" s="291"/>
      <c r="W459" s="291"/>
      <c r="X459" s="291"/>
      <c r="Y459" s="291"/>
      <c r="Z459" s="291"/>
      <c r="AA459" s="291"/>
      <c r="AB459" s="291"/>
      <c r="AC459" s="291"/>
      <c r="AD459" s="291"/>
      <c r="AE459" s="291"/>
      <c r="AF459" s="291"/>
      <c r="AG459" s="291"/>
    </row>
    <row r="460" ht="18.75" customHeight="1">
      <c r="A460" s="283"/>
      <c r="B460" s="234" t="str">
        <f>'Building Bill of Materials_SLIM'!P460</f>
        <v/>
      </c>
      <c r="C460" s="234" t="str">
        <f>'Building Bill of Materials_SLIM'!Q460</f>
        <v/>
      </c>
      <c r="D460" s="234" t="str">
        <f>'Building Bill of Materials_SLIM'!R460</f>
        <v/>
      </c>
      <c r="E460" s="234" t="str">
        <f>'Building Bill of Materials_SLIM'!S460</f>
        <v/>
      </c>
      <c r="F460" s="234"/>
      <c r="G460" s="234"/>
      <c r="H460" s="234" t="str">
        <f>'Building Bill of Materials_SLIM'!T460</f>
        <v/>
      </c>
      <c r="I460" s="234" t="str">
        <f>'Building Bill of Materials_SLIM'!U460</f>
        <v/>
      </c>
      <c r="J460" s="234" t="str">
        <f>'Building Bill of Materials_SLIM'!V460</f>
        <v/>
      </c>
      <c r="K460" s="192"/>
      <c r="L460" s="242"/>
      <c r="M460" s="242"/>
      <c r="N460" s="291"/>
      <c r="O460" s="291"/>
      <c r="P460" s="291"/>
      <c r="Q460" s="291"/>
      <c r="R460" s="291"/>
      <c r="S460" s="291"/>
      <c r="T460" s="291"/>
      <c r="U460" s="291"/>
      <c r="V460" s="291"/>
      <c r="W460" s="291"/>
      <c r="X460" s="291"/>
      <c r="Y460" s="291"/>
      <c r="Z460" s="291"/>
      <c r="AA460" s="291"/>
      <c r="AB460" s="291"/>
      <c r="AC460" s="291"/>
      <c r="AD460" s="291"/>
      <c r="AE460" s="291"/>
      <c r="AF460" s="291"/>
      <c r="AG460" s="291"/>
    </row>
    <row r="461" ht="18.75" customHeight="1">
      <c r="A461" s="283"/>
      <c r="B461" s="234" t="str">
        <f>'Building Bill of Materials_SLIM'!P461</f>
        <v/>
      </c>
      <c r="C461" s="234" t="str">
        <f>'Building Bill of Materials_SLIM'!Q461</f>
        <v/>
      </c>
      <c r="D461" s="234" t="str">
        <f>'Building Bill of Materials_SLIM'!R461</f>
        <v/>
      </c>
      <c r="E461" s="234" t="str">
        <f>'Building Bill of Materials_SLIM'!S461</f>
        <v/>
      </c>
      <c r="F461" s="234"/>
      <c r="G461" s="234"/>
      <c r="H461" s="234" t="str">
        <f>'Building Bill of Materials_SLIM'!T461</f>
        <v/>
      </c>
      <c r="I461" s="234" t="str">
        <f>'Building Bill of Materials_SLIM'!U461</f>
        <v/>
      </c>
      <c r="J461" s="234" t="str">
        <f>'Building Bill of Materials_SLIM'!V461</f>
        <v/>
      </c>
      <c r="K461" s="192"/>
      <c r="L461" s="242"/>
      <c r="M461" s="242"/>
      <c r="N461" s="291"/>
      <c r="O461" s="291"/>
      <c r="P461" s="291"/>
      <c r="Q461" s="291"/>
      <c r="R461" s="291"/>
      <c r="S461" s="291"/>
      <c r="T461" s="291"/>
      <c r="U461" s="291"/>
      <c r="V461" s="291"/>
      <c r="W461" s="291"/>
      <c r="X461" s="291"/>
      <c r="Y461" s="291"/>
      <c r="Z461" s="291"/>
      <c r="AA461" s="291"/>
      <c r="AB461" s="291"/>
      <c r="AC461" s="291"/>
      <c r="AD461" s="291"/>
      <c r="AE461" s="291"/>
      <c r="AF461" s="291"/>
      <c r="AG461" s="291"/>
    </row>
    <row r="462" ht="18.75" customHeight="1">
      <c r="A462" s="283"/>
      <c r="B462" s="234" t="str">
        <f>'Building Bill of Materials_SLIM'!P462</f>
        <v/>
      </c>
      <c r="C462" s="234" t="str">
        <f>'Building Bill of Materials_SLIM'!Q462</f>
        <v/>
      </c>
      <c r="D462" s="234" t="str">
        <f>'Building Bill of Materials_SLIM'!R462</f>
        <v/>
      </c>
      <c r="E462" s="234" t="str">
        <f>'Building Bill of Materials_SLIM'!S462</f>
        <v/>
      </c>
      <c r="F462" s="234"/>
      <c r="G462" s="234"/>
      <c r="H462" s="234" t="str">
        <f>'Building Bill of Materials_SLIM'!T462</f>
        <v/>
      </c>
      <c r="I462" s="234" t="str">
        <f>'Building Bill of Materials_SLIM'!U462</f>
        <v/>
      </c>
      <c r="J462" s="234" t="str">
        <f>'Building Bill of Materials_SLIM'!V462</f>
        <v/>
      </c>
      <c r="K462" s="192"/>
      <c r="L462" s="242"/>
      <c r="M462" s="242"/>
      <c r="N462" s="291"/>
      <c r="O462" s="291"/>
      <c r="P462" s="291"/>
      <c r="Q462" s="291"/>
      <c r="R462" s="291"/>
      <c r="S462" s="291"/>
      <c r="T462" s="291"/>
      <c r="U462" s="291"/>
      <c r="V462" s="291"/>
      <c r="W462" s="291"/>
      <c r="X462" s="291"/>
      <c r="Y462" s="291"/>
      <c r="Z462" s="291"/>
      <c r="AA462" s="291"/>
      <c r="AB462" s="291"/>
      <c r="AC462" s="291"/>
      <c r="AD462" s="291"/>
      <c r="AE462" s="291"/>
      <c r="AF462" s="291"/>
      <c r="AG462" s="291"/>
    </row>
    <row r="463" ht="18.75" customHeight="1">
      <c r="A463" s="283"/>
      <c r="B463" s="234" t="str">
        <f>'Building Bill of Materials_SLIM'!P463</f>
        <v/>
      </c>
      <c r="C463" s="234" t="str">
        <f>'Building Bill of Materials_SLIM'!Q463</f>
        <v/>
      </c>
      <c r="D463" s="234" t="str">
        <f>'Building Bill of Materials_SLIM'!R463</f>
        <v/>
      </c>
      <c r="E463" s="234" t="str">
        <f>'Building Bill of Materials_SLIM'!S463</f>
        <v/>
      </c>
      <c r="F463" s="234"/>
      <c r="G463" s="234"/>
      <c r="H463" s="234" t="str">
        <f>'Building Bill of Materials_SLIM'!T463</f>
        <v/>
      </c>
      <c r="I463" s="234" t="str">
        <f>'Building Bill of Materials_SLIM'!U463</f>
        <v/>
      </c>
      <c r="J463" s="234" t="str">
        <f>'Building Bill of Materials_SLIM'!V463</f>
        <v/>
      </c>
      <c r="K463" s="192"/>
      <c r="L463" s="242"/>
      <c r="M463" s="242"/>
      <c r="N463" s="291"/>
      <c r="O463" s="291"/>
      <c r="P463" s="291"/>
      <c r="Q463" s="291"/>
      <c r="R463" s="291"/>
      <c r="S463" s="291"/>
      <c r="T463" s="291"/>
      <c r="U463" s="291"/>
      <c r="V463" s="291"/>
      <c r="W463" s="291"/>
      <c r="X463" s="291"/>
      <c r="Y463" s="291"/>
      <c r="Z463" s="291"/>
      <c r="AA463" s="291"/>
      <c r="AB463" s="291"/>
      <c r="AC463" s="291"/>
      <c r="AD463" s="291"/>
      <c r="AE463" s="291"/>
      <c r="AF463" s="291"/>
      <c r="AG463" s="291"/>
    </row>
    <row r="464" ht="18.75" customHeight="1">
      <c r="A464" s="283"/>
      <c r="B464" s="234" t="str">
        <f>'Building Bill of Materials_SLIM'!P464</f>
        <v/>
      </c>
      <c r="C464" s="234" t="str">
        <f>'Building Bill of Materials_SLIM'!Q464</f>
        <v/>
      </c>
      <c r="D464" s="234" t="str">
        <f>'Building Bill of Materials_SLIM'!R464</f>
        <v/>
      </c>
      <c r="E464" s="234" t="str">
        <f>'Building Bill of Materials_SLIM'!S464</f>
        <v/>
      </c>
      <c r="F464" s="234"/>
      <c r="G464" s="234"/>
      <c r="H464" s="234" t="str">
        <f>'Building Bill of Materials_SLIM'!T464</f>
        <v/>
      </c>
      <c r="I464" s="234" t="str">
        <f>'Building Bill of Materials_SLIM'!U464</f>
        <v/>
      </c>
      <c r="J464" s="234" t="str">
        <f>'Building Bill of Materials_SLIM'!V464</f>
        <v/>
      </c>
      <c r="K464" s="192"/>
      <c r="L464" s="242"/>
      <c r="M464" s="242"/>
      <c r="N464" s="291"/>
      <c r="O464" s="291"/>
      <c r="P464" s="291"/>
      <c r="Q464" s="291"/>
      <c r="R464" s="291"/>
      <c r="S464" s="291"/>
      <c r="T464" s="291"/>
      <c r="U464" s="291"/>
      <c r="V464" s="291"/>
      <c r="W464" s="291"/>
      <c r="X464" s="291"/>
      <c r="Y464" s="291"/>
      <c r="Z464" s="291"/>
      <c r="AA464" s="291"/>
      <c r="AB464" s="291"/>
      <c r="AC464" s="291"/>
      <c r="AD464" s="291"/>
      <c r="AE464" s="291"/>
      <c r="AF464" s="291"/>
      <c r="AG464" s="291"/>
    </row>
    <row r="465" ht="18.75" customHeight="1">
      <c r="A465" s="283"/>
      <c r="B465" s="234" t="str">
        <f>'Building Bill of Materials_SLIM'!P465</f>
        <v/>
      </c>
      <c r="C465" s="234" t="str">
        <f>'Building Bill of Materials_SLIM'!Q465</f>
        <v/>
      </c>
      <c r="D465" s="234" t="str">
        <f>'Building Bill of Materials_SLIM'!R465</f>
        <v/>
      </c>
      <c r="E465" s="234" t="str">
        <f>'Building Bill of Materials_SLIM'!S465</f>
        <v/>
      </c>
      <c r="F465" s="234"/>
      <c r="G465" s="234"/>
      <c r="H465" s="234" t="str">
        <f>'Building Bill of Materials_SLIM'!T465</f>
        <v/>
      </c>
      <c r="I465" s="234" t="str">
        <f>'Building Bill of Materials_SLIM'!U465</f>
        <v/>
      </c>
      <c r="J465" s="234" t="str">
        <f>'Building Bill of Materials_SLIM'!V465</f>
        <v/>
      </c>
      <c r="K465" s="192"/>
      <c r="L465" s="242"/>
      <c r="M465" s="242"/>
      <c r="N465" s="291"/>
      <c r="O465" s="291"/>
      <c r="P465" s="291"/>
      <c r="Q465" s="291"/>
      <c r="R465" s="291"/>
      <c r="S465" s="291"/>
      <c r="T465" s="291"/>
      <c r="U465" s="291"/>
      <c r="V465" s="291"/>
      <c r="W465" s="291"/>
      <c r="X465" s="291"/>
      <c r="Y465" s="291"/>
      <c r="Z465" s="291"/>
      <c r="AA465" s="291"/>
      <c r="AB465" s="291"/>
      <c r="AC465" s="291"/>
      <c r="AD465" s="291"/>
      <c r="AE465" s="291"/>
      <c r="AF465" s="291"/>
      <c r="AG465" s="291"/>
    </row>
    <row r="466" ht="18.75" customHeight="1">
      <c r="A466" s="283"/>
      <c r="B466" s="234" t="str">
        <f>'Building Bill of Materials_SLIM'!P466</f>
        <v/>
      </c>
      <c r="C466" s="234" t="str">
        <f>'Building Bill of Materials_SLIM'!Q466</f>
        <v/>
      </c>
      <c r="D466" s="234" t="str">
        <f>'Building Bill of Materials_SLIM'!R466</f>
        <v/>
      </c>
      <c r="E466" s="234" t="str">
        <f>'Building Bill of Materials_SLIM'!S466</f>
        <v/>
      </c>
      <c r="F466" s="234"/>
      <c r="G466" s="234"/>
      <c r="H466" s="234" t="str">
        <f>'Building Bill of Materials_SLIM'!T466</f>
        <v/>
      </c>
      <c r="I466" s="234" t="str">
        <f>'Building Bill of Materials_SLIM'!U466</f>
        <v/>
      </c>
      <c r="J466" s="234" t="str">
        <f>'Building Bill of Materials_SLIM'!V466</f>
        <v/>
      </c>
      <c r="K466" s="192"/>
      <c r="L466" s="242"/>
      <c r="M466" s="242"/>
      <c r="N466" s="291"/>
      <c r="O466" s="291"/>
      <c r="P466" s="291"/>
      <c r="Q466" s="291"/>
      <c r="R466" s="291"/>
      <c r="S466" s="291"/>
      <c r="T466" s="291"/>
      <c r="U466" s="291"/>
      <c r="V466" s="291"/>
      <c r="W466" s="291"/>
      <c r="X466" s="291"/>
      <c r="Y466" s="291"/>
      <c r="Z466" s="291"/>
      <c r="AA466" s="291"/>
      <c r="AB466" s="291"/>
      <c r="AC466" s="291"/>
      <c r="AD466" s="291"/>
      <c r="AE466" s="291"/>
      <c r="AF466" s="291"/>
      <c r="AG466" s="291"/>
    </row>
    <row r="467" ht="18.75" customHeight="1">
      <c r="A467" s="283"/>
      <c r="B467" s="234" t="str">
        <f>'Building Bill of Materials_SLIM'!P467</f>
        <v/>
      </c>
      <c r="C467" s="234" t="str">
        <f>'Building Bill of Materials_SLIM'!Q467</f>
        <v/>
      </c>
      <c r="D467" s="234" t="str">
        <f>'Building Bill of Materials_SLIM'!R467</f>
        <v/>
      </c>
      <c r="E467" s="234" t="str">
        <f>'Building Bill of Materials_SLIM'!S467</f>
        <v/>
      </c>
      <c r="F467" s="234"/>
      <c r="G467" s="234"/>
      <c r="H467" s="234" t="str">
        <f>'Building Bill of Materials_SLIM'!T467</f>
        <v/>
      </c>
      <c r="I467" s="234" t="str">
        <f>'Building Bill of Materials_SLIM'!U467</f>
        <v/>
      </c>
      <c r="J467" s="234" t="str">
        <f>'Building Bill of Materials_SLIM'!V467</f>
        <v/>
      </c>
      <c r="K467" s="192"/>
      <c r="L467" s="242"/>
      <c r="M467" s="242"/>
      <c r="N467" s="291"/>
      <c r="O467" s="291"/>
      <c r="P467" s="291"/>
      <c r="Q467" s="291"/>
      <c r="R467" s="291"/>
      <c r="S467" s="291"/>
      <c r="T467" s="291"/>
      <c r="U467" s="291"/>
      <c r="V467" s="291"/>
      <c r="W467" s="291"/>
      <c r="X467" s="291"/>
      <c r="Y467" s="291"/>
      <c r="Z467" s="291"/>
      <c r="AA467" s="291"/>
      <c r="AB467" s="291"/>
      <c r="AC467" s="291"/>
      <c r="AD467" s="291"/>
      <c r="AE467" s="291"/>
      <c r="AF467" s="291"/>
      <c r="AG467" s="291"/>
    </row>
    <row r="468" ht="18.75" customHeight="1">
      <c r="A468" s="283"/>
      <c r="B468" s="234" t="str">
        <f>'Building Bill of Materials_SLIM'!P468</f>
        <v/>
      </c>
      <c r="C468" s="234" t="str">
        <f>'Building Bill of Materials_SLIM'!Q468</f>
        <v/>
      </c>
      <c r="D468" s="234" t="str">
        <f>'Building Bill of Materials_SLIM'!R468</f>
        <v/>
      </c>
      <c r="E468" s="234" t="str">
        <f>'Building Bill of Materials_SLIM'!S468</f>
        <v/>
      </c>
      <c r="F468" s="234"/>
      <c r="G468" s="234"/>
      <c r="H468" s="234" t="str">
        <f>'Building Bill of Materials_SLIM'!T468</f>
        <v/>
      </c>
      <c r="I468" s="234" t="str">
        <f>'Building Bill of Materials_SLIM'!U468</f>
        <v/>
      </c>
      <c r="J468" s="234" t="str">
        <f>'Building Bill of Materials_SLIM'!V468</f>
        <v/>
      </c>
      <c r="K468" s="192"/>
      <c r="L468" s="242"/>
      <c r="M468" s="242"/>
      <c r="N468" s="291"/>
      <c r="O468" s="291"/>
      <c r="P468" s="291"/>
      <c r="Q468" s="291"/>
      <c r="R468" s="291"/>
      <c r="S468" s="291"/>
      <c r="T468" s="291"/>
      <c r="U468" s="291"/>
      <c r="V468" s="291"/>
      <c r="W468" s="291"/>
      <c r="X468" s="291"/>
      <c r="Y468" s="291"/>
      <c r="Z468" s="291"/>
      <c r="AA468" s="291"/>
      <c r="AB468" s="291"/>
      <c r="AC468" s="291"/>
      <c r="AD468" s="291"/>
      <c r="AE468" s="291"/>
      <c r="AF468" s="291"/>
      <c r="AG468" s="291"/>
    </row>
    <row r="469" ht="18.75" customHeight="1">
      <c r="A469" s="283"/>
      <c r="B469" s="234" t="str">
        <f>'Building Bill of Materials_SLIM'!P469</f>
        <v/>
      </c>
      <c r="C469" s="234" t="str">
        <f>'Building Bill of Materials_SLIM'!Q469</f>
        <v/>
      </c>
      <c r="D469" s="234" t="str">
        <f>'Building Bill of Materials_SLIM'!R469</f>
        <v/>
      </c>
      <c r="E469" s="234" t="str">
        <f>'Building Bill of Materials_SLIM'!S469</f>
        <v/>
      </c>
      <c r="F469" s="234"/>
      <c r="G469" s="234"/>
      <c r="H469" s="234" t="str">
        <f>'Building Bill of Materials_SLIM'!T469</f>
        <v/>
      </c>
      <c r="I469" s="234" t="str">
        <f>'Building Bill of Materials_SLIM'!U469</f>
        <v/>
      </c>
      <c r="J469" s="234" t="str">
        <f>'Building Bill of Materials_SLIM'!V469</f>
        <v/>
      </c>
      <c r="K469" s="192"/>
      <c r="L469" s="242"/>
      <c r="M469" s="242"/>
      <c r="N469" s="291"/>
      <c r="O469" s="291"/>
      <c r="P469" s="291"/>
      <c r="Q469" s="291"/>
      <c r="R469" s="291"/>
      <c r="S469" s="291"/>
      <c r="T469" s="291"/>
      <c r="U469" s="291"/>
      <c r="V469" s="291"/>
      <c r="W469" s="291"/>
      <c r="X469" s="291"/>
      <c r="Y469" s="291"/>
      <c r="Z469" s="291"/>
      <c r="AA469" s="291"/>
      <c r="AB469" s="291"/>
      <c r="AC469" s="291"/>
      <c r="AD469" s="291"/>
      <c r="AE469" s="291"/>
      <c r="AF469" s="291"/>
      <c r="AG469" s="291"/>
    </row>
    <row r="470" ht="18.75" customHeight="1">
      <c r="A470" s="283"/>
      <c r="B470" s="234" t="str">
        <f>'Building Bill of Materials_SLIM'!P470</f>
        <v/>
      </c>
      <c r="C470" s="234" t="str">
        <f>'Building Bill of Materials_SLIM'!Q470</f>
        <v/>
      </c>
      <c r="D470" s="234" t="str">
        <f>'Building Bill of Materials_SLIM'!R470</f>
        <v/>
      </c>
      <c r="E470" s="234" t="str">
        <f>'Building Bill of Materials_SLIM'!S470</f>
        <v/>
      </c>
      <c r="F470" s="234"/>
      <c r="G470" s="234"/>
      <c r="H470" s="234" t="str">
        <f>'Building Bill of Materials_SLIM'!T470</f>
        <v/>
      </c>
      <c r="I470" s="234" t="str">
        <f>'Building Bill of Materials_SLIM'!U470</f>
        <v/>
      </c>
      <c r="J470" s="234" t="str">
        <f>'Building Bill of Materials_SLIM'!V470</f>
        <v/>
      </c>
      <c r="K470" s="192"/>
      <c r="L470" s="242"/>
      <c r="M470" s="242"/>
      <c r="N470" s="291"/>
      <c r="O470" s="291"/>
      <c r="P470" s="291"/>
      <c r="Q470" s="291"/>
      <c r="R470" s="291"/>
      <c r="S470" s="291"/>
      <c r="T470" s="291"/>
      <c r="U470" s="291"/>
      <c r="V470" s="291"/>
      <c r="W470" s="291"/>
      <c r="X470" s="291"/>
      <c r="Y470" s="291"/>
      <c r="Z470" s="291"/>
      <c r="AA470" s="291"/>
      <c r="AB470" s="291"/>
      <c r="AC470" s="291"/>
      <c r="AD470" s="291"/>
      <c r="AE470" s="291"/>
      <c r="AF470" s="291"/>
      <c r="AG470" s="291"/>
    </row>
    <row r="471" ht="18.75" customHeight="1">
      <c r="A471" s="283"/>
      <c r="B471" s="234" t="str">
        <f>'Building Bill of Materials_SLIM'!P471</f>
        <v/>
      </c>
      <c r="C471" s="234" t="str">
        <f>'Building Bill of Materials_SLIM'!Q471</f>
        <v/>
      </c>
      <c r="D471" s="234" t="str">
        <f>'Building Bill of Materials_SLIM'!R471</f>
        <v/>
      </c>
      <c r="E471" s="234" t="str">
        <f>'Building Bill of Materials_SLIM'!S471</f>
        <v/>
      </c>
      <c r="F471" s="234"/>
      <c r="G471" s="234"/>
      <c r="H471" s="234" t="str">
        <f>'Building Bill of Materials_SLIM'!T471</f>
        <v/>
      </c>
      <c r="I471" s="234" t="str">
        <f>'Building Bill of Materials_SLIM'!U471</f>
        <v/>
      </c>
      <c r="J471" s="234" t="str">
        <f>'Building Bill of Materials_SLIM'!V471</f>
        <v/>
      </c>
      <c r="K471" s="192"/>
      <c r="L471" s="242"/>
      <c r="M471" s="242"/>
      <c r="N471" s="291"/>
      <c r="O471" s="291"/>
      <c r="P471" s="291"/>
      <c r="Q471" s="291"/>
      <c r="R471" s="291"/>
      <c r="S471" s="291"/>
      <c r="T471" s="291"/>
      <c r="U471" s="291"/>
      <c r="V471" s="291"/>
      <c r="W471" s="291"/>
      <c r="X471" s="291"/>
      <c r="Y471" s="291"/>
      <c r="Z471" s="291"/>
      <c r="AA471" s="291"/>
      <c r="AB471" s="291"/>
      <c r="AC471" s="291"/>
      <c r="AD471" s="291"/>
      <c r="AE471" s="291"/>
      <c r="AF471" s="291"/>
      <c r="AG471" s="291"/>
    </row>
    <row r="472" ht="18.75" customHeight="1">
      <c r="A472" s="283"/>
      <c r="B472" s="234" t="str">
        <f>'Building Bill of Materials_SLIM'!P472</f>
        <v/>
      </c>
      <c r="C472" s="234" t="str">
        <f>'Building Bill of Materials_SLIM'!Q472</f>
        <v/>
      </c>
      <c r="D472" s="234" t="str">
        <f>'Building Bill of Materials_SLIM'!R472</f>
        <v/>
      </c>
      <c r="E472" s="234" t="str">
        <f>'Building Bill of Materials_SLIM'!S472</f>
        <v/>
      </c>
      <c r="F472" s="234"/>
      <c r="G472" s="234"/>
      <c r="H472" s="234" t="str">
        <f>'Building Bill of Materials_SLIM'!T472</f>
        <v/>
      </c>
      <c r="I472" s="234" t="str">
        <f>'Building Bill of Materials_SLIM'!U472</f>
        <v/>
      </c>
      <c r="J472" s="234" t="str">
        <f>'Building Bill of Materials_SLIM'!V472</f>
        <v/>
      </c>
      <c r="K472" s="192"/>
      <c r="L472" s="242"/>
      <c r="M472" s="242"/>
      <c r="N472" s="291"/>
      <c r="O472" s="291"/>
      <c r="P472" s="291"/>
      <c r="Q472" s="291"/>
      <c r="R472" s="291"/>
      <c r="S472" s="291"/>
      <c r="T472" s="291"/>
      <c r="U472" s="291"/>
      <c r="V472" s="291"/>
      <c r="W472" s="291"/>
      <c r="X472" s="291"/>
      <c r="Y472" s="291"/>
      <c r="Z472" s="291"/>
      <c r="AA472" s="291"/>
      <c r="AB472" s="291"/>
      <c r="AC472" s="291"/>
      <c r="AD472" s="291"/>
      <c r="AE472" s="291"/>
      <c r="AF472" s="291"/>
      <c r="AG472" s="291"/>
    </row>
    <row r="473" ht="18.75" customHeight="1">
      <c r="A473" s="283"/>
      <c r="B473" s="234" t="str">
        <f>'Building Bill of Materials_SLIM'!P473</f>
        <v/>
      </c>
      <c r="C473" s="234" t="str">
        <f>'Building Bill of Materials_SLIM'!Q473</f>
        <v/>
      </c>
      <c r="D473" s="234" t="str">
        <f>'Building Bill of Materials_SLIM'!R473</f>
        <v/>
      </c>
      <c r="E473" s="234" t="str">
        <f>'Building Bill of Materials_SLIM'!S473</f>
        <v/>
      </c>
      <c r="F473" s="234"/>
      <c r="G473" s="234"/>
      <c r="H473" s="234" t="str">
        <f>'Building Bill of Materials_SLIM'!T473</f>
        <v/>
      </c>
      <c r="I473" s="234" t="str">
        <f>'Building Bill of Materials_SLIM'!U473</f>
        <v/>
      </c>
      <c r="J473" s="234" t="str">
        <f>'Building Bill of Materials_SLIM'!V473</f>
        <v/>
      </c>
      <c r="K473" s="192"/>
      <c r="L473" s="242"/>
      <c r="M473" s="242"/>
      <c r="N473" s="291"/>
      <c r="O473" s="291"/>
      <c r="P473" s="291"/>
      <c r="Q473" s="291"/>
      <c r="R473" s="291"/>
      <c r="S473" s="291"/>
      <c r="T473" s="291"/>
      <c r="U473" s="291"/>
      <c r="V473" s="291"/>
      <c r="W473" s="291"/>
      <c r="X473" s="291"/>
      <c r="Y473" s="291"/>
      <c r="Z473" s="291"/>
      <c r="AA473" s="291"/>
      <c r="AB473" s="291"/>
      <c r="AC473" s="291"/>
      <c r="AD473" s="291"/>
      <c r="AE473" s="291"/>
      <c r="AF473" s="291"/>
      <c r="AG473" s="291"/>
    </row>
    <row r="474" ht="18.75" customHeight="1">
      <c r="A474" s="283"/>
      <c r="B474" s="234" t="str">
        <f>'Building Bill of Materials_SLIM'!P474</f>
        <v/>
      </c>
      <c r="C474" s="234" t="str">
        <f>'Building Bill of Materials_SLIM'!Q474</f>
        <v/>
      </c>
      <c r="D474" s="234" t="str">
        <f>'Building Bill of Materials_SLIM'!R474</f>
        <v/>
      </c>
      <c r="E474" s="234" t="str">
        <f>'Building Bill of Materials_SLIM'!S474</f>
        <v/>
      </c>
      <c r="F474" s="234"/>
      <c r="G474" s="234"/>
      <c r="H474" s="234" t="str">
        <f>'Building Bill of Materials_SLIM'!T474</f>
        <v/>
      </c>
      <c r="I474" s="234" t="str">
        <f>'Building Bill of Materials_SLIM'!U474</f>
        <v/>
      </c>
      <c r="J474" s="234" t="str">
        <f>'Building Bill of Materials_SLIM'!V474</f>
        <v/>
      </c>
      <c r="K474" s="192"/>
      <c r="L474" s="242"/>
      <c r="M474" s="242"/>
      <c r="N474" s="291"/>
      <c r="O474" s="291"/>
      <c r="P474" s="291"/>
      <c r="Q474" s="291"/>
      <c r="R474" s="291"/>
      <c r="S474" s="291"/>
      <c r="T474" s="291"/>
      <c r="U474" s="291"/>
      <c r="V474" s="291"/>
      <c r="W474" s="291"/>
      <c r="X474" s="291"/>
      <c r="Y474" s="291"/>
      <c r="Z474" s="291"/>
      <c r="AA474" s="291"/>
      <c r="AB474" s="291"/>
      <c r="AC474" s="291"/>
      <c r="AD474" s="291"/>
      <c r="AE474" s="291"/>
      <c r="AF474" s="291"/>
      <c r="AG474" s="291"/>
    </row>
    <row r="475" ht="18.75" customHeight="1">
      <c r="A475" s="283"/>
      <c r="B475" s="234" t="str">
        <f>'Building Bill of Materials_SLIM'!P475</f>
        <v/>
      </c>
      <c r="C475" s="234" t="str">
        <f>'Building Bill of Materials_SLIM'!Q475</f>
        <v/>
      </c>
      <c r="D475" s="234" t="str">
        <f>'Building Bill of Materials_SLIM'!R475</f>
        <v/>
      </c>
      <c r="E475" s="234" t="str">
        <f>'Building Bill of Materials_SLIM'!S475</f>
        <v/>
      </c>
      <c r="F475" s="234"/>
      <c r="G475" s="234"/>
      <c r="H475" s="234" t="str">
        <f>'Building Bill of Materials_SLIM'!T475</f>
        <v/>
      </c>
      <c r="I475" s="234" t="str">
        <f>'Building Bill of Materials_SLIM'!U475</f>
        <v/>
      </c>
      <c r="J475" s="234" t="str">
        <f>'Building Bill of Materials_SLIM'!V475</f>
        <v/>
      </c>
      <c r="K475" s="192"/>
      <c r="L475" s="242"/>
      <c r="M475" s="242"/>
      <c r="N475" s="291"/>
      <c r="O475" s="291"/>
      <c r="P475" s="291"/>
      <c r="Q475" s="291"/>
      <c r="R475" s="291"/>
      <c r="S475" s="291"/>
      <c r="T475" s="291"/>
      <c r="U475" s="291"/>
      <c r="V475" s="291"/>
      <c r="W475" s="291"/>
      <c r="X475" s="291"/>
      <c r="Y475" s="291"/>
      <c r="Z475" s="291"/>
      <c r="AA475" s="291"/>
      <c r="AB475" s="291"/>
      <c r="AC475" s="291"/>
      <c r="AD475" s="291"/>
      <c r="AE475" s="291"/>
      <c r="AF475" s="291"/>
      <c r="AG475" s="291"/>
    </row>
    <row r="476" ht="18.75" customHeight="1">
      <c r="A476" s="283"/>
      <c r="B476" s="234" t="str">
        <f>'Building Bill of Materials_SLIM'!P476</f>
        <v/>
      </c>
      <c r="C476" s="234" t="str">
        <f>'Building Bill of Materials_SLIM'!Q476</f>
        <v/>
      </c>
      <c r="D476" s="234" t="str">
        <f>'Building Bill of Materials_SLIM'!R476</f>
        <v/>
      </c>
      <c r="E476" s="234" t="str">
        <f>'Building Bill of Materials_SLIM'!S476</f>
        <v/>
      </c>
      <c r="F476" s="234"/>
      <c r="G476" s="234"/>
      <c r="H476" s="234" t="str">
        <f>'Building Bill of Materials_SLIM'!T476</f>
        <v/>
      </c>
      <c r="I476" s="234" t="str">
        <f>'Building Bill of Materials_SLIM'!U476</f>
        <v/>
      </c>
      <c r="J476" s="234" t="str">
        <f>'Building Bill of Materials_SLIM'!V476</f>
        <v/>
      </c>
      <c r="K476" s="192"/>
      <c r="L476" s="242"/>
      <c r="M476" s="242"/>
      <c r="N476" s="291"/>
      <c r="O476" s="291"/>
      <c r="P476" s="291"/>
      <c r="Q476" s="291"/>
      <c r="R476" s="291"/>
      <c r="S476" s="291"/>
      <c r="T476" s="291"/>
      <c r="U476" s="291"/>
      <c r="V476" s="291"/>
      <c r="W476" s="291"/>
      <c r="X476" s="291"/>
      <c r="Y476" s="291"/>
      <c r="Z476" s="291"/>
      <c r="AA476" s="291"/>
      <c r="AB476" s="291"/>
      <c r="AC476" s="291"/>
      <c r="AD476" s="291"/>
      <c r="AE476" s="291"/>
      <c r="AF476" s="291"/>
      <c r="AG476" s="291"/>
    </row>
    <row r="477" ht="18.75" customHeight="1">
      <c r="A477" s="283"/>
      <c r="B477" s="234" t="str">
        <f>'Building Bill of Materials_SLIM'!P477</f>
        <v/>
      </c>
      <c r="C477" s="234" t="str">
        <f>'Building Bill of Materials_SLIM'!Q477</f>
        <v/>
      </c>
      <c r="D477" s="234" t="str">
        <f>'Building Bill of Materials_SLIM'!R477</f>
        <v/>
      </c>
      <c r="E477" s="234" t="str">
        <f>'Building Bill of Materials_SLIM'!S477</f>
        <v/>
      </c>
      <c r="F477" s="234"/>
      <c r="G477" s="234"/>
      <c r="H477" s="234" t="str">
        <f>'Building Bill of Materials_SLIM'!T477</f>
        <v/>
      </c>
      <c r="I477" s="234" t="str">
        <f>'Building Bill of Materials_SLIM'!U477</f>
        <v/>
      </c>
      <c r="J477" s="234" t="str">
        <f>'Building Bill of Materials_SLIM'!V477</f>
        <v/>
      </c>
      <c r="K477" s="192"/>
      <c r="L477" s="242"/>
      <c r="M477" s="242"/>
      <c r="N477" s="291"/>
      <c r="O477" s="291"/>
      <c r="P477" s="291"/>
      <c r="Q477" s="291"/>
      <c r="R477" s="291"/>
      <c r="S477" s="291"/>
      <c r="T477" s="291"/>
      <c r="U477" s="291"/>
      <c r="V477" s="291"/>
      <c r="W477" s="291"/>
      <c r="X477" s="291"/>
      <c r="Y477" s="291"/>
      <c r="Z477" s="291"/>
      <c r="AA477" s="291"/>
      <c r="AB477" s="291"/>
      <c r="AC477" s="291"/>
      <c r="AD477" s="291"/>
      <c r="AE477" s="291"/>
      <c r="AF477" s="291"/>
      <c r="AG477" s="291"/>
    </row>
    <row r="478" ht="18.75" customHeight="1">
      <c r="A478" s="283"/>
      <c r="B478" s="234" t="str">
        <f>'Building Bill of Materials_SLIM'!P478</f>
        <v/>
      </c>
      <c r="C478" s="234" t="str">
        <f>'Building Bill of Materials_SLIM'!Q478</f>
        <v/>
      </c>
      <c r="D478" s="234" t="str">
        <f>'Building Bill of Materials_SLIM'!R478</f>
        <v/>
      </c>
      <c r="E478" s="234" t="str">
        <f>'Building Bill of Materials_SLIM'!S478</f>
        <v/>
      </c>
      <c r="F478" s="234"/>
      <c r="G478" s="234"/>
      <c r="H478" s="234" t="str">
        <f>'Building Bill of Materials_SLIM'!T478</f>
        <v/>
      </c>
      <c r="I478" s="234" t="str">
        <f>'Building Bill of Materials_SLIM'!U478</f>
        <v/>
      </c>
      <c r="J478" s="234" t="str">
        <f>'Building Bill of Materials_SLIM'!V478</f>
        <v/>
      </c>
      <c r="K478" s="192"/>
      <c r="L478" s="242"/>
      <c r="M478" s="242"/>
      <c r="N478" s="291"/>
      <c r="O478" s="291"/>
      <c r="P478" s="291"/>
      <c r="Q478" s="291"/>
      <c r="R478" s="291"/>
      <c r="S478" s="291"/>
      <c r="T478" s="291"/>
      <c r="U478" s="291"/>
      <c r="V478" s="291"/>
      <c r="W478" s="291"/>
      <c r="X478" s="291"/>
      <c r="Y478" s="291"/>
      <c r="Z478" s="291"/>
      <c r="AA478" s="291"/>
      <c r="AB478" s="291"/>
      <c r="AC478" s="291"/>
      <c r="AD478" s="291"/>
      <c r="AE478" s="291"/>
      <c r="AF478" s="291"/>
      <c r="AG478" s="291"/>
    </row>
    <row r="479" ht="18.75" customHeight="1">
      <c r="A479" s="283"/>
      <c r="B479" s="234" t="str">
        <f>'Building Bill of Materials_SLIM'!P479</f>
        <v/>
      </c>
      <c r="C479" s="234" t="str">
        <f>'Building Bill of Materials_SLIM'!Q479</f>
        <v/>
      </c>
      <c r="D479" s="234" t="str">
        <f>'Building Bill of Materials_SLIM'!R479</f>
        <v/>
      </c>
      <c r="E479" s="234" t="str">
        <f>'Building Bill of Materials_SLIM'!S479</f>
        <v/>
      </c>
      <c r="F479" s="234"/>
      <c r="G479" s="234"/>
      <c r="H479" s="234" t="str">
        <f>'Building Bill of Materials_SLIM'!T479</f>
        <v/>
      </c>
      <c r="I479" s="234" t="str">
        <f>'Building Bill of Materials_SLIM'!U479</f>
        <v/>
      </c>
      <c r="J479" s="234" t="str">
        <f>'Building Bill of Materials_SLIM'!V479</f>
        <v/>
      </c>
      <c r="K479" s="192"/>
      <c r="L479" s="242"/>
      <c r="M479" s="242"/>
      <c r="N479" s="291"/>
      <c r="O479" s="291"/>
      <c r="P479" s="291"/>
      <c r="Q479" s="291"/>
      <c r="R479" s="291"/>
      <c r="S479" s="291"/>
      <c r="T479" s="291"/>
      <c r="U479" s="291"/>
      <c r="V479" s="291"/>
      <c r="W479" s="291"/>
      <c r="X479" s="291"/>
      <c r="Y479" s="291"/>
      <c r="Z479" s="291"/>
      <c r="AA479" s="291"/>
      <c r="AB479" s="291"/>
      <c r="AC479" s="291"/>
      <c r="AD479" s="291"/>
      <c r="AE479" s="291"/>
      <c r="AF479" s="291"/>
      <c r="AG479" s="291"/>
    </row>
    <row r="480" ht="18.75" customHeight="1">
      <c r="A480" s="283"/>
      <c r="B480" s="234" t="str">
        <f>'Building Bill of Materials_SLIM'!P480</f>
        <v/>
      </c>
      <c r="C480" s="234" t="str">
        <f>'Building Bill of Materials_SLIM'!Q480</f>
        <v/>
      </c>
      <c r="D480" s="234" t="str">
        <f>'Building Bill of Materials_SLIM'!R480</f>
        <v/>
      </c>
      <c r="E480" s="234" t="str">
        <f>'Building Bill of Materials_SLIM'!S480</f>
        <v/>
      </c>
      <c r="F480" s="234"/>
      <c r="G480" s="234"/>
      <c r="H480" s="234" t="str">
        <f>'Building Bill of Materials_SLIM'!T480</f>
        <v/>
      </c>
      <c r="I480" s="234" t="str">
        <f>'Building Bill of Materials_SLIM'!U480</f>
        <v/>
      </c>
      <c r="J480" s="234" t="str">
        <f>'Building Bill of Materials_SLIM'!V480</f>
        <v/>
      </c>
      <c r="K480" s="192"/>
      <c r="L480" s="242"/>
      <c r="M480" s="242"/>
      <c r="N480" s="291"/>
      <c r="O480" s="291"/>
      <c r="P480" s="291"/>
      <c r="Q480" s="291"/>
      <c r="R480" s="291"/>
      <c r="S480" s="291"/>
      <c r="T480" s="291"/>
      <c r="U480" s="291"/>
      <c r="V480" s="291"/>
      <c r="W480" s="291"/>
      <c r="X480" s="291"/>
      <c r="Y480" s="291"/>
      <c r="Z480" s="291"/>
      <c r="AA480" s="291"/>
      <c r="AB480" s="291"/>
      <c r="AC480" s="291"/>
      <c r="AD480" s="291"/>
      <c r="AE480" s="291"/>
      <c r="AF480" s="291"/>
      <c r="AG480" s="291"/>
    </row>
    <row r="481" ht="18.75" customHeight="1">
      <c r="A481" s="283"/>
      <c r="B481" s="234" t="str">
        <f>'Building Bill of Materials_SLIM'!P481</f>
        <v/>
      </c>
      <c r="C481" s="234" t="str">
        <f>'Building Bill of Materials_SLIM'!Q481</f>
        <v/>
      </c>
      <c r="D481" s="234" t="str">
        <f>'Building Bill of Materials_SLIM'!R481</f>
        <v/>
      </c>
      <c r="E481" s="234" t="str">
        <f>'Building Bill of Materials_SLIM'!S481</f>
        <v/>
      </c>
      <c r="F481" s="234"/>
      <c r="G481" s="234"/>
      <c r="H481" s="234" t="str">
        <f>'Building Bill of Materials_SLIM'!T481</f>
        <v/>
      </c>
      <c r="I481" s="234" t="str">
        <f>'Building Bill of Materials_SLIM'!U481</f>
        <v/>
      </c>
      <c r="J481" s="234" t="str">
        <f>'Building Bill of Materials_SLIM'!V481</f>
        <v/>
      </c>
      <c r="K481" s="192"/>
      <c r="L481" s="242"/>
      <c r="M481" s="242"/>
      <c r="N481" s="291"/>
      <c r="O481" s="291"/>
      <c r="P481" s="291"/>
      <c r="Q481" s="291"/>
      <c r="R481" s="291"/>
      <c r="S481" s="291"/>
      <c r="T481" s="291"/>
      <c r="U481" s="291"/>
      <c r="V481" s="291"/>
      <c r="W481" s="291"/>
      <c r="X481" s="291"/>
      <c r="Y481" s="291"/>
      <c r="Z481" s="291"/>
      <c r="AA481" s="291"/>
      <c r="AB481" s="291"/>
      <c r="AC481" s="291"/>
      <c r="AD481" s="291"/>
      <c r="AE481" s="291"/>
      <c r="AF481" s="291"/>
      <c r="AG481" s="291"/>
    </row>
    <row r="482" ht="18.75" customHeight="1">
      <c r="A482" s="283"/>
      <c r="B482" s="234" t="str">
        <f>'Building Bill of Materials_SLIM'!P482</f>
        <v/>
      </c>
      <c r="C482" s="234" t="str">
        <f>'Building Bill of Materials_SLIM'!Q482</f>
        <v/>
      </c>
      <c r="D482" s="234" t="str">
        <f>'Building Bill of Materials_SLIM'!R482</f>
        <v/>
      </c>
      <c r="E482" s="234" t="str">
        <f>'Building Bill of Materials_SLIM'!S482</f>
        <v/>
      </c>
      <c r="F482" s="234"/>
      <c r="G482" s="234"/>
      <c r="H482" s="234" t="str">
        <f>'Building Bill of Materials_SLIM'!T482</f>
        <v/>
      </c>
      <c r="I482" s="234" t="str">
        <f>'Building Bill of Materials_SLIM'!U482</f>
        <v/>
      </c>
      <c r="J482" s="234" t="str">
        <f>'Building Bill of Materials_SLIM'!V482</f>
        <v/>
      </c>
      <c r="K482" s="192"/>
      <c r="L482" s="242"/>
      <c r="M482" s="242"/>
      <c r="N482" s="291"/>
      <c r="O482" s="291"/>
      <c r="P482" s="291"/>
      <c r="Q482" s="291"/>
      <c r="R482" s="291"/>
      <c r="S482" s="291"/>
      <c r="T482" s="291"/>
      <c r="U482" s="291"/>
      <c r="V482" s="291"/>
      <c r="W482" s="291"/>
      <c r="X482" s="291"/>
      <c r="Y482" s="291"/>
      <c r="Z482" s="291"/>
      <c r="AA482" s="291"/>
      <c r="AB482" s="291"/>
      <c r="AC482" s="291"/>
      <c r="AD482" s="291"/>
      <c r="AE482" s="291"/>
      <c r="AF482" s="291"/>
      <c r="AG482" s="291"/>
    </row>
    <row r="483" ht="18.75" customHeight="1">
      <c r="A483" s="283"/>
      <c r="B483" s="234" t="str">
        <f>'Building Bill of Materials_SLIM'!P483</f>
        <v/>
      </c>
      <c r="C483" s="234" t="str">
        <f>'Building Bill of Materials_SLIM'!Q483</f>
        <v/>
      </c>
      <c r="D483" s="234" t="str">
        <f>'Building Bill of Materials_SLIM'!R483</f>
        <v/>
      </c>
      <c r="E483" s="234" t="str">
        <f>'Building Bill of Materials_SLIM'!S483</f>
        <v/>
      </c>
      <c r="F483" s="234"/>
      <c r="G483" s="234"/>
      <c r="H483" s="234" t="str">
        <f>'Building Bill of Materials_SLIM'!T483</f>
        <v/>
      </c>
      <c r="I483" s="234" t="str">
        <f>'Building Bill of Materials_SLIM'!U483</f>
        <v/>
      </c>
      <c r="J483" s="234" t="str">
        <f>'Building Bill of Materials_SLIM'!V483</f>
        <v/>
      </c>
      <c r="K483" s="192"/>
      <c r="L483" s="242"/>
      <c r="M483" s="242"/>
      <c r="N483" s="291"/>
      <c r="O483" s="291"/>
      <c r="P483" s="291"/>
      <c r="Q483" s="291"/>
      <c r="R483" s="291"/>
      <c r="S483" s="291"/>
      <c r="T483" s="291"/>
      <c r="U483" s="291"/>
      <c r="V483" s="291"/>
      <c r="W483" s="291"/>
      <c r="X483" s="291"/>
      <c r="Y483" s="291"/>
      <c r="Z483" s="291"/>
      <c r="AA483" s="291"/>
      <c r="AB483" s="291"/>
      <c r="AC483" s="291"/>
      <c r="AD483" s="291"/>
      <c r="AE483" s="291"/>
      <c r="AF483" s="291"/>
      <c r="AG483" s="291"/>
    </row>
    <row r="484" ht="18.75" customHeight="1">
      <c r="A484" s="283"/>
      <c r="B484" s="234" t="str">
        <f>'Building Bill of Materials_SLIM'!P484</f>
        <v/>
      </c>
      <c r="C484" s="234" t="str">
        <f>'Building Bill of Materials_SLIM'!Q484</f>
        <v/>
      </c>
      <c r="D484" s="234" t="str">
        <f>'Building Bill of Materials_SLIM'!R484</f>
        <v/>
      </c>
      <c r="E484" s="234" t="str">
        <f>'Building Bill of Materials_SLIM'!S484</f>
        <v/>
      </c>
      <c r="F484" s="234"/>
      <c r="G484" s="234"/>
      <c r="H484" s="234" t="str">
        <f>'Building Bill of Materials_SLIM'!T484</f>
        <v/>
      </c>
      <c r="I484" s="234" t="str">
        <f>'Building Bill of Materials_SLIM'!U484</f>
        <v/>
      </c>
      <c r="J484" s="234" t="str">
        <f>'Building Bill of Materials_SLIM'!V484</f>
        <v/>
      </c>
      <c r="K484" s="192"/>
      <c r="L484" s="242"/>
      <c r="M484" s="242"/>
      <c r="N484" s="291"/>
      <c r="O484" s="291"/>
      <c r="P484" s="291"/>
      <c r="Q484" s="291"/>
      <c r="R484" s="291"/>
      <c r="S484" s="291"/>
      <c r="T484" s="291"/>
      <c r="U484" s="291"/>
      <c r="V484" s="291"/>
      <c r="W484" s="291"/>
      <c r="X484" s="291"/>
      <c r="Y484" s="291"/>
      <c r="Z484" s="291"/>
      <c r="AA484" s="291"/>
      <c r="AB484" s="291"/>
      <c r="AC484" s="291"/>
      <c r="AD484" s="291"/>
      <c r="AE484" s="291"/>
      <c r="AF484" s="291"/>
      <c r="AG484" s="291"/>
    </row>
    <row r="485" ht="18.75" customHeight="1">
      <c r="A485" s="283"/>
      <c r="B485" s="234" t="str">
        <f>'Building Bill of Materials_SLIM'!P485</f>
        <v/>
      </c>
      <c r="C485" s="234" t="str">
        <f>'Building Bill of Materials_SLIM'!Q485</f>
        <v/>
      </c>
      <c r="D485" s="234" t="str">
        <f>'Building Bill of Materials_SLIM'!R485</f>
        <v/>
      </c>
      <c r="E485" s="234" t="str">
        <f>'Building Bill of Materials_SLIM'!S485</f>
        <v/>
      </c>
      <c r="F485" s="234"/>
      <c r="G485" s="234"/>
      <c r="H485" s="234" t="str">
        <f>'Building Bill of Materials_SLIM'!T485</f>
        <v/>
      </c>
      <c r="I485" s="234" t="str">
        <f>'Building Bill of Materials_SLIM'!U485</f>
        <v/>
      </c>
      <c r="J485" s="234" t="str">
        <f>'Building Bill of Materials_SLIM'!V485</f>
        <v/>
      </c>
      <c r="K485" s="192"/>
      <c r="L485" s="242"/>
      <c r="M485" s="242"/>
      <c r="N485" s="291"/>
      <c r="O485" s="291"/>
      <c r="P485" s="291"/>
      <c r="Q485" s="291"/>
      <c r="R485" s="291"/>
      <c r="S485" s="291"/>
      <c r="T485" s="291"/>
      <c r="U485" s="291"/>
      <c r="V485" s="291"/>
      <c r="W485" s="291"/>
      <c r="X485" s="291"/>
      <c r="Y485" s="291"/>
      <c r="Z485" s="291"/>
      <c r="AA485" s="291"/>
      <c r="AB485" s="291"/>
      <c r="AC485" s="291"/>
      <c r="AD485" s="291"/>
      <c r="AE485" s="291"/>
      <c r="AF485" s="291"/>
      <c r="AG485" s="291"/>
    </row>
    <row r="486" ht="18.75" customHeight="1">
      <c r="A486" s="283"/>
      <c r="B486" s="234" t="str">
        <f>'Building Bill of Materials_SLIM'!P486</f>
        <v/>
      </c>
      <c r="C486" s="234" t="str">
        <f>'Building Bill of Materials_SLIM'!Q486</f>
        <v/>
      </c>
      <c r="D486" s="234" t="str">
        <f>'Building Bill of Materials_SLIM'!R486</f>
        <v/>
      </c>
      <c r="E486" s="234" t="str">
        <f>'Building Bill of Materials_SLIM'!S486</f>
        <v/>
      </c>
      <c r="F486" s="234"/>
      <c r="G486" s="234"/>
      <c r="H486" s="234" t="str">
        <f>'Building Bill of Materials_SLIM'!T486</f>
        <v/>
      </c>
      <c r="I486" s="234" t="str">
        <f>'Building Bill of Materials_SLIM'!U486</f>
        <v/>
      </c>
      <c r="J486" s="234" t="str">
        <f>'Building Bill of Materials_SLIM'!V486</f>
        <v/>
      </c>
      <c r="K486" s="192"/>
      <c r="L486" s="242"/>
      <c r="M486" s="242"/>
      <c r="N486" s="291"/>
      <c r="O486" s="291"/>
      <c r="P486" s="291"/>
      <c r="Q486" s="291"/>
      <c r="R486" s="291"/>
      <c r="S486" s="291"/>
      <c r="T486" s="291"/>
      <c r="U486" s="291"/>
      <c r="V486" s="291"/>
      <c r="W486" s="291"/>
      <c r="X486" s="291"/>
      <c r="Y486" s="291"/>
      <c r="Z486" s="291"/>
      <c r="AA486" s="291"/>
      <c r="AB486" s="291"/>
      <c r="AC486" s="291"/>
      <c r="AD486" s="291"/>
      <c r="AE486" s="291"/>
      <c r="AF486" s="291"/>
      <c r="AG486" s="291"/>
    </row>
    <row r="487" ht="18.75" customHeight="1">
      <c r="A487" s="283"/>
      <c r="B487" s="234" t="str">
        <f>'Building Bill of Materials_SLIM'!P487</f>
        <v/>
      </c>
      <c r="C487" s="234" t="str">
        <f>'Building Bill of Materials_SLIM'!Q487</f>
        <v/>
      </c>
      <c r="D487" s="234" t="str">
        <f>'Building Bill of Materials_SLIM'!R487</f>
        <v/>
      </c>
      <c r="E487" s="234" t="str">
        <f>'Building Bill of Materials_SLIM'!S487</f>
        <v/>
      </c>
      <c r="F487" s="234"/>
      <c r="G487" s="234"/>
      <c r="H487" s="234" t="str">
        <f>'Building Bill of Materials_SLIM'!T487</f>
        <v/>
      </c>
      <c r="I487" s="234" t="str">
        <f>'Building Bill of Materials_SLIM'!U487</f>
        <v/>
      </c>
      <c r="J487" s="234" t="str">
        <f>'Building Bill of Materials_SLIM'!V487</f>
        <v/>
      </c>
      <c r="K487" s="192"/>
      <c r="L487" s="242"/>
      <c r="M487" s="242"/>
      <c r="N487" s="291"/>
      <c r="O487" s="291"/>
      <c r="P487" s="291"/>
      <c r="Q487" s="291"/>
      <c r="R487" s="291"/>
      <c r="S487" s="291"/>
      <c r="T487" s="291"/>
      <c r="U487" s="291"/>
      <c r="V487" s="291"/>
      <c r="W487" s="291"/>
      <c r="X487" s="291"/>
      <c r="Y487" s="291"/>
      <c r="Z487" s="291"/>
      <c r="AA487" s="291"/>
      <c r="AB487" s="291"/>
      <c r="AC487" s="291"/>
      <c r="AD487" s="291"/>
      <c r="AE487" s="291"/>
      <c r="AF487" s="291"/>
      <c r="AG487" s="291"/>
    </row>
    <row r="488" ht="18.75" customHeight="1">
      <c r="A488" s="283"/>
      <c r="B488" s="234" t="str">
        <f>'Building Bill of Materials_SLIM'!P488</f>
        <v/>
      </c>
      <c r="C488" s="234" t="str">
        <f>'Building Bill of Materials_SLIM'!Q488</f>
        <v/>
      </c>
      <c r="D488" s="234" t="str">
        <f>'Building Bill of Materials_SLIM'!R488</f>
        <v/>
      </c>
      <c r="E488" s="234" t="str">
        <f>'Building Bill of Materials_SLIM'!S488</f>
        <v/>
      </c>
      <c r="F488" s="234"/>
      <c r="G488" s="234"/>
      <c r="H488" s="234" t="str">
        <f>'Building Bill of Materials_SLIM'!T488</f>
        <v/>
      </c>
      <c r="I488" s="234" t="str">
        <f>'Building Bill of Materials_SLIM'!U488</f>
        <v/>
      </c>
      <c r="J488" s="234" t="str">
        <f>'Building Bill of Materials_SLIM'!V488</f>
        <v/>
      </c>
      <c r="K488" s="192"/>
      <c r="L488" s="242"/>
      <c r="M488" s="242"/>
      <c r="N488" s="291"/>
      <c r="O488" s="291"/>
      <c r="P488" s="291"/>
      <c r="Q488" s="291"/>
      <c r="R488" s="291"/>
      <c r="S488" s="291"/>
      <c r="T488" s="291"/>
      <c r="U488" s="291"/>
      <c r="V488" s="291"/>
      <c r="W488" s="291"/>
      <c r="X488" s="291"/>
      <c r="Y488" s="291"/>
      <c r="Z488" s="291"/>
      <c r="AA488" s="291"/>
      <c r="AB488" s="291"/>
      <c r="AC488" s="291"/>
      <c r="AD488" s="291"/>
      <c r="AE488" s="291"/>
      <c r="AF488" s="291"/>
      <c r="AG488" s="291"/>
    </row>
    <row r="489" ht="18.75" customHeight="1">
      <c r="A489" s="283"/>
      <c r="B489" s="234" t="str">
        <f>'Building Bill of Materials_SLIM'!P489</f>
        <v/>
      </c>
      <c r="C489" s="234" t="str">
        <f>'Building Bill of Materials_SLIM'!Q489</f>
        <v/>
      </c>
      <c r="D489" s="234" t="str">
        <f>'Building Bill of Materials_SLIM'!R489</f>
        <v/>
      </c>
      <c r="E489" s="234" t="str">
        <f>'Building Bill of Materials_SLIM'!S489</f>
        <v/>
      </c>
      <c r="F489" s="234"/>
      <c r="G489" s="234"/>
      <c r="H489" s="234" t="str">
        <f>'Building Bill of Materials_SLIM'!T489</f>
        <v/>
      </c>
      <c r="I489" s="234" t="str">
        <f>'Building Bill of Materials_SLIM'!U489</f>
        <v/>
      </c>
      <c r="J489" s="234" t="str">
        <f>'Building Bill of Materials_SLIM'!V489</f>
        <v/>
      </c>
      <c r="K489" s="192"/>
      <c r="L489" s="242"/>
      <c r="M489" s="242"/>
      <c r="N489" s="291"/>
      <c r="O489" s="291"/>
      <c r="P489" s="291"/>
      <c r="Q489" s="291"/>
      <c r="R489" s="291"/>
      <c r="S489" s="291"/>
      <c r="T489" s="291"/>
      <c r="U489" s="291"/>
      <c r="V489" s="291"/>
      <c r="W489" s="291"/>
      <c r="X489" s="291"/>
      <c r="Y489" s="291"/>
      <c r="Z489" s="291"/>
      <c r="AA489" s="291"/>
      <c r="AB489" s="291"/>
      <c r="AC489" s="291"/>
      <c r="AD489" s="291"/>
      <c r="AE489" s="291"/>
      <c r="AF489" s="291"/>
      <c r="AG489" s="291"/>
    </row>
    <row r="490" ht="18.75" customHeight="1">
      <c r="A490" s="283"/>
      <c r="B490" s="234" t="str">
        <f>'Building Bill of Materials_SLIM'!P490</f>
        <v/>
      </c>
      <c r="C490" s="234" t="str">
        <f>'Building Bill of Materials_SLIM'!Q490</f>
        <v/>
      </c>
      <c r="D490" s="234" t="str">
        <f>'Building Bill of Materials_SLIM'!R490</f>
        <v/>
      </c>
      <c r="E490" s="234" t="str">
        <f>'Building Bill of Materials_SLIM'!S490</f>
        <v/>
      </c>
      <c r="F490" s="234"/>
      <c r="G490" s="234"/>
      <c r="H490" s="234" t="str">
        <f>'Building Bill of Materials_SLIM'!T490</f>
        <v/>
      </c>
      <c r="I490" s="234" t="str">
        <f>'Building Bill of Materials_SLIM'!U490</f>
        <v/>
      </c>
      <c r="J490" s="234" t="str">
        <f>'Building Bill of Materials_SLIM'!V490</f>
        <v/>
      </c>
      <c r="K490" s="192"/>
      <c r="L490" s="242"/>
      <c r="M490" s="242"/>
      <c r="N490" s="291"/>
      <c r="O490" s="291"/>
      <c r="P490" s="291"/>
      <c r="Q490" s="291"/>
      <c r="R490" s="291"/>
      <c r="S490" s="291"/>
      <c r="T490" s="291"/>
      <c r="U490" s="291"/>
      <c r="V490" s="291"/>
      <c r="W490" s="291"/>
      <c r="X490" s="291"/>
      <c r="Y490" s="291"/>
      <c r="Z490" s="291"/>
      <c r="AA490" s="291"/>
      <c r="AB490" s="291"/>
      <c r="AC490" s="291"/>
      <c r="AD490" s="291"/>
      <c r="AE490" s="291"/>
      <c r="AF490" s="291"/>
      <c r="AG490" s="291"/>
    </row>
    <row r="491" ht="18.75" customHeight="1">
      <c r="A491" s="283"/>
      <c r="B491" s="234" t="str">
        <f>'Building Bill of Materials_SLIM'!P491</f>
        <v/>
      </c>
      <c r="C491" s="234" t="str">
        <f>'Building Bill of Materials_SLIM'!Q491</f>
        <v/>
      </c>
      <c r="D491" s="234" t="str">
        <f>'Building Bill of Materials_SLIM'!R491</f>
        <v/>
      </c>
      <c r="E491" s="234" t="str">
        <f>'Building Bill of Materials_SLIM'!S491</f>
        <v/>
      </c>
      <c r="F491" s="234"/>
      <c r="G491" s="234"/>
      <c r="H491" s="234" t="str">
        <f>'Building Bill of Materials_SLIM'!T491</f>
        <v/>
      </c>
      <c r="I491" s="234" t="str">
        <f>'Building Bill of Materials_SLIM'!U491</f>
        <v/>
      </c>
      <c r="J491" s="234" t="str">
        <f>'Building Bill of Materials_SLIM'!V491</f>
        <v/>
      </c>
      <c r="K491" s="192"/>
      <c r="L491" s="242"/>
      <c r="M491" s="242"/>
      <c r="N491" s="291"/>
      <c r="O491" s="291"/>
      <c r="P491" s="291"/>
      <c r="Q491" s="291"/>
      <c r="R491" s="291"/>
      <c r="S491" s="291"/>
      <c r="T491" s="291"/>
      <c r="U491" s="291"/>
      <c r="V491" s="291"/>
      <c r="W491" s="291"/>
      <c r="X491" s="291"/>
      <c r="Y491" s="291"/>
      <c r="Z491" s="291"/>
      <c r="AA491" s="291"/>
      <c r="AB491" s="291"/>
      <c r="AC491" s="291"/>
      <c r="AD491" s="291"/>
      <c r="AE491" s="291"/>
      <c r="AF491" s="291"/>
      <c r="AG491" s="291"/>
    </row>
    <row r="492" ht="18.75" customHeight="1">
      <c r="A492" s="283"/>
      <c r="B492" s="234" t="str">
        <f>'Building Bill of Materials_SLIM'!P492</f>
        <v/>
      </c>
      <c r="C492" s="234" t="str">
        <f>'Building Bill of Materials_SLIM'!Q492</f>
        <v/>
      </c>
      <c r="D492" s="234" t="str">
        <f>'Building Bill of Materials_SLIM'!R492</f>
        <v/>
      </c>
      <c r="E492" s="234" t="str">
        <f>'Building Bill of Materials_SLIM'!S492</f>
        <v/>
      </c>
      <c r="F492" s="234"/>
      <c r="G492" s="234"/>
      <c r="H492" s="234" t="str">
        <f>'Building Bill of Materials_SLIM'!T492</f>
        <v/>
      </c>
      <c r="I492" s="234" t="str">
        <f>'Building Bill of Materials_SLIM'!U492</f>
        <v/>
      </c>
      <c r="J492" s="234" t="str">
        <f>'Building Bill of Materials_SLIM'!V492</f>
        <v/>
      </c>
      <c r="K492" s="192"/>
      <c r="L492" s="242"/>
      <c r="M492" s="242"/>
      <c r="N492" s="291"/>
      <c r="O492" s="291"/>
      <c r="P492" s="291"/>
      <c r="Q492" s="291"/>
      <c r="R492" s="291"/>
      <c r="S492" s="291"/>
      <c r="T492" s="291"/>
      <c r="U492" s="291"/>
      <c r="V492" s="291"/>
      <c r="W492" s="291"/>
      <c r="X492" s="291"/>
      <c r="Y492" s="291"/>
      <c r="Z492" s="291"/>
      <c r="AA492" s="291"/>
      <c r="AB492" s="291"/>
      <c r="AC492" s="291"/>
      <c r="AD492" s="291"/>
      <c r="AE492" s="291"/>
      <c r="AF492" s="291"/>
      <c r="AG492" s="291"/>
    </row>
    <row r="493" ht="18.75" customHeight="1">
      <c r="A493" s="283"/>
      <c r="B493" s="234" t="str">
        <f>'Building Bill of Materials_SLIM'!P493</f>
        <v/>
      </c>
      <c r="C493" s="234" t="str">
        <f>'Building Bill of Materials_SLIM'!Q493</f>
        <v/>
      </c>
      <c r="D493" s="234" t="str">
        <f>'Building Bill of Materials_SLIM'!R493</f>
        <v/>
      </c>
      <c r="E493" s="234" t="str">
        <f>'Building Bill of Materials_SLIM'!S493</f>
        <v/>
      </c>
      <c r="F493" s="234"/>
      <c r="G493" s="234"/>
      <c r="H493" s="234" t="str">
        <f>'Building Bill of Materials_SLIM'!T493</f>
        <v/>
      </c>
      <c r="I493" s="234" t="str">
        <f>'Building Bill of Materials_SLIM'!U493</f>
        <v/>
      </c>
      <c r="J493" s="234" t="str">
        <f>'Building Bill of Materials_SLIM'!V493</f>
        <v/>
      </c>
      <c r="K493" s="192"/>
      <c r="L493" s="242"/>
      <c r="M493" s="242"/>
      <c r="N493" s="291"/>
      <c r="O493" s="291"/>
      <c r="P493" s="291"/>
      <c r="Q493" s="291"/>
      <c r="R493" s="291"/>
      <c r="S493" s="291"/>
      <c r="T493" s="291"/>
      <c r="U493" s="291"/>
      <c r="V493" s="291"/>
      <c r="W493" s="291"/>
      <c r="X493" s="291"/>
      <c r="Y493" s="291"/>
      <c r="Z493" s="291"/>
      <c r="AA493" s="291"/>
      <c r="AB493" s="291"/>
      <c r="AC493" s="291"/>
      <c r="AD493" s="291"/>
      <c r="AE493" s="291"/>
      <c r="AF493" s="291"/>
      <c r="AG493" s="291"/>
    </row>
    <row r="494" ht="18.75" customHeight="1">
      <c r="A494" s="283"/>
      <c r="B494" s="234" t="str">
        <f>'Building Bill of Materials_SLIM'!P494</f>
        <v/>
      </c>
      <c r="C494" s="234" t="str">
        <f>'Building Bill of Materials_SLIM'!Q494</f>
        <v/>
      </c>
      <c r="D494" s="234" t="str">
        <f>'Building Bill of Materials_SLIM'!R494</f>
        <v/>
      </c>
      <c r="E494" s="234" t="str">
        <f>'Building Bill of Materials_SLIM'!S494</f>
        <v/>
      </c>
      <c r="F494" s="234"/>
      <c r="G494" s="234"/>
      <c r="H494" s="234" t="str">
        <f>'Building Bill of Materials_SLIM'!T494</f>
        <v/>
      </c>
      <c r="I494" s="234" t="str">
        <f>'Building Bill of Materials_SLIM'!U494</f>
        <v/>
      </c>
      <c r="J494" s="234" t="str">
        <f>'Building Bill of Materials_SLIM'!V494</f>
        <v/>
      </c>
      <c r="K494" s="192"/>
      <c r="L494" s="242"/>
      <c r="M494" s="242"/>
      <c r="N494" s="291"/>
      <c r="O494" s="291"/>
      <c r="P494" s="291"/>
      <c r="Q494" s="291"/>
      <c r="R494" s="291"/>
      <c r="S494" s="291"/>
      <c r="T494" s="291"/>
      <c r="U494" s="291"/>
      <c r="V494" s="291"/>
      <c r="W494" s="291"/>
      <c r="X494" s="291"/>
      <c r="Y494" s="291"/>
      <c r="Z494" s="291"/>
      <c r="AA494" s="291"/>
      <c r="AB494" s="291"/>
      <c r="AC494" s="291"/>
      <c r="AD494" s="291"/>
      <c r="AE494" s="291"/>
      <c r="AF494" s="291"/>
      <c r="AG494" s="291"/>
    </row>
    <row r="495" ht="18.75" customHeight="1">
      <c r="A495" s="283"/>
      <c r="B495" s="234" t="str">
        <f>'Building Bill of Materials_SLIM'!P495</f>
        <v/>
      </c>
      <c r="C495" s="234" t="str">
        <f>'Building Bill of Materials_SLIM'!Q495</f>
        <v/>
      </c>
      <c r="D495" s="234" t="str">
        <f>'Building Bill of Materials_SLIM'!R495</f>
        <v/>
      </c>
      <c r="E495" s="234" t="str">
        <f>'Building Bill of Materials_SLIM'!S495</f>
        <v/>
      </c>
      <c r="F495" s="234"/>
      <c r="G495" s="234"/>
      <c r="H495" s="234" t="str">
        <f>'Building Bill of Materials_SLIM'!T495</f>
        <v/>
      </c>
      <c r="I495" s="234" t="str">
        <f>'Building Bill of Materials_SLIM'!U495</f>
        <v/>
      </c>
      <c r="J495" s="234" t="str">
        <f>'Building Bill of Materials_SLIM'!V495</f>
        <v/>
      </c>
      <c r="K495" s="192"/>
      <c r="L495" s="242"/>
      <c r="M495" s="242"/>
      <c r="N495" s="291"/>
      <c r="O495" s="291"/>
      <c r="P495" s="291"/>
      <c r="Q495" s="291"/>
      <c r="R495" s="291"/>
      <c r="S495" s="291"/>
      <c r="T495" s="291"/>
      <c r="U495" s="291"/>
      <c r="V495" s="291"/>
      <c r="W495" s="291"/>
      <c r="X495" s="291"/>
      <c r="Y495" s="291"/>
      <c r="Z495" s="291"/>
      <c r="AA495" s="291"/>
      <c r="AB495" s="291"/>
      <c r="AC495" s="291"/>
      <c r="AD495" s="291"/>
      <c r="AE495" s="291"/>
      <c r="AF495" s="291"/>
      <c r="AG495" s="291"/>
    </row>
    <row r="496" ht="18.75" customHeight="1">
      <c r="A496" s="283"/>
      <c r="B496" s="234" t="str">
        <f>'Building Bill of Materials_SLIM'!P496</f>
        <v/>
      </c>
      <c r="C496" s="234" t="str">
        <f>'Building Bill of Materials_SLIM'!Q496</f>
        <v/>
      </c>
      <c r="D496" s="234" t="str">
        <f>'Building Bill of Materials_SLIM'!R496</f>
        <v/>
      </c>
      <c r="E496" s="234" t="str">
        <f>'Building Bill of Materials_SLIM'!S496</f>
        <v/>
      </c>
      <c r="F496" s="234"/>
      <c r="G496" s="234"/>
      <c r="H496" s="234" t="str">
        <f>'Building Bill of Materials_SLIM'!T496</f>
        <v/>
      </c>
      <c r="I496" s="234" t="str">
        <f>'Building Bill of Materials_SLIM'!U496</f>
        <v/>
      </c>
      <c r="J496" s="234" t="str">
        <f>'Building Bill of Materials_SLIM'!V496</f>
        <v/>
      </c>
      <c r="K496" s="192"/>
      <c r="L496" s="242"/>
      <c r="M496" s="242"/>
      <c r="N496" s="291"/>
      <c r="O496" s="291"/>
      <c r="P496" s="291"/>
      <c r="Q496" s="291"/>
      <c r="R496" s="291"/>
      <c r="S496" s="291"/>
      <c r="T496" s="291"/>
      <c r="U496" s="291"/>
      <c r="V496" s="291"/>
      <c r="W496" s="291"/>
      <c r="X496" s="291"/>
      <c r="Y496" s="291"/>
      <c r="Z496" s="291"/>
      <c r="AA496" s="291"/>
      <c r="AB496" s="291"/>
      <c r="AC496" s="291"/>
      <c r="AD496" s="291"/>
      <c r="AE496" s="291"/>
      <c r="AF496" s="291"/>
      <c r="AG496" s="291"/>
    </row>
    <row r="497" ht="18.75" customHeight="1">
      <c r="A497" s="283"/>
      <c r="B497" s="234" t="str">
        <f>'Building Bill of Materials_SLIM'!P497</f>
        <v/>
      </c>
      <c r="C497" s="234" t="str">
        <f>'Building Bill of Materials_SLIM'!Q497</f>
        <v/>
      </c>
      <c r="D497" s="234" t="str">
        <f>'Building Bill of Materials_SLIM'!R497</f>
        <v/>
      </c>
      <c r="E497" s="234" t="str">
        <f>'Building Bill of Materials_SLIM'!S497</f>
        <v/>
      </c>
      <c r="F497" s="234"/>
      <c r="G497" s="234"/>
      <c r="H497" s="234" t="str">
        <f>'Building Bill of Materials_SLIM'!T497</f>
        <v/>
      </c>
      <c r="I497" s="234" t="str">
        <f>'Building Bill of Materials_SLIM'!U497</f>
        <v/>
      </c>
      <c r="J497" s="234" t="str">
        <f>'Building Bill of Materials_SLIM'!V497</f>
        <v/>
      </c>
      <c r="K497" s="192"/>
      <c r="L497" s="242"/>
      <c r="M497" s="242"/>
      <c r="N497" s="291"/>
      <c r="O497" s="291"/>
      <c r="P497" s="291"/>
      <c r="Q497" s="291"/>
      <c r="R497" s="291"/>
      <c r="S497" s="291"/>
      <c r="T497" s="291"/>
      <c r="U497" s="291"/>
      <c r="V497" s="291"/>
      <c r="W497" s="291"/>
      <c r="X497" s="291"/>
      <c r="Y497" s="291"/>
      <c r="Z497" s="291"/>
      <c r="AA497" s="291"/>
      <c r="AB497" s="291"/>
      <c r="AC497" s="291"/>
      <c r="AD497" s="291"/>
      <c r="AE497" s="291"/>
      <c r="AF497" s="291"/>
      <c r="AG497" s="291"/>
    </row>
    <row r="498" ht="18.75" customHeight="1">
      <c r="A498" s="283"/>
      <c r="B498" s="234" t="str">
        <f>'Building Bill of Materials_SLIM'!P498</f>
        <v/>
      </c>
      <c r="C498" s="234" t="str">
        <f>'Building Bill of Materials_SLIM'!Q498</f>
        <v/>
      </c>
      <c r="D498" s="234" t="str">
        <f>'Building Bill of Materials_SLIM'!R498</f>
        <v/>
      </c>
      <c r="E498" s="234" t="str">
        <f>'Building Bill of Materials_SLIM'!S498</f>
        <v/>
      </c>
      <c r="F498" s="234"/>
      <c r="G498" s="234"/>
      <c r="H498" s="234" t="str">
        <f>'Building Bill of Materials_SLIM'!T498</f>
        <v/>
      </c>
      <c r="I498" s="234" t="str">
        <f>'Building Bill of Materials_SLIM'!U498</f>
        <v/>
      </c>
      <c r="J498" s="234" t="str">
        <f>'Building Bill of Materials_SLIM'!V498</f>
        <v/>
      </c>
      <c r="K498" s="192"/>
      <c r="L498" s="242"/>
      <c r="M498" s="242"/>
      <c r="N498" s="291"/>
      <c r="O498" s="291"/>
      <c r="P498" s="291"/>
      <c r="Q498" s="291"/>
      <c r="R498" s="291"/>
      <c r="S498" s="291"/>
      <c r="T498" s="291"/>
      <c r="U498" s="291"/>
      <c r="V498" s="291"/>
      <c r="W498" s="291"/>
      <c r="X498" s="291"/>
      <c r="Y498" s="291"/>
      <c r="Z498" s="291"/>
      <c r="AA498" s="291"/>
      <c r="AB498" s="291"/>
      <c r="AC498" s="291"/>
      <c r="AD498" s="291"/>
      <c r="AE498" s="291"/>
      <c r="AF498" s="291"/>
      <c r="AG498" s="291"/>
    </row>
    <row r="499" ht="18.75" customHeight="1">
      <c r="A499" s="283"/>
      <c r="B499" s="234" t="str">
        <f>'Building Bill of Materials_SLIM'!P499</f>
        <v/>
      </c>
      <c r="C499" s="234" t="str">
        <f>'Building Bill of Materials_SLIM'!Q499</f>
        <v/>
      </c>
      <c r="D499" s="234" t="str">
        <f>'Building Bill of Materials_SLIM'!R499</f>
        <v/>
      </c>
      <c r="E499" s="234" t="str">
        <f>'Building Bill of Materials_SLIM'!S499</f>
        <v/>
      </c>
      <c r="F499" s="234"/>
      <c r="G499" s="234"/>
      <c r="H499" s="234" t="str">
        <f>'Building Bill of Materials_SLIM'!T499</f>
        <v/>
      </c>
      <c r="I499" s="234" t="str">
        <f>'Building Bill of Materials_SLIM'!U499</f>
        <v/>
      </c>
      <c r="J499" s="234" t="str">
        <f>'Building Bill of Materials_SLIM'!V499</f>
        <v/>
      </c>
      <c r="K499" s="192"/>
      <c r="L499" s="242"/>
      <c r="M499" s="242"/>
      <c r="N499" s="291"/>
      <c r="O499" s="291"/>
      <c r="P499" s="291"/>
      <c r="Q499" s="291"/>
      <c r="R499" s="291"/>
      <c r="S499" s="291"/>
      <c r="T499" s="291"/>
      <c r="U499" s="291"/>
      <c r="V499" s="291"/>
      <c r="W499" s="291"/>
      <c r="X499" s="291"/>
      <c r="Y499" s="291"/>
      <c r="Z499" s="291"/>
      <c r="AA499" s="291"/>
      <c r="AB499" s="291"/>
      <c r="AC499" s="291"/>
      <c r="AD499" s="291"/>
      <c r="AE499" s="291"/>
      <c r="AF499" s="291"/>
      <c r="AG499" s="291"/>
    </row>
    <row r="500" ht="18.75" customHeight="1">
      <c r="A500" s="283"/>
      <c r="B500" s="234" t="str">
        <f>'Building Bill of Materials_SLIM'!P500</f>
        <v/>
      </c>
      <c r="C500" s="234" t="str">
        <f>'Building Bill of Materials_SLIM'!Q500</f>
        <v/>
      </c>
      <c r="D500" s="234" t="str">
        <f>'Building Bill of Materials_SLIM'!R500</f>
        <v/>
      </c>
      <c r="E500" s="234" t="str">
        <f>'Building Bill of Materials_SLIM'!S500</f>
        <v/>
      </c>
      <c r="F500" s="234"/>
      <c r="G500" s="234"/>
      <c r="H500" s="234" t="str">
        <f>'Building Bill of Materials_SLIM'!T500</f>
        <v/>
      </c>
      <c r="I500" s="234" t="str">
        <f>'Building Bill of Materials_SLIM'!U500</f>
        <v/>
      </c>
      <c r="J500" s="234" t="str">
        <f>'Building Bill of Materials_SLIM'!V500</f>
        <v/>
      </c>
      <c r="K500" s="192"/>
      <c r="L500" s="242"/>
      <c r="M500" s="242"/>
      <c r="N500" s="291"/>
      <c r="O500" s="291"/>
      <c r="P500" s="291"/>
      <c r="Q500" s="291"/>
      <c r="R500" s="291"/>
      <c r="S500" s="291"/>
      <c r="T500" s="291"/>
      <c r="U500" s="291"/>
      <c r="V500" s="291"/>
      <c r="W500" s="291"/>
      <c r="X500" s="291"/>
      <c r="Y500" s="291"/>
      <c r="Z500" s="291"/>
      <c r="AA500" s="291"/>
      <c r="AB500" s="291"/>
      <c r="AC500" s="291"/>
      <c r="AD500" s="291"/>
      <c r="AE500" s="291"/>
      <c r="AF500" s="291"/>
      <c r="AG500" s="291"/>
    </row>
    <row r="501" ht="18.75" customHeight="1">
      <c r="A501" s="283"/>
      <c r="B501" s="234" t="str">
        <f>'Building Bill of Materials_SLIM'!P501</f>
        <v/>
      </c>
      <c r="C501" s="234" t="str">
        <f>'Building Bill of Materials_SLIM'!Q501</f>
        <v/>
      </c>
      <c r="D501" s="234" t="str">
        <f>'Building Bill of Materials_SLIM'!R501</f>
        <v/>
      </c>
      <c r="E501" s="234" t="str">
        <f>'Building Bill of Materials_SLIM'!S501</f>
        <v/>
      </c>
      <c r="F501" s="234"/>
      <c r="G501" s="234"/>
      <c r="H501" s="234" t="str">
        <f>'Building Bill of Materials_SLIM'!T501</f>
        <v/>
      </c>
      <c r="I501" s="234" t="str">
        <f>'Building Bill of Materials_SLIM'!U501</f>
        <v/>
      </c>
      <c r="J501" s="234" t="str">
        <f>'Building Bill of Materials_SLIM'!V501</f>
        <v/>
      </c>
      <c r="K501" s="192"/>
      <c r="L501" s="242"/>
      <c r="M501" s="242"/>
      <c r="N501" s="291"/>
      <c r="O501" s="291"/>
      <c r="P501" s="291"/>
      <c r="Q501" s="291"/>
      <c r="R501" s="291"/>
      <c r="S501" s="291"/>
      <c r="T501" s="291"/>
      <c r="U501" s="291"/>
      <c r="V501" s="291"/>
      <c r="W501" s="291"/>
      <c r="X501" s="291"/>
      <c r="Y501" s="291"/>
      <c r="Z501" s="291"/>
      <c r="AA501" s="291"/>
      <c r="AB501" s="291"/>
      <c r="AC501" s="291"/>
      <c r="AD501" s="291"/>
      <c r="AE501" s="291"/>
      <c r="AF501" s="291"/>
      <c r="AG501" s="291"/>
    </row>
    <row r="502" ht="18.75" customHeight="1">
      <c r="A502" s="283"/>
      <c r="B502" s="234" t="str">
        <f>'Building Bill of Materials_SLIM'!P502</f>
        <v/>
      </c>
      <c r="C502" s="234" t="str">
        <f>'Building Bill of Materials_SLIM'!Q502</f>
        <v/>
      </c>
      <c r="D502" s="234" t="str">
        <f>'Building Bill of Materials_SLIM'!R502</f>
        <v/>
      </c>
      <c r="E502" s="234" t="str">
        <f>'Building Bill of Materials_SLIM'!S502</f>
        <v/>
      </c>
      <c r="F502" s="234"/>
      <c r="G502" s="234"/>
      <c r="H502" s="234" t="str">
        <f>'Building Bill of Materials_SLIM'!T502</f>
        <v/>
      </c>
      <c r="I502" s="234" t="str">
        <f>'Building Bill of Materials_SLIM'!U502</f>
        <v/>
      </c>
      <c r="J502" s="234" t="str">
        <f>'Building Bill of Materials_SLIM'!V502</f>
        <v/>
      </c>
      <c r="K502" s="192"/>
      <c r="L502" s="242"/>
      <c r="M502" s="242"/>
      <c r="N502" s="291"/>
      <c r="O502" s="291"/>
      <c r="P502" s="291"/>
      <c r="Q502" s="291"/>
      <c r="R502" s="291"/>
      <c r="S502" s="291"/>
      <c r="T502" s="291"/>
      <c r="U502" s="291"/>
      <c r="V502" s="291"/>
      <c r="W502" s="291"/>
      <c r="X502" s="291"/>
      <c r="Y502" s="291"/>
      <c r="Z502" s="291"/>
      <c r="AA502" s="291"/>
      <c r="AB502" s="291"/>
      <c r="AC502" s="291"/>
      <c r="AD502" s="291"/>
      <c r="AE502" s="291"/>
      <c r="AF502" s="291"/>
      <c r="AG502" s="291"/>
    </row>
    <row r="503" ht="18.75" customHeight="1">
      <c r="A503" s="283"/>
      <c r="B503" s="234" t="str">
        <f>'Building Bill of Materials_SLIM'!P503</f>
        <v/>
      </c>
      <c r="C503" s="234" t="str">
        <f>'Building Bill of Materials_SLIM'!Q503</f>
        <v/>
      </c>
      <c r="D503" s="234" t="str">
        <f>'Building Bill of Materials_SLIM'!R503</f>
        <v/>
      </c>
      <c r="E503" s="234" t="str">
        <f>'Building Bill of Materials_SLIM'!S503</f>
        <v/>
      </c>
      <c r="F503" s="234"/>
      <c r="G503" s="234"/>
      <c r="H503" s="234" t="str">
        <f>'Building Bill of Materials_SLIM'!T503</f>
        <v/>
      </c>
      <c r="I503" s="234" t="str">
        <f>'Building Bill of Materials_SLIM'!U503</f>
        <v/>
      </c>
      <c r="J503" s="234" t="str">
        <f>'Building Bill of Materials_SLIM'!V503</f>
        <v/>
      </c>
      <c r="K503" s="192"/>
      <c r="L503" s="242"/>
      <c r="M503" s="242"/>
      <c r="N503" s="291"/>
      <c r="O503" s="291"/>
      <c r="P503" s="291"/>
      <c r="Q503" s="291"/>
      <c r="R503" s="291"/>
      <c r="S503" s="291"/>
      <c r="T503" s="291"/>
      <c r="U503" s="291"/>
      <c r="V503" s="291"/>
      <c r="W503" s="291"/>
      <c r="X503" s="291"/>
      <c r="Y503" s="291"/>
      <c r="Z503" s="291"/>
      <c r="AA503" s="291"/>
      <c r="AB503" s="291"/>
      <c r="AC503" s="291"/>
      <c r="AD503" s="291"/>
      <c r="AE503" s="291"/>
      <c r="AF503" s="291"/>
      <c r="AG503" s="291"/>
    </row>
    <row r="504" ht="18.75" customHeight="1">
      <c r="A504" s="283"/>
      <c r="B504" s="234" t="str">
        <f>'Building Bill of Materials_SLIM'!P504</f>
        <v/>
      </c>
      <c r="C504" s="234" t="str">
        <f>'Building Bill of Materials_SLIM'!Q504</f>
        <v/>
      </c>
      <c r="D504" s="234" t="str">
        <f>'Building Bill of Materials_SLIM'!R504</f>
        <v/>
      </c>
      <c r="E504" s="234" t="str">
        <f>'Building Bill of Materials_SLIM'!S504</f>
        <v/>
      </c>
      <c r="F504" s="234"/>
      <c r="G504" s="234"/>
      <c r="H504" s="234" t="str">
        <f>'Building Bill of Materials_SLIM'!T504</f>
        <v/>
      </c>
      <c r="I504" s="234" t="str">
        <f>'Building Bill of Materials_SLIM'!U504</f>
        <v/>
      </c>
      <c r="J504" s="234" t="str">
        <f>'Building Bill of Materials_SLIM'!V504</f>
        <v/>
      </c>
      <c r="K504" s="192"/>
      <c r="L504" s="242"/>
      <c r="M504" s="242"/>
      <c r="N504" s="291"/>
      <c r="O504" s="291"/>
      <c r="P504" s="291"/>
      <c r="Q504" s="291"/>
      <c r="R504" s="291"/>
      <c r="S504" s="291"/>
      <c r="T504" s="291"/>
      <c r="U504" s="291"/>
      <c r="V504" s="291"/>
      <c r="W504" s="291"/>
      <c r="X504" s="291"/>
      <c r="Y504" s="291"/>
      <c r="Z504" s="291"/>
      <c r="AA504" s="291"/>
      <c r="AB504" s="291"/>
      <c r="AC504" s="291"/>
      <c r="AD504" s="291"/>
      <c r="AE504" s="291"/>
      <c r="AF504" s="291"/>
      <c r="AG504" s="291"/>
    </row>
    <row r="505" ht="18.75" customHeight="1">
      <c r="A505" s="283"/>
      <c r="B505" s="234" t="str">
        <f>'Building Bill of Materials_SLIM'!P505</f>
        <v/>
      </c>
      <c r="C505" s="234" t="str">
        <f>'Building Bill of Materials_SLIM'!Q505</f>
        <v/>
      </c>
      <c r="D505" s="234" t="str">
        <f>'Building Bill of Materials_SLIM'!R505</f>
        <v/>
      </c>
      <c r="E505" s="234" t="str">
        <f>'Building Bill of Materials_SLIM'!S505</f>
        <v/>
      </c>
      <c r="F505" s="234"/>
      <c r="G505" s="234"/>
      <c r="H505" s="234" t="str">
        <f>'Building Bill of Materials_SLIM'!T505</f>
        <v/>
      </c>
      <c r="I505" s="234" t="str">
        <f>'Building Bill of Materials_SLIM'!U505</f>
        <v/>
      </c>
      <c r="J505" s="234" t="str">
        <f>'Building Bill of Materials_SLIM'!V505</f>
        <v/>
      </c>
      <c r="K505" s="192"/>
      <c r="L505" s="242"/>
      <c r="M505" s="242"/>
      <c r="N505" s="291"/>
      <c r="O505" s="291"/>
      <c r="P505" s="291"/>
      <c r="Q505" s="291"/>
      <c r="R505" s="291"/>
      <c r="S505" s="291"/>
      <c r="T505" s="291"/>
      <c r="U505" s="291"/>
      <c r="V505" s="291"/>
      <c r="W505" s="291"/>
      <c r="X505" s="291"/>
      <c r="Y505" s="291"/>
      <c r="Z505" s="291"/>
      <c r="AA505" s="291"/>
      <c r="AB505" s="291"/>
      <c r="AC505" s="291"/>
      <c r="AD505" s="291"/>
      <c r="AE505" s="291"/>
      <c r="AF505" s="291"/>
      <c r="AG505" s="291"/>
    </row>
    <row r="506" ht="18.75" customHeight="1">
      <c r="A506" s="283"/>
      <c r="B506" s="234" t="str">
        <f>'Building Bill of Materials_SLIM'!P506</f>
        <v/>
      </c>
      <c r="C506" s="234" t="str">
        <f>'Building Bill of Materials_SLIM'!Q506</f>
        <v/>
      </c>
      <c r="D506" s="234" t="str">
        <f>'Building Bill of Materials_SLIM'!R506</f>
        <v/>
      </c>
      <c r="E506" s="234" t="str">
        <f>'Building Bill of Materials_SLIM'!S506</f>
        <v/>
      </c>
      <c r="F506" s="234"/>
      <c r="G506" s="234"/>
      <c r="H506" s="234" t="str">
        <f>'Building Bill of Materials_SLIM'!T506</f>
        <v/>
      </c>
      <c r="I506" s="234" t="str">
        <f>'Building Bill of Materials_SLIM'!U506</f>
        <v/>
      </c>
      <c r="J506" s="234" t="str">
        <f>'Building Bill of Materials_SLIM'!V506</f>
        <v/>
      </c>
      <c r="K506" s="192"/>
      <c r="L506" s="242"/>
      <c r="M506" s="242"/>
      <c r="N506" s="291"/>
      <c r="O506" s="291"/>
      <c r="P506" s="291"/>
      <c r="Q506" s="291"/>
      <c r="R506" s="291"/>
      <c r="S506" s="291"/>
      <c r="T506" s="291"/>
      <c r="U506" s="291"/>
      <c r="V506" s="291"/>
      <c r="W506" s="291"/>
      <c r="X506" s="291"/>
      <c r="Y506" s="291"/>
      <c r="Z506" s="291"/>
      <c r="AA506" s="291"/>
      <c r="AB506" s="291"/>
      <c r="AC506" s="291"/>
      <c r="AD506" s="291"/>
      <c r="AE506" s="291"/>
      <c r="AF506" s="291"/>
      <c r="AG506" s="291"/>
    </row>
    <row r="507" ht="18.75" customHeight="1">
      <c r="A507" s="283"/>
      <c r="B507" s="234" t="str">
        <f>'Building Bill of Materials_SLIM'!P507</f>
        <v/>
      </c>
      <c r="C507" s="234" t="str">
        <f>'Building Bill of Materials_SLIM'!Q507</f>
        <v/>
      </c>
      <c r="D507" s="234" t="str">
        <f>'Building Bill of Materials_SLIM'!R507</f>
        <v/>
      </c>
      <c r="E507" s="234" t="str">
        <f>'Building Bill of Materials_SLIM'!S507</f>
        <v/>
      </c>
      <c r="F507" s="234"/>
      <c r="G507" s="234"/>
      <c r="H507" s="234" t="str">
        <f>'Building Bill of Materials_SLIM'!T507</f>
        <v/>
      </c>
      <c r="I507" s="234" t="str">
        <f>'Building Bill of Materials_SLIM'!U507</f>
        <v/>
      </c>
      <c r="J507" s="234" t="str">
        <f>'Building Bill of Materials_SLIM'!V507</f>
        <v/>
      </c>
      <c r="K507" s="192"/>
      <c r="L507" s="242"/>
      <c r="M507" s="242"/>
      <c r="N507" s="291"/>
      <c r="O507" s="291"/>
      <c r="P507" s="291"/>
      <c r="Q507" s="291"/>
      <c r="R507" s="291"/>
      <c r="S507" s="291"/>
      <c r="T507" s="291"/>
      <c r="U507" s="291"/>
      <c r="V507" s="291"/>
      <c r="W507" s="291"/>
      <c r="X507" s="291"/>
      <c r="Y507" s="291"/>
      <c r="Z507" s="291"/>
      <c r="AA507" s="291"/>
      <c r="AB507" s="291"/>
      <c r="AC507" s="291"/>
      <c r="AD507" s="291"/>
      <c r="AE507" s="291"/>
      <c r="AF507" s="291"/>
      <c r="AG507" s="291"/>
    </row>
    <row r="508" ht="18.75" customHeight="1">
      <c r="A508" s="283"/>
      <c r="B508" s="234" t="str">
        <f>'Building Bill of Materials_SLIM'!P508</f>
        <v/>
      </c>
      <c r="C508" s="234" t="str">
        <f>'Building Bill of Materials_SLIM'!Q508</f>
        <v/>
      </c>
      <c r="D508" s="234" t="str">
        <f>'Building Bill of Materials_SLIM'!R508</f>
        <v/>
      </c>
      <c r="E508" s="234" t="str">
        <f>'Building Bill of Materials_SLIM'!S508</f>
        <v/>
      </c>
      <c r="F508" s="234"/>
      <c r="G508" s="234"/>
      <c r="H508" s="234" t="str">
        <f>'Building Bill of Materials_SLIM'!T508</f>
        <v/>
      </c>
      <c r="I508" s="234" t="str">
        <f>'Building Bill of Materials_SLIM'!U508</f>
        <v/>
      </c>
      <c r="J508" s="234" t="str">
        <f>'Building Bill of Materials_SLIM'!V508</f>
        <v/>
      </c>
      <c r="K508" s="192"/>
      <c r="L508" s="242"/>
      <c r="M508" s="242"/>
      <c r="N508" s="291"/>
      <c r="O508" s="291"/>
      <c r="P508" s="291"/>
      <c r="Q508" s="291"/>
      <c r="R508" s="291"/>
      <c r="S508" s="291"/>
      <c r="T508" s="291"/>
      <c r="U508" s="291"/>
      <c r="V508" s="291"/>
      <c r="W508" s="291"/>
      <c r="X508" s="291"/>
      <c r="Y508" s="291"/>
      <c r="Z508" s="291"/>
      <c r="AA508" s="291"/>
      <c r="AB508" s="291"/>
      <c r="AC508" s="291"/>
      <c r="AD508" s="291"/>
      <c r="AE508" s="291"/>
      <c r="AF508" s="291"/>
      <c r="AG508" s="291"/>
    </row>
    <row r="509" ht="18.75" customHeight="1">
      <c r="A509" s="283"/>
      <c r="B509" s="234" t="str">
        <f>'Building Bill of Materials_SLIM'!P509</f>
        <v/>
      </c>
      <c r="C509" s="234" t="str">
        <f>'Building Bill of Materials_SLIM'!Q509</f>
        <v/>
      </c>
      <c r="D509" s="234" t="str">
        <f>'Building Bill of Materials_SLIM'!R509</f>
        <v/>
      </c>
      <c r="E509" s="234" t="str">
        <f>'Building Bill of Materials_SLIM'!S509</f>
        <v/>
      </c>
      <c r="F509" s="234"/>
      <c r="G509" s="234"/>
      <c r="H509" s="234" t="str">
        <f>'Building Bill of Materials_SLIM'!T509</f>
        <v/>
      </c>
      <c r="I509" s="234" t="str">
        <f>'Building Bill of Materials_SLIM'!U509</f>
        <v/>
      </c>
      <c r="J509" s="234" t="str">
        <f>'Building Bill of Materials_SLIM'!V509</f>
        <v/>
      </c>
      <c r="K509" s="192"/>
      <c r="L509" s="242"/>
      <c r="M509" s="242"/>
      <c r="N509" s="291"/>
      <c r="O509" s="291"/>
      <c r="P509" s="291"/>
      <c r="Q509" s="291"/>
      <c r="R509" s="291"/>
      <c r="S509" s="291"/>
      <c r="T509" s="291"/>
      <c r="U509" s="291"/>
      <c r="V509" s="291"/>
      <c r="W509" s="291"/>
      <c r="X509" s="291"/>
      <c r="Y509" s="291"/>
      <c r="Z509" s="291"/>
      <c r="AA509" s="291"/>
      <c r="AB509" s="291"/>
      <c r="AC509" s="291"/>
      <c r="AD509" s="291"/>
      <c r="AE509" s="291"/>
      <c r="AF509" s="291"/>
      <c r="AG509" s="291"/>
    </row>
    <row r="510" ht="18.75" customHeight="1">
      <c r="A510" s="283"/>
      <c r="B510" s="234" t="str">
        <f>'Building Bill of Materials_SLIM'!P510</f>
        <v/>
      </c>
      <c r="C510" s="234" t="str">
        <f>'Building Bill of Materials_SLIM'!Q510</f>
        <v/>
      </c>
      <c r="D510" s="234" t="str">
        <f>'Building Bill of Materials_SLIM'!R510</f>
        <v/>
      </c>
      <c r="E510" s="234" t="str">
        <f>'Building Bill of Materials_SLIM'!S510</f>
        <v/>
      </c>
      <c r="F510" s="234"/>
      <c r="G510" s="234"/>
      <c r="H510" s="234" t="str">
        <f>'Building Bill of Materials_SLIM'!T510</f>
        <v/>
      </c>
      <c r="I510" s="234" t="str">
        <f>'Building Bill of Materials_SLIM'!U510</f>
        <v/>
      </c>
      <c r="J510" s="234" t="str">
        <f>'Building Bill of Materials_SLIM'!V510</f>
        <v/>
      </c>
      <c r="K510" s="192"/>
      <c r="L510" s="242"/>
      <c r="M510" s="242"/>
      <c r="N510" s="291"/>
      <c r="O510" s="291"/>
      <c r="P510" s="291"/>
      <c r="Q510" s="291"/>
      <c r="R510" s="291"/>
      <c r="S510" s="291"/>
      <c r="T510" s="291"/>
      <c r="U510" s="291"/>
      <c r="V510" s="291"/>
      <c r="W510" s="291"/>
      <c r="X510" s="291"/>
      <c r="Y510" s="291"/>
      <c r="Z510" s="291"/>
      <c r="AA510" s="291"/>
      <c r="AB510" s="291"/>
      <c r="AC510" s="291"/>
      <c r="AD510" s="291"/>
      <c r="AE510" s="291"/>
      <c r="AF510" s="291"/>
      <c r="AG510" s="291"/>
    </row>
    <row r="511" ht="18.75" customHeight="1">
      <c r="A511" s="283"/>
      <c r="B511" s="234" t="str">
        <f>'Building Bill of Materials_SLIM'!P511</f>
        <v/>
      </c>
      <c r="C511" s="234" t="str">
        <f>'Building Bill of Materials_SLIM'!Q511</f>
        <v/>
      </c>
      <c r="D511" s="234" t="str">
        <f>'Building Bill of Materials_SLIM'!R511</f>
        <v/>
      </c>
      <c r="E511" s="234" t="str">
        <f>'Building Bill of Materials_SLIM'!S511</f>
        <v/>
      </c>
      <c r="F511" s="234"/>
      <c r="G511" s="234"/>
      <c r="H511" s="234" t="str">
        <f>'Building Bill of Materials_SLIM'!T511</f>
        <v/>
      </c>
      <c r="I511" s="234" t="str">
        <f>'Building Bill of Materials_SLIM'!U511</f>
        <v/>
      </c>
      <c r="J511" s="234" t="str">
        <f>'Building Bill of Materials_SLIM'!V511</f>
        <v/>
      </c>
      <c r="K511" s="192"/>
      <c r="L511" s="242"/>
      <c r="M511" s="242"/>
      <c r="N511" s="291"/>
      <c r="O511" s="291"/>
      <c r="P511" s="291"/>
      <c r="Q511" s="291"/>
      <c r="R511" s="291"/>
      <c r="S511" s="291"/>
      <c r="T511" s="291"/>
      <c r="U511" s="291"/>
      <c r="V511" s="291"/>
      <c r="W511" s="291"/>
      <c r="X511" s="291"/>
      <c r="Y511" s="291"/>
      <c r="Z511" s="291"/>
      <c r="AA511" s="291"/>
      <c r="AB511" s="291"/>
      <c r="AC511" s="291"/>
      <c r="AD511" s="291"/>
      <c r="AE511" s="291"/>
      <c r="AF511" s="291"/>
      <c r="AG511" s="291"/>
    </row>
    <row r="512" ht="18.75" customHeight="1">
      <c r="A512" s="283"/>
      <c r="B512" s="234" t="str">
        <f>'Building Bill of Materials_SLIM'!P512</f>
        <v/>
      </c>
      <c r="C512" s="234" t="str">
        <f>'Building Bill of Materials_SLIM'!Q512</f>
        <v/>
      </c>
      <c r="D512" s="234" t="str">
        <f>'Building Bill of Materials_SLIM'!R512</f>
        <v/>
      </c>
      <c r="E512" s="234" t="str">
        <f>'Building Bill of Materials_SLIM'!S512</f>
        <v/>
      </c>
      <c r="F512" s="234"/>
      <c r="G512" s="234"/>
      <c r="H512" s="234" t="str">
        <f>'Building Bill of Materials_SLIM'!T512</f>
        <v/>
      </c>
      <c r="I512" s="234" t="str">
        <f>'Building Bill of Materials_SLIM'!U512</f>
        <v/>
      </c>
      <c r="J512" s="234" t="str">
        <f>'Building Bill of Materials_SLIM'!V512</f>
        <v/>
      </c>
      <c r="K512" s="192"/>
      <c r="L512" s="242"/>
      <c r="M512" s="242"/>
      <c r="N512" s="291"/>
      <c r="O512" s="291"/>
      <c r="P512" s="291"/>
      <c r="Q512" s="291"/>
      <c r="R512" s="291"/>
      <c r="S512" s="291"/>
      <c r="T512" s="291"/>
      <c r="U512" s="291"/>
      <c r="V512" s="291"/>
      <c r="W512" s="291"/>
      <c r="X512" s="291"/>
      <c r="Y512" s="291"/>
      <c r="Z512" s="291"/>
      <c r="AA512" s="291"/>
      <c r="AB512" s="291"/>
      <c r="AC512" s="291"/>
      <c r="AD512" s="291"/>
      <c r="AE512" s="291"/>
      <c r="AF512" s="291"/>
      <c r="AG512" s="291"/>
    </row>
    <row r="513" ht="18.75" customHeight="1">
      <c r="A513" s="283"/>
      <c r="B513" s="234" t="str">
        <f>'Building Bill of Materials_SLIM'!P513</f>
        <v/>
      </c>
      <c r="C513" s="234" t="str">
        <f>'Building Bill of Materials_SLIM'!Q513</f>
        <v/>
      </c>
      <c r="D513" s="234" t="str">
        <f>'Building Bill of Materials_SLIM'!R513</f>
        <v/>
      </c>
      <c r="E513" s="234" t="str">
        <f>'Building Bill of Materials_SLIM'!S513</f>
        <v/>
      </c>
      <c r="F513" s="234"/>
      <c r="G513" s="234"/>
      <c r="H513" s="234" t="str">
        <f>'Building Bill of Materials_SLIM'!T513</f>
        <v/>
      </c>
      <c r="I513" s="234" t="str">
        <f>'Building Bill of Materials_SLIM'!U513</f>
        <v/>
      </c>
      <c r="J513" s="234" t="str">
        <f>'Building Bill of Materials_SLIM'!V513</f>
        <v/>
      </c>
      <c r="K513" s="192"/>
      <c r="L513" s="242"/>
      <c r="M513" s="242"/>
      <c r="N513" s="291"/>
      <c r="O513" s="291"/>
      <c r="P513" s="291"/>
      <c r="Q513" s="291"/>
      <c r="R513" s="291"/>
      <c r="S513" s="291"/>
      <c r="T513" s="291"/>
      <c r="U513" s="291"/>
      <c r="V513" s="291"/>
      <c r="W513" s="291"/>
      <c r="X513" s="291"/>
      <c r="Y513" s="291"/>
      <c r="Z513" s="291"/>
      <c r="AA513" s="291"/>
      <c r="AB513" s="291"/>
      <c r="AC513" s="291"/>
      <c r="AD513" s="291"/>
      <c r="AE513" s="291"/>
      <c r="AF513" s="291"/>
      <c r="AG513" s="291"/>
    </row>
    <row r="514" ht="18.75" customHeight="1">
      <c r="A514" s="283"/>
      <c r="B514" s="234" t="str">
        <f>'Building Bill of Materials_SLIM'!P514</f>
        <v/>
      </c>
      <c r="C514" s="234" t="str">
        <f>'Building Bill of Materials_SLIM'!Q514</f>
        <v/>
      </c>
      <c r="D514" s="234" t="str">
        <f>'Building Bill of Materials_SLIM'!R514</f>
        <v/>
      </c>
      <c r="E514" s="234" t="str">
        <f>'Building Bill of Materials_SLIM'!S514</f>
        <v/>
      </c>
      <c r="F514" s="234"/>
      <c r="G514" s="234"/>
      <c r="H514" s="234" t="str">
        <f>'Building Bill of Materials_SLIM'!T514</f>
        <v/>
      </c>
      <c r="I514" s="234" t="str">
        <f>'Building Bill of Materials_SLIM'!U514</f>
        <v/>
      </c>
      <c r="J514" s="234" t="str">
        <f>'Building Bill of Materials_SLIM'!V514</f>
        <v/>
      </c>
      <c r="K514" s="192"/>
      <c r="L514" s="242"/>
      <c r="M514" s="242"/>
      <c r="N514" s="291"/>
      <c r="O514" s="291"/>
      <c r="P514" s="291"/>
      <c r="Q514" s="291"/>
      <c r="R514" s="291"/>
      <c r="S514" s="291"/>
      <c r="T514" s="291"/>
      <c r="U514" s="291"/>
      <c r="V514" s="291"/>
      <c r="W514" s="291"/>
      <c r="X514" s="291"/>
      <c r="Y514" s="291"/>
      <c r="Z514" s="291"/>
      <c r="AA514" s="291"/>
      <c r="AB514" s="291"/>
      <c r="AC514" s="291"/>
      <c r="AD514" s="291"/>
      <c r="AE514" s="291"/>
      <c r="AF514" s="291"/>
      <c r="AG514" s="291"/>
    </row>
    <row r="515" ht="18.75" customHeight="1">
      <c r="A515" s="283"/>
      <c r="B515" s="234" t="str">
        <f>'Building Bill of Materials_SLIM'!P515</f>
        <v/>
      </c>
      <c r="C515" s="234" t="str">
        <f>'Building Bill of Materials_SLIM'!Q515</f>
        <v/>
      </c>
      <c r="D515" s="234" t="str">
        <f>'Building Bill of Materials_SLIM'!R515</f>
        <v/>
      </c>
      <c r="E515" s="234" t="str">
        <f>'Building Bill of Materials_SLIM'!S515</f>
        <v/>
      </c>
      <c r="F515" s="234"/>
      <c r="G515" s="234"/>
      <c r="H515" s="234" t="str">
        <f>'Building Bill of Materials_SLIM'!T515</f>
        <v/>
      </c>
      <c r="I515" s="234" t="str">
        <f>'Building Bill of Materials_SLIM'!U515</f>
        <v/>
      </c>
      <c r="J515" s="234" t="str">
        <f>'Building Bill of Materials_SLIM'!V515</f>
        <v/>
      </c>
      <c r="K515" s="192"/>
      <c r="L515" s="242"/>
      <c r="M515" s="242"/>
      <c r="N515" s="291"/>
      <c r="O515" s="291"/>
      <c r="P515" s="291"/>
      <c r="Q515" s="291"/>
      <c r="R515" s="291"/>
      <c r="S515" s="291"/>
      <c r="T515" s="291"/>
      <c r="U515" s="291"/>
      <c r="V515" s="291"/>
      <c r="W515" s="291"/>
      <c r="X515" s="291"/>
      <c r="Y515" s="291"/>
      <c r="Z515" s="291"/>
      <c r="AA515" s="291"/>
      <c r="AB515" s="291"/>
      <c r="AC515" s="291"/>
      <c r="AD515" s="291"/>
      <c r="AE515" s="291"/>
      <c r="AF515" s="291"/>
      <c r="AG515" s="291"/>
    </row>
    <row r="516" ht="18.75" customHeight="1">
      <c r="A516" s="283"/>
      <c r="B516" s="234" t="str">
        <f>'Building Bill of Materials_SLIM'!P516</f>
        <v/>
      </c>
      <c r="C516" s="234" t="str">
        <f>'Building Bill of Materials_SLIM'!Q516</f>
        <v/>
      </c>
      <c r="D516" s="234" t="str">
        <f>'Building Bill of Materials_SLIM'!R516</f>
        <v/>
      </c>
      <c r="E516" s="234" t="str">
        <f>'Building Bill of Materials_SLIM'!S516</f>
        <v/>
      </c>
      <c r="F516" s="234"/>
      <c r="G516" s="234"/>
      <c r="H516" s="234" t="str">
        <f>'Building Bill of Materials_SLIM'!T516</f>
        <v/>
      </c>
      <c r="I516" s="234" t="str">
        <f>'Building Bill of Materials_SLIM'!U516</f>
        <v/>
      </c>
      <c r="J516" s="234" t="str">
        <f>'Building Bill of Materials_SLIM'!V516</f>
        <v/>
      </c>
      <c r="K516" s="192"/>
      <c r="L516" s="242"/>
      <c r="M516" s="242"/>
      <c r="N516" s="291"/>
      <c r="O516" s="291"/>
      <c r="P516" s="291"/>
      <c r="Q516" s="291"/>
      <c r="R516" s="291"/>
      <c r="S516" s="291"/>
      <c r="T516" s="291"/>
      <c r="U516" s="291"/>
      <c r="V516" s="291"/>
      <c r="W516" s="291"/>
      <c r="X516" s="291"/>
      <c r="Y516" s="291"/>
      <c r="Z516" s="291"/>
      <c r="AA516" s="291"/>
      <c r="AB516" s="291"/>
      <c r="AC516" s="291"/>
      <c r="AD516" s="291"/>
      <c r="AE516" s="291"/>
      <c r="AF516" s="291"/>
      <c r="AG516" s="291"/>
    </row>
    <row r="517" ht="18.75" customHeight="1">
      <c r="A517" s="283"/>
      <c r="B517" s="234" t="str">
        <f>'Building Bill of Materials_SLIM'!P517</f>
        <v/>
      </c>
      <c r="C517" s="234" t="str">
        <f>'Building Bill of Materials_SLIM'!Q517</f>
        <v/>
      </c>
      <c r="D517" s="234" t="str">
        <f>'Building Bill of Materials_SLIM'!R517</f>
        <v/>
      </c>
      <c r="E517" s="234" t="str">
        <f>'Building Bill of Materials_SLIM'!S517</f>
        <v/>
      </c>
      <c r="F517" s="234"/>
      <c r="G517" s="234"/>
      <c r="H517" s="234" t="str">
        <f>'Building Bill of Materials_SLIM'!T517</f>
        <v/>
      </c>
      <c r="I517" s="234" t="str">
        <f>'Building Bill of Materials_SLIM'!U517</f>
        <v/>
      </c>
      <c r="J517" s="234" t="str">
        <f>'Building Bill of Materials_SLIM'!V517</f>
        <v/>
      </c>
      <c r="K517" s="192"/>
      <c r="L517" s="242"/>
      <c r="M517" s="242"/>
      <c r="N517" s="291"/>
      <c r="O517" s="291"/>
      <c r="P517" s="291"/>
      <c r="Q517" s="291"/>
      <c r="R517" s="291"/>
      <c r="S517" s="291"/>
      <c r="T517" s="291"/>
      <c r="U517" s="291"/>
      <c r="V517" s="291"/>
      <c r="W517" s="291"/>
      <c r="X517" s="291"/>
      <c r="Y517" s="291"/>
      <c r="Z517" s="291"/>
      <c r="AA517" s="291"/>
      <c r="AB517" s="291"/>
      <c r="AC517" s="291"/>
      <c r="AD517" s="291"/>
      <c r="AE517" s="291"/>
      <c r="AF517" s="291"/>
      <c r="AG517" s="291"/>
    </row>
    <row r="518" ht="18.75" customHeight="1">
      <c r="A518" s="283"/>
      <c r="B518" s="234" t="str">
        <f>'Building Bill of Materials_SLIM'!P518</f>
        <v/>
      </c>
      <c r="C518" s="234" t="str">
        <f>'Building Bill of Materials_SLIM'!Q518</f>
        <v/>
      </c>
      <c r="D518" s="234" t="str">
        <f>'Building Bill of Materials_SLIM'!R518</f>
        <v/>
      </c>
      <c r="E518" s="234" t="str">
        <f>'Building Bill of Materials_SLIM'!S518</f>
        <v/>
      </c>
      <c r="F518" s="234"/>
      <c r="G518" s="234"/>
      <c r="H518" s="234" t="str">
        <f>'Building Bill of Materials_SLIM'!T518</f>
        <v/>
      </c>
      <c r="I518" s="234" t="str">
        <f>'Building Bill of Materials_SLIM'!U518</f>
        <v/>
      </c>
      <c r="J518" s="234" t="str">
        <f>'Building Bill of Materials_SLIM'!V518</f>
        <v/>
      </c>
      <c r="K518" s="192"/>
      <c r="L518" s="242"/>
      <c r="M518" s="242"/>
      <c r="N518" s="291"/>
      <c r="O518" s="291"/>
      <c r="P518" s="291"/>
      <c r="Q518" s="291"/>
      <c r="R518" s="291"/>
      <c r="S518" s="291"/>
      <c r="T518" s="291"/>
      <c r="U518" s="291"/>
      <c r="V518" s="291"/>
      <c r="W518" s="291"/>
      <c r="X518" s="291"/>
      <c r="Y518" s="291"/>
      <c r="Z518" s="291"/>
      <c r="AA518" s="291"/>
      <c r="AB518" s="291"/>
      <c r="AC518" s="291"/>
      <c r="AD518" s="291"/>
      <c r="AE518" s="291"/>
      <c r="AF518" s="291"/>
      <c r="AG518" s="291"/>
    </row>
    <row r="519" ht="18.75" customHeight="1">
      <c r="A519" s="283"/>
      <c r="B519" s="234" t="str">
        <f>'Building Bill of Materials_SLIM'!P519</f>
        <v/>
      </c>
      <c r="C519" s="234" t="str">
        <f>'Building Bill of Materials_SLIM'!Q519</f>
        <v/>
      </c>
      <c r="D519" s="234" t="str">
        <f>'Building Bill of Materials_SLIM'!R519</f>
        <v/>
      </c>
      <c r="E519" s="234" t="str">
        <f>'Building Bill of Materials_SLIM'!S519</f>
        <v/>
      </c>
      <c r="F519" s="234"/>
      <c r="G519" s="234"/>
      <c r="H519" s="234" t="str">
        <f>'Building Bill of Materials_SLIM'!T519</f>
        <v/>
      </c>
      <c r="I519" s="234" t="str">
        <f>'Building Bill of Materials_SLIM'!U519</f>
        <v/>
      </c>
      <c r="J519" s="234" t="str">
        <f>'Building Bill of Materials_SLIM'!V519</f>
        <v/>
      </c>
      <c r="K519" s="192"/>
      <c r="L519" s="242"/>
      <c r="M519" s="242"/>
      <c r="N519" s="291"/>
      <c r="O519" s="291"/>
      <c r="P519" s="291"/>
      <c r="Q519" s="291"/>
      <c r="R519" s="291"/>
      <c r="S519" s="291"/>
      <c r="T519" s="291"/>
      <c r="U519" s="291"/>
      <c r="V519" s="291"/>
      <c r="W519" s="291"/>
      <c r="X519" s="291"/>
      <c r="Y519" s="291"/>
      <c r="Z519" s="291"/>
      <c r="AA519" s="291"/>
      <c r="AB519" s="291"/>
      <c r="AC519" s="291"/>
      <c r="AD519" s="291"/>
      <c r="AE519" s="291"/>
      <c r="AF519" s="291"/>
      <c r="AG519" s="291"/>
    </row>
    <row r="520" ht="18.75" customHeight="1">
      <c r="A520" s="283"/>
      <c r="B520" s="234" t="str">
        <f>'Building Bill of Materials_SLIM'!P520</f>
        <v/>
      </c>
      <c r="C520" s="234" t="str">
        <f>'Building Bill of Materials_SLIM'!Q520</f>
        <v/>
      </c>
      <c r="D520" s="234" t="str">
        <f>'Building Bill of Materials_SLIM'!R520</f>
        <v/>
      </c>
      <c r="E520" s="234" t="str">
        <f>'Building Bill of Materials_SLIM'!S520</f>
        <v/>
      </c>
      <c r="F520" s="234"/>
      <c r="G520" s="234"/>
      <c r="H520" s="234" t="str">
        <f>'Building Bill of Materials_SLIM'!T520</f>
        <v/>
      </c>
      <c r="I520" s="234" t="str">
        <f>'Building Bill of Materials_SLIM'!U520</f>
        <v/>
      </c>
      <c r="J520" s="234" t="str">
        <f>'Building Bill of Materials_SLIM'!V520</f>
        <v/>
      </c>
      <c r="K520" s="192"/>
      <c r="L520" s="242"/>
      <c r="M520" s="242"/>
      <c r="N520" s="291"/>
      <c r="O520" s="291"/>
      <c r="P520" s="291"/>
      <c r="Q520" s="291"/>
      <c r="R520" s="291"/>
      <c r="S520" s="291"/>
      <c r="T520" s="291"/>
      <c r="U520" s="291"/>
      <c r="V520" s="291"/>
      <c r="W520" s="291"/>
      <c r="X520" s="291"/>
      <c r="Y520" s="291"/>
      <c r="Z520" s="291"/>
      <c r="AA520" s="291"/>
      <c r="AB520" s="291"/>
      <c r="AC520" s="291"/>
      <c r="AD520" s="291"/>
      <c r="AE520" s="291"/>
      <c r="AF520" s="291"/>
      <c r="AG520" s="291"/>
    </row>
    <row r="521" ht="18.75" customHeight="1">
      <c r="A521" s="283"/>
      <c r="B521" s="234" t="str">
        <f>'Building Bill of Materials_SLIM'!P521</f>
        <v/>
      </c>
      <c r="C521" s="234" t="str">
        <f>'Building Bill of Materials_SLIM'!Q521</f>
        <v/>
      </c>
      <c r="D521" s="234" t="str">
        <f>'Building Bill of Materials_SLIM'!R521</f>
        <v/>
      </c>
      <c r="E521" s="234" t="str">
        <f>'Building Bill of Materials_SLIM'!S521</f>
        <v/>
      </c>
      <c r="F521" s="234"/>
      <c r="G521" s="234"/>
      <c r="H521" s="234" t="str">
        <f>'Building Bill of Materials_SLIM'!T521</f>
        <v/>
      </c>
      <c r="I521" s="234" t="str">
        <f>'Building Bill of Materials_SLIM'!U521</f>
        <v/>
      </c>
      <c r="J521" s="234" t="str">
        <f>'Building Bill of Materials_SLIM'!V521</f>
        <v/>
      </c>
      <c r="K521" s="192"/>
      <c r="L521" s="242"/>
      <c r="M521" s="242"/>
      <c r="N521" s="291"/>
      <c r="O521" s="291"/>
      <c r="P521" s="291"/>
      <c r="Q521" s="291"/>
      <c r="R521" s="291"/>
      <c r="S521" s="291"/>
      <c r="T521" s="291"/>
      <c r="U521" s="291"/>
      <c r="V521" s="291"/>
      <c r="W521" s="291"/>
      <c r="X521" s="291"/>
      <c r="Y521" s="291"/>
      <c r="Z521" s="291"/>
      <c r="AA521" s="291"/>
      <c r="AB521" s="291"/>
      <c r="AC521" s="291"/>
      <c r="AD521" s="291"/>
      <c r="AE521" s="291"/>
      <c r="AF521" s="291"/>
      <c r="AG521" s="291"/>
    </row>
    <row r="522" ht="18.75" customHeight="1">
      <c r="A522" s="283"/>
      <c r="B522" s="234" t="str">
        <f>'Building Bill of Materials_SLIM'!P522</f>
        <v/>
      </c>
      <c r="C522" s="234" t="str">
        <f>'Building Bill of Materials_SLIM'!Q522</f>
        <v/>
      </c>
      <c r="D522" s="234" t="str">
        <f>'Building Bill of Materials_SLIM'!R522</f>
        <v/>
      </c>
      <c r="E522" s="234" t="str">
        <f>'Building Bill of Materials_SLIM'!S522</f>
        <v/>
      </c>
      <c r="F522" s="234"/>
      <c r="G522" s="234"/>
      <c r="H522" s="234" t="str">
        <f>'Building Bill of Materials_SLIM'!T522</f>
        <v/>
      </c>
      <c r="I522" s="234" t="str">
        <f>'Building Bill of Materials_SLIM'!U522</f>
        <v/>
      </c>
      <c r="J522" s="234" t="str">
        <f>'Building Bill of Materials_SLIM'!V522</f>
        <v/>
      </c>
      <c r="K522" s="192"/>
      <c r="L522" s="242"/>
      <c r="M522" s="242"/>
      <c r="N522" s="291"/>
      <c r="O522" s="291"/>
      <c r="P522" s="291"/>
      <c r="Q522" s="291"/>
      <c r="R522" s="291"/>
      <c r="S522" s="291"/>
      <c r="T522" s="291"/>
      <c r="U522" s="291"/>
      <c r="V522" s="291"/>
      <c r="W522" s="291"/>
      <c r="X522" s="291"/>
      <c r="Y522" s="291"/>
      <c r="Z522" s="291"/>
      <c r="AA522" s="291"/>
      <c r="AB522" s="291"/>
      <c r="AC522" s="291"/>
      <c r="AD522" s="291"/>
      <c r="AE522" s="291"/>
      <c r="AF522" s="291"/>
      <c r="AG522" s="291"/>
    </row>
    <row r="523" ht="18.75" customHeight="1">
      <c r="A523" s="283"/>
      <c r="B523" s="234" t="str">
        <f>'Building Bill of Materials_SLIM'!P523</f>
        <v/>
      </c>
      <c r="C523" s="234" t="str">
        <f>'Building Bill of Materials_SLIM'!Q523</f>
        <v/>
      </c>
      <c r="D523" s="234" t="str">
        <f>'Building Bill of Materials_SLIM'!R523</f>
        <v/>
      </c>
      <c r="E523" s="234" t="str">
        <f>'Building Bill of Materials_SLIM'!S523</f>
        <v/>
      </c>
      <c r="F523" s="234"/>
      <c r="G523" s="234"/>
      <c r="H523" s="234" t="str">
        <f>'Building Bill of Materials_SLIM'!T523</f>
        <v/>
      </c>
      <c r="I523" s="234" t="str">
        <f>'Building Bill of Materials_SLIM'!U523</f>
        <v/>
      </c>
      <c r="J523" s="234" t="str">
        <f>'Building Bill of Materials_SLIM'!V523</f>
        <v/>
      </c>
      <c r="K523" s="192"/>
      <c r="L523" s="242"/>
      <c r="M523" s="242"/>
      <c r="N523" s="291"/>
      <c r="O523" s="291"/>
      <c r="P523" s="291"/>
      <c r="Q523" s="291"/>
      <c r="R523" s="291"/>
      <c r="S523" s="291"/>
      <c r="T523" s="291"/>
      <c r="U523" s="291"/>
      <c r="V523" s="291"/>
      <c r="W523" s="291"/>
      <c r="X523" s="291"/>
      <c r="Y523" s="291"/>
      <c r="Z523" s="291"/>
      <c r="AA523" s="291"/>
      <c r="AB523" s="291"/>
      <c r="AC523" s="291"/>
      <c r="AD523" s="291"/>
      <c r="AE523" s="291"/>
      <c r="AF523" s="291"/>
      <c r="AG523" s="291"/>
    </row>
    <row r="524" ht="18.75" customHeight="1">
      <c r="A524" s="283"/>
      <c r="B524" s="234" t="str">
        <f>'Building Bill of Materials_SLIM'!P524</f>
        <v/>
      </c>
      <c r="C524" s="234" t="str">
        <f>'Building Bill of Materials_SLIM'!Q524</f>
        <v/>
      </c>
      <c r="D524" s="234" t="str">
        <f>'Building Bill of Materials_SLIM'!R524</f>
        <v/>
      </c>
      <c r="E524" s="234" t="str">
        <f>'Building Bill of Materials_SLIM'!S524</f>
        <v/>
      </c>
      <c r="F524" s="234"/>
      <c r="G524" s="234"/>
      <c r="H524" s="234" t="str">
        <f>'Building Bill of Materials_SLIM'!T524</f>
        <v/>
      </c>
      <c r="I524" s="234" t="str">
        <f>'Building Bill of Materials_SLIM'!U524</f>
        <v/>
      </c>
      <c r="J524" s="234" t="str">
        <f>'Building Bill of Materials_SLIM'!V524</f>
        <v/>
      </c>
      <c r="K524" s="192"/>
      <c r="L524" s="242"/>
      <c r="M524" s="242"/>
      <c r="N524" s="291"/>
      <c r="O524" s="291"/>
      <c r="P524" s="291"/>
      <c r="Q524" s="291"/>
      <c r="R524" s="291"/>
      <c r="S524" s="291"/>
      <c r="T524" s="291"/>
      <c r="U524" s="291"/>
      <c r="V524" s="291"/>
      <c r="W524" s="291"/>
      <c r="X524" s="291"/>
      <c r="Y524" s="291"/>
      <c r="Z524" s="291"/>
      <c r="AA524" s="291"/>
      <c r="AB524" s="291"/>
      <c r="AC524" s="291"/>
      <c r="AD524" s="291"/>
      <c r="AE524" s="291"/>
      <c r="AF524" s="291"/>
      <c r="AG524" s="291"/>
    </row>
    <row r="525" ht="18.75" customHeight="1">
      <c r="A525" s="283"/>
      <c r="B525" s="234" t="str">
        <f>'Building Bill of Materials_SLIM'!P525</f>
        <v/>
      </c>
      <c r="C525" s="234" t="str">
        <f>'Building Bill of Materials_SLIM'!Q525</f>
        <v/>
      </c>
      <c r="D525" s="234" t="str">
        <f>'Building Bill of Materials_SLIM'!R525</f>
        <v/>
      </c>
      <c r="E525" s="234" t="str">
        <f>'Building Bill of Materials_SLIM'!S525</f>
        <v/>
      </c>
      <c r="F525" s="234"/>
      <c r="G525" s="234"/>
      <c r="H525" s="234" t="str">
        <f>'Building Bill of Materials_SLIM'!T525</f>
        <v/>
      </c>
      <c r="I525" s="234" t="str">
        <f>'Building Bill of Materials_SLIM'!U525</f>
        <v/>
      </c>
      <c r="J525" s="234" t="str">
        <f>'Building Bill of Materials_SLIM'!V525</f>
        <v/>
      </c>
      <c r="K525" s="192"/>
      <c r="L525" s="242"/>
      <c r="M525" s="242"/>
      <c r="N525" s="291"/>
      <c r="O525" s="291"/>
      <c r="P525" s="291"/>
      <c r="Q525" s="291"/>
      <c r="R525" s="291"/>
      <c r="S525" s="291"/>
      <c r="T525" s="291"/>
      <c r="U525" s="291"/>
      <c r="V525" s="291"/>
      <c r="W525" s="291"/>
      <c r="X525" s="291"/>
      <c r="Y525" s="291"/>
      <c r="Z525" s="291"/>
      <c r="AA525" s="291"/>
      <c r="AB525" s="291"/>
      <c r="AC525" s="291"/>
      <c r="AD525" s="291"/>
      <c r="AE525" s="291"/>
      <c r="AF525" s="291"/>
      <c r="AG525" s="291"/>
    </row>
    <row r="526" ht="18.75" customHeight="1">
      <c r="A526" s="283"/>
      <c r="B526" s="234" t="str">
        <f>'Building Bill of Materials_SLIM'!P526</f>
        <v/>
      </c>
      <c r="C526" s="234" t="str">
        <f>'Building Bill of Materials_SLIM'!Q526</f>
        <v/>
      </c>
      <c r="D526" s="234" t="str">
        <f>'Building Bill of Materials_SLIM'!R526</f>
        <v/>
      </c>
      <c r="E526" s="234" t="str">
        <f>'Building Bill of Materials_SLIM'!S526</f>
        <v/>
      </c>
      <c r="F526" s="234"/>
      <c r="G526" s="234"/>
      <c r="H526" s="234" t="str">
        <f>'Building Bill of Materials_SLIM'!T526</f>
        <v/>
      </c>
      <c r="I526" s="234" t="str">
        <f>'Building Bill of Materials_SLIM'!U526</f>
        <v/>
      </c>
      <c r="J526" s="234" t="str">
        <f>'Building Bill of Materials_SLIM'!V526</f>
        <v/>
      </c>
      <c r="K526" s="192"/>
      <c r="L526" s="242"/>
      <c r="M526" s="242"/>
      <c r="N526" s="291"/>
      <c r="O526" s="291"/>
      <c r="P526" s="291"/>
      <c r="Q526" s="291"/>
      <c r="R526" s="291"/>
      <c r="S526" s="291"/>
      <c r="T526" s="291"/>
      <c r="U526" s="291"/>
      <c r="V526" s="291"/>
      <c r="W526" s="291"/>
      <c r="X526" s="291"/>
      <c r="Y526" s="291"/>
      <c r="Z526" s="291"/>
      <c r="AA526" s="291"/>
      <c r="AB526" s="291"/>
      <c r="AC526" s="291"/>
      <c r="AD526" s="291"/>
      <c r="AE526" s="291"/>
      <c r="AF526" s="291"/>
      <c r="AG526" s="291"/>
    </row>
    <row r="527" ht="18.75" customHeight="1">
      <c r="A527" s="283"/>
      <c r="B527" s="234" t="str">
        <f>'Building Bill of Materials_SLIM'!P527</f>
        <v/>
      </c>
      <c r="C527" s="234" t="str">
        <f>'Building Bill of Materials_SLIM'!Q527</f>
        <v/>
      </c>
      <c r="D527" s="234" t="str">
        <f>'Building Bill of Materials_SLIM'!R527</f>
        <v/>
      </c>
      <c r="E527" s="234" t="str">
        <f>'Building Bill of Materials_SLIM'!S527</f>
        <v/>
      </c>
      <c r="F527" s="234"/>
      <c r="G527" s="234"/>
      <c r="H527" s="234" t="str">
        <f>'Building Bill of Materials_SLIM'!T527</f>
        <v/>
      </c>
      <c r="I527" s="234" t="str">
        <f>'Building Bill of Materials_SLIM'!U527</f>
        <v/>
      </c>
      <c r="J527" s="234" t="str">
        <f>'Building Bill of Materials_SLIM'!V527</f>
        <v/>
      </c>
      <c r="K527" s="192"/>
      <c r="L527" s="242"/>
      <c r="M527" s="242"/>
      <c r="N527" s="291"/>
      <c r="O527" s="291"/>
      <c r="P527" s="291"/>
      <c r="Q527" s="291"/>
      <c r="R527" s="291"/>
      <c r="S527" s="291"/>
      <c r="T527" s="291"/>
      <c r="U527" s="291"/>
      <c r="V527" s="291"/>
      <c r="W527" s="291"/>
      <c r="X527" s="291"/>
      <c r="Y527" s="291"/>
      <c r="Z527" s="291"/>
      <c r="AA527" s="291"/>
      <c r="AB527" s="291"/>
      <c r="AC527" s="291"/>
      <c r="AD527" s="291"/>
      <c r="AE527" s="291"/>
      <c r="AF527" s="291"/>
      <c r="AG527" s="291"/>
    </row>
    <row r="528" ht="18.75" customHeight="1">
      <c r="A528" s="283"/>
      <c r="B528" s="234" t="str">
        <f>'Building Bill of Materials_SLIM'!P528</f>
        <v/>
      </c>
      <c r="C528" s="234" t="str">
        <f>'Building Bill of Materials_SLIM'!Q528</f>
        <v/>
      </c>
      <c r="D528" s="234" t="str">
        <f>'Building Bill of Materials_SLIM'!R528</f>
        <v/>
      </c>
      <c r="E528" s="234" t="str">
        <f>'Building Bill of Materials_SLIM'!S528</f>
        <v/>
      </c>
      <c r="F528" s="234"/>
      <c r="G528" s="234"/>
      <c r="H528" s="234" t="str">
        <f>'Building Bill of Materials_SLIM'!T528</f>
        <v/>
      </c>
      <c r="I528" s="234" t="str">
        <f>'Building Bill of Materials_SLIM'!U528</f>
        <v/>
      </c>
      <c r="J528" s="234" t="str">
        <f>'Building Bill of Materials_SLIM'!V528</f>
        <v/>
      </c>
      <c r="K528" s="192"/>
      <c r="L528" s="242"/>
      <c r="M528" s="242"/>
      <c r="N528" s="291"/>
      <c r="O528" s="291"/>
      <c r="P528" s="291"/>
      <c r="Q528" s="291"/>
      <c r="R528" s="291"/>
      <c r="S528" s="291"/>
      <c r="T528" s="291"/>
      <c r="U528" s="291"/>
      <c r="V528" s="291"/>
      <c r="W528" s="291"/>
      <c r="X528" s="291"/>
      <c r="Y528" s="291"/>
      <c r="Z528" s="291"/>
      <c r="AA528" s="291"/>
      <c r="AB528" s="291"/>
      <c r="AC528" s="291"/>
      <c r="AD528" s="291"/>
      <c r="AE528" s="291"/>
      <c r="AF528" s="291"/>
      <c r="AG528" s="291"/>
    </row>
    <row r="529" ht="18.75" customHeight="1">
      <c r="A529" s="283"/>
      <c r="B529" s="234" t="str">
        <f>'Building Bill of Materials_SLIM'!P529</f>
        <v/>
      </c>
      <c r="C529" s="234" t="str">
        <f>'Building Bill of Materials_SLIM'!Q529</f>
        <v/>
      </c>
      <c r="D529" s="234" t="str">
        <f>'Building Bill of Materials_SLIM'!R529</f>
        <v/>
      </c>
      <c r="E529" s="234" t="str">
        <f>'Building Bill of Materials_SLIM'!S529</f>
        <v/>
      </c>
      <c r="F529" s="234"/>
      <c r="G529" s="234"/>
      <c r="H529" s="234" t="str">
        <f>'Building Bill of Materials_SLIM'!T529</f>
        <v/>
      </c>
      <c r="I529" s="234" t="str">
        <f>'Building Bill of Materials_SLIM'!U529</f>
        <v/>
      </c>
      <c r="J529" s="234" t="str">
        <f>'Building Bill of Materials_SLIM'!V529</f>
        <v/>
      </c>
      <c r="K529" s="192"/>
      <c r="L529" s="242"/>
      <c r="M529" s="242"/>
      <c r="N529" s="291"/>
      <c r="O529" s="291"/>
      <c r="P529" s="291"/>
      <c r="Q529" s="291"/>
      <c r="R529" s="291"/>
      <c r="S529" s="291"/>
      <c r="T529" s="291"/>
      <c r="U529" s="291"/>
      <c r="V529" s="291"/>
      <c r="W529" s="291"/>
      <c r="X529" s="291"/>
      <c r="Y529" s="291"/>
      <c r="Z529" s="291"/>
      <c r="AA529" s="291"/>
      <c r="AB529" s="291"/>
      <c r="AC529" s="291"/>
      <c r="AD529" s="291"/>
      <c r="AE529" s="291"/>
      <c r="AF529" s="291"/>
      <c r="AG529" s="291"/>
    </row>
    <row r="530" ht="18.75" customHeight="1">
      <c r="A530" s="283"/>
      <c r="B530" s="234" t="str">
        <f>'Building Bill of Materials_SLIM'!P530</f>
        <v/>
      </c>
      <c r="C530" s="234" t="str">
        <f>'Building Bill of Materials_SLIM'!Q530</f>
        <v/>
      </c>
      <c r="D530" s="234" t="str">
        <f>'Building Bill of Materials_SLIM'!R530</f>
        <v/>
      </c>
      <c r="E530" s="234" t="str">
        <f>'Building Bill of Materials_SLIM'!S530</f>
        <v/>
      </c>
      <c r="F530" s="234"/>
      <c r="G530" s="234"/>
      <c r="H530" s="234" t="str">
        <f>'Building Bill of Materials_SLIM'!T530</f>
        <v/>
      </c>
      <c r="I530" s="234" t="str">
        <f>'Building Bill of Materials_SLIM'!U530</f>
        <v/>
      </c>
      <c r="J530" s="234" t="str">
        <f>'Building Bill of Materials_SLIM'!V530</f>
        <v/>
      </c>
      <c r="K530" s="192"/>
      <c r="L530" s="242"/>
      <c r="M530" s="242"/>
      <c r="N530" s="291"/>
      <c r="O530" s="291"/>
      <c r="P530" s="291"/>
      <c r="Q530" s="291"/>
      <c r="R530" s="291"/>
      <c r="S530" s="291"/>
      <c r="T530" s="291"/>
      <c r="U530" s="291"/>
      <c r="V530" s="291"/>
      <c r="W530" s="291"/>
      <c r="X530" s="291"/>
      <c r="Y530" s="291"/>
      <c r="Z530" s="291"/>
      <c r="AA530" s="291"/>
      <c r="AB530" s="291"/>
      <c r="AC530" s="291"/>
      <c r="AD530" s="291"/>
      <c r="AE530" s="291"/>
      <c r="AF530" s="291"/>
      <c r="AG530" s="291"/>
    </row>
    <row r="531" ht="18.75" customHeight="1">
      <c r="A531" s="283"/>
      <c r="B531" s="234" t="str">
        <f>'Building Bill of Materials_SLIM'!P531</f>
        <v/>
      </c>
      <c r="C531" s="234" t="str">
        <f>'Building Bill of Materials_SLIM'!Q531</f>
        <v/>
      </c>
      <c r="D531" s="234" t="str">
        <f>'Building Bill of Materials_SLIM'!R531</f>
        <v/>
      </c>
      <c r="E531" s="234" t="str">
        <f>'Building Bill of Materials_SLIM'!S531</f>
        <v/>
      </c>
      <c r="F531" s="234"/>
      <c r="G531" s="234"/>
      <c r="H531" s="234" t="str">
        <f>'Building Bill of Materials_SLIM'!T531</f>
        <v/>
      </c>
      <c r="I531" s="234" t="str">
        <f>'Building Bill of Materials_SLIM'!U531</f>
        <v/>
      </c>
      <c r="J531" s="234" t="str">
        <f>'Building Bill of Materials_SLIM'!V531</f>
        <v/>
      </c>
      <c r="K531" s="192"/>
      <c r="L531" s="242"/>
      <c r="M531" s="242"/>
      <c r="N531" s="291"/>
      <c r="O531" s="291"/>
      <c r="P531" s="291"/>
      <c r="Q531" s="291"/>
      <c r="R531" s="291"/>
      <c r="S531" s="291"/>
      <c r="T531" s="291"/>
      <c r="U531" s="291"/>
      <c r="V531" s="291"/>
      <c r="W531" s="291"/>
      <c r="X531" s="291"/>
      <c r="Y531" s="291"/>
      <c r="Z531" s="291"/>
      <c r="AA531" s="291"/>
      <c r="AB531" s="291"/>
      <c r="AC531" s="291"/>
      <c r="AD531" s="291"/>
      <c r="AE531" s="291"/>
      <c r="AF531" s="291"/>
      <c r="AG531" s="291"/>
    </row>
    <row r="532" ht="18.75" customHeight="1">
      <c r="A532" s="283"/>
      <c r="B532" s="234" t="str">
        <f>'Building Bill of Materials_SLIM'!P532</f>
        <v/>
      </c>
      <c r="C532" s="234" t="str">
        <f>'Building Bill of Materials_SLIM'!Q532</f>
        <v/>
      </c>
      <c r="D532" s="234" t="str">
        <f>'Building Bill of Materials_SLIM'!R532</f>
        <v/>
      </c>
      <c r="E532" s="234" t="str">
        <f>'Building Bill of Materials_SLIM'!S532</f>
        <v/>
      </c>
      <c r="F532" s="234"/>
      <c r="G532" s="234"/>
      <c r="H532" s="234" t="str">
        <f>'Building Bill of Materials_SLIM'!T532</f>
        <v/>
      </c>
      <c r="I532" s="234" t="str">
        <f>'Building Bill of Materials_SLIM'!U532</f>
        <v/>
      </c>
      <c r="J532" s="234" t="str">
        <f>'Building Bill of Materials_SLIM'!V532</f>
        <v/>
      </c>
      <c r="K532" s="192"/>
      <c r="L532" s="242"/>
      <c r="M532" s="242"/>
      <c r="N532" s="291"/>
      <c r="O532" s="291"/>
      <c r="P532" s="291"/>
      <c r="Q532" s="291"/>
      <c r="R532" s="291"/>
      <c r="S532" s="291"/>
      <c r="T532" s="291"/>
      <c r="U532" s="291"/>
      <c r="V532" s="291"/>
      <c r="W532" s="291"/>
      <c r="X532" s="291"/>
      <c r="Y532" s="291"/>
      <c r="Z532" s="291"/>
      <c r="AA532" s="291"/>
      <c r="AB532" s="291"/>
      <c r="AC532" s="291"/>
      <c r="AD532" s="291"/>
      <c r="AE532" s="291"/>
      <c r="AF532" s="291"/>
      <c r="AG532" s="291"/>
    </row>
    <row r="533" ht="18.75" customHeight="1">
      <c r="A533" s="283"/>
      <c r="B533" s="234" t="str">
        <f>'Building Bill of Materials_SLIM'!P533</f>
        <v/>
      </c>
      <c r="C533" s="234" t="str">
        <f>'Building Bill of Materials_SLIM'!Q533</f>
        <v/>
      </c>
      <c r="D533" s="234" t="str">
        <f>'Building Bill of Materials_SLIM'!R533</f>
        <v/>
      </c>
      <c r="E533" s="234" t="str">
        <f>'Building Bill of Materials_SLIM'!S533</f>
        <v/>
      </c>
      <c r="F533" s="234"/>
      <c r="G533" s="234"/>
      <c r="H533" s="234" t="str">
        <f>'Building Bill of Materials_SLIM'!T533</f>
        <v/>
      </c>
      <c r="I533" s="234" t="str">
        <f>'Building Bill of Materials_SLIM'!U533</f>
        <v/>
      </c>
      <c r="J533" s="234" t="str">
        <f>'Building Bill of Materials_SLIM'!V533</f>
        <v/>
      </c>
      <c r="K533" s="192"/>
      <c r="L533" s="242"/>
      <c r="M533" s="242"/>
      <c r="N533" s="291"/>
      <c r="O533" s="291"/>
      <c r="P533" s="291"/>
      <c r="Q533" s="291"/>
      <c r="R533" s="291"/>
      <c r="S533" s="291"/>
      <c r="T533" s="291"/>
      <c r="U533" s="291"/>
      <c r="V533" s="291"/>
      <c r="W533" s="291"/>
      <c r="X533" s="291"/>
      <c r="Y533" s="291"/>
      <c r="Z533" s="291"/>
      <c r="AA533" s="291"/>
      <c r="AB533" s="291"/>
      <c r="AC533" s="291"/>
      <c r="AD533" s="291"/>
      <c r="AE533" s="291"/>
      <c r="AF533" s="291"/>
      <c r="AG533" s="291"/>
    </row>
    <row r="534" ht="18.75" customHeight="1">
      <c r="A534" s="283"/>
      <c r="B534" s="234" t="str">
        <f>'Building Bill of Materials_SLIM'!P534</f>
        <v/>
      </c>
      <c r="C534" s="234" t="str">
        <f>'Building Bill of Materials_SLIM'!Q534</f>
        <v/>
      </c>
      <c r="D534" s="234" t="str">
        <f>'Building Bill of Materials_SLIM'!R534</f>
        <v/>
      </c>
      <c r="E534" s="234" t="str">
        <f>'Building Bill of Materials_SLIM'!S534</f>
        <v/>
      </c>
      <c r="F534" s="234"/>
      <c r="G534" s="234"/>
      <c r="H534" s="234" t="str">
        <f>'Building Bill of Materials_SLIM'!T534</f>
        <v/>
      </c>
      <c r="I534" s="234" t="str">
        <f>'Building Bill of Materials_SLIM'!U534</f>
        <v/>
      </c>
      <c r="J534" s="234" t="str">
        <f>'Building Bill of Materials_SLIM'!V534</f>
        <v/>
      </c>
      <c r="K534" s="192"/>
      <c r="L534" s="242"/>
      <c r="M534" s="242"/>
      <c r="N534" s="291"/>
      <c r="O534" s="291"/>
      <c r="P534" s="291"/>
      <c r="Q534" s="291"/>
      <c r="R534" s="291"/>
      <c r="S534" s="291"/>
      <c r="T534" s="291"/>
      <c r="U534" s="291"/>
      <c r="V534" s="291"/>
      <c r="W534" s="291"/>
      <c r="X534" s="291"/>
      <c r="Y534" s="291"/>
      <c r="Z534" s="291"/>
      <c r="AA534" s="291"/>
      <c r="AB534" s="291"/>
      <c r="AC534" s="291"/>
      <c r="AD534" s="291"/>
      <c r="AE534" s="291"/>
      <c r="AF534" s="291"/>
      <c r="AG534" s="291"/>
    </row>
    <row r="535" ht="18.75" customHeight="1">
      <c r="A535" s="283"/>
      <c r="B535" s="234" t="str">
        <f>'Building Bill of Materials_SLIM'!P535</f>
        <v/>
      </c>
      <c r="C535" s="234" t="str">
        <f>'Building Bill of Materials_SLIM'!Q535</f>
        <v/>
      </c>
      <c r="D535" s="234" t="str">
        <f>'Building Bill of Materials_SLIM'!R535</f>
        <v/>
      </c>
      <c r="E535" s="234" t="str">
        <f>'Building Bill of Materials_SLIM'!S535</f>
        <v/>
      </c>
      <c r="F535" s="234"/>
      <c r="G535" s="234"/>
      <c r="H535" s="234" t="str">
        <f>'Building Bill of Materials_SLIM'!T535</f>
        <v/>
      </c>
      <c r="I535" s="234" t="str">
        <f>'Building Bill of Materials_SLIM'!U535</f>
        <v/>
      </c>
      <c r="J535" s="234" t="str">
        <f>'Building Bill of Materials_SLIM'!V535</f>
        <v/>
      </c>
      <c r="K535" s="192"/>
      <c r="L535" s="242"/>
      <c r="M535" s="242"/>
      <c r="N535" s="291"/>
      <c r="O535" s="291"/>
      <c r="P535" s="291"/>
      <c r="Q535" s="291"/>
      <c r="R535" s="291"/>
      <c r="S535" s="291"/>
      <c r="T535" s="291"/>
      <c r="U535" s="291"/>
      <c r="V535" s="291"/>
      <c r="W535" s="291"/>
      <c r="X535" s="291"/>
      <c r="Y535" s="291"/>
      <c r="Z535" s="291"/>
      <c r="AA535" s="291"/>
      <c r="AB535" s="291"/>
      <c r="AC535" s="291"/>
      <c r="AD535" s="291"/>
      <c r="AE535" s="291"/>
      <c r="AF535" s="291"/>
      <c r="AG535" s="291"/>
    </row>
    <row r="536" ht="18.75" customHeight="1">
      <c r="A536" s="283"/>
      <c r="B536" s="234" t="str">
        <f>'Building Bill of Materials_SLIM'!P536</f>
        <v/>
      </c>
      <c r="C536" s="234" t="str">
        <f>'Building Bill of Materials_SLIM'!Q536</f>
        <v/>
      </c>
      <c r="D536" s="234" t="str">
        <f>'Building Bill of Materials_SLIM'!R536</f>
        <v/>
      </c>
      <c r="E536" s="234" t="str">
        <f>'Building Bill of Materials_SLIM'!S536</f>
        <v/>
      </c>
      <c r="F536" s="234"/>
      <c r="G536" s="234"/>
      <c r="H536" s="234" t="str">
        <f>'Building Bill of Materials_SLIM'!T536</f>
        <v/>
      </c>
      <c r="I536" s="234" t="str">
        <f>'Building Bill of Materials_SLIM'!U536</f>
        <v/>
      </c>
      <c r="J536" s="234" t="str">
        <f>'Building Bill of Materials_SLIM'!V536</f>
        <v/>
      </c>
      <c r="K536" s="192"/>
      <c r="L536" s="242"/>
      <c r="M536" s="242"/>
      <c r="N536" s="291"/>
      <c r="O536" s="291"/>
      <c r="P536" s="291"/>
      <c r="Q536" s="291"/>
      <c r="R536" s="291"/>
      <c r="S536" s="291"/>
      <c r="T536" s="291"/>
      <c r="U536" s="291"/>
      <c r="V536" s="291"/>
      <c r="W536" s="291"/>
      <c r="X536" s="291"/>
      <c r="Y536" s="291"/>
      <c r="Z536" s="291"/>
      <c r="AA536" s="291"/>
      <c r="AB536" s="291"/>
      <c r="AC536" s="291"/>
      <c r="AD536" s="291"/>
      <c r="AE536" s="291"/>
      <c r="AF536" s="291"/>
      <c r="AG536" s="291"/>
    </row>
    <row r="537" ht="18.75" customHeight="1">
      <c r="A537" s="283"/>
      <c r="B537" s="234" t="str">
        <f>'Building Bill of Materials_SLIM'!P537</f>
        <v/>
      </c>
      <c r="C537" s="234" t="str">
        <f>'Building Bill of Materials_SLIM'!Q537</f>
        <v/>
      </c>
      <c r="D537" s="234" t="str">
        <f>'Building Bill of Materials_SLIM'!R537</f>
        <v/>
      </c>
      <c r="E537" s="234" t="str">
        <f>'Building Bill of Materials_SLIM'!S537</f>
        <v/>
      </c>
      <c r="F537" s="234"/>
      <c r="G537" s="234"/>
      <c r="H537" s="234" t="str">
        <f>'Building Bill of Materials_SLIM'!T537</f>
        <v/>
      </c>
      <c r="I537" s="234" t="str">
        <f>'Building Bill of Materials_SLIM'!U537</f>
        <v/>
      </c>
      <c r="J537" s="234" t="str">
        <f>'Building Bill of Materials_SLIM'!V537</f>
        <v/>
      </c>
      <c r="K537" s="192"/>
      <c r="L537" s="242"/>
      <c r="M537" s="242"/>
      <c r="N537" s="291"/>
      <c r="O537" s="291"/>
      <c r="P537" s="291"/>
      <c r="Q537" s="291"/>
      <c r="R537" s="291"/>
      <c r="S537" s="291"/>
      <c r="T537" s="291"/>
      <c r="U537" s="291"/>
      <c r="V537" s="291"/>
      <c r="W537" s="291"/>
      <c r="X537" s="291"/>
      <c r="Y537" s="291"/>
      <c r="Z537" s="291"/>
      <c r="AA537" s="291"/>
      <c r="AB537" s="291"/>
      <c r="AC537" s="291"/>
      <c r="AD537" s="291"/>
      <c r="AE537" s="291"/>
      <c r="AF537" s="291"/>
      <c r="AG537" s="291"/>
    </row>
    <row r="538" ht="18.75" customHeight="1">
      <c r="A538" s="283"/>
      <c r="B538" s="234" t="str">
        <f>'Building Bill of Materials_SLIM'!P538</f>
        <v/>
      </c>
      <c r="C538" s="234" t="str">
        <f>'Building Bill of Materials_SLIM'!Q538</f>
        <v/>
      </c>
      <c r="D538" s="234" t="str">
        <f>'Building Bill of Materials_SLIM'!R538</f>
        <v/>
      </c>
      <c r="E538" s="234" t="str">
        <f>'Building Bill of Materials_SLIM'!S538</f>
        <v/>
      </c>
      <c r="F538" s="234"/>
      <c r="G538" s="234"/>
      <c r="H538" s="234" t="str">
        <f>'Building Bill of Materials_SLIM'!T538</f>
        <v/>
      </c>
      <c r="I538" s="234" t="str">
        <f>'Building Bill of Materials_SLIM'!U538</f>
        <v/>
      </c>
      <c r="J538" s="234" t="str">
        <f>'Building Bill of Materials_SLIM'!V538</f>
        <v/>
      </c>
      <c r="K538" s="192"/>
      <c r="L538" s="242"/>
      <c r="M538" s="242"/>
      <c r="N538" s="291"/>
      <c r="O538" s="291"/>
      <c r="P538" s="291"/>
      <c r="Q538" s="291"/>
      <c r="R538" s="291"/>
      <c r="S538" s="291"/>
      <c r="T538" s="291"/>
      <c r="U538" s="291"/>
      <c r="V538" s="291"/>
      <c r="W538" s="291"/>
      <c r="X538" s="291"/>
      <c r="Y538" s="291"/>
      <c r="Z538" s="291"/>
      <c r="AA538" s="291"/>
      <c r="AB538" s="291"/>
      <c r="AC538" s="291"/>
      <c r="AD538" s="291"/>
      <c r="AE538" s="291"/>
      <c r="AF538" s="291"/>
      <c r="AG538" s="291"/>
    </row>
    <row r="539" ht="18.75" customHeight="1">
      <c r="A539" s="283"/>
      <c r="B539" s="234" t="str">
        <f>'Building Bill of Materials_SLIM'!P539</f>
        <v/>
      </c>
      <c r="C539" s="234" t="str">
        <f>'Building Bill of Materials_SLIM'!Q539</f>
        <v/>
      </c>
      <c r="D539" s="234" t="str">
        <f>'Building Bill of Materials_SLIM'!R539</f>
        <v/>
      </c>
      <c r="E539" s="234" t="str">
        <f>'Building Bill of Materials_SLIM'!S539</f>
        <v/>
      </c>
      <c r="F539" s="234"/>
      <c r="G539" s="234"/>
      <c r="H539" s="234" t="str">
        <f>'Building Bill of Materials_SLIM'!T539</f>
        <v/>
      </c>
      <c r="I539" s="234" t="str">
        <f>'Building Bill of Materials_SLIM'!U539</f>
        <v/>
      </c>
      <c r="J539" s="234" t="str">
        <f>'Building Bill of Materials_SLIM'!V539</f>
        <v/>
      </c>
      <c r="K539" s="192"/>
      <c r="L539" s="242"/>
      <c r="M539" s="242"/>
      <c r="N539" s="291"/>
      <c r="O539" s="291"/>
      <c r="P539" s="291"/>
      <c r="Q539" s="291"/>
      <c r="R539" s="291"/>
      <c r="S539" s="291"/>
      <c r="T539" s="291"/>
      <c r="U539" s="291"/>
      <c r="V539" s="291"/>
      <c r="W539" s="291"/>
      <c r="X539" s="291"/>
      <c r="Y539" s="291"/>
      <c r="Z539" s="291"/>
      <c r="AA539" s="291"/>
      <c r="AB539" s="291"/>
      <c r="AC539" s="291"/>
      <c r="AD539" s="291"/>
      <c r="AE539" s="291"/>
      <c r="AF539" s="291"/>
      <c r="AG539" s="291"/>
    </row>
    <row r="540" ht="18.75" customHeight="1">
      <c r="A540" s="283"/>
      <c r="B540" s="234" t="str">
        <f>'Building Bill of Materials_SLIM'!P540</f>
        <v/>
      </c>
      <c r="C540" s="234" t="str">
        <f>'Building Bill of Materials_SLIM'!Q540</f>
        <v/>
      </c>
      <c r="D540" s="234" t="str">
        <f>'Building Bill of Materials_SLIM'!R540</f>
        <v/>
      </c>
      <c r="E540" s="234" t="str">
        <f>'Building Bill of Materials_SLIM'!S540</f>
        <v/>
      </c>
      <c r="F540" s="234"/>
      <c r="G540" s="234"/>
      <c r="H540" s="234" t="str">
        <f>'Building Bill of Materials_SLIM'!T540</f>
        <v/>
      </c>
      <c r="I540" s="234" t="str">
        <f>'Building Bill of Materials_SLIM'!U540</f>
        <v/>
      </c>
      <c r="J540" s="234" t="str">
        <f>'Building Bill of Materials_SLIM'!V540</f>
        <v/>
      </c>
      <c r="K540" s="192"/>
      <c r="L540" s="242"/>
      <c r="M540" s="242"/>
      <c r="N540" s="291"/>
      <c r="O540" s="291"/>
      <c r="P540" s="291"/>
      <c r="Q540" s="291"/>
      <c r="R540" s="291"/>
      <c r="S540" s="291"/>
      <c r="T540" s="291"/>
      <c r="U540" s="291"/>
      <c r="V540" s="291"/>
      <c r="W540" s="291"/>
      <c r="X540" s="291"/>
      <c r="Y540" s="291"/>
      <c r="Z540" s="291"/>
      <c r="AA540" s="291"/>
      <c r="AB540" s="291"/>
      <c r="AC540" s="291"/>
      <c r="AD540" s="291"/>
      <c r="AE540" s="291"/>
      <c r="AF540" s="291"/>
      <c r="AG540" s="291"/>
    </row>
    <row r="541" ht="18.75" customHeight="1">
      <c r="A541" s="283"/>
      <c r="B541" s="234" t="str">
        <f>'Building Bill of Materials_SLIM'!P541</f>
        <v/>
      </c>
      <c r="C541" s="234" t="str">
        <f>'Building Bill of Materials_SLIM'!Q541</f>
        <v/>
      </c>
      <c r="D541" s="234" t="str">
        <f>'Building Bill of Materials_SLIM'!R541</f>
        <v/>
      </c>
      <c r="E541" s="234" t="str">
        <f>'Building Bill of Materials_SLIM'!S541</f>
        <v/>
      </c>
      <c r="F541" s="234"/>
      <c r="G541" s="234"/>
      <c r="H541" s="234" t="str">
        <f>'Building Bill of Materials_SLIM'!T541</f>
        <v/>
      </c>
      <c r="I541" s="234" t="str">
        <f>'Building Bill of Materials_SLIM'!U541</f>
        <v/>
      </c>
      <c r="J541" s="234" t="str">
        <f>'Building Bill of Materials_SLIM'!V541</f>
        <v/>
      </c>
      <c r="K541" s="192"/>
      <c r="L541" s="242"/>
      <c r="M541" s="242"/>
      <c r="N541" s="291"/>
      <c r="O541" s="291"/>
      <c r="P541" s="291"/>
      <c r="Q541" s="291"/>
      <c r="R541" s="291"/>
      <c r="S541" s="291"/>
      <c r="T541" s="291"/>
      <c r="U541" s="291"/>
      <c r="V541" s="291"/>
      <c r="W541" s="291"/>
      <c r="X541" s="291"/>
      <c r="Y541" s="291"/>
      <c r="Z541" s="291"/>
      <c r="AA541" s="291"/>
      <c r="AB541" s="291"/>
      <c r="AC541" s="291"/>
      <c r="AD541" s="291"/>
      <c r="AE541" s="291"/>
      <c r="AF541" s="291"/>
      <c r="AG541" s="291"/>
    </row>
    <row r="542" ht="18.75" customHeight="1">
      <c r="A542" s="283"/>
      <c r="B542" s="234" t="str">
        <f>'Building Bill of Materials_SLIM'!P542</f>
        <v/>
      </c>
      <c r="C542" s="234" t="str">
        <f>'Building Bill of Materials_SLIM'!Q542</f>
        <v/>
      </c>
      <c r="D542" s="234" t="str">
        <f>'Building Bill of Materials_SLIM'!R542</f>
        <v/>
      </c>
      <c r="E542" s="234" t="str">
        <f>'Building Bill of Materials_SLIM'!S542</f>
        <v/>
      </c>
      <c r="F542" s="234"/>
      <c r="G542" s="234"/>
      <c r="H542" s="234" t="str">
        <f>'Building Bill of Materials_SLIM'!T542</f>
        <v/>
      </c>
      <c r="I542" s="234" t="str">
        <f>'Building Bill of Materials_SLIM'!U542</f>
        <v/>
      </c>
      <c r="J542" s="234" t="str">
        <f>'Building Bill of Materials_SLIM'!V542</f>
        <v/>
      </c>
      <c r="K542" s="192"/>
      <c r="L542" s="242"/>
      <c r="M542" s="242"/>
      <c r="N542" s="291"/>
      <c r="O542" s="291"/>
      <c r="P542" s="291"/>
      <c r="Q542" s="291"/>
      <c r="R542" s="291"/>
      <c r="S542" s="291"/>
      <c r="T542" s="291"/>
      <c r="U542" s="291"/>
      <c r="V542" s="291"/>
      <c r="W542" s="291"/>
      <c r="X542" s="291"/>
      <c r="Y542" s="291"/>
      <c r="Z542" s="291"/>
      <c r="AA542" s="291"/>
      <c r="AB542" s="291"/>
      <c r="AC542" s="291"/>
      <c r="AD542" s="291"/>
      <c r="AE542" s="291"/>
      <c r="AF542" s="291"/>
      <c r="AG542" s="291"/>
    </row>
    <row r="543" ht="18.75" customHeight="1">
      <c r="A543" s="283"/>
      <c r="B543" s="234" t="str">
        <f>'Building Bill of Materials_SLIM'!P543</f>
        <v/>
      </c>
      <c r="C543" s="234" t="str">
        <f>'Building Bill of Materials_SLIM'!Q543</f>
        <v/>
      </c>
      <c r="D543" s="234" t="str">
        <f>'Building Bill of Materials_SLIM'!R543</f>
        <v/>
      </c>
      <c r="E543" s="234" t="str">
        <f>'Building Bill of Materials_SLIM'!S543</f>
        <v/>
      </c>
      <c r="F543" s="234"/>
      <c r="G543" s="234"/>
      <c r="H543" s="234" t="str">
        <f>'Building Bill of Materials_SLIM'!T543</f>
        <v/>
      </c>
      <c r="I543" s="234" t="str">
        <f>'Building Bill of Materials_SLIM'!U543</f>
        <v/>
      </c>
      <c r="J543" s="234" t="str">
        <f>'Building Bill of Materials_SLIM'!V543</f>
        <v/>
      </c>
      <c r="K543" s="192"/>
      <c r="L543" s="242"/>
      <c r="M543" s="242"/>
      <c r="N543" s="291"/>
      <c r="O543" s="291"/>
      <c r="P543" s="291"/>
      <c r="Q543" s="291"/>
      <c r="R543" s="291"/>
      <c r="S543" s="291"/>
      <c r="T543" s="291"/>
      <c r="U543" s="291"/>
      <c r="V543" s="291"/>
      <c r="W543" s="291"/>
      <c r="X543" s="291"/>
      <c r="Y543" s="291"/>
      <c r="Z543" s="291"/>
      <c r="AA543" s="291"/>
      <c r="AB543" s="291"/>
      <c r="AC543" s="291"/>
      <c r="AD543" s="291"/>
      <c r="AE543" s="291"/>
      <c r="AF543" s="291"/>
      <c r="AG543" s="291"/>
    </row>
    <row r="544" ht="18.75" customHeight="1">
      <c r="A544" s="283"/>
      <c r="B544" s="234" t="str">
        <f>'Building Bill of Materials_SLIM'!P544</f>
        <v/>
      </c>
      <c r="C544" s="234" t="str">
        <f>'Building Bill of Materials_SLIM'!Q544</f>
        <v/>
      </c>
      <c r="D544" s="234" t="str">
        <f>'Building Bill of Materials_SLIM'!R544</f>
        <v/>
      </c>
      <c r="E544" s="234" t="str">
        <f>'Building Bill of Materials_SLIM'!S544</f>
        <v/>
      </c>
      <c r="F544" s="234"/>
      <c r="G544" s="234"/>
      <c r="H544" s="234" t="str">
        <f>'Building Bill of Materials_SLIM'!T544</f>
        <v/>
      </c>
      <c r="I544" s="234" t="str">
        <f>'Building Bill of Materials_SLIM'!U544</f>
        <v/>
      </c>
      <c r="J544" s="234" t="str">
        <f>'Building Bill of Materials_SLIM'!V544</f>
        <v/>
      </c>
      <c r="K544" s="192"/>
      <c r="L544" s="242"/>
      <c r="M544" s="242"/>
      <c r="N544" s="291"/>
      <c r="O544" s="291"/>
      <c r="P544" s="291"/>
      <c r="Q544" s="291"/>
      <c r="R544" s="291"/>
      <c r="S544" s="291"/>
      <c r="T544" s="291"/>
      <c r="U544" s="291"/>
      <c r="V544" s="291"/>
      <c r="W544" s="291"/>
      <c r="X544" s="291"/>
      <c r="Y544" s="291"/>
      <c r="Z544" s="291"/>
      <c r="AA544" s="291"/>
      <c r="AB544" s="291"/>
      <c r="AC544" s="291"/>
      <c r="AD544" s="291"/>
      <c r="AE544" s="291"/>
      <c r="AF544" s="291"/>
      <c r="AG544" s="291"/>
    </row>
    <row r="545" ht="18.75" customHeight="1">
      <c r="A545" s="283"/>
      <c r="B545" s="234" t="str">
        <f>'Building Bill of Materials_SLIM'!P545</f>
        <v/>
      </c>
      <c r="C545" s="234" t="str">
        <f>'Building Bill of Materials_SLIM'!Q545</f>
        <v/>
      </c>
      <c r="D545" s="234" t="str">
        <f>'Building Bill of Materials_SLIM'!R545</f>
        <v/>
      </c>
      <c r="E545" s="234" t="str">
        <f>'Building Bill of Materials_SLIM'!S545</f>
        <v/>
      </c>
      <c r="F545" s="234"/>
      <c r="G545" s="234"/>
      <c r="H545" s="234" t="str">
        <f>'Building Bill of Materials_SLIM'!T545</f>
        <v/>
      </c>
      <c r="I545" s="234" t="str">
        <f>'Building Bill of Materials_SLIM'!U545</f>
        <v/>
      </c>
      <c r="J545" s="234" t="str">
        <f>'Building Bill of Materials_SLIM'!V545</f>
        <v/>
      </c>
      <c r="K545" s="192"/>
      <c r="L545" s="242"/>
      <c r="M545" s="242"/>
      <c r="N545" s="291"/>
      <c r="O545" s="291"/>
      <c r="P545" s="291"/>
      <c r="Q545" s="291"/>
      <c r="R545" s="291"/>
      <c r="S545" s="291"/>
      <c r="T545" s="291"/>
      <c r="U545" s="291"/>
      <c r="V545" s="291"/>
      <c r="W545" s="291"/>
      <c r="X545" s="291"/>
      <c r="Y545" s="291"/>
      <c r="Z545" s="291"/>
      <c r="AA545" s="291"/>
      <c r="AB545" s="291"/>
      <c r="AC545" s="291"/>
      <c r="AD545" s="291"/>
      <c r="AE545" s="291"/>
      <c r="AF545" s="291"/>
      <c r="AG545" s="291"/>
    </row>
    <row r="546" ht="18.75" customHeight="1">
      <c r="A546" s="283"/>
      <c r="B546" s="234" t="str">
        <f>'Building Bill of Materials_SLIM'!P546</f>
        <v/>
      </c>
      <c r="C546" s="234" t="str">
        <f>'Building Bill of Materials_SLIM'!Q546</f>
        <v/>
      </c>
      <c r="D546" s="234" t="str">
        <f>'Building Bill of Materials_SLIM'!R546</f>
        <v/>
      </c>
      <c r="E546" s="234" t="str">
        <f>'Building Bill of Materials_SLIM'!S546</f>
        <v/>
      </c>
      <c r="F546" s="234"/>
      <c r="G546" s="234"/>
      <c r="H546" s="234" t="str">
        <f>'Building Bill of Materials_SLIM'!T546</f>
        <v/>
      </c>
      <c r="I546" s="234" t="str">
        <f>'Building Bill of Materials_SLIM'!U546</f>
        <v/>
      </c>
      <c r="J546" s="234" t="str">
        <f>'Building Bill of Materials_SLIM'!V546</f>
        <v/>
      </c>
      <c r="K546" s="192"/>
      <c r="L546" s="242"/>
      <c r="M546" s="242"/>
      <c r="N546" s="291"/>
      <c r="O546" s="291"/>
      <c r="P546" s="291"/>
      <c r="Q546" s="291"/>
      <c r="R546" s="291"/>
      <c r="S546" s="291"/>
      <c r="T546" s="291"/>
      <c r="U546" s="291"/>
      <c r="V546" s="291"/>
      <c r="W546" s="291"/>
      <c r="X546" s="291"/>
      <c r="Y546" s="291"/>
      <c r="Z546" s="291"/>
      <c r="AA546" s="291"/>
      <c r="AB546" s="291"/>
      <c r="AC546" s="291"/>
      <c r="AD546" s="291"/>
      <c r="AE546" s="291"/>
      <c r="AF546" s="291"/>
      <c r="AG546" s="291"/>
    </row>
    <row r="547" ht="18.75" customHeight="1">
      <c r="A547" s="283"/>
      <c r="B547" s="234" t="str">
        <f>'Building Bill of Materials_SLIM'!P547</f>
        <v/>
      </c>
      <c r="C547" s="234" t="str">
        <f>'Building Bill of Materials_SLIM'!Q547</f>
        <v/>
      </c>
      <c r="D547" s="234" t="str">
        <f>'Building Bill of Materials_SLIM'!R547</f>
        <v/>
      </c>
      <c r="E547" s="234" t="str">
        <f>'Building Bill of Materials_SLIM'!S547</f>
        <v/>
      </c>
      <c r="F547" s="234"/>
      <c r="G547" s="234"/>
      <c r="H547" s="234" t="str">
        <f>'Building Bill of Materials_SLIM'!T547</f>
        <v/>
      </c>
      <c r="I547" s="234" t="str">
        <f>'Building Bill of Materials_SLIM'!U547</f>
        <v/>
      </c>
      <c r="J547" s="234" t="str">
        <f>'Building Bill of Materials_SLIM'!V547</f>
        <v/>
      </c>
      <c r="K547" s="192"/>
      <c r="L547" s="242"/>
      <c r="M547" s="242"/>
      <c r="N547" s="291"/>
      <c r="O547" s="291"/>
      <c r="P547" s="291"/>
      <c r="Q547" s="291"/>
      <c r="R547" s="291"/>
      <c r="S547" s="291"/>
      <c r="T547" s="291"/>
      <c r="U547" s="291"/>
      <c r="V547" s="291"/>
      <c r="W547" s="291"/>
      <c r="X547" s="291"/>
      <c r="Y547" s="291"/>
      <c r="Z547" s="291"/>
      <c r="AA547" s="291"/>
      <c r="AB547" s="291"/>
      <c r="AC547" s="291"/>
      <c r="AD547" s="291"/>
      <c r="AE547" s="291"/>
      <c r="AF547" s="291"/>
      <c r="AG547" s="291"/>
    </row>
    <row r="548" ht="18.75" customHeight="1">
      <c r="A548" s="283"/>
      <c r="B548" s="234" t="str">
        <f>'Building Bill of Materials_SLIM'!P548</f>
        <v/>
      </c>
      <c r="C548" s="234" t="str">
        <f>'Building Bill of Materials_SLIM'!Q548</f>
        <v/>
      </c>
      <c r="D548" s="234" t="str">
        <f>'Building Bill of Materials_SLIM'!R548</f>
        <v/>
      </c>
      <c r="E548" s="234" t="str">
        <f>'Building Bill of Materials_SLIM'!S548</f>
        <v/>
      </c>
      <c r="F548" s="234"/>
      <c r="G548" s="234"/>
      <c r="H548" s="234" t="str">
        <f>'Building Bill of Materials_SLIM'!T548</f>
        <v/>
      </c>
      <c r="I548" s="234" t="str">
        <f>'Building Bill of Materials_SLIM'!U548</f>
        <v/>
      </c>
      <c r="J548" s="234" t="str">
        <f>'Building Bill of Materials_SLIM'!V548</f>
        <v/>
      </c>
      <c r="K548" s="192"/>
      <c r="L548" s="242"/>
      <c r="M548" s="242"/>
      <c r="N548" s="291"/>
      <c r="O548" s="291"/>
      <c r="P548" s="291"/>
      <c r="Q548" s="291"/>
      <c r="R548" s="291"/>
      <c r="S548" s="291"/>
      <c r="T548" s="291"/>
      <c r="U548" s="291"/>
      <c r="V548" s="291"/>
      <c r="W548" s="291"/>
      <c r="X548" s="291"/>
      <c r="Y548" s="291"/>
      <c r="Z548" s="291"/>
      <c r="AA548" s="291"/>
      <c r="AB548" s="291"/>
      <c r="AC548" s="291"/>
      <c r="AD548" s="291"/>
      <c r="AE548" s="291"/>
      <c r="AF548" s="291"/>
      <c r="AG548" s="291"/>
    </row>
    <row r="549" ht="18.75" customHeight="1">
      <c r="A549" s="283"/>
      <c r="B549" s="234" t="str">
        <f>'Building Bill of Materials_SLIM'!P549</f>
        <v/>
      </c>
      <c r="C549" s="234" t="str">
        <f>'Building Bill of Materials_SLIM'!Q549</f>
        <v/>
      </c>
      <c r="D549" s="234" t="str">
        <f>'Building Bill of Materials_SLIM'!R549</f>
        <v/>
      </c>
      <c r="E549" s="234" t="str">
        <f>'Building Bill of Materials_SLIM'!S549</f>
        <v/>
      </c>
      <c r="F549" s="234"/>
      <c r="G549" s="234"/>
      <c r="H549" s="234" t="str">
        <f>'Building Bill of Materials_SLIM'!T549</f>
        <v/>
      </c>
      <c r="I549" s="234" t="str">
        <f>'Building Bill of Materials_SLIM'!U549</f>
        <v/>
      </c>
      <c r="J549" s="234" t="str">
        <f>'Building Bill of Materials_SLIM'!V549</f>
        <v/>
      </c>
      <c r="K549" s="192"/>
      <c r="L549" s="242"/>
      <c r="M549" s="242"/>
      <c r="N549" s="291"/>
      <c r="O549" s="291"/>
      <c r="P549" s="291"/>
      <c r="Q549" s="291"/>
      <c r="R549" s="291"/>
      <c r="S549" s="291"/>
      <c r="T549" s="291"/>
      <c r="U549" s="291"/>
      <c r="V549" s="291"/>
      <c r="W549" s="291"/>
      <c r="X549" s="291"/>
      <c r="Y549" s="291"/>
      <c r="Z549" s="291"/>
      <c r="AA549" s="291"/>
      <c r="AB549" s="291"/>
      <c r="AC549" s="291"/>
      <c r="AD549" s="291"/>
      <c r="AE549" s="291"/>
      <c r="AF549" s="291"/>
      <c r="AG549" s="291"/>
    </row>
    <row r="550" ht="18.75" customHeight="1">
      <c r="A550" s="283"/>
      <c r="B550" s="234" t="str">
        <f>'Building Bill of Materials_SLIM'!P550</f>
        <v/>
      </c>
      <c r="C550" s="234" t="str">
        <f>'Building Bill of Materials_SLIM'!Q550</f>
        <v/>
      </c>
      <c r="D550" s="234" t="str">
        <f>'Building Bill of Materials_SLIM'!R550</f>
        <v/>
      </c>
      <c r="E550" s="234" t="str">
        <f>'Building Bill of Materials_SLIM'!S550</f>
        <v/>
      </c>
      <c r="F550" s="234"/>
      <c r="G550" s="234"/>
      <c r="H550" s="234" t="str">
        <f>'Building Bill of Materials_SLIM'!T550</f>
        <v/>
      </c>
      <c r="I550" s="234" t="str">
        <f>'Building Bill of Materials_SLIM'!U550</f>
        <v/>
      </c>
      <c r="J550" s="234" t="str">
        <f>'Building Bill of Materials_SLIM'!V550</f>
        <v/>
      </c>
      <c r="K550" s="192"/>
      <c r="L550" s="242"/>
      <c r="M550" s="242"/>
      <c r="N550" s="291"/>
      <c r="O550" s="291"/>
      <c r="P550" s="291"/>
      <c r="Q550" s="291"/>
      <c r="R550" s="291"/>
      <c r="S550" s="291"/>
      <c r="T550" s="291"/>
      <c r="U550" s="291"/>
      <c r="V550" s="291"/>
      <c r="W550" s="291"/>
      <c r="X550" s="291"/>
      <c r="Y550" s="291"/>
      <c r="Z550" s="291"/>
      <c r="AA550" s="291"/>
      <c r="AB550" s="291"/>
      <c r="AC550" s="291"/>
      <c r="AD550" s="291"/>
      <c r="AE550" s="291"/>
      <c r="AF550" s="291"/>
      <c r="AG550" s="291"/>
    </row>
    <row r="551" ht="18.75" customHeight="1">
      <c r="A551" s="283"/>
      <c r="B551" s="234" t="str">
        <f>'Building Bill of Materials_SLIM'!P551</f>
        <v/>
      </c>
      <c r="C551" s="234" t="str">
        <f>'Building Bill of Materials_SLIM'!Q551</f>
        <v/>
      </c>
      <c r="D551" s="234" t="str">
        <f>'Building Bill of Materials_SLIM'!R551</f>
        <v/>
      </c>
      <c r="E551" s="234" t="str">
        <f>'Building Bill of Materials_SLIM'!S551</f>
        <v/>
      </c>
      <c r="F551" s="234"/>
      <c r="G551" s="234"/>
      <c r="H551" s="234" t="str">
        <f>'Building Bill of Materials_SLIM'!T551</f>
        <v/>
      </c>
      <c r="I551" s="234" t="str">
        <f>'Building Bill of Materials_SLIM'!U551</f>
        <v/>
      </c>
      <c r="J551" s="234" t="str">
        <f>'Building Bill of Materials_SLIM'!V551</f>
        <v/>
      </c>
      <c r="K551" s="192"/>
      <c r="L551" s="242"/>
      <c r="M551" s="242"/>
      <c r="N551" s="291"/>
      <c r="O551" s="291"/>
      <c r="P551" s="291"/>
      <c r="Q551" s="291"/>
      <c r="R551" s="291"/>
      <c r="S551" s="291"/>
      <c r="T551" s="291"/>
      <c r="U551" s="291"/>
      <c r="V551" s="291"/>
      <c r="W551" s="291"/>
      <c r="X551" s="291"/>
      <c r="Y551" s="291"/>
      <c r="Z551" s="291"/>
      <c r="AA551" s="291"/>
      <c r="AB551" s="291"/>
      <c r="AC551" s="291"/>
      <c r="AD551" s="291"/>
      <c r="AE551" s="291"/>
      <c r="AF551" s="291"/>
      <c r="AG551" s="291"/>
    </row>
    <row r="552" ht="18.75" customHeight="1">
      <c r="A552" s="283"/>
      <c r="B552" s="234" t="str">
        <f>'Building Bill of Materials_SLIM'!P552</f>
        <v/>
      </c>
      <c r="C552" s="234" t="str">
        <f>'Building Bill of Materials_SLIM'!Q552</f>
        <v/>
      </c>
      <c r="D552" s="234" t="str">
        <f>'Building Bill of Materials_SLIM'!R552</f>
        <v/>
      </c>
      <c r="E552" s="234" t="str">
        <f>'Building Bill of Materials_SLIM'!S552</f>
        <v/>
      </c>
      <c r="F552" s="234"/>
      <c r="G552" s="234"/>
      <c r="H552" s="234" t="str">
        <f>'Building Bill of Materials_SLIM'!T552</f>
        <v/>
      </c>
      <c r="I552" s="234" t="str">
        <f>'Building Bill of Materials_SLIM'!U552</f>
        <v/>
      </c>
      <c r="J552" s="234" t="str">
        <f>'Building Bill of Materials_SLIM'!V552</f>
        <v/>
      </c>
      <c r="K552" s="192"/>
      <c r="L552" s="242"/>
      <c r="M552" s="242"/>
      <c r="N552" s="291"/>
      <c r="O552" s="291"/>
      <c r="P552" s="291"/>
      <c r="Q552" s="291"/>
      <c r="R552" s="291"/>
      <c r="S552" s="291"/>
      <c r="T552" s="291"/>
      <c r="U552" s="291"/>
      <c r="V552" s="291"/>
      <c r="W552" s="291"/>
      <c r="X552" s="291"/>
      <c r="Y552" s="291"/>
      <c r="Z552" s="291"/>
      <c r="AA552" s="291"/>
      <c r="AB552" s="291"/>
      <c r="AC552" s="291"/>
      <c r="AD552" s="291"/>
      <c r="AE552" s="291"/>
      <c r="AF552" s="291"/>
      <c r="AG552" s="291"/>
    </row>
    <row r="553" ht="18.75" customHeight="1">
      <c r="A553" s="283"/>
      <c r="B553" s="234" t="str">
        <f>'Building Bill of Materials_SLIM'!P553</f>
        <v/>
      </c>
      <c r="C553" s="234" t="str">
        <f>'Building Bill of Materials_SLIM'!Q553</f>
        <v/>
      </c>
      <c r="D553" s="234" t="str">
        <f>'Building Bill of Materials_SLIM'!R553</f>
        <v/>
      </c>
      <c r="E553" s="234" t="str">
        <f>'Building Bill of Materials_SLIM'!S553</f>
        <v/>
      </c>
      <c r="F553" s="234"/>
      <c r="G553" s="234"/>
      <c r="H553" s="234" t="str">
        <f>'Building Bill of Materials_SLIM'!T553</f>
        <v/>
      </c>
      <c r="I553" s="234" t="str">
        <f>'Building Bill of Materials_SLIM'!U553</f>
        <v/>
      </c>
      <c r="J553" s="234" t="str">
        <f>'Building Bill of Materials_SLIM'!V553</f>
        <v/>
      </c>
      <c r="K553" s="192"/>
      <c r="L553" s="242"/>
      <c r="M553" s="242"/>
      <c r="N553" s="291"/>
      <c r="O553" s="291"/>
      <c r="P553" s="291"/>
      <c r="Q553" s="291"/>
      <c r="R553" s="291"/>
      <c r="S553" s="291"/>
      <c r="T553" s="291"/>
      <c r="U553" s="291"/>
      <c r="V553" s="291"/>
      <c r="W553" s="291"/>
      <c r="X553" s="291"/>
      <c r="Y553" s="291"/>
      <c r="Z553" s="291"/>
      <c r="AA553" s="291"/>
      <c r="AB553" s="291"/>
      <c r="AC553" s="291"/>
      <c r="AD553" s="291"/>
      <c r="AE553" s="291"/>
      <c r="AF553" s="291"/>
      <c r="AG553" s="291"/>
    </row>
    <row r="554" ht="18.75" customHeight="1">
      <c r="A554" s="283"/>
      <c r="B554" s="234" t="str">
        <f>'Building Bill of Materials_SLIM'!P554</f>
        <v/>
      </c>
      <c r="C554" s="234" t="str">
        <f>'Building Bill of Materials_SLIM'!Q554</f>
        <v/>
      </c>
      <c r="D554" s="234" t="str">
        <f>'Building Bill of Materials_SLIM'!R554</f>
        <v/>
      </c>
      <c r="E554" s="234" t="str">
        <f>'Building Bill of Materials_SLIM'!S554</f>
        <v/>
      </c>
      <c r="F554" s="234"/>
      <c r="G554" s="234"/>
      <c r="H554" s="234" t="str">
        <f>'Building Bill of Materials_SLIM'!T554</f>
        <v/>
      </c>
      <c r="I554" s="234" t="str">
        <f>'Building Bill of Materials_SLIM'!U554</f>
        <v/>
      </c>
      <c r="J554" s="234" t="str">
        <f>'Building Bill of Materials_SLIM'!V554</f>
        <v/>
      </c>
      <c r="K554" s="192"/>
      <c r="L554" s="242"/>
      <c r="M554" s="242"/>
      <c r="N554" s="291"/>
      <c r="O554" s="291"/>
      <c r="P554" s="291"/>
      <c r="Q554" s="291"/>
      <c r="R554" s="291"/>
      <c r="S554" s="291"/>
      <c r="T554" s="291"/>
      <c r="U554" s="291"/>
      <c r="V554" s="291"/>
      <c r="W554" s="291"/>
      <c r="X554" s="291"/>
      <c r="Y554" s="291"/>
      <c r="Z554" s="291"/>
      <c r="AA554" s="291"/>
      <c r="AB554" s="291"/>
      <c r="AC554" s="291"/>
      <c r="AD554" s="291"/>
      <c r="AE554" s="291"/>
      <c r="AF554" s="291"/>
      <c r="AG554" s="291"/>
    </row>
    <row r="555" ht="18.75" customHeight="1">
      <c r="A555" s="283"/>
      <c r="B555" s="234" t="str">
        <f>'Building Bill of Materials_SLIM'!P555</f>
        <v/>
      </c>
      <c r="C555" s="234" t="str">
        <f>'Building Bill of Materials_SLIM'!Q555</f>
        <v/>
      </c>
      <c r="D555" s="234" t="str">
        <f>'Building Bill of Materials_SLIM'!R555</f>
        <v/>
      </c>
      <c r="E555" s="234" t="str">
        <f>'Building Bill of Materials_SLIM'!S555</f>
        <v/>
      </c>
      <c r="F555" s="234"/>
      <c r="G555" s="234"/>
      <c r="H555" s="234" t="str">
        <f>'Building Bill of Materials_SLIM'!T555</f>
        <v/>
      </c>
      <c r="I555" s="234" t="str">
        <f>'Building Bill of Materials_SLIM'!U555</f>
        <v/>
      </c>
      <c r="J555" s="234" t="str">
        <f>'Building Bill of Materials_SLIM'!V555</f>
        <v/>
      </c>
      <c r="K555" s="192"/>
      <c r="L555" s="242"/>
      <c r="M555" s="242"/>
      <c r="N555" s="291"/>
      <c r="O555" s="291"/>
      <c r="P555" s="291"/>
      <c r="Q555" s="291"/>
      <c r="R555" s="291"/>
      <c r="S555" s="291"/>
      <c r="T555" s="291"/>
      <c r="U555" s="291"/>
      <c r="V555" s="291"/>
      <c r="W555" s="291"/>
      <c r="X555" s="291"/>
      <c r="Y555" s="291"/>
      <c r="Z555" s="291"/>
      <c r="AA555" s="291"/>
      <c r="AB555" s="291"/>
      <c r="AC555" s="291"/>
      <c r="AD555" s="291"/>
      <c r="AE555" s="291"/>
      <c r="AF555" s="291"/>
      <c r="AG555" s="291"/>
    </row>
    <row r="556" ht="18.75" customHeight="1">
      <c r="A556" s="283"/>
      <c r="B556" s="234" t="str">
        <f>'Building Bill of Materials_SLIM'!P556</f>
        <v/>
      </c>
      <c r="C556" s="234" t="str">
        <f>'Building Bill of Materials_SLIM'!Q556</f>
        <v/>
      </c>
      <c r="D556" s="234" t="str">
        <f>'Building Bill of Materials_SLIM'!R556</f>
        <v/>
      </c>
      <c r="E556" s="234" t="str">
        <f>'Building Bill of Materials_SLIM'!S556</f>
        <v/>
      </c>
      <c r="F556" s="234"/>
      <c r="G556" s="234"/>
      <c r="H556" s="234" t="str">
        <f>'Building Bill of Materials_SLIM'!T556</f>
        <v/>
      </c>
      <c r="I556" s="234" t="str">
        <f>'Building Bill of Materials_SLIM'!U556</f>
        <v/>
      </c>
      <c r="J556" s="234" t="str">
        <f>'Building Bill of Materials_SLIM'!V556</f>
        <v/>
      </c>
      <c r="K556" s="192"/>
      <c r="L556" s="242"/>
      <c r="M556" s="242"/>
      <c r="N556" s="291"/>
      <c r="O556" s="291"/>
      <c r="P556" s="291"/>
      <c r="Q556" s="291"/>
      <c r="R556" s="291"/>
      <c r="S556" s="291"/>
      <c r="T556" s="291"/>
      <c r="U556" s="291"/>
      <c r="V556" s="291"/>
      <c r="W556" s="291"/>
      <c r="X556" s="291"/>
      <c r="Y556" s="291"/>
      <c r="Z556" s="291"/>
      <c r="AA556" s="291"/>
      <c r="AB556" s="291"/>
      <c r="AC556" s="291"/>
      <c r="AD556" s="291"/>
      <c r="AE556" s="291"/>
      <c r="AF556" s="291"/>
      <c r="AG556" s="291"/>
    </row>
    <row r="557" ht="18.75" customHeight="1">
      <c r="A557" s="283"/>
      <c r="B557" s="234" t="str">
        <f>'Building Bill of Materials_SLIM'!P557</f>
        <v/>
      </c>
      <c r="C557" s="234" t="str">
        <f>'Building Bill of Materials_SLIM'!Q557</f>
        <v/>
      </c>
      <c r="D557" s="234" t="str">
        <f>'Building Bill of Materials_SLIM'!R557</f>
        <v/>
      </c>
      <c r="E557" s="234" t="str">
        <f>'Building Bill of Materials_SLIM'!S557</f>
        <v/>
      </c>
      <c r="F557" s="234"/>
      <c r="G557" s="234"/>
      <c r="H557" s="234" t="str">
        <f>'Building Bill of Materials_SLIM'!T557</f>
        <v/>
      </c>
      <c r="I557" s="234" t="str">
        <f>'Building Bill of Materials_SLIM'!U557</f>
        <v/>
      </c>
      <c r="J557" s="234" t="str">
        <f>'Building Bill of Materials_SLIM'!V557</f>
        <v/>
      </c>
      <c r="K557" s="192"/>
      <c r="L557" s="242"/>
      <c r="M557" s="242"/>
      <c r="N557" s="291"/>
      <c r="O557" s="291"/>
      <c r="P557" s="291"/>
      <c r="Q557" s="291"/>
      <c r="R557" s="291"/>
      <c r="S557" s="291"/>
      <c r="T557" s="291"/>
      <c r="U557" s="291"/>
      <c r="V557" s="291"/>
      <c r="W557" s="291"/>
      <c r="X557" s="291"/>
      <c r="Y557" s="291"/>
      <c r="Z557" s="291"/>
      <c r="AA557" s="291"/>
      <c r="AB557" s="291"/>
      <c r="AC557" s="291"/>
      <c r="AD557" s="291"/>
      <c r="AE557" s="291"/>
      <c r="AF557" s="291"/>
      <c r="AG557" s="291"/>
    </row>
    <row r="558" ht="18.75" customHeight="1">
      <c r="A558" s="283"/>
      <c r="B558" s="234" t="str">
        <f>'Building Bill of Materials_SLIM'!P558</f>
        <v/>
      </c>
      <c r="C558" s="234" t="str">
        <f>'Building Bill of Materials_SLIM'!Q558</f>
        <v/>
      </c>
      <c r="D558" s="234" t="str">
        <f>'Building Bill of Materials_SLIM'!R558</f>
        <v/>
      </c>
      <c r="E558" s="234" t="str">
        <f>'Building Bill of Materials_SLIM'!S558</f>
        <v/>
      </c>
      <c r="F558" s="234"/>
      <c r="G558" s="234"/>
      <c r="H558" s="234" t="str">
        <f>'Building Bill of Materials_SLIM'!T558</f>
        <v/>
      </c>
      <c r="I558" s="234" t="str">
        <f>'Building Bill of Materials_SLIM'!U558</f>
        <v/>
      </c>
      <c r="J558" s="234" t="str">
        <f>'Building Bill of Materials_SLIM'!V558</f>
        <v/>
      </c>
      <c r="K558" s="192"/>
      <c r="L558" s="242"/>
      <c r="M558" s="242"/>
      <c r="N558" s="291"/>
      <c r="O558" s="291"/>
      <c r="P558" s="291"/>
      <c r="Q558" s="291"/>
      <c r="R558" s="291"/>
      <c r="S558" s="291"/>
      <c r="T558" s="291"/>
      <c r="U558" s="291"/>
      <c r="V558" s="291"/>
      <c r="W558" s="291"/>
      <c r="X558" s="291"/>
      <c r="Y558" s="291"/>
      <c r="Z558" s="291"/>
      <c r="AA558" s="291"/>
      <c r="AB558" s="291"/>
      <c r="AC558" s="291"/>
      <c r="AD558" s="291"/>
      <c r="AE558" s="291"/>
      <c r="AF558" s="291"/>
      <c r="AG558" s="291"/>
    </row>
    <row r="559" ht="18.75" customHeight="1">
      <c r="A559" s="283"/>
      <c r="B559" s="234" t="str">
        <f>'Building Bill of Materials_SLIM'!P559</f>
        <v/>
      </c>
      <c r="C559" s="234" t="str">
        <f>'Building Bill of Materials_SLIM'!Q559</f>
        <v/>
      </c>
      <c r="D559" s="234" t="str">
        <f>'Building Bill of Materials_SLIM'!R559</f>
        <v/>
      </c>
      <c r="E559" s="234" t="str">
        <f>'Building Bill of Materials_SLIM'!S559</f>
        <v/>
      </c>
      <c r="F559" s="234"/>
      <c r="G559" s="234"/>
      <c r="H559" s="234" t="str">
        <f>'Building Bill of Materials_SLIM'!T559</f>
        <v/>
      </c>
      <c r="I559" s="234" t="str">
        <f>'Building Bill of Materials_SLIM'!U559</f>
        <v/>
      </c>
      <c r="J559" s="234" t="str">
        <f>'Building Bill of Materials_SLIM'!V559</f>
        <v/>
      </c>
      <c r="K559" s="192"/>
      <c r="L559" s="242"/>
      <c r="M559" s="242"/>
      <c r="N559" s="291"/>
      <c r="O559" s="291"/>
      <c r="P559" s="291"/>
      <c r="Q559" s="291"/>
      <c r="R559" s="291"/>
      <c r="S559" s="291"/>
      <c r="T559" s="291"/>
      <c r="U559" s="291"/>
      <c r="V559" s="291"/>
      <c r="W559" s="291"/>
      <c r="X559" s="291"/>
      <c r="Y559" s="291"/>
      <c r="Z559" s="291"/>
      <c r="AA559" s="291"/>
      <c r="AB559" s="291"/>
      <c r="AC559" s="291"/>
      <c r="AD559" s="291"/>
      <c r="AE559" s="291"/>
      <c r="AF559" s="291"/>
      <c r="AG559" s="291"/>
    </row>
    <row r="560" ht="18.75" customHeight="1">
      <c r="A560" s="283"/>
      <c r="B560" s="234" t="str">
        <f>'Building Bill of Materials_SLIM'!P560</f>
        <v/>
      </c>
      <c r="C560" s="234" t="str">
        <f>'Building Bill of Materials_SLIM'!Q560</f>
        <v/>
      </c>
      <c r="D560" s="234" t="str">
        <f>'Building Bill of Materials_SLIM'!R560</f>
        <v/>
      </c>
      <c r="E560" s="234" t="str">
        <f>'Building Bill of Materials_SLIM'!S560</f>
        <v/>
      </c>
      <c r="F560" s="234"/>
      <c r="G560" s="234"/>
      <c r="H560" s="234" t="str">
        <f>'Building Bill of Materials_SLIM'!T560</f>
        <v/>
      </c>
      <c r="I560" s="234" t="str">
        <f>'Building Bill of Materials_SLIM'!U560</f>
        <v/>
      </c>
      <c r="J560" s="234" t="str">
        <f>'Building Bill of Materials_SLIM'!V560</f>
        <v/>
      </c>
      <c r="K560" s="192"/>
      <c r="L560" s="242"/>
      <c r="M560" s="242"/>
      <c r="N560" s="291"/>
      <c r="O560" s="291"/>
      <c r="P560" s="291"/>
      <c r="Q560" s="291"/>
      <c r="R560" s="291"/>
      <c r="S560" s="291"/>
      <c r="T560" s="291"/>
      <c r="U560" s="291"/>
      <c r="V560" s="291"/>
      <c r="W560" s="291"/>
      <c r="X560" s="291"/>
      <c r="Y560" s="291"/>
      <c r="Z560" s="291"/>
      <c r="AA560" s="291"/>
      <c r="AB560" s="291"/>
      <c r="AC560" s="291"/>
      <c r="AD560" s="291"/>
      <c r="AE560" s="291"/>
      <c r="AF560" s="291"/>
      <c r="AG560" s="291"/>
    </row>
    <row r="561" ht="18.75" customHeight="1">
      <c r="A561" s="283"/>
      <c r="B561" s="234" t="str">
        <f>'Building Bill of Materials_SLIM'!P561</f>
        <v/>
      </c>
      <c r="C561" s="234" t="str">
        <f>'Building Bill of Materials_SLIM'!Q561</f>
        <v/>
      </c>
      <c r="D561" s="234" t="str">
        <f>'Building Bill of Materials_SLIM'!R561</f>
        <v/>
      </c>
      <c r="E561" s="234" t="str">
        <f>'Building Bill of Materials_SLIM'!S561</f>
        <v/>
      </c>
      <c r="F561" s="234"/>
      <c r="G561" s="234"/>
      <c r="H561" s="234" t="str">
        <f>'Building Bill of Materials_SLIM'!T561</f>
        <v/>
      </c>
      <c r="I561" s="234" t="str">
        <f>'Building Bill of Materials_SLIM'!U561</f>
        <v/>
      </c>
      <c r="J561" s="234" t="str">
        <f>'Building Bill of Materials_SLIM'!V561</f>
        <v/>
      </c>
      <c r="K561" s="192"/>
      <c r="L561" s="242"/>
      <c r="M561" s="242"/>
      <c r="N561" s="291"/>
      <c r="O561" s="291"/>
      <c r="P561" s="291"/>
      <c r="Q561" s="291"/>
      <c r="R561" s="291"/>
      <c r="S561" s="291"/>
      <c r="T561" s="291"/>
      <c r="U561" s="291"/>
      <c r="V561" s="291"/>
      <c r="W561" s="291"/>
      <c r="X561" s="291"/>
      <c r="Y561" s="291"/>
      <c r="Z561" s="291"/>
      <c r="AA561" s="291"/>
      <c r="AB561" s="291"/>
      <c r="AC561" s="291"/>
      <c r="AD561" s="291"/>
      <c r="AE561" s="291"/>
      <c r="AF561" s="291"/>
      <c r="AG561" s="291"/>
    </row>
    <row r="562" ht="18.75" customHeight="1">
      <c r="A562" s="283"/>
      <c r="B562" s="234" t="str">
        <f>'Building Bill of Materials_SLIM'!P562</f>
        <v/>
      </c>
      <c r="C562" s="234" t="str">
        <f>'Building Bill of Materials_SLIM'!Q562</f>
        <v/>
      </c>
      <c r="D562" s="234" t="str">
        <f>'Building Bill of Materials_SLIM'!R562</f>
        <v/>
      </c>
      <c r="E562" s="234" t="str">
        <f>'Building Bill of Materials_SLIM'!S562</f>
        <v/>
      </c>
      <c r="F562" s="234"/>
      <c r="G562" s="234"/>
      <c r="H562" s="234" t="str">
        <f>'Building Bill of Materials_SLIM'!T562</f>
        <v/>
      </c>
      <c r="I562" s="234" t="str">
        <f>'Building Bill of Materials_SLIM'!U562</f>
        <v/>
      </c>
      <c r="J562" s="234" t="str">
        <f>'Building Bill of Materials_SLIM'!V562</f>
        <v/>
      </c>
      <c r="K562" s="192"/>
      <c r="L562" s="242"/>
      <c r="M562" s="242"/>
      <c r="N562" s="291"/>
      <c r="O562" s="291"/>
      <c r="P562" s="291"/>
      <c r="Q562" s="291"/>
      <c r="R562" s="291"/>
      <c r="S562" s="291"/>
      <c r="T562" s="291"/>
      <c r="U562" s="291"/>
      <c r="V562" s="291"/>
      <c r="W562" s="291"/>
      <c r="X562" s="291"/>
      <c r="Y562" s="291"/>
      <c r="Z562" s="291"/>
      <c r="AA562" s="291"/>
      <c r="AB562" s="291"/>
      <c r="AC562" s="291"/>
      <c r="AD562" s="291"/>
      <c r="AE562" s="291"/>
      <c r="AF562" s="291"/>
      <c r="AG562" s="291"/>
    </row>
    <row r="563" ht="18.75" customHeight="1">
      <c r="A563" s="283"/>
      <c r="B563" s="234" t="str">
        <f>'Building Bill of Materials_SLIM'!P563</f>
        <v/>
      </c>
      <c r="C563" s="234" t="str">
        <f>'Building Bill of Materials_SLIM'!Q563</f>
        <v/>
      </c>
      <c r="D563" s="234" t="str">
        <f>'Building Bill of Materials_SLIM'!R563</f>
        <v/>
      </c>
      <c r="E563" s="234" t="str">
        <f>'Building Bill of Materials_SLIM'!S563</f>
        <v/>
      </c>
      <c r="F563" s="234"/>
      <c r="G563" s="234"/>
      <c r="H563" s="234" t="str">
        <f>'Building Bill of Materials_SLIM'!T563</f>
        <v/>
      </c>
      <c r="I563" s="234" t="str">
        <f>'Building Bill of Materials_SLIM'!U563</f>
        <v/>
      </c>
      <c r="J563" s="234" t="str">
        <f>'Building Bill of Materials_SLIM'!V563</f>
        <v/>
      </c>
      <c r="K563" s="192"/>
      <c r="L563" s="242"/>
      <c r="M563" s="242"/>
      <c r="N563" s="291"/>
      <c r="O563" s="291"/>
      <c r="P563" s="291"/>
      <c r="Q563" s="291"/>
      <c r="R563" s="291"/>
      <c r="S563" s="291"/>
      <c r="T563" s="291"/>
      <c r="U563" s="291"/>
      <c r="V563" s="291"/>
      <c r="W563" s="291"/>
      <c r="X563" s="291"/>
      <c r="Y563" s="291"/>
      <c r="Z563" s="291"/>
      <c r="AA563" s="291"/>
      <c r="AB563" s="291"/>
      <c r="AC563" s="291"/>
      <c r="AD563" s="291"/>
      <c r="AE563" s="291"/>
      <c r="AF563" s="291"/>
      <c r="AG563" s="291"/>
    </row>
    <row r="564" ht="18.75" customHeight="1">
      <c r="A564" s="283"/>
      <c r="B564" s="234" t="str">
        <f>'Building Bill of Materials_SLIM'!P564</f>
        <v/>
      </c>
      <c r="C564" s="234" t="str">
        <f>'Building Bill of Materials_SLIM'!Q564</f>
        <v/>
      </c>
      <c r="D564" s="234" t="str">
        <f>'Building Bill of Materials_SLIM'!R564</f>
        <v/>
      </c>
      <c r="E564" s="234" t="str">
        <f>'Building Bill of Materials_SLIM'!S564</f>
        <v/>
      </c>
      <c r="F564" s="234"/>
      <c r="G564" s="234"/>
      <c r="H564" s="234" t="str">
        <f>'Building Bill of Materials_SLIM'!T564</f>
        <v/>
      </c>
      <c r="I564" s="234" t="str">
        <f>'Building Bill of Materials_SLIM'!U564</f>
        <v/>
      </c>
      <c r="J564" s="234" t="str">
        <f>'Building Bill of Materials_SLIM'!V564</f>
        <v/>
      </c>
      <c r="K564" s="192"/>
      <c r="L564" s="242"/>
      <c r="M564" s="242"/>
      <c r="N564" s="291"/>
      <c r="O564" s="291"/>
      <c r="P564" s="291"/>
      <c r="Q564" s="291"/>
      <c r="R564" s="291"/>
      <c r="S564" s="291"/>
      <c r="T564" s="291"/>
      <c r="U564" s="291"/>
      <c r="V564" s="291"/>
      <c r="W564" s="291"/>
      <c r="X564" s="291"/>
      <c r="Y564" s="291"/>
      <c r="Z564" s="291"/>
      <c r="AA564" s="291"/>
      <c r="AB564" s="291"/>
      <c r="AC564" s="291"/>
      <c r="AD564" s="291"/>
      <c r="AE564" s="291"/>
      <c r="AF564" s="291"/>
      <c r="AG564" s="291"/>
    </row>
    <row r="565" ht="18.75" customHeight="1">
      <c r="A565" s="283"/>
      <c r="B565" s="234" t="str">
        <f>'Building Bill of Materials_SLIM'!P565</f>
        <v/>
      </c>
      <c r="C565" s="234" t="str">
        <f>'Building Bill of Materials_SLIM'!Q565</f>
        <v/>
      </c>
      <c r="D565" s="234" t="str">
        <f>'Building Bill of Materials_SLIM'!R565</f>
        <v/>
      </c>
      <c r="E565" s="234" t="str">
        <f>'Building Bill of Materials_SLIM'!S565</f>
        <v/>
      </c>
      <c r="F565" s="234"/>
      <c r="G565" s="234"/>
      <c r="H565" s="234" t="str">
        <f>'Building Bill of Materials_SLIM'!T565</f>
        <v/>
      </c>
      <c r="I565" s="234" t="str">
        <f>'Building Bill of Materials_SLIM'!U565</f>
        <v/>
      </c>
      <c r="J565" s="234" t="str">
        <f>'Building Bill of Materials_SLIM'!V565</f>
        <v/>
      </c>
      <c r="K565" s="192"/>
      <c r="L565" s="242"/>
      <c r="M565" s="242"/>
      <c r="N565" s="291"/>
      <c r="O565" s="291"/>
      <c r="P565" s="291"/>
      <c r="Q565" s="291"/>
      <c r="R565" s="291"/>
      <c r="S565" s="291"/>
      <c r="T565" s="291"/>
      <c r="U565" s="291"/>
      <c r="V565" s="291"/>
      <c r="W565" s="291"/>
      <c r="X565" s="291"/>
      <c r="Y565" s="291"/>
      <c r="Z565" s="291"/>
      <c r="AA565" s="291"/>
      <c r="AB565" s="291"/>
      <c r="AC565" s="291"/>
      <c r="AD565" s="291"/>
      <c r="AE565" s="291"/>
      <c r="AF565" s="291"/>
      <c r="AG565" s="291"/>
    </row>
    <row r="566" ht="18.75" customHeight="1">
      <c r="A566" s="283"/>
      <c r="B566" s="234" t="str">
        <f>'Building Bill of Materials_SLIM'!P566</f>
        <v/>
      </c>
      <c r="C566" s="234" t="str">
        <f>'Building Bill of Materials_SLIM'!Q566</f>
        <v/>
      </c>
      <c r="D566" s="234" t="str">
        <f>'Building Bill of Materials_SLIM'!R566</f>
        <v/>
      </c>
      <c r="E566" s="234" t="str">
        <f>'Building Bill of Materials_SLIM'!S566</f>
        <v/>
      </c>
      <c r="F566" s="234"/>
      <c r="G566" s="234"/>
      <c r="H566" s="234" t="str">
        <f>'Building Bill of Materials_SLIM'!T566</f>
        <v/>
      </c>
      <c r="I566" s="234" t="str">
        <f>'Building Bill of Materials_SLIM'!U566</f>
        <v/>
      </c>
      <c r="J566" s="234" t="str">
        <f>'Building Bill of Materials_SLIM'!V566</f>
        <v/>
      </c>
      <c r="K566" s="192"/>
      <c r="L566" s="242"/>
      <c r="M566" s="242"/>
      <c r="N566" s="291"/>
      <c r="O566" s="291"/>
      <c r="P566" s="291"/>
      <c r="Q566" s="291"/>
      <c r="R566" s="291"/>
      <c r="S566" s="291"/>
      <c r="T566" s="291"/>
      <c r="U566" s="291"/>
      <c r="V566" s="291"/>
      <c r="W566" s="291"/>
      <c r="X566" s="291"/>
      <c r="Y566" s="291"/>
      <c r="Z566" s="291"/>
      <c r="AA566" s="291"/>
      <c r="AB566" s="291"/>
      <c r="AC566" s="291"/>
      <c r="AD566" s="291"/>
      <c r="AE566" s="291"/>
      <c r="AF566" s="291"/>
      <c r="AG566" s="291"/>
    </row>
    <row r="567" ht="18.75" customHeight="1">
      <c r="A567" s="283"/>
      <c r="B567" s="234" t="str">
        <f>'Building Bill of Materials_SLIM'!P567</f>
        <v/>
      </c>
      <c r="C567" s="234" t="str">
        <f>'Building Bill of Materials_SLIM'!Q567</f>
        <v/>
      </c>
      <c r="D567" s="234" t="str">
        <f>'Building Bill of Materials_SLIM'!R567</f>
        <v/>
      </c>
      <c r="E567" s="234" t="str">
        <f>'Building Bill of Materials_SLIM'!S567</f>
        <v/>
      </c>
      <c r="F567" s="234"/>
      <c r="G567" s="234"/>
      <c r="H567" s="234" t="str">
        <f>'Building Bill of Materials_SLIM'!T567</f>
        <v/>
      </c>
      <c r="I567" s="234" t="str">
        <f>'Building Bill of Materials_SLIM'!U567</f>
        <v/>
      </c>
      <c r="J567" s="234" t="str">
        <f>'Building Bill of Materials_SLIM'!V567</f>
        <v/>
      </c>
      <c r="K567" s="192"/>
      <c r="L567" s="242"/>
      <c r="M567" s="242"/>
      <c r="N567" s="291"/>
      <c r="O567" s="291"/>
      <c r="P567" s="291"/>
      <c r="Q567" s="291"/>
      <c r="R567" s="291"/>
      <c r="S567" s="291"/>
      <c r="T567" s="291"/>
      <c r="U567" s="291"/>
      <c r="V567" s="291"/>
      <c r="W567" s="291"/>
      <c r="X567" s="291"/>
      <c r="Y567" s="291"/>
      <c r="Z567" s="291"/>
      <c r="AA567" s="291"/>
      <c r="AB567" s="291"/>
      <c r="AC567" s="291"/>
      <c r="AD567" s="291"/>
      <c r="AE567" s="291"/>
      <c r="AF567" s="291"/>
      <c r="AG567" s="291"/>
    </row>
    <row r="568" ht="18.75" customHeight="1">
      <c r="A568" s="283"/>
      <c r="B568" s="234" t="str">
        <f>'Building Bill of Materials_SLIM'!P568</f>
        <v/>
      </c>
      <c r="C568" s="234" t="str">
        <f>'Building Bill of Materials_SLIM'!Q568</f>
        <v/>
      </c>
      <c r="D568" s="234" t="str">
        <f>'Building Bill of Materials_SLIM'!R568</f>
        <v/>
      </c>
      <c r="E568" s="234" t="str">
        <f>'Building Bill of Materials_SLIM'!S568</f>
        <v/>
      </c>
      <c r="F568" s="234"/>
      <c r="G568" s="234"/>
      <c r="H568" s="234" t="str">
        <f>'Building Bill of Materials_SLIM'!T568</f>
        <v/>
      </c>
      <c r="I568" s="234" t="str">
        <f>'Building Bill of Materials_SLIM'!U568</f>
        <v/>
      </c>
      <c r="J568" s="234" t="str">
        <f>'Building Bill of Materials_SLIM'!V568</f>
        <v/>
      </c>
      <c r="K568" s="192"/>
      <c r="L568" s="242"/>
      <c r="M568" s="242"/>
      <c r="N568" s="291"/>
      <c r="O568" s="291"/>
      <c r="P568" s="291"/>
      <c r="Q568" s="291"/>
      <c r="R568" s="291"/>
      <c r="S568" s="291"/>
      <c r="T568" s="291"/>
      <c r="U568" s="291"/>
      <c r="V568" s="291"/>
      <c r="W568" s="291"/>
      <c r="X568" s="291"/>
      <c r="Y568" s="291"/>
      <c r="Z568" s="291"/>
      <c r="AA568" s="291"/>
      <c r="AB568" s="291"/>
      <c r="AC568" s="291"/>
      <c r="AD568" s="291"/>
      <c r="AE568" s="291"/>
      <c r="AF568" s="291"/>
      <c r="AG568" s="291"/>
    </row>
    <row r="569" ht="18.75" customHeight="1">
      <c r="A569" s="283"/>
      <c r="B569" s="234" t="str">
        <f>'Building Bill of Materials_SLIM'!P569</f>
        <v/>
      </c>
      <c r="C569" s="234" t="str">
        <f>'Building Bill of Materials_SLIM'!Q569</f>
        <v/>
      </c>
      <c r="D569" s="234" t="str">
        <f>'Building Bill of Materials_SLIM'!R569</f>
        <v/>
      </c>
      <c r="E569" s="234" t="str">
        <f>'Building Bill of Materials_SLIM'!S569</f>
        <v/>
      </c>
      <c r="F569" s="234"/>
      <c r="G569" s="234"/>
      <c r="H569" s="234" t="str">
        <f>'Building Bill of Materials_SLIM'!T569</f>
        <v/>
      </c>
      <c r="I569" s="234" t="str">
        <f>'Building Bill of Materials_SLIM'!U569</f>
        <v/>
      </c>
      <c r="J569" s="234" t="str">
        <f>'Building Bill of Materials_SLIM'!V569</f>
        <v/>
      </c>
      <c r="K569" s="192"/>
      <c r="L569" s="242"/>
      <c r="M569" s="242"/>
      <c r="N569" s="291"/>
      <c r="O569" s="291"/>
      <c r="P569" s="291"/>
      <c r="Q569" s="291"/>
      <c r="R569" s="291"/>
      <c r="S569" s="291"/>
      <c r="T569" s="291"/>
      <c r="U569" s="291"/>
      <c r="V569" s="291"/>
      <c r="W569" s="291"/>
      <c r="X569" s="291"/>
      <c r="Y569" s="291"/>
      <c r="Z569" s="291"/>
      <c r="AA569" s="291"/>
      <c r="AB569" s="291"/>
      <c r="AC569" s="291"/>
      <c r="AD569" s="291"/>
      <c r="AE569" s="291"/>
      <c r="AF569" s="291"/>
      <c r="AG569" s="291"/>
    </row>
    <row r="570" ht="18.75" customHeight="1">
      <c r="A570" s="283"/>
      <c r="B570" s="234" t="str">
        <f>'Building Bill of Materials_SLIM'!P570</f>
        <v/>
      </c>
      <c r="C570" s="234" t="str">
        <f>'Building Bill of Materials_SLIM'!Q570</f>
        <v/>
      </c>
      <c r="D570" s="234" t="str">
        <f>'Building Bill of Materials_SLIM'!R570</f>
        <v/>
      </c>
      <c r="E570" s="234" t="str">
        <f>'Building Bill of Materials_SLIM'!S570</f>
        <v/>
      </c>
      <c r="F570" s="234"/>
      <c r="G570" s="234"/>
      <c r="H570" s="234" t="str">
        <f>'Building Bill of Materials_SLIM'!T570</f>
        <v/>
      </c>
      <c r="I570" s="234" t="str">
        <f>'Building Bill of Materials_SLIM'!U570</f>
        <v/>
      </c>
      <c r="J570" s="234" t="str">
        <f>'Building Bill of Materials_SLIM'!V570</f>
        <v/>
      </c>
      <c r="K570" s="192"/>
      <c r="L570" s="242"/>
      <c r="M570" s="242"/>
      <c r="N570" s="291"/>
      <c r="O570" s="291"/>
      <c r="P570" s="291"/>
      <c r="Q570" s="291"/>
      <c r="R570" s="291"/>
      <c r="S570" s="291"/>
      <c r="T570" s="291"/>
      <c r="U570" s="291"/>
      <c r="V570" s="291"/>
      <c r="W570" s="291"/>
      <c r="X570" s="291"/>
      <c r="Y570" s="291"/>
      <c r="Z570" s="291"/>
      <c r="AA570" s="291"/>
      <c r="AB570" s="291"/>
      <c r="AC570" s="291"/>
      <c r="AD570" s="291"/>
      <c r="AE570" s="291"/>
      <c r="AF570" s="291"/>
      <c r="AG570" s="291"/>
    </row>
    <row r="571" ht="18.75" customHeight="1">
      <c r="A571" s="283"/>
      <c r="B571" s="234" t="str">
        <f>'Building Bill of Materials_SLIM'!P571</f>
        <v/>
      </c>
      <c r="C571" s="234" t="str">
        <f>'Building Bill of Materials_SLIM'!Q571</f>
        <v/>
      </c>
      <c r="D571" s="234" t="str">
        <f>'Building Bill of Materials_SLIM'!R571</f>
        <v/>
      </c>
      <c r="E571" s="234" t="str">
        <f>'Building Bill of Materials_SLIM'!S571</f>
        <v/>
      </c>
      <c r="F571" s="234"/>
      <c r="G571" s="234"/>
      <c r="H571" s="234" t="str">
        <f>'Building Bill of Materials_SLIM'!T571</f>
        <v/>
      </c>
      <c r="I571" s="234" t="str">
        <f>'Building Bill of Materials_SLIM'!U571</f>
        <v/>
      </c>
      <c r="J571" s="234" t="str">
        <f>'Building Bill of Materials_SLIM'!V571</f>
        <v/>
      </c>
      <c r="K571" s="192"/>
      <c r="L571" s="242"/>
      <c r="M571" s="242"/>
      <c r="N571" s="291"/>
      <c r="O571" s="291"/>
      <c r="P571" s="291"/>
      <c r="Q571" s="291"/>
      <c r="R571" s="291"/>
      <c r="S571" s="291"/>
      <c r="T571" s="291"/>
      <c r="U571" s="291"/>
      <c r="V571" s="291"/>
      <c r="W571" s="291"/>
      <c r="X571" s="291"/>
      <c r="Y571" s="291"/>
      <c r="Z571" s="291"/>
      <c r="AA571" s="291"/>
      <c r="AB571" s="291"/>
      <c r="AC571" s="291"/>
      <c r="AD571" s="291"/>
      <c r="AE571" s="291"/>
      <c r="AF571" s="291"/>
      <c r="AG571" s="291"/>
    </row>
    <row r="572" ht="18.75" customHeight="1">
      <c r="A572" s="283"/>
      <c r="B572" s="234" t="str">
        <f>'Building Bill of Materials_SLIM'!P572</f>
        <v/>
      </c>
      <c r="C572" s="234" t="str">
        <f>'Building Bill of Materials_SLIM'!Q572</f>
        <v/>
      </c>
      <c r="D572" s="234" t="str">
        <f>'Building Bill of Materials_SLIM'!R572</f>
        <v/>
      </c>
      <c r="E572" s="234" t="str">
        <f>'Building Bill of Materials_SLIM'!S572</f>
        <v/>
      </c>
      <c r="F572" s="234"/>
      <c r="G572" s="234"/>
      <c r="H572" s="234" t="str">
        <f>'Building Bill of Materials_SLIM'!T572</f>
        <v/>
      </c>
      <c r="I572" s="234" t="str">
        <f>'Building Bill of Materials_SLIM'!U572</f>
        <v/>
      </c>
      <c r="J572" s="234" t="str">
        <f>'Building Bill of Materials_SLIM'!V572</f>
        <v/>
      </c>
      <c r="K572" s="192"/>
      <c r="L572" s="242"/>
      <c r="M572" s="242"/>
      <c r="N572" s="291"/>
      <c r="O572" s="291"/>
      <c r="P572" s="291"/>
      <c r="Q572" s="291"/>
      <c r="R572" s="291"/>
      <c r="S572" s="291"/>
      <c r="T572" s="291"/>
      <c r="U572" s="291"/>
      <c r="V572" s="291"/>
      <c r="W572" s="291"/>
      <c r="X572" s="291"/>
      <c r="Y572" s="291"/>
      <c r="Z572" s="291"/>
      <c r="AA572" s="291"/>
      <c r="AB572" s="291"/>
      <c r="AC572" s="291"/>
      <c r="AD572" s="291"/>
      <c r="AE572" s="291"/>
      <c r="AF572" s="291"/>
      <c r="AG572" s="291"/>
    </row>
    <row r="573" ht="18.75" customHeight="1">
      <c r="A573" s="283"/>
      <c r="B573" s="234" t="str">
        <f>'Building Bill of Materials_SLIM'!P573</f>
        <v/>
      </c>
      <c r="C573" s="234" t="str">
        <f>'Building Bill of Materials_SLIM'!Q573</f>
        <v/>
      </c>
      <c r="D573" s="234" t="str">
        <f>'Building Bill of Materials_SLIM'!R573</f>
        <v/>
      </c>
      <c r="E573" s="234" t="str">
        <f>'Building Bill of Materials_SLIM'!S573</f>
        <v/>
      </c>
      <c r="F573" s="234"/>
      <c r="G573" s="234"/>
      <c r="H573" s="234" t="str">
        <f>'Building Bill of Materials_SLIM'!T573</f>
        <v/>
      </c>
      <c r="I573" s="234" t="str">
        <f>'Building Bill of Materials_SLIM'!U573</f>
        <v/>
      </c>
      <c r="J573" s="234" t="str">
        <f>'Building Bill of Materials_SLIM'!V573</f>
        <v/>
      </c>
      <c r="K573" s="192"/>
      <c r="L573" s="242"/>
      <c r="M573" s="242"/>
      <c r="N573" s="291"/>
      <c r="O573" s="291"/>
      <c r="P573" s="291"/>
      <c r="Q573" s="291"/>
      <c r="R573" s="291"/>
      <c r="S573" s="291"/>
      <c r="T573" s="291"/>
      <c r="U573" s="291"/>
      <c r="V573" s="291"/>
      <c r="W573" s="291"/>
      <c r="X573" s="291"/>
      <c r="Y573" s="291"/>
      <c r="Z573" s="291"/>
      <c r="AA573" s="291"/>
      <c r="AB573" s="291"/>
      <c r="AC573" s="291"/>
      <c r="AD573" s="291"/>
      <c r="AE573" s="291"/>
      <c r="AF573" s="291"/>
      <c r="AG573" s="291"/>
    </row>
    <row r="574" ht="18.75" customHeight="1">
      <c r="A574" s="283"/>
      <c r="B574" s="234" t="str">
        <f>'Building Bill of Materials_SLIM'!P574</f>
        <v/>
      </c>
      <c r="C574" s="234" t="str">
        <f>'Building Bill of Materials_SLIM'!Q574</f>
        <v/>
      </c>
      <c r="D574" s="234" t="str">
        <f>'Building Bill of Materials_SLIM'!R574</f>
        <v/>
      </c>
      <c r="E574" s="234" t="str">
        <f>'Building Bill of Materials_SLIM'!S574</f>
        <v/>
      </c>
      <c r="F574" s="234"/>
      <c r="G574" s="234"/>
      <c r="H574" s="234" t="str">
        <f>'Building Bill of Materials_SLIM'!T574</f>
        <v/>
      </c>
      <c r="I574" s="234" t="str">
        <f>'Building Bill of Materials_SLIM'!U574</f>
        <v/>
      </c>
      <c r="J574" s="234" t="str">
        <f>'Building Bill of Materials_SLIM'!V574</f>
        <v/>
      </c>
      <c r="K574" s="192"/>
      <c r="L574" s="242"/>
      <c r="M574" s="242"/>
      <c r="N574" s="291"/>
      <c r="O574" s="291"/>
      <c r="P574" s="291"/>
      <c r="Q574" s="291"/>
      <c r="R574" s="291"/>
      <c r="S574" s="291"/>
      <c r="T574" s="291"/>
      <c r="U574" s="291"/>
      <c r="V574" s="291"/>
      <c r="W574" s="291"/>
      <c r="X574" s="291"/>
      <c r="Y574" s="291"/>
      <c r="Z574" s="291"/>
      <c r="AA574" s="291"/>
      <c r="AB574" s="291"/>
      <c r="AC574" s="291"/>
      <c r="AD574" s="291"/>
      <c r="AE574" s="291"/>
      <c r="AF574" s="291"/>
      <c r="AG574" s="291"/>
    </row>
    <row r="575" ht="18.75" customHeight="1">
      <c r="A575" s="283"/>
      <c r="B575" s="234" t="str">
        <f>'Building Bill of Materials_SLIM'!P575</f>
        <v/>
      </c>
      <c r="C575" s="234" t="str">
        <f>'Building Bill of Materials_SLIM'!Q575</f>
        <v/>
      </c>
      <c r="D575" s="234" t="str">
        <f>'Building Bill of Materials_SLIM'!R575</f>
        <v/>
      </c>
      <c r="E575" s="234" t="str">
        <f>'Building Bill of Materials_SLIM'!S575</f>
        <v/>
      </c>
      <c r="F575" s="234"/>
      <c r="G575" s="234"/>
      <c r="H575" s="234" t="str">
        <f>'Building Bill of Materials_SLIM'!T575</f>
        <v/>
      </c>
      <c r="I575" s="234" t="str">
        <f>'Building Bill of Materials_SLIM'!U575</f>
        <v/>
      </c>
      <c r="J575" s="234" t="str">
        <f>'Building Bill of Materials_SLIM'!V575</f>
        <v/>
      </c>
      <c r="K575" s="192"/>
      <c r="L575" s="242"/>
      <c r="M575" s="242"/>
      <c r="N575" s="291"/>
      <c r="O575" s="291"/>
      <c r="P575" s="291"/>
      <c r="Q575" s="291"/>
      <c r="R575" s="291"/>
      <c r="S575" s="291"/>
      <c r="T575" s="291"/>
      <c r="U575" s="291"/>
      <c r="V575" s="291"/>
      <c r="W575" s="291"/>
      <c r="X575" s="291"/>
      <c r="Y575" s="291"/>
      <c r="Z575" s="291"/>
      <c r="AA575" s="291"/>
      <c r="AB575" s="291"/>
      <c r="AC575" s="291"/>
      <c r="AD575" s="291"/>
      <c r="AE575" s="291"/>
      <c r="AF575" s="291"/>
      <c r="AG575" s="291"/>
    </row>
    <row r="576" ht="18.75" customHeight="1">
      <c r="A576" s="283"/>
      <c r="B576" s="234" t="str">
        <f>'Building Bill of Materials_SLIM'!P576</f>
        <v/>
      </c>
      <c r="C576" s="234" t="str">
        <f>'Building Bill of Materials_SLIM'!Q576</f>
        <v/>
      </c>
      <c r="D576" s="234" t="str">
        <f>'Building Bill of Materials_SLIM'!R576</f>
        <v/>
      </c>
      <c r="E576" s="234" t="str">
        <f>'Building Bill of Materials_SLIM'!S576</f>
        <v/>
      </c>
      <c r="F576" s="234"/>
      <c r="G576" s="234"/>
      <c r="H576" s="234" t="str">
        <f>'Building Bill of Materials_SLIM'!T576</f>
        <v/>
      </c>
      <c r="I576" s="234" t="str">
        <f>'Building Bill of Materials_SLIM'!U576</f>
        <v/>
      </c>
      <c r="J576" s="234" t="str">
        <f>'Building Bill of Materials_SLIM'!V576</f>
        <v/>
      </c>
      <c r="K576" s="192"/>
      <c r="L576" s="242"/>
      <c r="M576" s="242"/>
      <c r="N576" s="291"/>
      <c r="O576" s="291"/>
      <c r="P576" s="291"/>
      <c r="Q576" s="291"/>
      <c r="R576" s="291"/>
      <c r="S576" s="291"/>
      <c r="T576" s="291"/>
      <c r="U576" s="291"/>
      <c r="V576" s="291"/>
      <c r="W576" s="291"/>
      <c r="X576" s="291"/>
      <c r="Y576" s="291"/>
      <c r="Z576" s="291"/>
      <c r="AA576" s="291"/>
      <c r="AB576" s="291"/>
      <c r="AC576" s="291"/>
      <c r="AD576" s="291"/>
      <c r="AE576" s="291"/>
      <c r="AF576" s="291"/>
      <c r="AG576" s="291"/>
    </row>
    <row r="577" ht="18.75" customHeight="1">
      <c r="A577" s="283"/>
      <c r="B577" s="234" t="str">
        <f>'Building Bill of Materials_SLIM'!P577</f>
        <v/>
      </c>
      <c r="C577" s="234" t="str">
        <f>'Building Bill of Materials_SLIM'!Q577</f>
        <v/>
      </c>
      <c r="D577" s="234" t="str">
        <f>'Building Bill of Materials_SLIM'!R577</f>
        <v/>
      </c>
      <c r="E577" s="234" t="str">
        <f>'Building Bill of Materials_SLIM'!S577</f>
        <v/>
      </c>
      <c r="F577" s="234"/>
      <c r="G577" s="234"/>
      <c r="H577" s="234" t="str">
        <f>'Building Bill of Materials_SLIM'!T577</f>
        <v/>
      </c>
      <c r="I577" s="234" t="str">
        <f>'Building Bill of Materials_SLIM'!U577</f>
        <v/>
      </c>
      <c r="J577" s="234" t="str">
        <f>'Building Bill of Materials_SLIM'!V577</f>
        <v/>
      </c>
      <c r="K577" s="192"/>
      <c r="L577" s="242"/>
      <c r="M577" s="242"/>
      <c r="N577" s="291"/>
      <c r="O577" s="291"/>
      <c r="P577" s="291"/>
      <c r="Q577" s="291"/>
      <c r="R577" s="291"/>
      <c r="S577" s="291"/>
      <c r="T577" s="291"/>
      <c r="U577" s="291"/>
      <c r="V577" s="291"/>
      <c r="W577" s="291"/>
      <c r="X577" s="291"/>
      <c r="Y577" s="291"/>
      <c r="Z577" s="291"/>
      <c r="AA577" s="291"/>
      <c r="AB577" s="291"/>
      <c r="AC577" s="291"/>
      <c r="AD577" s="291"/>
      <c r="AE577" s="291"/>
      <c r="AF577" s="291"/>
      <c r="AG577" s="291"/>
    </row>
    <row r="578" ht="18.75" customHeight="1">
      <c r="A578" s="283"/>
      <c r="B578" s="234" t="str">
        <f>'Building Bill of Materials_SLIM'!P578</f>
        <v/>
      </c>
      <c r="C578" s="234" t="str">
        <f>'Building Bill of Materials_SLIM'!Q578</f>
        <v/>
      </c>
      <c r="D578" s="234" t="str">
        <f>'Building Bill of Materials_SLIM'!R578</f>
        <v/>
      </c>
      <c r="E578" s="234" t="str">
        <f>'Building Bill of Materials_SLIM'!S578</f>
        <v/>
      </c>
      <c r="F578" s="234"/>
      <c r="G578" s="234"/>
      <c r="H578" s="234" t="str">
        <f>'Building Bill of Materials_SLIM'!T578</f>
        <v/>
      </c>
      <c r="I578" s="234" t="str">
        <f>'Building Bill of Materials_SLIM'!U578</f>
        <v/>
      </c>
      <c r="J578" s="234" t="str">
        <f>'Building Bill of Materials_SLIM'!V578</f>
        <v/>
      </c>
      <c r="K578" s="192"/>
      <c r="L578" s="242"/>
      <c r="M578" s="242"/>
      <c r="N578" s="291"/>
      <c r="O578" s="291"/>
      <c r="P578" s="291"/>
      <c r="Q578" s="291"/>
      <c r="R578" s="291"/>
      <c r="S578" s="291"/>
      <c r="T578" s="291"/>
      <c r="U578" s="291"/>
      <c r="V578" s="291"/>
      <c r="W578" s="291"/>
      <c r="X578" s="291"/>
      <c r="Y578" s="291"/>
      <c r="Z578" s="291"/>
      <c r="AA578" s="291"/>
      <c r="AB578" s="291"/>
      <c r="AC578" s="291"/>
      <c r="AD578" s="291"/>
      <c r="AE578" s="291"/>
      <c r="AF578" s="291"/>
      <c r="AG578" s="291"/>
    </row>
    <row r="579" ht="18.75" customHeight="1">
      <c r="A579" s="283"/>
      <c r="B579" s="234" t="str">
        <f>'Building Bill of Materials_SLIM'!P579</f>
        <v/>
      </c>
      <c r="C579" s="234" t="str">
        <f>'Building Bill of Materials_SLIM'!Q579</f>
        <v/>
      </c>
      <c r="D579" s="234" t="str">
        <f>'Building Bill of Materials_SLIM'!R579</f>
        <v/>
      </c>
      <c r="E579" s="234" t="str">
        <f>'Building Bill of Materials_SLIM'!S579</f>
        <v/>
      </c>
      <c r="F579" s="234"/>
      <c r="G579" s="234"/>
      <c r="H579" s="234" t="str">
        <f>'Building Bill of Materials_SLIM'!T579</f>
        <v/>
      </c>
      <c r="I579" s="234" t="str">
        <f>'Building Bill of Materials_SLIM'!U579</f>
        <v/>
      </c>
      <c r="J579" s="234" t="str">
        <f>'Building Bill of Materials_SLIM'!V579</f>
        <v/>
      </c>
      <c r="K579" s="192"/>
      <c r="L579" s="242"/>
      <c r="M579" s="242"/>
      <c r="N579" s="291"/>
      <c r="O579" s="291"/>
      <c r="P579" s="291"/>
      <c r="Q579" s="291"/>
      <c r="R579" s="291"/>
      <c r="S579" s="291"/>
      <c r="T579" s="291"/>
      <c r="U579" s="291"/>
      <c r="V579" s="291"/>
      <c r="W579" s="291"/>
      <c r="X579" s="291"/>
      <c r="Y579" s="291"/>
      <c r="Z579" s="291"/>
      <c r="AA579" s="291"/>
      <c r="AB579" s="291"/>
      <c r="AC579" s="291"/>
      <c r="AD579" s="291"/>
      <c r="AE579" s="291"/>
      <c r="AF579" s="291"/>
      <c r="AG579" s="291"/>
    </row>
    <row r="580" ht="18.75" customHeight="1">
      <c r="A580" s="283"/>
      <c r="B580" s="234" t="str">
        <f>'Building Bill of Materials_SLIM'!P580</f>
        <v/>
      </c>
      <c r="C580" s="234" t="str">
        <f>'Building Bill of Materials_SLIM'!Q580</f>
        <v/>
      </c>
      <c r="D580" s="234" t="str">
        <f>'Building Bill of Materials_SLIM'!R580</f>
        <v/>
      </c>
      <c r="E580" s="234" t="str">
        <f>'Building Bill of Materials_SLIM'!S580</f>
        <v/>
      </c>
      <c r="F580" s="234"/>
      <c r="G580" s="234"/>
      <c r="H580" s="234" t="str">
        <f>'Building Bill of Materials_SLIM'!T580</f>
        <v/>
      </c>
      <c r="I580" s="234" t="str">
        <f>'Building Bill of Materials_SLIM'!U580</f>
        <v/>
      </c>
      <c r="J580" s="234" t="str">
        <f>'Building Bill of Materials_SLIM'!V580</f>
        <v/>
      </c>
      <c r="K580" s="192"/>
      <c r="L580" s="242"/>
      <c r="M580" s="242"/>
      <c r="N580" s="291"/>
      <c r="O580" s="291"/>
      <c r="P580" s="291"/>
      <c r="Q580" s="291"/>
      <c r="R580" s="291"/>
      <c r="S580" s="291"/>
      <c r="T580" s="291"/>
      <c r="U580" s="291"/>
      <c r="V580" s="291"/>
      <c r="W580" s="291"/>
      <c r="X580" s="291"/>
      <c r="Y580" s="291"/>
      <c r="Z580" s="291"/>
      <c r="AA580" s="291"/>
      <c r="AB580" s="291"/>
      <c r="AC580" s="291"/>
      <c r="AD580" s="291"/>
      <c r="AE580" s="291"/>
      <c r="AF580" s="291"/>
      <c r="AG580" s="291"/>
    </row>
    <row r="581" ht="18.75" customHeight="1">
      <c r="A581" s="283"/>
      <c r="B581" s="234" t="str">
        <f>'Building Bill of Materials_SLIM'!P581</f>
        <v/>
      </c>
      <c r="C581" s="234" t="str">
        <f>'Building Bill of Materials_SLIM'!Q581</f>
        <v/>
      </c>
      <c r="D581" s="234" t="str">
        <f>'Building Bill of Materials_SLIM'!R581</f>
        <v/>
      </c>
      <c r="E581" s="234" t="str">
        <f>'Building Bill of Materials_SLIM'!S581</f>
        <v/>
      </c>
      <c r="F581" s="234"/>
      <c r="G581" s="234"/>
      <c r="H581" s="234" t="str">
        <f>'Building Bill of Materials_SLIM'!T581</f>
        <v/>
      </c>
      <c r="I581" s="234" t="str">
        <f>'Building Bill of Materials_SLIM'!U581</f>
        <v/>
      </c>
      <c r="J581" s="234" t="str">
        <f>'Building Bill of Materials_SLIM'!V581</f>
        <v/>
      </c>
      <c r="K581" s="192"/>
      <c r="L581" s="242"/>
      <c r="M581" s="242"/>
      <c r="N581" s="291"/>
      <c r="O581" s="291"/>
      <c r="P581" s="291"/>
      <c r="Q581" s="291"/>
      <c r="R581" s="291"/>
      <c r="S581" s="291"/>
      <c r="T581" s="291"/>
      <c r="U581" s="291"/>
      <c r="V581" s="291"/>
      <c r="W581" s="291"/>
      <c r="X581" s="291"/>
      <c r="Y581" s="291"/>
      <c r="Z581" s="291"/>
      <c r="AA581" s="291"/>
      <c r="AB581" s="291"/>
      <c r="AC581" s="291"/>
      <c r="AD581" s="291"/>
      <c r="AE581" s="291"/>
      <c r="AF581" s="291"/>
      <c r="AG581" s="291"/>
    </row>
    <row r="582" ht="18.75" customHeight="1">
      <c r="A582" s="283"/>
      <c r="B582" s="234" t="str">
        <f>'Building Bill of Materials_SLIM'!P582</f>
        <v/>
      </c>
      <c r="C582" s="234" t="str">
        <f>'Building Bill of Materials_SLIM'!Q582</f>
        <v/>
      </c>
      <c r="D582" s="234" t="str">
        <f>'Building Bill of Materials_SLIM'!R582</f>
        <v/>
      </c>
      <c r="E582" s="234" t="str">
        <f>'Building Bill of Materials_SLIM'!S582</f>
        <v/>
      </c>
      <c r="F582" s="234"/>
      <c r="G582" s="234"/>
      <c r="H582" s="234" t="str">
        <f>'Building Bill of Materials_SLIM'!T582</f>
        <v/>
      </c>
      <c r="I582" s="234" t="str">
        <f>'Building Bill of Materials_SLIM'!U582</f>
        <v/>
      </c>
      <c r="J582" s="234" t="str">
        <f>'Building Bill of Materials_SLIM'!V582</f>
        <v/>
      </c>
      <c r="K582" s="192"/>
      <c r="L582" s="242"/>
      <c r="M582" s="242"/>
      <c r="N582" s="291"/>
      <c r="O582" s="291"/>
      <c r="P582" s="291"/>
      <c r="Q582" s="291"/>
      <c r="R582" s="291"/>
      <c r="S582" s="291"/>
      <c r="T582" s="291"/>
      <c r="U582" s="291"/>
      <c r="V582" s="291"/>
      <c r="W582" s="291"/>
      <c r="X582" s="291"/>
      <c r="Y582" s="291"/>
      <c r="Z582" s="291"/>
      <c r="AA582" s="291"/>
      <c r="AB582" s="291"/>
      <c r="AC582" s="291"/>
      <c r="AD582" s="291"/>
      <c r="AE582" s="291"/>
      <c r="AF582" s="291"/>
      <c r="AG582" s="291"/>
    </row>
    <row r="583" ht="18.75" customHeight="1">
      <c r="A583" s="283"/>
      <c r="B583" s="234" t="str">
        <f>'Building Bill of Materials_SLIM'!P583</f>
        <v/>
      </c>
      <c r="C583" s="234" t="str">
        <f>'Building Bill of Materials_SLIM'!Q583</f>
        <v/>
      </c>
      <c r="D583" s="234" t="str">
        <f>'Building Bill of Materials_SLIM'!R583</f>
        <v/>
      </c>
      <c r="E583" s="234" t="str">
        <f>'Building Bill of Materials_SLIM'!S583</f>
        <v/>
      </c>
      <c r="F583" s="234"/>
      <c r="G583" s="234"/>
      <c r="H583" s="234" t="str">
        <f>'Building Bill of Materials_SLIM'!T583</f>
        <v/>
      </c>
      <c r="I583" s="234" t="str">
        <f>'Building Bill of Materials_SLIM'!U583</f>
        <v/>
      </c>
      <c r="J583" s="234" t="str">
        <f>'Building Bill of Materials_SLIM'!V583</f>
        <v/>
      </c>
      <c r="K583" s="192"/>
      <c r="L583" s="242"/>
      <c r="M583" s="242"/>
      <c r="N583" s="291"/>
      <c r="O583" s="291"/>
      <c r="P583" s="291"/>
      <c r="Q583" s="291"/>
      <c r="R583" s="291"/>
      <c r="S583" s="291"/>
      <c r="T583" s="291"/>
      <c r="U583" s="291"/>
      <c r="V583" s="291"/>
      <c r="W583" s="291"/>
      <c r="X583" s="291"/>
      <c r="Y583" s="291"/>
      <c r="Z583" s="291"/>
      <c r="AA583" s="291"/>
      <c r="AB583" s="291"/>
      <c r="AC583" s="291"/>
      <c r="AD583" s="291"/>
      <c r="AE583" s="291"/>
      <c r="AF583" s="291"/>
      <c r="AG583" s="291"/>
    </row>
    <row r="584" ht="18.75" customHeight="1">
      <c r="A584" s="283"/>
      <c r="B584" s="234" t="str">
        <f>'Building Bill of Materials_SLIM'!P584</f>
        <v/>
      </c>
      <c r="C584" s="234" t="str">
        <f>'Building Bill of Materials_SLIM'!Q584</f>
        <v/>
      </c>
      <c r="D584" s="234" t="str">
        <f>'Building Bill of Materials_SLIM'!R584</f>
        <v/>
      </c>
      <c r="E584" s="234" t="str">
        <f>'Building Bill of Materials_SLIM'!S584</f>
        <v/>
      </c>
      <c r="F584" s="234"/>
      <c r="G584" s="234"/>
      <c r="H584" s="234" t="str">
        <f>'Building Bill of Materials_SLIM'!T584</f>
        <v/>
      </c>
      <c r="I584" s="234" t="str">
        <f>'Building Bill of Materials_SLIM'!U584</f>
        <v/>
      </c>
      <c r="J584" s="234" t="str">
        <f>'Building Bill of Materials_SLIM'!V584</f>
        <v/>
      </c>
      <c r="K584" s="192"/>
      <c r="L584" s="242"/>
      <c r="M584" s="242"/>
      <c r="N584" s="291"/>
      <c r="O584" s="291"/>
      <c r="P584" s="291"/>
      <c r="Q584" s="291"/>
      <c r="R584" s="291"/>
      <c r="S584" s="291"/>
      <c r="T584" s="291"/>
      <c r="U584" s="291"/>
      <c r="V584" s="291"/>
      <c r="W584" s="291"/>
      <c r="X584" s="291"/>
      <c r="Y584" s="291"/>
      <c r="Z584" s="291"/>
      <c r="AA584" s="291"/>
      <c r="AB584" s="291"/>
      <c r="AC584" s="291"/>
      <c r="AD584" s="291"/>
      <c r="AE584" s="291"/>
      <c r="AF584" s="291"/>
      <c r="AG584" s="291"/>
    </row>
    <row r="585" ht="18.75" customHeight="1">
      <c r="A585" s="283"/>
      <c r="B585" s="234" t="str">
        <f>'Building Bill of Materials_SLIM'!P585</f>
        <v/>
      </c>
      <c r="C585" s="234" t="str">
        <f>'Building Bill of Materials_SLIM'!Q585</f>
        <v/>
      </c>
      <c r="D585" s="234" t="str">
        <f>'Building Bill of Materials_SLIM'!R585</f>
        <v/>
      </c>
      <c r="E585" s="234" t="str">
        <f>'Building Bill of Materials_SLIM'!S585</f>
        <v/>
      </c>
      <c r="F585" s="234"/>
      <c r="G585" s="234"/>
      <c r="H585" s="234" t="str">
        <f>'Building Bill of Materials_SLIM'!T585</f>
        <v/>
      </c>
      <c r="I585" s="234" t="str">
        <f>'Building Bill of Materials_SLIM'!U585</f>
        <v/>
      </c>
      <c r="J585" s="234" t="str">
        <f>'Building Bill of Materials_SLIM'!V585</f>
        <v/>
      </c>
      <c r="K585" s="192"/>
      <c r="L585" s="242"/>
      <c r="M585" s="242"/>
      <c r="N585" s="291"/>
      <c r="O585" s="291"/>
      <c r="P585" s="291"/>
      <c r="Q585" s="291"/>
      <c r="R585" s="291"/>
      <c r="S585" s="291"/>
      <c r="T585" s="291"/>
      <c r="U585" s="291"/>
      <c r="V585" s="291"/>
      <c r="W585" s="291"/>
      <c r="X585" s="291"/>
      <c r="Y585" s="291"/>
      <c r="Z585" s="291"/>
      <c r="AA585" s="291"/>
      <c r="AB585" s="291"/>
      <c r="AC585" s="291"/>
      <c r="AD585" s="291"/>
      <c r="AE585" s="291"/>
      <c r="AF585" s="291"/>
      <c r="AG585" s="291"/>
    </row>
    <row r="586" ht="18.75" customHeight="1">
      <c r="A586" s="283"/>
      <c r="B586" s="234" t="str">
        <f>'Building Bill of Materials_SLIM'!P586</f>
        <v/>
      </c>
      <c r="C586" s="234" t="str">
        <f>'Building Bill of Materials_SLIM'!Q586</f>
        <v/>
      </c>
      <c r="D586" s="234" t="str">
        <f>'Building Bill of Materials_SLIM'!R586</f>
        <v/>
      </c>
      <c r="E586" s="234" t="str">
        <f>'Building Bill of Materials_SLIM'!S586</f>
        <v/>
      </c>
      <c r="F586" s="234"/>
      <c r="G586" s="234"/>
      <c r="H586" s="234" t="str">
        <f>'Building Bill of Materials_SLIM'!T586</f>
        <v/>
      </c>
      <c r="I586" s="234" t="str">
        <f>'Building Bill of Materials_SLIM'!U586</f>
        <v/>
      </c>
      <c r="J586" s="234" t="str">
        <f>'Building Bill of Materials_SLIM'!V586</f>
        <v/>
      </c>
      <c r="K586" s="192"/>
      <c r="L586" s="242"/>
      <c r="M586" s="242"/>
      <c r="N586" s="291"/>
      <c r="O586" s="291"/>
      <c r="P586" s="291"/>
      <c r="Q586" s="291"/>
      <c r="R586" s="291"/>
      <c r="S586" s="291"/>
      <c r="T586" s="291"/>
      <c r="U586" s="291"/>
      <c r="V586" s="291"/>
      <c r="W586" s="291"/>
      <c r="X586" s="291"/>
      <c r="Y586" s="291"/>
      <c r="Z586" s="291"/>
      <c r="AA586" s="291"/>
      <c r="AB586" s="291"/>
      <c r="AC586" s="291"/>
      <c r="AD586" s="291"/>
      <c r="AE586" s="291"/>
      <c r="AF586" s="291"/>
      <c r="AG586" s="291"/>
    </row>
    <row r="587" ht="18.75" customHeight="1">
      <c r="A587" s="283"/>
      <c r="B587" s="234" t="str">
        <f>'Building Bill of Materials_SLIM'!P587</f>
        <v/>
      </c>
      <c r="C587" s="234" t="str">
        <f>'Building Bill of Materials_SLIM'!Q587</f>
        <v/>
      </c>
      <c r="D587" s="234" t="str">
        <f>'Building Bill of Materials_SLIM'!R587</f>
        <v/>
      </c>
      <c r="E587" s="234" t="str">
        <f>'Building Bill of Materials_SLIM'!S587</f>
        <v/>
      </c>
      <c r="F587" s="234"/>
      <c r="G587" s="234"/>
      <c r="H587" s="234" t="str">
        <f>'Building Bill of Materials_SLIM'!T587</f>
        <v/>
      </c>
      <c r="I587" s="234" t="str">
        <f>'Building Bill of Materials_SLIM'!U587</f>
        <v/>
      </c>
      <c r="J587" s="234" t="str">
        <f>'Building Bill of Materials_SLIM'!V587</f>
        <v/>
      </c>
      <c r="K587" s="192"/>
      <c r="L587" s="242"/>
      <c r="M587" s="242"/>
      <c r="N587" s="291"/>
      <c r="O587" s="291"/>
      <c r="P587" s="291"/>
      <c r="Q587" s="291"/>
      <c r="R587" s="291"/>
      <c r="S587" s="291"/>
      <c r="T587" s="291"/>
      <c r="U587" s="291"/>
      <c r="V587" s="291"/>
      <c r="W587" s="291"/>
      <c r="X587" s="291"/>
      <c r="Y587" s="291"/>
      <c r="Z587" s="291"/>
      <c r="AA587" s="291"/>
      <c r="AB587" s="291"/>
      <c r="AC587" s="291"/>
      <c r="AD587" s="291"/>
      <c r="AE587" s="291"/>
      <c r="AF587" s="291"/>
      <c r="AG587" s="291"/>
    </row>
    <row r="588" ht="18.75" customHeight="1">
      <c r="A588" s="283"/>
      <c r="B588" s="234" t="str">
        <f>'Building Bill of Materials_SLIM'!P588</f>
        <v/>
      </c>
      <c r="C588" s="234" t="str">
        <f>'Building Bill of Materials_SLIM'!Q588</f>
        <v/>
      </c>
      <c r="D588" s="234" t="str">
        <f>'Building Bill of Materials_SLIM'!R588</f>
        <v/>
      </c>
      <c r="E588" s="234" t="str">
        <f>'Building Bill of Materials_SLIM'!S588</f>
        <v/>
      </c>
      <c r="F588" s="234"/>
      <c r="G588" s="234"/>
      <c r="H588" s="234" t="str">
        <f>'Building Bill of Materials_SLIM'!T588</f>
        <v/>
      </c>
      <c r="I588" s="234" t="str">
        <f>'Building Bill of Materials_SLIM'!U588</f>
        <v/>
      </c>
      <c r="J588" s="234" t="str">
        <f>'Building Bill of Materials_SLIM'!V588</f>
        <v/>
      </c>
      <c r="K588" s="192"/>
      <c r="L588" s="242"/>
      <c r="M588" s="242"/>
      <c r="N588" s="291"/>
      <c r="O588" s="291"/>
      <c r="P588" s="291"/>
      <c r="Q588" s="291"/>
      <c r="R588" s="291"/>
      <c r="S588" s="291"/>
      <c r="T588" s="291"/>
      <c r="U588" s="291"/>
      <c r="V588" s="291"/>
      <c r="W588" s="291"/>
      <c r="X588" s="291"/>
      <c r="Y588" s="291"/>
      <c r="Z588" s="291"/>
      <c r="AA588" s="291"/>
      <c r="AB588" s="291"/>
      <c r="AC588" s="291"/>
      <c r="AD588" s="291"/>
      <c r="AE588" s="291"/>
      <c r="AF588" s="291"/>
      <c r="AG588" s="291"/>
    </row>
    <row r="589" ht="18.75" customHeight="1">
      <c r="A589" s="283"/>
      <c r="B589" s="234" t="str">
        <f>'Building Bill of Materials_SLIM'!P589</f>
        <v/>
      </c>
      <c r="C589" s="234" t="str">
        <f>'Building Bill of Materials_SLIM'!Q589</f>
        <v/>
      </c>
      <c r="D589" s="234" t="str">
        <f>'Building Bill of Materials_SLIM'!R589</f>
        <v/>
      </c>
      <c r="E589" s="234" t="str">
        <f>'Building Bill of Materials_SLIM'!S589</f>
        <v/>
      </c>
      <c r="F589" s="234"/>
      <c r="G589" s="234"/>
      <c r="H589" s="234" t="str">
        <f>'Building Bill of Materials_SLIM'!T589</f>
        <v/>
      </c>
      <c r="I589" s="234" t="str">
        <f>'Building Bill of Materials_SLIM'!U589</f>
        <v/>
      </c>
      <c r="J589" s="234" t="str">
        <f>'Building Bill of Materials_SLIM'!V589</f>
        <v/>
      </c>
      <c r="K589" s="192"/>
      <c r="L589" s="242"/>
      <c r="M589" s="242"/>
      <c r="N589" s="291"/>
      <c r="O589" s="291"/>
      <c r="P589" s="291"/>
      <c r="Q589" s="291"/>
      <c r="R589" s="291"/>
      <c r="S589" s="291"/>
      <c r="T589" s="291"/>
      <c r="U589" s="291"/>
      <c r="V589" s="291"/>
      <c r="W589" s="291"/>
      <c r="X589" s="291"/>
      <c r="Y589" s="291"/>
      <c r="Z589" s="291"/>
      <c r="AA589" s="291"/>
      <c r="AB589" s="291"/>
      <c r="AC589" s="291"/>
      <c r="AD589" s="291"/>
      <c r="AE589" s="291"/>
      <c r="AF589" s="291"/>
      <c r="AG589" s="291"/>
    </row>
    <row r="590" ht="18.75" customHeight="1">
      <c r="A590" s="283"/>
      <c r="B590" s="234" t="str">
        <f>'Building Bill of Materials_SLIM'!P590</f>
        <v/>
      </c>
      <c r="C590" s="234" t="str">
        <f>'Building Bill of Materials_SLIM'!Q590</f>
        <v/>
      </c>
      <c r="D590" s="234" t="str">
        <f>'Building Bill of Materials_SLIM'!R590</f>
        <v/>
      </c>
      <c r="E590" s="234" t="str">
        <f>'Building Bill of Materials_SLIM'!S590</f>
        <v/>
      </c>
      <c r="F590" s="234"/>
      <c r="G590" s="234"/>
      <c r="H590" s="234" t="str">
        <f>'Building Bill of Materials_SLIM'!T590</f>
        <v/>
      </c>
      <c r="I590" s="234" t="str">
        <f>'Building Bill of Materials_SLIM'!U590</f>
        <v/>
      </c>
      <c r="J590" s="234" t="str">
        <f>'Building Bill of Materials_SLIM'!V590</f>
        <v/>
      </c>
      <c r="K590" s="192"/>
      <c r="L590" s="242"/>
      <c r="M590" s="242"/>
      <c r="N590" s="291"/>
      <c r="O590" s="291"/>
      <c r="P590" s="291"/>
      <c r="Q590" s="291"/>
      <c r="R590" s="291"/>
      <c r="S590" s="291"/>
      <c r="T590" s="291"/>
      <c r="U590" s="291"/>
      <c r="V590" s="291"/>
      <c r="W590" s="291"/>
      <c r="X590" s="291"/>
      <c r="Y590" s="291"/>
      <c r="Z590" s="291"/>
      <c r="AA590" s="291"/>
      <c r="AB590" s="291"/>
      <c r="AC590" s="291"/>
      <c r="AD590" s="291"/>
      <c r="AE590" s="291"/>
      <c r="AF590" s="291"/>
      <c r="AG590" s="291"/>
    </row>
    <row r="591" ht="18.75" customHeight="1">
      <c r="A591" s="283"/>
      <c r="B591" s="234" t="str">
        <f>'Building Bill of Materials_SLIM'!P591</f>
        <v/>
      </c>
      <c r="C591" s="234" t="str">
        <f>'Building Bill of Materials_SLIM'!Q591</f>
        <v/>
      </c>
      <c r="D591" s="234" t="str">
        <f>'Building Bill of Materials_SLIM'!R591</f>
        <v/>
      </c>
      <c r="E591" s="234" t="str">
        <f>'Building Bill of Materials_SLIM'!S591</f>
        <v/>
      </c>
      <c r="F591" s="234"/>
      <c r="G591" s="234"/>
      <c r="H591" s="234" t="str">
        <f>'Building Bill of Materials_SLIM'!T591</f>
        <v/>
      </c>
      <c r="I591" s="234" t="str">
        <f>'Building Bill of Materials_SLIM'!U591</f>
        <v/>
      </c>
      <c r="J591" s="234" t="str">
        <f>'Building Bill of Materials_SLIM'!V591</f>
        <v/>
      </c>
      <c r="K591" s="192"/>
      <c r="L591" s="242"/>
      <c r="M591" s="242"/>
      <c r="N591" s="291"/>
      <c r="O591" s="291"/>
      <c r="P591" s="291"/>
      <c r="Q591" s="291"/>
      <c r="R591" s="291"/>
      <c r="S591" s="291"/>
      <c r="T591" s="291"/>
      <c r="U591" s="291"/>
      <c r="V591" s="291"/>
      <c r="W591" s="291"/>
      <c r="X591" s="291"/>
      <c r="Y591" s="291"/>
      <c r="Z591" s="291"/>
      <c r="AA591" s="291"/>
      <c r="AB591" s="291"/>
      <c r="AC591" s="291"/>
      <c r="AD591" s="291"/>
      <c r="AE591" s="291"/>
      <c r="AF591" s="291"/>
      <c r="AG591" s="291"/>
    </row>
    <row r="592" ht="18.75" customHeight="1">
      <c r="A592" s="283"/>
      <c r="B592" s="234" t="str">
        <f>'Building Bill of Materials_SLIM'!P592</f>
        <v/>
      </c>
      <c r="C592" s="234" t="str">
        <f>'Building Bill of Materials_SLIM'!Q592</f>
        <v/>
      </c>
      <c r="D592" s="234" t="str">
        <f>'Building Bill of Materials_SLIM'!R592</f>
        <v/>
      </c>
      <c r="E592" s="234" t="str">
        <f>'Building Bill of Materials_SLIM'!S592</f>
        <v/>
      </c>
      <c r="F592" s="234"/>
      <c r="G592" s="234"/>
      <c r="H592" s="234" t="str">
        <f>'Building Bill of Materials_SLIM'!T592</f>
        <v/>
      </c>
      <c r="I592" s="234" t="str">
        <f>'Building Bill of Materials_SLIM'!U592</f>
        <v/>
      </c>
      <c r="J592" s="234" t="str">
        <f>'Building Bill of Materials_SLIM'!V592</f>
        <v/>
      </c>
      <c r="K592" s="192"/>
      <c r="L592" s="242"/>
      <c r="M592" s="242"/>
      <c r="N592" s="291"/>
      <c r="O592" s="291"/>
      <c r="P592" s="291"/>
      <c r="Q592" s="291"/>
      <c r="R592" s="291"/>
      <c r="S592" s="291"/>
      <c r="T592" s="291"/>
      <c r="U592" s="291"/>
      <c r="V592" s="291"/>
      <c r="W592" s="291"/>
      <c r="X592" s="291"/>
      <c r="Y592" s="291"/>
      <c r="Z592" s="291"/>
      <c r="AA592" s="291"/>
      <c r="AB592" s="291"/>
      <c r="AC592" s="291"/>
      <c r="AD592" s="291"/>
      <c r="AE592" s="291"/>
      <c r="AF592" s="291"/>
      <c r="AG592" s="291"/>
    </row>
    <row r="593" ht="18.75" customHeight="1">
      <c r="A593" s="283"/>
      <c r="B593" s="234" t="str">
        <f>'Building Bill of Materials_SLIM'!P593</f>
        <v/>
      </c>
      <c r="C593" s="234" t="str">
        <f>'Building Bill of Materials_SLIM'!Q593</f>
        <v/>
      </c>
      <c r="D593" s="234" t="str">
        <f>'Building Bill of Materials_SLIM'!R593</f>
        <v/>
      </c>
      <c r="E593" s="234" t="str">
        <f>'Building Bill of Materials_SLIM'!S593</f>
        <v/>
      </c>
      <c r="F593" s="234"/>
      <c r="G593" s="234"/>
      <c r="H593" s="234" t="str">
        <f>'Building Bill of Materials_SLIM'!T593</f>
        <v/>
      </c>
      <c r="I593" s="234" t="str">
        <f>'Building Bill of Materials_SLIM'!U593</f>
        <v/>
      </c>
      <c r="J593" s="234" t="str">
        <f>'Building Bill of Materials_SLIM'!V593</f>
        <v/>
      </c>
      <c r="K593" s="192"/>
      <c r="L593" s="242"/>
      <c r="M593" s="242"/>
      <c r="N593" s="291"/>
      <c r="O593" s="291"/>
      <c r="P593" s="291"/>
      <c r="Q593" s="291"/>
      <c r="R593" s="291"/>
      <c r="S593" s="291"/>
      <c r="T593" s="291"/>
      <c r="U593" s="291"/>
      <c r="V593" s="291"/>
      <c r="W593" s="291"/>
      <c r="X593" s="291"/>
      <c r="Y593" s="291"/>
      <c r="Z593" s="291"/>
      <c r="AA593" s="291"/>
      <c r="AB593" s="291"/>
      <c r="AC593" s="291"/>
      <c r="AD593" s="291"/>
      <c r="AE593" s="291"/>
      <c r="AF593" s="291"/>
      <c r="AG593" s="291"/>
    </row>
    <row r="594" ht="18.75" customHeight="1">
      <c r="A594" s="283"/>
      <c r="B594" s="234" t="str">
        <f>'Building Bill of Materials_SLIM'!P594</f>
        <v/>
      </c>
      <c r="C594" s="234" t="str">
        <f>'Building Bill of Materials_SLIM'!Q594</f>
        <v/>
      </c>
      <c r="D594" s="234" t="str">
        <f>'Building Bill of Materials_SLIM'!R594</f>
        <v/>
      </c>
      <c r="E594" s="234" t="str">
        <f>'Building Bill of Materials_SLIM'!S594</f>
        <v/>
      </c>
      <c r="F594" s="234"/>
      <c r="G594" s="234"/>
      <c r="H594" s="234" t="str">
        <f>'Building Bill of Materials_SLIM'!T594</f>
        <v/>
      </c>
      <c r="I594" s="234" t="str">
        <f>'Building Bill of Materials_SLIM'!U594</f>
        <v/>
      </c>
      <c r="J594" s="234" t="str">
        <f>'Building Bill of Materials_SLIM'!V594</f>
        <v/>
      </c>
      <c r="K594" s="192"/>
      <c r="L594" s="242"/>
      <c r="M594" s="242"/>
      <c r="N594" s="291"/>
      <c r="O594" s="291"/>
      <c r="P594" s="291"/>
      <c r="Q594" s="291"/>
      <c r="R594" s="291"/>
      <c r="S594" s="291"/>
      <c r="T594" s="291"/>
      <c r="U594" s="291"/>
      <c r="V594" s="291"/>
      <c r="W594" s="291"/>
      <c r="X594" s="291"/>
      <c r="Y594" s="291"/>
      <c r="Z594" s="291"/>
      <c r="AA594" s="291"/>
      <c r="AB594" s="291"/>
      <c r="AC594" s="291"/>
      <c r="AD594" s="291"/>
      <c r="AE594" s="291"/>
      <c r="AF594" s="291"/>
      <c r="AG594" s="291"/>
    </row>
    <row r="595" ht="18.75" customHeight="1">
      <c r="A595" s="283"/>
      <c r="B595" s="234" t="str">
        <f>'Building Bill of Materials_SLIM'!P595</f>
        <v/>
      </c>
      <c r="C595" s="234" t="str">
        <f>'Building Bill of Materials_SLIM'!Q595</f>
        <v/>
      </c>
      <c r="D595" s="234" t="str">
        <f>'Building Bill of Materials_SLIM'!R595</f>
        <v/>
      </c>
      <c r="E595" s="234" t="str">
        <f>'Building Bill of Materials_SLIM'!S595</f>
        <v/>
      </c>
      <c r="F595" s="234"/>
      <c r="G595" s="234"/>
      <c r="H595" s="234" t="str">
        <f>'Building Bill of Materials_SLIM'!T595</f>
        <v/>
      </c>
      <c r="I595" s="234" t="str">
        <f>'Building Bill of Materials_SLIM'!U595</f>
        <v/>
      </c>
      <c r="J595" s="234" t="str">
        <f>'Building Bill of Materials_SLIM'!V595</f>
        <v/>
      </c>
      <c r="K595" s="192"/>
      <c r="L595" s="242"/>
      <c r="M595" s="242"/>
      <c r="N595" s="291"/>
      <c r="O595" s="291"/>
      <c r="P595" s="291"/>
      <c r="Q595" s="291"/>
      <c r="R595" s="291"/>
      <c r="S595" s="291"/>
      <c r="T595" s="291"/>
      <c r="U595" s="291"/>
      <c r="V595" s="291"/>
      <c r="W595" s="291"/>
      <c r="X595" s="291"/>
      <c r="Y595" s="291"/>
      <c r="Z595" s="291"/>
      <c r="AA595" s="291"/>
      <c r="AB595" s="291"/>
      <c r="AC595" s="291"/>
      <c r="AD595" s="291"/>
      <c r="AE595" s="291"/>
      <c r="AF595" s="291"/>
      <c r="AG595" s="291"/>
    </row>
    <row r="596" ht="18.75" customHeight="1">
      <c r="A596" s="283"/>
      <c r="B596" s="234" t="str">
        <f>'Building Bill of Materials_SLIM'!P596</f>
        <v/>
      </c>
      <c r="C596" s="234" t="str">
        <f>'Building Bill of Materials_SLIM'!Q596</f>
        <v/>
      </c>
      <c r="D596" s="234" t="str">
        <f>'Building Bill of Materials_SLIM'!R596</f>
        <v/>
      </c>
      <c r="E596" s="234" t="str">
        <f>'Building Bill of Materials_SLIM'!S596</f>
        <v/>
      </c>
      <c r="F596" s="234"/>
      <c r="G596" s="234"/>
      <c r="H596" s="234" t="str">
        <f>'Building Bill of Materials_SLIM'!T596</f>
        <v/>
      </c>
      <c r="I596" s="234" t="str">
        <f>'Building Bill of Materials_SLIM'!U596</f>
        <v/>
      </c>
      <c r="J596" s="234" t="str">
        <f>'Building Bill of Materials_SLIM'!V596</f>
        <v/>
      </c>
      <c r="K596" s="192"/>
      <c r="L596" s="242"/>
      <c r="M596" s="242"/>
      <c r="N596" s="291"/>
      <c r="O596" s="291"/>
      <c r="P596" s="291"/>
      <c r="Q596" s="291"/>
      <c r="R596" s="291"/>
      <c r="S596" s="291"/>
      <c r="T596" s="291"/>
      <c r="U596" s="291"/>
      <c r="V596" s="291"/>
      <c r="W596" s="291"/>
      <c r="X596" s="291"/>
      <c r="Y596" s="291"/>
      <c r="Z596" s="291"/>
      <c r="AA596" s="291"/>
      <c r="AB596" s="291"/>
      <c r="AC596" s="291"/>
      <c r="AD596" s="291"/>
      <c r="AE596" s="291"/>
      <c r="AF596" s="291"/>
      <c r="AG596" s="291"/>
    </row>
    <row r="597" ht="18.75" customHeight="1">
      <c r="A597" s="283"/>
      <c r="B597" s="234" t="str">
        <f>'Building Bill of Materials_SLIM'!P597</f>
        <v/>
      </c>
      <c r="C597" s="234" t="str">
        <f>'Building Bill of Materials_SLIM'!Q597</f>
        <v/>
      </c>
      <c r="D597" s="234" t="str">
        <f>'Building Bill of Materials_SLIM'!R597</f>
        <v/>
      </c>
      <c r="E597" s="234" t="str">
        <f>'Building Bill of Materials_SLIM'!S597</f>
        <v/>
      </c>
      <c r="F597" s="234"/>
      <c r="G597" s="234"/>
      <c r="H597" s="234" t="str">
        <f>'Building Bill of Materials_SLIM'!T597</f>
        <v/>
      </c>
      <c r="I597" s="234" t="str">
        <f>'Building Bill of Materials_SLIM'!U597</f>
        <v/>
      </c>
      <c r="J597" s="234" t="str">
        <f>'Building Bill of Materials_SLIM'!V597</f>
        <v/>
      </c>
      <c r="K597" s="192"/>
      <c r="L597" s="242"/>
      <c r="M597" s="242"/>
      <c r="N597" s="291"/>
      <c r="O597" s="291"/>
      <c r="P597" s="291"/>
      <c r="Q597" s="291"/>
      <c r="R597" s="291"/>
      <c r="S597" s="291"/>
      <c r="T597" s="291"/>
      <c r="U597" s="291"/>
      <c r="V597" s="291"/>
      <c r="W597" s="291"/>
      <c r="X597" s="291"/>
      <c r="Y597" s="291"/>
      <c r="Z597" s="291"/>
      <c r="AA597" s="291"/>
      <c r="AB597" s="291"/>
      <c r="AC597" s="291"/>
      <c r="AD597" s="291"/>
      <c r="AE597" s="291"/>
      <c r="AF597" s="291"/>
      <c r="AG597" s="291"/>
    </row>
    <row r="598" ht="18.75" customHeight="1">
      <c r="A598" s="283"/>
      <c r="B598" s="234" t="str">
        <f>'Building Bill of Materials_SLIM'!P598</f>
        <v/>
      </c>
      <c r="C598" s="234" t="str">
        <f>'Building Bill of Materials_SLIM'!Q598</f>
        <v/>
      </c>
      <c r="D598" s="234" t="str">
        <f>'Building Bill of Materials_SLIM'!R598</f>
        <v/>
      </c>
      <c r="E598" s="234" t="str">
        <f>'Building Bill of Materials_SLIM'!S598</f>
        <v/>
      </c>
      <c r="F598" s="234"/>
      <c r="G598" s="234"/>
      <c r="H598" s="234" t="str">
        <f>'Building Bill of Materials_SLIM'!T598</f>
        <v/>
      </c>
      <c r="I598" s="234" t="str">
        <f>'Building Bill of Materials_SLIM'!U598</f>
        <v/>
      </c>
      <c r="J598" s="234" t="str">
        <f>'Building Bill of Materials_SLIM'!V598</f>
        <v/>
      </c>
      <c r="K598" s="192"/>
      <c r="L598" s="242"/>
      <c r="M598" s="242"/>
      <c r="N598" s="291"/>
      <c r="O598" s="291"/>
      <c r="P598" s="291"/>
      <c r="Q598" s="291"/>
      <c r="R598" s="291"/>
      <c r="S598" s="291"/>
      <c r="T598" s="291"/>
      <c r="U598" s="291"/>
      <c r="V598" s="291"/>
      <c r="W598" s="291"/>
      <c r="X598" s="291"/>
      <c r="Y598" s="291"/>
      <c r="Z598" s="291"/>
      <c r="AA598" s="291"/>
      <c r="AB598" s="291"/>
      <c r="AC598" s="291"/>
      <c r="AD598" s="291"/>
      <c r="AE598" s="291"/>
      <c r="AF598" s="291"/>
      <c r="AG598" s="291"/>
    </row>
    <row r="599" ht="18.75" customHeight="1">
      <c r="A599" s="283"/>
      <c r="B599" s="234" t="str">
        <f>'Building Bill of Materials_SLIM'!P599</f>
        <v/>
      </c>
      <c r="C599" s="234" t="str">
        <f>'Building Bill of Materials_SLIM'!Q599</f>
        <v/>
      </c>
      <c r="D599" s="234" t="str">
        <f>'Building Bill of Materials_SLIM'!R599</f>
        <v/>
      </c>
      <c r="E599" s="234" t="str">
        <f>'Building Bill of Materials_SLIM'!S599</f>
        <v/>
      </c>
      <c r="F599" s="234"/>
      <c r="G599" s="234"/>
      <c r="H599" s="234" t="str">
        <f>'Building Bill of Materials_SLIM'!T599</f>
        <v/>
      </c>
      <c r="I599" s="234" t="str">
        <f>'Building Bill of Materials_SLIM'!U599</f>
        <v/>
      </c>
      <c r="J599" s="234" t="str">
        <f>'Building Bill of Materials_SLIM'!V599</f>
        <v/>
      </c>
      <c r="K599" s="192"/>
      <c r="L599" s="242"/>
      <c r="M599" s="242"/>
      <c r="N599" s="291"/>
      <c r="O599" s="291"/>
      <c r="P599" s="291"/>
      <c r="Q599" s="291"/>
      <c r="R599" s="291"/>
      <c r="S599" s="291"/>
      <c r="T599" s="291"/>
      <c r="U599" s="291"/>
      <c r="V599" s="291"/>
      <c r="W599" s="291"/>
      <c r="X599" s="291"/>
      <c r="Y599" s="291"/>
      <c r="Z599" s="291"/>
      <c r="AA599" s="291"/>
      <c r="AB599" s="291"/>
      <c r="AC599" s="291"/>
      <c r="AD599" s="291"/>
      <c r="AE599" s="291"/>
      <c r="AF599" s="291"/>
      <c r="AG599" s="291"/>
    </row>
    <row r="600" ht="18.75" customHeight="1">
      <c r="A600" s="283"/>
      <c r="B600" s="234" t="str">
        <f>'Building Bill of Materials_SLIM'!P600</f>
        <v/>
      </c>
      <c r="C600" s="234" t="str">
        <f>'Building Bill of Materials_SLIM'!Q600</f>
        <v/>
      </c>
      <c r="D600" s="234" t="str">
        <f>'Building Bill of Materials_SLIM'!R600</f>
        <v/>
      </c>
      <c r="E600" s="234" t="str">
        <f>'Building Bill of Materials_SLIM'!S600</f>
        <v/>
      </c>
      <c r="F600" s="234"/>
      <c r="G600" s="234"/>
      <c r="H600" s="234" t="str">
        <f>'Building Bill of Materials_SLIM'!T600</f>
        <v/>
      </c>
      <c r="I600" s="234" t="str">
        <f>'Building Bill of Materials_SLIM'!U600</f>
        <v/>
      </c>
      <c r="J600" s="234" t="str">
        <f>'Building Bill of Materials_SLIM'!V600</f>
        <v/>
      </c>
      <c r="K600" s="192"/>
      <c r="L600" s="242"/>
      <c r="M600" s="242"/>
      <c r="N600" s="291"/>
      <c r="O600" s="291"/>
      <c r="P600" s="291"/>
      <c r="Q600" s="291"/>
      <c r="R600" s="291"/>
      <c r="S600" s="291"/>
      <c r="T600" s="291"/>
      <c r="U600" s="291"/>
      <c r="V600" s="291"/>
      <c r="W600" s="291"/>
      <c r="X600" s="291"/>
      <c r="Y600" s="291"/>
      <c r="Z600" s="291"/>
      <c r="AA600" s="291"/>
      <c r="AB600" s="291"/>
      <c r="AC600" s="291"/>
      <c r="AD600" s="291"/>
      <c r="AE600" s="291"/>
      <c r="AF600" s="291"/>
      <c r="AG600" s="291"/>
    </row>
    <row r="601" ht="18.75" customHeight="1">
      <c r="A601" s="283"/>
      <c r="B601" s="234" t="str">
        <f>'Building Bill of Materials_SLIM'!P601</f>
        <v/>
      </c>
      <c r="C601" s="234" t="str">
        <f>'Building Bill of Materials_SLIM'!Q601</f>
        <v/>
      </c>
      <c r="D601" s="234" t="str">
        <f>'Building Bill of Materials_SLIM'!R601</f>
        <v/>
      </c>
      <c r="E601" s="234" t="str">
        <f>'Building Bill of Materials_SLIM'!S601</f>
        <v/>
      </c>
      <c r="F601" s="234"/>
      <c r="G601" s="234"/>
      <c r="H601" s="234" t="str">
        <f>'Building Bill of Materials_SLIM'!T601</f>
        <v/>
      </c>
      <c r="I601" s="234" t="str">
        <f>'Building Bill of Materials_SLIM'!U601</f>
        <v/>
      </c>
      <c r="J601" s="234" t="str">
        <f>'Building Bill of Materials_SLIM'!V601</f>
        <v/>
      </c>
      <c r="K601" s="192"/>
      <c r="L601" s="242"/>
      <c r="M601" s="242"/>
      <c r="N601" s="291"/>
      <c r="O601" s="291"/>
      <c r="P601" s="291"/>
      <c r="Q601" s="291"/>
      <c r="R601" s="291"/>
      <c r="S601" s="291"/>
      <c r="T601" s="291"/>
      <c r="U601" s="291"/>
      <c r="V601" s="291"/>
      <c r="W601" s="291"/>
      <c r="X601" s="291"/>
      <c r="Y601" s="291"/>
      <c r="Z601" s="291"/>
      <c r="AA601" s="291"/>
      <c r="AB601" s="291"/>
      <c r="AC601" s="291"/>
      <c r="AD601" s="291"/>
      <c r="AE601" s="291"/>
      <c r="AF601" s="291"/>
      <c r="AG601" s="291"/>
    </row>
    <row r="602" ht="18.75" customHeight="1">
      <c r="A602" s="283"/>
      <c r="B602" s="234" t="str">
        <f>'Building Bill of Materials_SLIM'!P602</f>
        <v/>
      </c>
      <c r="C602" s="234" t="str">
        <f>'Building Bill of Materials_SLIM'!Q602</f>
        <v/>
      </c>
      <c r="D602" s="234" t="str">
        <f>'Building Bill of Materials_SLIM'!R602</f>
        <v/>
      </c>
      <c r="E602" s="234" t="str">
        <f>'Building Bill of Materials_SLIM'!S602</f>
        <v/>
      </c>
      <c r="F602" s="234"/>
      <c r="G602" s="234"/>
      <c r="H602" s="234" t="str">
        <f>'Building Bill of Materials_SLIM'!T602</f>
        <v/>
      </c>
      <c r="I602" s="234" t="str">
        <f>'Building Bill of Materials_SLIM'!U602</f>
        <v/>
      </c>
      <c r="J602" s="234" t="str">
        <f>'Building Bill of Materials_SLIM'!V602</f>
        <v/>
      </c>
      <c r="K602" s="192"/>
      <c r="L602" s="242"/>
      <c r="M602" s="242"/>
      <c r="N602" s="291"/>
      <c r="O602" s="291"/>
      <c r="P602" s="291"/>
      <c r="Q602" s="291"/>
      <c r="R602" s="291"/>
      <c r="S602" s="291"/>
      <c r="T602" s="291"/>
      <c r="U602" s="291"/>
      <c r="V602" s="291"/>
      <c r="W602" s="291"/>
      <c r="X602" s="291"/>
      <c r="Y602" s="291"/>
      <c r="Z602" s="291"/>
      <c r="AA602" s="291"/>
      <c r="AB602" s="291"/>
      <c r="AC602" s="291"/>
      <c r="AD602" s="291"/>
      <c r="AE602" s="291"/>
      <c r="AF602" s="291"/>
      <c r="AG602" s="291"/>
    </row>
    <row r="603" ht="18.75" customHeight="1">
      <c r="A603" s="283"/>
      <c r="B603" s="234" t="str">
        <f>'Building Bill of Materials_SLIM'!P603</f>
        <v/>
      </c>
      <c r="C603" s="234" t="str">
        <f>'Building Bill of Materials_SLIM'!Q603</f>
        <v/>
      </c>
      <c r="D603" s="234" t="str">
        <f>'Building Bill of Materials_SLIM'!R603</f>
        <v/>
      </c>
      <c r="E603" s="234" t="str">
        <f>'Building Bill of Materials_SLIM'!S603</f>
        <v/>
      </c>
      <c r="F603" s="234"/>
      <c r="G603" s="234"/>
      <c r="H603" s="234" t="str">
        <f>'Building Bill of Materials_SLIM'!T603</f>
        <v/>
      </c>
      <c r="I603" s="234" t="str">
        <f>'Building Bill of Materials_SLIM'!U603</f>
        <v/>
      </c>
      <c r="J603" s="234" t="str">
        <f>'Building Bill of Materials_SLIM'!V603</f>
        <v/>
      </c>
      <c r="K603" s="192"/>
      <c r="L603" s="242"/>
      <c r="M603" s="242"/>
      <c r="N603" s="291"/>
      <c r="O603" s="291"/>
      <c r="P603" s="291"/>
      <c r="Q603" s="291"/>
      <c r="R603" s="291"/>
      <c r="S603" s="291"/>
      <c r="T603" s="291"/>
      <c r="U603" s="291"/>
      <c r="V603" s="291"/>
      <c r="W603" s="291"/>
      <c r="X603" s="291"/>
      <c r="Y603" s="291"/>
      <c r="Z603" s="291"/>
      <c r="AA603" s="291"/>
      <c r="AB603" s="291"/>
      <c r="AC603" s="291"/>
      <c r="AD603" s="291"/>
      <c r="AE603" s="291"/>
      <c r="AF603" s="291"/>
      <c r="AG603" s="291"/>
    </row>
    <row r="604" ht="18.75" customHeight="1">
      <c r="A604" s="283"/>
      <c r="B604" s="234" t="str">
        <f>'Building Bill of Materials_SLIM'!P604</f>
        <v/>
      </c>
      <c r="C604" s="234" t="str">
        <f>'Building Bill of Materials_SLIM'!Q604</f>
        <v/>
      </c>
      <c r="D604" s="234" t="str">
        <f>'Building Bill of Materials_SLIM'!R604</f>
        <v/>
      </c>
      <c r="E604" s="234" t="str">
        <f>'Building Bill of Materials_SLIM'!S604</f>
        <v/>
      </c>
      <c r="F604" s="234"/>
      <c r="G604" s="234"/>
      <c r="H604" s="234" t="str">
        <f>'Building Bill of Materials_SLIM'!T604</f>
        <v/>
      </c>
      <c r="I604" s="234" t="str">
        <f>'Building Bill of Materials_SLIM'!U604</f>
        <v/>
      </c>
      <c r="J604" s="234" t="str">
        <f>'Building Bill of Materials_SLIM'!V604</f>
        <v/>
      </c>
      <c r="K604" s="192"/>
      <c r="L604" s="242"/>
      <c r="M604" s="242"/>
      <c r="N604" s="291"/>
      <c r="O604" s="291"/>
      <c r="P604" s="291"/>
      <c r="Q604" s="291"/>
      <c r="R604" s="291"/>
      <c r="S604" s="291"/>
      <c r="T604" s="291"/>
      <c r="U604" s="291"/>
      <c r="V604" s="291"/>
      <c r="W604" s="291"/>
      <c r="X604" s="291"/>
      <c r="Y604" s="291"/>
      <c r="Z604" s="291"/>
      <c r="AA604" s="291"/>
      <c r="AB604" s="291"/>
      <c r="AC604" s="291"/>
      <c r="AD604" s="291"/>
      <c r="AE604" s="291"/>
      <c r="AF604" s="291"/>
      <c r="AG604" s="291"/>
    </row>
    <row r="605" ht="18.75" customHeight="1">
      <c r="A605" s="283"/>
      <c r="B605" s="234" t="str">
        <f>'Building Bill of Materials_SLIM'!P605</f>
        <v/>
      </c>
      <c r="C605" s="234" t="str">
        <f>'Building Bill of Materials_SLIM'!Q605</f>
        <v/>
      </c>
      <c r="D605" s="234" t="str">
        <f>'Building Bill of Materials_SLIM'!R605</f>
        <v/>
      </c>
      <c r="E605" s="234" t="str">
        <f>'Building Bill of Materials_SLIM'!S605</f>
        <v/>
      </c>
      <c r="F605" s="234"/>
      <c r="G605" s="234"/>
      <c r="H605" s="234" t="str">
        <f>'Building Bill of Materials_SLIM'!T605</f>
        <v/>
      </c>
      <c r="I605" s="234" t="str">
        <f>'Building Bill of Materials_SLIM'!U605</f>
        <v/>
      </c>
      <c r="J605" s="234" t="str">
        <f>'Building Bill of Materials_SLIM'!V605</f>
        <v/>
      </c>
      <c r="K605" s="192"/>
      <c r="L605" s="242"/>
      <c r="M605" s="242"/>
      <c r="N605" s="291"/>
      <c r="O605" s="291"/>
      <c r="P605" s="291"/>
      <c r="Q605" s="291"/>
      <c r="R605" s="291"/>
      <c r="S605" s="291"/>
      <c r="T605" s="291"/>
      <c r="U605" s="291"/>
      <c r="V605" s="291"/>
      <c r="W605" s="291"/>
      <c r="X605" s="291"/>
      <c r="Y605" s="291"/>
      <c r="Z605" s="291"/>
      <c r="AA605" s="291"/>
      <c r="AB605" s="291"/>
      <c r="AC605" s="291"/>
      <c r="AD605" s="291"/>
      <c r="AE605" s="291"/>
      <c r="AF605" s="291"/>
      <c r="AG605" s="291"/>
    </row>
    <row r="606" ht="18.75" customHeight="1">
      <c r="A606" s="283"/>
      <c r="B606" s="234" t="str">
        <f>'Building Bill of Materials_SLIM'!P606</f>
        <v/>
      </c>
      <c r="C606" s="234" t="str">
        <f>'Building Bill of Materials_SLIM'!Q606</f>
        <v/>
      </c>
      <c r="D606" s="234" t="str">
        <f>'Building Bill of Materials_SLIM'!R606</f>
        <v/>
      </c>
      <c r="E606" s="234" t="str">
        <f>'Building Bill of Materials_SLIM'!S606</f>
        <v/>
      </c>
      <c r="F606" s="234"/>
      <c r="G606" s="234"/>
      <c r="H606" s="234" t="str">
        <f>'Building Bill of Materials_SLIM'!T606</f>
        <v/>
      </c>
      <c r="I606" s="234" t="str">
        <f>'Building Bill of Materials_SLIM'!U606</f>
        <v/>
      </c>
      <c r="J606" s="234" t="str">
        <f>'Building Bill of Materials_SLIM'!V606</f>
        <v/>
      </c>
      <c r="K606" s="192"/>
      <c r="L606" s="242"/>
      <c r="M606" s="242"/>
      <c r="N606" s="291"/>
      <c r="O606" s="291"/>
      <c r="P606" s="291"/>
      <c r="Q606" s="291"/>
      <c r="R606" s="291"/>
      <c r="S606" s="291"/>
      <c r="T606" s="291"/>
      <c r="U606" s="291"/>
      <c r="V606" s="291"/>
      <c r="W606" s="291"/>
      <c r="X606" s="291"/>
      <c r="Y606" s="291"/>
      <c r="Z606" s="291"/>
      <c r="AA606" s="291"/>
      <c r="AB606" s="291"/>
      <c r="AC606" s="291"/>
      <c r="AD606" s="291"/>
      <c r="AE606" s="291"/>
      <c r="AF606" s="291"/>
      <c r="AG606" s="291"/>
    </row>
    <row r="607" ht="18.75" customHeight="1">
      <c r="A607" s="283"/>
      <c r="B607" s="234" t="str">
        <f>'Building Bill of Materials_SLIM'!P607</f>
        <v/>
      </c>
      <c r="C607" s="234" t="str">
        <f>'Building Bill of Materials_SLIM'!Q607</f>
        <v/>
      </c>
      <c r="D607" s="234" t="str">
        <f>'Building Bill of Materials_SLIM'!R607</f>
        <v/>
      </c>
      <c r="E607" s="234" t="str">
        <f>'Building Bill of Materials_SLIM'!S607</f>
        <v/>
      </c>
      <c r="F607" s="234"/>
      <c r="G607" s="234"/>
      <c r="H607" s="234" t="str">
        <f>'Building Bill of Materials_SLIM'!T607</f>
        <v/>
      </c>
      <c r="I607" s="234" t="str">
        <f>'Building Bill of Materials_SLIM'!U607</f>
        <v/>
      </c>
      <c r="J607" s="234" t="str">
        <f>'Building Bill of Materials_SLIM'!V607</f>
        <v/>
      </c>
      <c r="K607" s="192"/>
      <c r="L607" s="242"/>
      <c r="M607" s="242"/>
      <c r="N607" s="291"/>
      <c r="O607" s="291"/>
      <c r="P607" s="291"/>
      <c r="Q607" s="291"/>
      <c r="R607" s="291"/>
      <c r="S607" s="291"/>
      <c r="T607" s="291"/>
      <c r="U607" s="291"/>
      <c r="V607" s="291"/>
      <c r="W607" s="291"/>
      <c r="X607" s="291"/>
      <c r="Y607" s="291"/>
      <c r="Z607" s="291"/>
      <c r="AA607" s="291"/>
      <c r="AB607" s="291"/>
      <c r="AC607" s="291"/>
      <c r="AD607" s="291"/>
      <c r="AE607" s="291"/>
      <c r="AF607" s="291"/>
      <c r="AG607" s="291"/>
    </row>
    <row r="608" ht="18.75" customHeight="1">
      <c r="A608" s="283"/>
      <c r="B608" s="234" t="str">
        <f>'Building Bill of Materials_SLIM'!P608</f>
        <v/>
      </c>
      <c r="C608" s="234" t="str">
        <f>'Building Bill of Materials_SLIM'!Q608</f>
        <v/>
      </c>
      <c r="D608" s="234" t="str">
        <f>'Building Bill of Materials_SLIM'!R608</f>
        <v/>
      </c>
      <c r="E608" s="234" t="str">
        <f>'Building Bill of Materials_SLIM'!S608</f>
        <v/>
      </c>
      <c r="F608" s="234"/>
      <c r="G608" s="234"/>
      <c r="H608" s="234" t="str">
        <f>'Building Bill of Materials_SLIM'!T608</f>
        <v/>
      </c>
      <c r="I608" s="234" t="str">
        <f>'Building Bill of Materials_SLIM'!U608</f>
        <v/>
      </c>
      <c r="J608" s="234" t="str">
        <f>'Building Bill of Materials_SLIM'!V608</f>
        <v/>
      </c>
      <c r="K608" s="192"/>
      <c r="L608" s="242"/>
      <c r="M608" s="242"/>
      <c r="N608" s="291"/>
      <c r="O608" s="291"/>
      <c r="P608" s="291"/>
      <c r="Q608" s="291"/>
      <c r="R608" s="291"/>
      <c r="S608" s="291"/>
      <c r="T608" s="291"/>
      <c r="U608" s="291"/>
      <c r="V608" s="291"/>
      <c r="W608" s="291"/>
      <c r="X608" s="291"/>
      <c r="Y608" s="291"/>
      <c r="Z608" s="291"/>
      <c r="AA608" s="291"/>
      <c r="AB608" s="291"/>
      <c r="AC608" s="291"/>
      <c r="AD608" s="291"/>
      <c r="AE608" s="291"/>
      <c r="AF608" s="291"/>
      <c r="AG608" s="291"/>
    </row>
    <row r="609" ht="18.75" customHeight="1">
      <c r="A609" s="283"/>
      <c r="B609" s="234" t="str">
        <f>'Building Bill of Materials_SLIM'!P609</f>
        <v/>
      </c>
      <c r="C609" s="234" t="str">
        <f>'Building Bill of Materials_SLIM'!Q609</f>
        <v/>
      </c>
      <c r="D609" s="234" t="str">
        <f>'Building Bill of Materials_SLIM'!R609</f>
        <v/>
      </c>
      <c r="E609" s="234" t="str">
        <f>'Building Bill of Materials_SLIM'!S609</f>
        <v/>
      </c>
      <c r="F609" s="234"/>
      <c r="G609" s="234"/>
      <c r="H609" s="234" t="str">
        <f>'Building Bill of Materials_SLIM'!T609</f>
        <v/>
      </c>
      <c r="I609" s="234" t="str">
        <f>'Building Bill of Materials_SLIM'!U609</f>
        <v/>
      </c>
      <c r="J609" s="234" t="str">
        <f>'Building Bill of Materials_SLIM'!V609</f>
        <v/>
      </c>
      <c r="K609" s="192"/>
      <c r="L609" s="242"/>
      <c r="M609" s="242"/>
      <c r="N609" s="291"/>
      <c r="O609" s="291"/>
      <c r="P609" s="291"/>
      <c r="Q609" s="291"/>
      <c r="R609" s="291"/>
      <c r="S609" s="291"/>
      <c r="T609" s="291"/>
      <c r="U609" s="291"/>
      <c r="V609" s="291"/>
      <c r="W609" s="291"/>
      <c r="X609" s="291"/>
      <c r="Y609" s="291"/>
      <c r="Z609" s="291"/>
      <c r="AA609" s="291"/>
      <c r="AB609" s="291"/>
      <c r="AC609" s="291"/>
      <c r="AD609" s="291"/>
      <c r="AE609" s="291"/>
      <c r="AF609" s="291"/>
      <c r="AG609" s="291"/>
    </row>
    <row r="610" ht="18.75" customHeight="1">
      <c r="A610" s="283"/>
      <c r="B610" s="234" t="str">
        <f>'Building Bill of Materials_SLIM'!P610</f>
        <v/>
      </c>
      <c r="C610" s="234" t="str">
        <f>'Building Bill of Materials_SLIM'!Q610</f>
        <v/>
      </c>
      <c r="D610" s="234" t="str">
        <f>'Building Bill of Materials_SLIM'!R610</f>
        <v/>
      </c>
      <c r="E610" s="234" t="str">
        <f>'Building Bill of Materials_SLIM'!S610</f>
        <v/>
      </c>
      <c r="F610" s="234"/>
      <c r="G610" s="234"/>
      <c r="H610" s="234" t="str">
        <f>'Building Bill of Materials_SLIM'!T610</f>
        <v/>
      </c>
      <c r="I610" s="234" t="str">
        <f>'Building Bill of Materials_SLIM'!U610</f>
        <v/>
      </c>
      <c r="J610" s="234" t="str">
        <f>'Building Bill of Materials_SLIM'!V610</f>
        <v/>
      </c>
      <c r="K610" s="192"/>
      <c r="L610" s="242"/>
      <c r="M610" s="242"/>
      <c r="N610" s="291"/>
      <c r="O610" s="291"/>
      <c r="P610" s="291"/>
      <c r="Q610" s="291"/>
      <c r="R610" s="291"/>
      <c r="S610" s="291"/>
      <c r="T610" s="291"/>
      <c r="U610" s="291"/>
      <c r="V610" s="291"/>
      <c r="W610" s="291"/>
      <c r="X610" s="291"/>
      <c r="Y610" s="291"/>
      <c r="Z610" s="291"/>
      <c r="AA610" s="291"/>
      <c r="AB610" s="291"/>
      <c r="AC610" s="291"/>
      <c r="AD610" s="291"/>
      <c r="AE610" s="291"/>
      <c r="AF610" s="291"/>
      <c r="AG610" s="291"/>
    </row>
    <row r="611" ht="18.75" customHeight="1">
      <c r="A611" s="283"/>
      <c r="B611" s="234" t="str">
        <f>'Building Bill of Materials_SLIM'!P611</f>
        <v/>
      </c>
      <c r="C611" s="234" t="str">
        <f>'Building Bill of Materials_SLIM'!Q611</f>
        <v/>
      </c>
      <c r="D611" s="234" t="str">
        <f>'Building Bill of Materials_SLIM'!R611</f>
        <v/>
      </c>
      <c r="E611" s="234" t="str">
        <f>'Building Bill of Materials_SLIM'!S611</f>
        <v/>
      </c>
      <c r="F611" s="234"/>
      <c r="G611" s="234"/>
      <c r="H611" s="234" t="str">
        <f>'Building Bill of Materials_SLIM'!T611</f>
        <v/>
      </c>
      <c r="I611" s="234" t="str">
        <f>'Building Bill of Materials_SLIM'!U611</f>
        <v/>
      </c>
      <c r="J611" s="234" t="str">
        <f>'Building Bill of Materials_SLIM'!V611</f>
        <v/>
      </c>
      <c r="K611" s="192"/>
      <c r="L611" s="242"/>
      <c r="M611" s="242"/>
      <c r="N611" s="291"/>
      <c r="O611" s="291"/>
      <c r="P611" s="291"/>
      <c r="Q611" s="291"/>
      <c r="R611" s="291"/>
      <c r="S611" s="291"/>
      <c r="T611" s="291"/>
      <c r="U611" s="291"/>
      <c r="V611" s="291"/>
      <c r="W611" s="291"/>
      <c r="X611" s="291"/>
      <c r="Y611" s="291"/>
      <c r="Z611" s="291"/>
      <c r="AA611" s="291"/>
      <c r="AB611" s="291"/>
      <c r="AC611" s="291"/>
      <c r="AD611" s="291"/>
      <c r="AE611" s="291"/>
      <c r="AF611" s="291"/>
      <c r="AG611" s="291"/>
    </row>
    <row r="612" ht="18.75" customHeight="1">
      <c r="A612" s="283"/>
      <c r="B612" s="234" t="str">
        <f>'Building Bill of Materials_SLIM'!P612</f>
        <v/>
      </c>
      <c r="C612" s="234" t="str">
        <f>'Building Bill of Materials_SLIM'!Q612</f>
        <v/>
      </c>
      <c r="D612" s="234" t="str">
        <f>'Building Bill of Materials_SLIM'!R612</f>
        <v/>
      </c>
      <c r="E612" s="234" t="str">
        <f>'Building Bill of Materials_SLIM'!S612</f>
        <v/>
      </c>
      <c r="F612" s="234"/>
      <c r="G612" s="234"/>
      <c r="H612" s="234" t="str">
        <f>'Building Bill of Materials_SLIM'!T612</f>
        <v/>
      </c>
      <c r="I612" s="234" t="str">
        <f>'Building Bill of Materials_SLIM'!U612</f>
        <v/>
      </c>
      <c r="J612" s="234" t="str">
        <f>'Building Bill of Materials_SLIM'!V612</f>
        <v/>
      </c>
      <c r="K612" s="192"/>
      <c r="L612" s="242"/>
      <c r="M612" s="242"/>
      <c r="N612" s="291"/>
      <c r="O612" s="291"/>
      <c r="P612" s="291"/>
      <c r="Q612" s="291"/>
      <c r="R612" s="291"/>
      <c r="S612" s="291"/>
      <c r="T612" s="291"/>
      <c r="U612" s="291"/>
      <c r="V612" s="291"/>
      <c r="W612" s="291"/>
      <c r="X612" s="291"/>
      <c r="Y612" s="291"/>
      <c r="Z612" s="291"/>
      <c r="AA612" s="291"/>
      <c r="AB612" s="291"/>
      <c r="AC612" s="291"/>
      <c r="AD612" s="291"/>
      <c r="AE612" s="291"/>
      <c r="AF612" s="291"/>
      <c r="AG612" s="291"/>
    </row>
    <row r="613" ht="18.75" customHeight="1">
      <c r="A613" s="283"/>
      <c r="B613" s="234" t="str">
        <f>'Building Bill of Materials_SLIM'!P613</f>
        <v/>
      </c>
      <c r="C613" s="234" t="str">
        <f>'Building Bill of Materials_SLIM'!Q613</f>
        <v/>
      </c>
      <c r="D613" s="234" t="str">
        <f>'Building Bill of Materials_SLIM'!R613</f>
        <v/>
      </c>
      <c r="E613" s="234" t="str">
        <f>'Building Bill of Materials_SLIM'!S613</f>
        <v/>
      </c>
      <c r="F613" s="234"/>
      <c r="G613" s="234"/>
      <c r="H613" s="234" t="str">
        <f>'Building Bill of Materials_SLIM'!T613</f>
        <v/>
      </c>
      <c r="I613" s="234" t="str">
        <f>'Building Bill of Materials_SLIM'!U613</f>
        <v/>
      </c>
      <c r="J613" s="234" t="str">
        <f>'Building Bill of Materials_SLIM'!V613</f>
        <v/>
      </c>
      <c r="K613" s="192"/>
      <c r="L613" s="242"/>
      <c r="M613" s="242"/>
      <c r="N613" s="291"/>
      <c r="O613" s="291"/>
      <c r="P613" s="291"/>
      <c r="Q613" s="291"/>
      <c r="R613" s="291"/>
      <c r="S613" s="291"/>
      <c r="T613" s="291"/>
      <c r="U613" s="291"/>
      <c r="V613" s="291"/>
      <c r="W613" s="291"/>
      <c r="X613" s="291"/>
      <c r="Y613" s="291"/>
      <c r="Z613" s="291"/>
      <c r="AA613" s="291"/>
      <c r="AB613" s="291"/>
      <c r="AC613" s="291"/>
      <c r="AD613" s="291"/>
      <c r="AE613" s="291"/>
      <c r="AF613" s="291"/>
      <c r="AG613" s="291"/>
    </row>
    <row r="614" ht="18.75" customHeight="1">
      <c r="A614" s="283"/>
      <c r="B614" s="234" t="str">
        <f>'Building Bill of Materials_SLIM'!P614</f>
        <v/>
      </c>
      <c r="C614" s="234" t="str">
        <f>'Building Bill of Materials_SLIM'!Q614</f>
        <v/>
      </c>
      <c r="D614" s="234" t="str">
        <f>'Building Bill of Materials_SLIM'!R614</f>
        <v/>
      </c>
      <c r="E614" s="234" t="str">
        <f>'Building Bill of Materials_SLIM'!S614</f>
        <v/>
      </c>
      <c r="F614" s="234"/>
      <c r="G614" s="234"/>
      <c r="H614" s="234" t="str">
        <f>'Building Bill of Materials_SLIM'!T614</f>
        <v/>
      </c>
      <c r="I614" s="234" t="str">
        <f>'Building Bill of Materials_SLIM'!U614</f>
        <v/>
      </c>
      <c r="J614" s="234" t="str">
        <f>'Building Bill of Materials_SLIM'!V614</f>
        <v/>
      </c>
      <c r="K614" s="192"/>
      <c r="L614" s="242"/>
      <c r="M614" s="242"/>
      <c r="N614" s="291"/>
      <c r="O614" s="291"/>
      <c r="P614" s="291"/>
      <c r="Q614" s="291"/>
      <c r="R614" s="291"/>
      <c r="S614" s="291"/>
      <c r="T614" s="291"/>
      <c r="U614" s="291"/>
      <c r="V614" s="291"/>
      <c r="W614" s="291"/>
      <c r="X614" s="291"/>
      <c r="Y614" s="291"/>
      <c r="Z614" s="291"/>
      <c r="AA614" s="291"/>
      <c r="AB614" s="291"/>
      <c r="AC614" s="291"/>
      <c r="AD614" s="291"/>
      <c r="AE614" s="291"/>
      <c r="AF614" s="291"/>
      <c r="AG614" s="291"/>
    </row>
    <row r="615" ht="18.75" customHeight="1">
      <c r="A615" s="283"/>
      <c r="B615" s="234" t="str">
        <f>'Building Bill of Materials_SLIM'!P615</f>
        <v/>
      </c>
      <c r="C615" s="234" t="str">
        <f>'Building Bill of Materials_SLIM'!Q615</f>
        <v/>
      </c>
      <c r="D615" s="234" t="str">
        <f>'Building Bill of Materials_SLIM'!R615</f>
        <v/>
      </c>
      <c r="E615" s="234" t="str">
        <f>'Building Bill of Materials_SLIM'!S615</f>
        <v/>
      </c>
      <c r="F615" s="234"/>
      <c r="G615" s="234"/>
      <c r="H615" s="234" t="str">
        <f>'Building Bill of Materials_SLIM'!T615</f>
        <v/>
      </c>
      <c r="I615" s="234" t="str">
        <f>'Building Bill of Materials_SLIM'!U615</f>
        <v/>
      </c>
      <c r="J615" s="234" t="str">
        <f>'Building Bill of Materials_SLIM'!V615</f>
        <v/>
      </c>
      <c r="K615" s="192"/>
      <c r="L615" s="242"/>
      <c r="M615" s="242"/>
      <c r="N615" s="291"/>
      <c r="O615" s="291"/>
      <c r="P615" s="291"/>
      <c r="Q615" s="291"/>
      <c r="R615" s="291"/>
      <c r="S615" s="291"/>
      <c r="T615" s="291"/>
      <c r="U615" s="291"/>
      <c r="V615" s="291"/>
      <c r="W615" s="291"/>
      <c r="X615" s="291"/>
      <c r="Y615" s="291"/>
      <c r="Z615" s="291"/>
      <c r="AA615" s="291"/>
      <c r="AB615" s="291"/>
      <c r="AC615" s="291"/>
      <c r="AD615" s="291"/>
      <c r="AE615" s="291"/>
      <c r="AF615" s="291"/>
      <c r="AG615" s="291"/>
    </row>
    <row r="616" ht="18.75" customHeight="1">
      <c r="A616" s="283"/>
      <c r="B616" s="234" t="str">
        <f>'Building Bill of Materials_SLIM'!P616</f>
        <v/>
      </c>
      <c r="C616" s="234" t="str">
        <f>'Building Bill of Materials_SLIM'!Q616</f>
        <v/>
      </c>
      <c r="D616" s="234" t="str">
        <f>'Building Bill of Materials_SLIM'!R616</f>
        <v/>
      </c>
      <c r="E616" s="234" t="str">
        <f>'Building Bill of Materials_SLIM'!S616</f>
        <v/>
      </c>
      <c r="F616" s="234"/>
      <c r="G616" s="234"/>
      <c r="H616" s="234" t="str">
        <f>'Building Bill of Materials_SLIM'!T616</f>
        <v/>
      </c>
      <c r="I616" s="234" t="str">
        <f>'Building Bill of Materials_SLIM'!U616</f>
        <v/>
      </c>
      <c r="J616" s="234" t="str">
        <f>'Building Bill of Materials_SLIM'!V616</f>
        <v/>
      </c>
      <c r="K616" s="192"/>
      <c r="L616" s="242"/>
      <c r="M616" s="242"/>
      <c r="N616" s="291"/>
      <c r="O616" s="291"/>
      <c r="P616" s="291"/>
      <c r="Q616" s="291"/>
      <c r="R616" s="291"/>
      <c r="S616" s="291"/>
      <c r="T616" s="291"/>
      <c r="U616" s="291"/>
      <c r="V616" s="291"/>
      <c r="W616" s="291"/>
      <c r="X616" s="291"/>
      <c r="Y616" s="291"/>
      <c r="Z616" s="291"/>
      <c r="AA616" s="291"/>
      <c r="AB616" s="291"/>
      <c r="AC616" s="291"/>
      <c r="AD616" s="291"/>
      <c r="AE616" s="291"/>
      <c r="AF616" s="291"/>
      <c r="AG616" s="291"/>
    </row>
    <row r="617" ht="18.75" customHeight="1">
      <c r="A617" s="283"/>
      <c r="B617" s="234" t="str">
        <f>'Building Bill of Materials_SLIM'!P617</f>
        <v/>
      </c>
      <c r="C617" s="234" t="str">
        <f>'Building Bill of Materials_SLIM'!Q617</f>
        <v/>
      </c>
      <c r="D617" s="234" t="str">
        <f>'Building Bill of Materials_SLIM'!R617</f>
        <v/>
      </c>
      <c r="E617" s="234" t="str">
        <f>'Building Bill of Materials_SLIM'!S617</f>
        <v/>
      </c>
      <c r="F617" s="234"/>
      <c r="G617" s="234"/>
      <c r="H617" s="234" t="str">
        <f>'Building Bill of Materials_SLIM'!T617</f>
        <v/>
      </c>
      <c r="I617" s="234" t="str">
        <f>'Building Bill of Materials_SLIM'!U617</f>
        <v/>
      </c>
      <c r="J617" s="234" t="str">
        <f>'Building Bill of Materials_SLIM'!V617</f>
        <v/>
      </c>
      <c r="K617" s="192"/>
      <c r="L617" s="242"/>
      <c r="M617" s="242"/>
      <c r="N617" s="291"/>
      <c r="O617" s="291"/>
      <c r="P617" s="291"/>
      <c r="Q617" s="291"/>
      <c r="R617" s="291"/>
      <c r="S617" s="291"/>
      <c r="T617" s="291"/>
      <c r="U617" s="291"/>
      <c r="V617" s="291"/>
      <c r="W617" s="291"/>
      <c r="X617" s="291"/>
      <c r="Y617" s="291"/>
      <c r="Z617" s="291"/>
      <c r="AA617" s="291"/>
      <c r="AB617" s="291"/>
      <c r="AC617" s="291"/>
      <c r="AD617" s="291"/>
      <c r="AE617" s="291"/>
      <c r="AF617" s="291"/>
      <c r="AG617" s="291"/>
    </row>
    <row r="618" ht="18.75" customHeight="1">
      <c r="A618" s="283"/>
      <c r="B618" s="234" t="str">
        <f>'Building Bill of Materials_SLIM'!P618</f>
        <v/>
      </c>
      <c r="C618" s="234" t="str">
        <f>'Building Bill of Materials_SLIM'!Q618</f>
        <v/>
      </c>
      <c r="D618" s="234" t="str">
        <f>'Building Bill of Materials_SLIM'!R618</f>
        <v/>
      </c>
      <c r="E618" s="234" t="str">
        <f>'Building Bill of Materials_SLIM'!S618</f>
        <v/>
      </c>
      <c r="F618" s="234"/>
      <c r="G618" s="234"/>
      <c r="H618" s="234" t="str">
        <f>'Building Bill of Materials_SLIM'!T618</f>
        <v/>
      </c>
      <c r="I618" s="234" t="str">
        <f>'Building Bill of Materials_SLIM'!U618</f>
        <v/>
      </c>
      <c r="J618" s="234" t="str">
        <f>'Building Bill of Materials_SLIM'!V618</f>
        <v/>
      </c>
      <c r="K618" s="192"/>
      <c r="L618" s="242"/>
      <c r="M618" s="242"/>
      <c r="N618" s="291"/>
      <c r="O618" s="291"/>
      <c r="P618" s="291"/>
      <c r="Q618" s="291"/>
      <c r="R618" s="291"/>
      <c r="S618" s="291"/>
      <c r="T618" s="291"/>
      <c r="U618" s="291"/>
      <c r="V618" s="291"/>
      <c r="W618" s="291"/>
      <c r="X618" s="291"/>
      <c r="Y618" s="291"/>
      <c r="Z618" s="291"/>
      <c r="AA618" s="291"/>
      <c r="AB618" s="291"/>
      <c r="AC618" s="291"/>
      <c r="AD618" s="291"/>
      <c r="AE618" s="291"/>
      <c r="AF618" s="291"/>
      <c r="AG618" s="291"/>
    </row>
    <row r="619" ht="18.75" customHeight="1">
      <c r="A619" s="283"/>
      <c r="B619" s="234" t="str">
        <f>'Building Bill of Materials_SLIM'!P619</f>
        <v/>
      </c>
      <c r="C619" s="234" t="str">
        <f>'Building Bill of Materials_SLIM'!Q619</f>
        <v/>
      </c>
      <c r="D619" s="234" t="str">
        <f>'Building Bill of Materials_SLIM'!R619</f>
        <v/>
      </c>
      <c r="E619" s="234" t="str">
        <f>'Building Bill of Materials_SLIM'!S619</f>
        <v/>
      </c>
      <c r="F619" s="234"/>
      <c r="G619" s="234"/>
      <c r="H619" s="234" t="str">
        <f>'Building Bill of Materials_SLIM'!T619</f>
        <v/>
      </c>
      <c r="I619" s="234" t="str">
        <f>'Building Bill of Materials_SLIM'!U619</f>
        <v/>
      </c>
      <c r="J619" s="234" t="str">
        <f>'Building Bill of Materials_SLIM'!V619</f>
        <v/>
      </c>
      <c r="K619" s="192"/>
      <c r="L619" s="242"/>
      <c r="M619" s="242"/>
      <c r="N619" s="291"/>
      <c r="O619" s="291"/>
      <c r="P619" s="291"/>
      <c r="Q619" s="291"/>
      <c r="R619" s="291"/>
      <c r="S619" s="291"/>
      <c r="T619" s="291"/>
      <c r="U619" s="291"/>
      <c r="V619" s="291"/>
      <c r="W619" s="291"/>
      <c r="X619" s="291"/>
      <c r="Y619" s="291"/>
      <c r="Z619" s="291"/>
      <c r="AA619" s="291"/>
      <c r="AB619" s="291"/>
      <c r="AC619" s="291"/>
      <c r="AD619" s="291"/>
      <c r="AE619" s="291"/>
      <c r="AF619" s="291"/>
      <c r="AG619" s="291"/>
    </row>
    <row r="620" ht="18.75" customHeight="1">
      <c r="A620" s="283"/>
      <c r="B620" s="234" t="str">
        <f>'Building Bill of Materials_SLIM'!P620</f>
        <v/>
      </c>
      <c r="C620" s="234" t="str">
        <f>'Building Bill of Materials_SLIM'!Q620</f>
        <v/>
      </c>
      <c r="D620" s="234" t="str">
        <f>'Building Bill of Materials_SLIM'!R620</f>
        <v/>
      </c>
      <c r="E620" s="234" t="str">
        <f>'Building Bill of Materials_SLIM'!S620</f>
        <v/>
      </c>
      <c r="F620" s="234"/>
      <c r="G620" s="234"/>
      <c r="H620" s="234" t="str">
        <f>'Building Bill of Materials_SLIM'!T620</f>
        <v/>
      </c>
      <c r="I620" s="234" t="str">
        <f>'Building Bill of Materials_SLIM'!U620</f>
        <v/>
      </c>
      <c r="J620" s="234" t="str">
        <f>'Building Bill of Materials_SLIM'!V620</f>
        <v/>
      </c>
      <c r="K620" s="192"/>
      <c r="L620" s="242"/>
      <c r="M620" s="242"/>
      <c r="N620" s="291"/>
      <c r="O620" s="291"/>
      <c r="P620" s="291"/>
      <c r="Q620" s="291"/>
      <c r="R620" s="291"/>
      <c r="S620" s="291"/>
      <c r="T620" s="291"/>
      <c r="U620" s="291"/>
      <c r="V620" s="291"/>
      <c r="W620" s="291"/>
      <c r="X620" s="291"/>
      <c r="Y620" s="291"/>
      <c r="Z620" s="291"/>
      <c r="AA620" s="291"/>
      <c r="AB620" s="291"/>
      <c r="AC620" s="291"/>
      <c r="AD620" s="291"/>
      <c r="AE620" s="291"/>
      <c r="AF620" s="291"/>
      <c r="AG620" s="291"/>
    </row>
    <row r="621" ht="18.75" customHeight="1">
      <c r="A621" s="283"/>
      <c r="B621" s="234" t="str">
        <f>'Building Bill of Materials_SLIM'!P621</f>
        <v/>
      </c>
      <c r="C621" s="234" t="str">
        <f>'Building Bill of Materials_SLIM'!Q621</f>
        <v/>
      </c>
      <c r="D621" s="234" t="str">
        <f>'Building Bill of Materials_SLIM'!R621</f>
        <v/>
      </c>
      <c r="E621" s="234" t="str">
        <f>'Building Bill of Materials_SLIM'!S621</f>
        <v/>
      </c>
      <c r="F621" s="234"/>
      <c r="G621" s="234"/>
      <c r="H621" s="234" t="str">
        <f>'Building Bill of Materials_SLIM'!T621</f>
        <v/>
      </c>
      <c r="I621" s="234" t="str">
        <f>'Building Bill of Materials_SLIM'!U621</f>
        <v/>
      </c>
      <c r="J621" s="234" t="str">
        <f>'Building Bill of Materials_SLIM'!V621</f>
        <v/>
      </c>
      <c r="K621" s="192"/>
      <c r="L621" s="242"/>
      <c r="M621" s="242"/>
      <c r="N621" s="291"/>
      <c r="O621" s="291"/>
      <c r="P621" s="291"/>
      <c r="Q621" s="291"/>
      <c r="R621" s="291"/>
      <c r="S621" s="291"/>
      <c r="T621" s="291"/>
      <c r="U621" s="291"/>
      <c r="V621" s="291"/>
      <c r="W621" s="291"/>
      <c r="X621" s="291"/>
      <c r="Y621" s="291"/>
      <c r="Z621" s="291"/>
      <c r="AA621" s="291"/>
      <c r="AB621" s="291"/>
      <c r="AC621" s="291"/>
      <c r="AD621" s="291"/>
      <c r="AE621" s="291"/>
      <c r="AF621" s="291"/>
      <c r="AG621" s="291"/>
    </row>
    <row r="622" ht="18.75" customHeight="1">
      <c r="A622" s="283"/>
      <c r="B622" s="234" t="str">
        <f>'Building Bill of Materials_SLIM'!P622</f>
        <v/>
      </c>
      <c r="C622" s="234" t="str">
        <f>'Building Bill of Materials_SLIM'!Q622</f>
        <v/>
      </c>
      <c r="D622" s="234" t="str">
        <f>'Building Bill of Materials_SLIM'!R622</f>
        <v/>
      </c>
      <c r="E622" s="234" t="str">
        <f>'Building Bill of Materials_SLIM'!S622</f>
        <v/>
      </c>
      <c r="F622" s="234"/>
      <c r="G622" s="234"/>
      <c r="H622" s="234" t="str">
        <f>'Building Bill of Materials_SLIM'!T622</f>
        <v/>
      </c>
      <c r="I622" s="234" t="str">
        <f>'Building Bill of Materials_SLIM'!U622</f>
        <v/>
      </c>
      <c r="J622" s="234" t="str">
        <f>'Building Bill of Materials_SLIM'!V622</f>
        <v/>
      </c>
      <c r="K622" s="192"/>
      <c r="L622" s="242"/>
      <c r="M622" s="242"/>
      <c r="N622" s="291"/>
      <c r="O622" s="291"/>
      <c r="P622" s="291"/>
      <c r="Q622" s="291"/>
      <c r="R622" s="291"/>
      <c r="S622" s="291"/>
      <c r="T622" s="291"/>
      <c r="U622" s="291"/>
      <c r="V622" s="291"/>
      <c r="W622" s="291"/>
      <c r="X622" s="291"/>
      <c r="Y622" s="291"/>
      <c r="Z622" s="291"/>
      <c r="AA622" s="291"/>
      <c r="AB622" s="291"/>
      <c r="AC622" s="291"/>
      <c r="AD622" s="291"/>
      <c r="AE622" s="291"/>
      <c r="AF622" s="291"/>
      <c r="AG622" s="291"/>
    </row>
    <row r="623" ht="18.75" customHeight="1">
      <c r="A623" s="283"/>
      <c r="B623" s="234" t="str">
        <f>'Building Bill of Materials_SLIM'!P623</f>
        <v/>
      </c>
      <c r="C623" s="234" t="str">
        <f>'Building Bill of Materials_SLIM'!Q623</f>
        <v/>
      </c>
      <c r="D623" s="234" t="str">
        <f>'Building Bill of Materials_SLIM'!R623</f>
        <v/>
      </c>
      <c r="E623" s="234" t="str">
        <f>'Building Bill of Materials_SLIM'!S623</f>
        <v/>
      </c>
      <c r="F623" s="234"/>
      <c r="G623" s="234"/>
      <c r="H623" s="234" t="str">
        <f>'Building Bill of Materials_SLIM'!T623</f>
        <v/>
      </c>
      <c r="I623" s="234" t="str">
        <f>'Building Bill of Materials_SLIM'!U623</f>
        <v/>
      </c>
      <c r="J623" s="234" t="str">
        <f>'Building Bill of Materials_SLIM'!V623</f>
        <v/>
      </c>
      <c r="K623" s="192"/>
      <c r="L623" s="242"/>
      <c r="M623" s="242"/>
      <c r="N623" s="291"/>
      <c r="O623" s="291"/>
      <c r="P623" s="291"/>
      <c r="Q623" s="291"/>
      <c r="R623" s="291"/>
      <c r="S623" s="291"/>
      <c r="T623" s="291"/>
      <c r="U623" s="291"/>
      <c r="V623" s="291"/>
      <c r="W623" s="291"/>
      <c r="X623" s="291"/>
      <c r="Y623" s="291"/>
      <c r="Z623" s="291"/>
      <c r="AA623" s="291"/>
      <c r="AB623" s="291"/>
      <c r="AC623" s="291"/>
      <c r="AD623" s="291"/>
      <c r="AE623" s="291"/>
      <c r="AF623" s="291"/>
      <c r="AG623" s="291"/>
    </row>
    <row r="624" ht="18.75" customHeight="1">
      <c r="A624" s="283"/>
      <c r="B624" s="234" t="str">
        <f>'Building Bill of Materials_SLIM'!P624</f>
        <v/>
      </c>
      <c r="C624" s="234" t="str">
        <f>'Building Bill of Materials_SLIM'!Q624</f>
        <v/>
      </c>
      <c r="D624" s="234" t="str">
        <f>'Building Bill of Materials_SLIM'!R624</f>
        <v/>
      </c>
      <c r="E624" s="234" t="str">
        <f>'Building Bill of Materials_SLIM'!S624</f>
        <v/>
      </c>
      <c r="F624" s="234"/>
      <c r="G624" s="234"/>
      <c r="H624" s="234" t="str">
        <f>'Building Bill of Materials_SLIM'!T624</f>
        <v/>
      </c>
      <c r="I624" s="234" t="str">
        <f>'Building Bill of Materials_SLIM'!U624</f>
        <v/>
      </c>
      <c r="J624" s="234" t="str">
        <f>'Building Bill of Materials_SLIM'!V624</f>
        <v/>
      </c>
      <c r="K624" s="192"/>
      <c r="L624" s="242"/>
      <c r="M624" s="242"/>
      <c r="N624" s="291"/>
      <c r="O624" s="291"/>
      <c r="P624" s="291"/>
      <c r="Q624" s="291"/>
      <c r="R624" s="291"/>
      <c r="S624" s="291"/>
      <c r="T624" s="291"/>
      <c r="U624" s="291"/>
      <c r="V624" s="291"/>
      <c r="W624" s="291"/>
      <c r="X624" s="291"/>
      <c r="Y624" s="291"/>
      <c r="Z624" s="291"/>
      <c r="AA624" s="291"/>
      <c r="AB624" s="291"/>
      <c r="AC624" s="291"/>
      <c r="AD624" s="291"/>
      <c r="AE624" s="291"/>
      <c r="AF624" s="291"/>
      <c r="AG624" s="291"/>
    </row>
    <row r="625" ht="18.75" customHeight="1">
      <c r="A625" s="283"/>
      <c r="B625" s="234" t="str">
        <f>'Building Bill of Materials_SLIM'!P625</f>
        <v/>
      </c>
      <c r="C625" s="234" t="str">
        <f>'Building Bill of Materials_SLIM'!Q625</f>
        <v/>
      </c>
      <c r="D625" s="234" t="str">
        <f>'Building Bill of Materials_SLIM'!R625</f>
        <v/>
      </c>
      <c r="E625" s="234" t="str">
        <f>'Building Bill of Materials_SLIM'!S625</f>
        <v/>
      </c>
      <c r="F625" s="234"/>
      <c r="G625" s="234"/>
      <c r="H625" s="234" t="str">
        <f>'Building Bill of Materials_SLIM'!T625</f>
        <v/>
      </c>
      <c r="I625" s="234" t="str">
        <f>'Building Bill of Materials_SLIM'!U625</f>
        <v/>
      </c>
      <c r="J625" s="234" t="str">
        <f>'Building Bill of Materials_SLIM'!V625</f>
        <v/>
      </c>
      <c r="K625" s="192"/>
      <c r="L625" s="242"/>
      <c r="M625" s="242"/>
      <c r="N625" s="291"/>
      <c r="O625" s="291"/>
      <c r="P625" s="291"/>
      <c r="Q625" s="291"/>
      <c r="R625" s="291"/>
      <c r="S625" s="291"/>
      <c r="T625" s="291"/>
      <c r="U625" s="291"/>
      <c r="V625" s="291"/>
      <c r="W625" s="291"/>
      <c r="X625" s="291"/>
      <c r="Y625" s="291"/>
      <c r="Z625" s="291"/>
      <c r="AA625" s="291"/>
      <c r="AB625" s="291"/>
      <c r="AC625" s="291"/>
      <c r="AD625" s="291"/>
      <c r="AE625" s="291"/>
      <c r="AF625" s="291"/>
      <c r="AG625" s="291"/>
    </row>
    <row r="626" ht="18.75" customHeight="1">
      <c r="A626" s="283"/>
      <c r="B626" s="234" t="str">
        <f>'Building Bill of Materials_SLIM'!P626</f>
        <v/>
      </c>
      <c r="C626" s="234" t="str">
        <f>'Building Bill of Materials_SLIM'!Q626</f>
        <v/>
      </c>
      <c r="D626" s="234" t="str">
        <f>'Building Bill of Materials_SLIM'!R626</f>
        <v/>
      </c>
      <c r="E626" s="234" t="str">
        <f>'Building Bill of Materials_SLIM'!S626</f>
        <v/>
      </c>
      <c r="F626" s="234"/>
      <c r="G626" s="234"/>
      <c r="H626" s="234" t="str">
        <f>'Building Bill of Materials_SLIM'!T626</f>
        <v/>
      </c>
      <c r="I626" s="234" t="str">
        <f>'Building Bill of Materials_SLIM'!U626</f>
        <v/>
      </c>
      <c r="J626" s="234" t="str">
        <f>'Building Bill of Materials_SLIM'!V626</f>
        <v/>
      </c>
      <c r="K626" s="192"/>
      <c r="L626" s="242"/>
      <c r="M626" s="242"/>
      <c r="N626" s="291"/>
      <c r="O626" s="291"/>
      <c r="P626" s="291"/>
      <c r="Q626" s="291"/>
      <c r="R626" s="291"/>
      <c r="S626" s="291"/>
      <c r="T626" s="291"/>
      <c r="U626" s="291"/>
      <c r="V626" s="291"/>
      <c r="W626" s="291"/>
      <c r="X626" s="291"/>
      <c r="Y626" s="291"/>
      <c r="Z626" s="291"/>
      <c r="AA626" s="291"/>
      <c r="AB626" s="291"/>
      <c r="AC626" s="291"/>
      <c r="AD626" s="291"/>
      <c r="AE626" s="291"/>
      <c r="AF626" s="291"/>
      <c r="AG626" s="291"/>
    </row>
    <row r="627" ht="18.75" customHeight="1">
      <c r="A627" s="283"/>
      <c r="B627" s="234" t="str">
        <f>'Building Bill of Materials_SLIM'!P627</f>
        <v/>
      </c>
      <c r="C627" s="234" t="str">
        <f>'Building Bill of Materials_SLIM'!Q627</f>
        <v/>
      </c>
      <c r="D627" s="234" t="str">
        <f>'Building Bill of Materials_SLIM'!R627</f>
        <v/>
      </c>
      <c r="E627" s="234" t="str">
        <f>'Building Bill of Materials_SLIM'!S627</f>
        <v/>
      </c>
      <c r="F627" s="234"/>
      <c r="G627" s="234"/>
      <c r="H627" s="234" t="str">
        <f>'Building Bill of Materials_SLIM'!T627</f>
        <v/>
      </c>
      <c r="I627" s="234" t="str">
        <f>'Building Bill of Materials_SLIM'!U627</f>
        <v/>
      </c>
      <c r="J627" s="234" t="str">
        <f>'Building Bill of Materials_SLIM'!V627</f>
        <v/>
      </c>
      <c r="K627" s="192"/>
      <c r="L627" s="242"/>
      <c r="M627" s="242"/>
      <c r="N627" s="291"/>
      <c r="O627" s="291"/>
      <c r="P627" s="291"/>
      <c r="Q627" s="291"/>
      <c r="R627" s="291"/>
      <c r="S627" s="291"/>
      <c r="T627" s="291"/>
      <c r="U627" s="291"/>
      <c r="V627" s="291"/>
      <c r="W627" s="291"/>
      <c r="X627" s="291"/>
      <c r="Y627" s="291"/>
      <c r="Z627" s="291"/>
      <c r="AA627" s="291"/>
      <c r="AB627" s="291"/>
      <c r="AC627" s="291"/>
      <c r="AD627" s="291"/>
      <c r="AE627" s="291"/>
      <c r="AF627" s="291"/>
      <c r="AG627" s="291"/>
    </row>
    <row r="628" ht="18.75" customHeight="1">
      <c r="A628" s="283"/>
      <c r="B628" s="234" t="str">
        <f>'Building Bill of Materials_SLIM'!P628</f>
        <v/>
      </c>
      <c r="C628" s="234" t="str">
        <f>'Building Bill of Materials_SLIM'!Q628</f>
        <v/>
      </c>
      <c r="D628" s="234" t="str">
        <f>'Building Bill of Materials_SLIM'!R628</f>
        <v/>
      </c>
      <c r="E628" s="234" t="str">
        <f>'Building Bill of Materials_SLIM'!S628</f>
        <v/>
      </c>
      <c r="F628" s="234"/>
      <c r="G628" s="234"/>
      <c r="H628" s="234" t="str">
        <f>'Building Bill of Materials_SLIM'!T628</f>
        <v/>
      </c>
      <c r="I628" s="234" t="str">
        <f>'Building Bill of Materials_SLIM'!U628</f>
        <v/>
      </c>
      <c r="J628" s="234" t="str">
        <f>'Building Bill of Materials_SLIM'!V628</f>
        <v/>
      </c>
      <c r="K628" s="192"/>
      <c r="L628" s="242"/>
      <c r="M628" s="242"/>
      <c r="N628" s="291"/>
      <c r="O628" s="291"/>
      <c r="P628" s="291"/>
      <c r="Q628" s="291"/>
      <c r="R628" s="291"/>
      <c r="S628" s="291"/>
      <c r="T628" s="291"/>
      <c r="U628" s="291"/>
      <c r="V628" s="291"/>
      <c r="W628" s="291"/>
      <c r="X628" s="291"/>
      <c r="Y628" s="291"/>
      <c r="Z628" s="291"/>
      <c r="AA628" s="291"/>
      <c r="AB628" s="291"/>
      <c r="AC628" s="291"/>
      <c r="AD628" s="291"/>
      <c r="AE628" s="291"/>
      <c r="AF628" s="291"/>
      <c r="AG628" s="291"/>
    </row>
    <row r="629" ht="18.75" customHeight="1">
      <c r="A629" s="283"/>
      <c r="B629" s="234" t="str">
        <f>'Building Bill of Materials_SLIM'!P629</f>
        <v/>
      </c>
      <c r="C629" s="234" t="str">
        <f>'Building Bill of Materials_SLIM'!Q629</f>
        <v/>
      </c>
      <c r="D629" s="234" t="str">
        <f>'Building Bill of Materials_SLIM'!R629</f>
        <v/>
      </c>
      <c r="E629" s="234" t="str">
        <f>'Building Bill of Materials_SLIM'!S629</f>
        <v/>
      </c>
      <c r="F629" s="234"/>
      <c r="G629" s="234"/>
      <c r="H629" s="234" t="str">
        <f>'Building Bill of Materials_SLIM'!T629</f>
        <v/>
      </c>
      <c r="I629" s="234" t="str">
        <f>'Building Bill of Materials_SLIM'!U629</f>
        <v/>
      </c>
      <c r="J629" s="234" t="str">
        <f>'Building Bill of Materials_SLIM'!V629</f>
        <v/>
      </c>
      <c r="K629" s="192"/>
      <c r="L629" s="242"/>
      <c r="M629" s="242"/>
      <c r="N629" s="291"/>
      <c r="O629" s="291"/>
      <c r="P629" s="291"/>
      <c r="Q629" s="291"/>
      <c r="R629" s="291"/>
      <c r="S629" s="291"/>
      <c r="T629" s="291"/>
      <c r="U629" s="291"/>
      <c r="V629" s="291"/>
      <c r="W629" s="291"/>
      <c r="X629" s="291"/>
      <c r="Y629" s="291"/>
      <c r="Z629" s="291"/>
      <c r="AA629" s="291"/>
      <c r="AB629" s="291"/>
      <c r="AC629" s="291"/>
      <c r="AD629" s="291"/>
      <c r="AE629" s="291"/>
      <c r="AF629" s="291"/>
      <c r="AG629" s="291"/>
    </row>
    <row r="630" ht="18.75" customHeight="1">
      <c r="A630" s="283"/>
      <c r="B630" s="234" t="str">
        <f>'Building Bill of Materials_SLIM'!P630</f>
        <v/>
      </c>
      <c r="C630" s="234" t="str">
        <f>'Building Bill of Materials_SLIM'!Q630</f>
        <v/>
      </c>
      <c r="D630" s="234" t="str">
        <f>'Building Bill of Materials_SLIM'!R630</f>
        <v/>
      </c>
      <c r="E630" s="234" t="str">
        <f>'Building Bill of Materials_SLIM'!S630</f>
        <v/>
      </c>
      <c r="F630" s="234"/>
      <c r="G630" s="234"/>
      <c r="H630" s="234" t="str">
        <f>'Building Bill of Materials_SLIM'!T630</f>
        <v/>
      </c>
      <c r="I630" s="234" t="str">
        <f>'Building Bill of Materials_SLIM'!U630</f>
        <v/>
      </c>
      <c r="J630" s="234" t="str">
        <f>'Building Bill of Materials_SLIM'!V630</f>
        <v/>
      </c>
      <c r="K630" s="192"/>
      <c r="L630" s="242"/>
      <c r="M630" s="242"/>
      <c r="N630" s="291"/>
      <c r="O630" s="291"/>
      <c r="P630" s="291"/>
      <c r="Q630" s="291"/>
      <c r="R630" s="291"/>
      <c r="S630" s="291"/>
      <c r="T630" s="291"/>
      <c r="U630" s="291"/>
      <c r="V630" s="291"/>
      <c r="W630" s="291"/>
      <c r="X630" s="291"/>
      <c r="Y630" s="291"/>
      <c r="Z630" s="291"/>
      <c r="AA630" s="291"/>
      <c r="AB630" s="291"/>
      <c r="AC630" s="291"/>
      <c r="AD630" s="291"/>
      <c r="AE630" s="291"/>
      <c r="AF630" s="291"/>
      <c r="AG630" s="291"/>
    </row>
    <row r="631" ht="18.75" customHeight="1">
      <c r="A631" s="283"/>
      <c r="B631" s="234" t="str">
        <f>'Building Bill of Materials_SLIM'!P631</f>
        <v/>
      </c>
      <c r="C631" s="234" t="str">
        <f>'Building Bill of Materials_SLIM'!Q631</f>
        <v/>
      </c>
      <c r="D631" s="234" t="str">
        <f>'Building Bill of Materials_SLIM'!R631</f>
        <v/>
      </c>
      <c r="E631" s="234" t="str">
        <f>'Building Bill of Materials_SLIM'!S631</f>
        <v/>
      </c>
      <c r="F631" s="234"/>
      <c r="G631" s="234"/>
      <c r="H631" s="234" t="str">
        <f>'Building Bill of Materials_SLIM'!T631</f>
        <v/>
      </c>
      <c r="I631" s="234" t="str">
        <f>'Building Bill of Materials_SLIM'!U631</f>
        <v/>
      </c>
      <c r="J631" s="234" t="str">
        <f>'Building Bill of Materials_SLIM'!V631</f>
        <v/>
      </c>
      <c r="K631" s="192"/>
      <c r="L631" s="242"/>
      <c r="M631" s="242"/>
      <c r="N631" s="291"/>
      <c r="O631" s="291"/>
      <c r="P631" s="291"/>
      <c r="Q631" s="291"/>
      <c r="R631" s="291"/>
      <c r="S631" s="291"/>
      <c r="T631" s="291"/>
      <c r="U631" s="291"/>
      <c r="V631" s="291"/>
      <c r="W631" s="291"/>
      <c r="X631" s="291"/>
      <c r="Y631" s="291"/>
      <c r="Z631" s="291"/>
      <c r="AA631" s="291"/>
      <c r="AB631" s="291"/>
      <c r="AC631" s="291"/>
      <c r="AD631" s="291"/>
      <c r="AE631" s="291"/>
      <c r="AF631" s="291"/>
      <c r="AG631" s="291"/>
    </row>
    <row r="632" ht="18.75" customHeight="1">
      <c r="A632" s="283"/>
      <c r="B632" s="234" t="str">
        <f>'Building Bill of Materials_SLIM'!P632</f>
        <v/>
      </c>
      <c r="C632" s="234" t="str">
        <f>'Building Bill of Materials_SLIM'!Q632</f>
        <v/>
      </c>
      <c r="D632" s="234" t="str">
        <f>'Building Bill of Materials_SLIM'!R632</f>
        <v/>
      </c>
      <c r="E632" s="234" t="str">
        <f>'Building Bill of Materials_SLIM'!S632</f>
        <v/>
      </c>
      <c r="F632" s="234"/>
      <c r="G632" s="234"/>
      <c r="H632" s="234" t="str">
        <f>'Building Bill of Materials_SLIM'!T632</f>
        <v/>
      </c>
      <c r="I632" s="234" t="str">
        <f>'Building Bill of Materials_SLIM'!U632</f>
        <v/>
      </c>
      <c r="J632" s="234" t="str">
        <f>'Building Bill of Materials_SLIM'!V632</f>
        <v/>
      </c>
      <c r="K632" s="192"/>
      <c r="L632" s="242"/>
      <c r="M632" s="242"/>
      <c r="N632" s="291"/>
      <c r="O632" s="291"/>
      <c r="P632" s="291"/>
      <c r="Q632" s="291"/>
      <c r="R632" s="291"/>
      <c r="S632" s="291"/>
      <c r="T632" s="291"/>
      <c r="U632" s="291"/>
      <c r="V632" s="291"/>
      <c r="W632" s="291"/>
      <c r="X632" s="291"/>
      <c r="Y632" s="291"/>
      <c r="Z632" s="291"/>
      <c r="AA632" s="291"/>
      <c r="AB632" s="291"/>
      <c r="AC632" s="291"/>
      <c r="AD632" s="291"/>
      <c r="AE632" s="291"/>
      <c r="AF632" s="291"/>
      <c r="AG632" s="291"/>
    </row>
    <row r="633" ht="18.75" customHeight="1">
      <c r="A633" s="283"/>
      <c r="B633" s="234" t="str">
        <f>'Building Bill of Materials_SLIM'!P633</f>
        <v/>
      </c>
      <c r="C633" s="234" t="str">
        <f>'Building Bill of Materials_SLIM'!Q633</f>
        <v/>
      </c>
      <c r="D633" s="234" t="str">
        <f>'Building Bill of Materials_SLIM'!R633</f>
        <v/>
      </c>
      <c r="E633" s="234" t="str">
        <f>'Building Bill of Materials_SLIM'!S633</f>
        <v/>
      </c>
      <c r="F633" s="234"/>
      <c r="G633" s="234"/>
      <c r="H633" s="234" t="str">
        <f>'Building Bill of Materials_SLIM'!T633</f>
        <v/>
      </c>
      <c r="I633" s="234" t="str">
        <f>'Building Bill of Materials_SLIM'!U633</f>
        <v/>
      </c>
      <c r="J633" s="234" t="str">
        <f>'Building Bill of Materials_SLIM'!V633</f>
        <v/>
      </c>
      <c r="K633" s="192"/>
      <c r="L633" s="242"/>
      <c r="M633" s="242"/>
      <c r="N633" s="291"/>
      <c r="O633" s="291"/>
      <c r="P633" s="291"/>
      <c r="Q633" s="291"/>
      <c r="R633" s="291"/>
      <c r="S633" s="291"/>
      <c r="T633" s="291"/>
      <c r="U633" s="291"/>
      <c r="V633" s="291"/>
      <c r="W633" s="291"/>
      <c r="X633" s="291"/>
      <c r="Y633" s="291"/>
      <c r="Z633" s="291"/>
      <c r="AA633" s="291"/>
      <c r="AB633" s="291"/>
      <c r="AC633" s="291"/>
      <c r="AD633" s="291"/>
      <c r="AE633" s="291"/>
      <c r="AF633" s="291"/>
      <c r="AG633" s="291"/>
    </row>
    <row r="634" ht="18.75" customHeight="1">
      <c r="A634" s="283"/>
      <c r="B634" s="234" t="str">
        <f>'Building Bill of Materials_SLIM'!P634</f>
        <v/>
      </c>
      <c r="C634" s="234" t="str">
        <f>'Building Bill of Materials_SLIM'!Q634</f>
        <v/>
      </c>
      <c r="D634" s="234" t="str">
        <f>'Building Bill of Materials_SLIM'!R634</f>
        <v/>
      </c>
      <c r="E634" s="234" t="str">
        <f>'Building Bill of Materials_SLIM'!S634</f>
        <v/>
      </c>
      <c r="F634" s="234"/>
      <c r="G634" s="234"/>
      <c r="H634" s="234" t="str">
        <f>'Building Bill of Materials_SLIM'!T634</f>
        <v/>
      </c>
      <c r="I634" s="234" t="str">
        <f>'Building Bill of Materials_SLIM'!U634</f>
        <v/>
      </c>
      <c r="J634" s="234" t="str">
        <f>'Building Bill of Materials_SLIM'!V634</f>
        <v/>
      </c>
      <c r="K634" s="192"/>
      <c r="L634" s="242"/>
      <c r="M634" s="242"/>
      <c r="N634" s="291"/>
      <c r="O634" s="291"/>
      <c r="P634" s="291"/>
      <c r="Q634" s="291"/>
      <c r="R634" s="291"/>
      <c r="S634" s="291"/>
      <c r="T634" s="291"/>
      <c r="U634" s="291"/>
      <c r="V634" s="291"/>
      <c r="W634" s="291"/>
      <c r="X634" s="291"/>
      <c r="Y634" s="291"/>
      <c r="Z634" s="291"/>
      <c r="AA634" s="291"/>
      <c r="AB634" s="291"/>
      <c r="AC634" s="291"/>
      <c r="AD634" s="291"/>
      <c r="AE634" s="291"/>
      <c r="AF634" s="291"/>
      <c r="AG634" s="291"/>
    </row>
    <row r="635" ht="18.75" customHeight="1">
      <c r="A635" s="283"/>
      <c r="B635" s="234" t="str">
        <f>'Building Bill of Materials_SLIM'!P635</f>
        <v/>
      </c>
      <c r="C635" s="234" t="str">
        <f>'Building Bill of Materials_SLIM'!Q635</f>
        <v/>
      </c>
      <c r="D635" s="234" t="str">
        <f>'Building Bill of Materials_SLIM'!R635</f>
        <v/>
      </c>
      <c r="E635" s="234" t="str">
        <f>'Building Bill of Materials_SLIM'!S635</f>
        <v/>
      </c>
      <c r="F635" s="234"/>
      <c r="G635" s="234"/>
      <c r="H635" s="234" t="str">
        <f>'Building Bill of Materials_SLIM'!T635</f>
        <v/>
      </c>
      <c r="I635" s="234" t="str">
        <f>'Building Bill of Materials_SLIM'!U635</f>
        <v/>
      </c>
      <c r="J635" s="234" t="str">
        <f>'Building Bill of Materials_SLIM'!V635</f>
        <v/>
      </c>
      <c r="K635" s="192"/>
      <c r="L635" s="242"/>
      <c r="M635" s="242"/>
      <c r="N635" s="291"/>
      <c r="O635" s="291"/>
      <c r="P635" s="291"/>
      <c r="Q635" s="291"/>
      <c r="R635" s="291"/>
      <c r="S635" s="291"/>
      <c r="T635" s="291"/>
      <c r="U635" s="291"/>
      <c r="V635" s="291"/>
      <c r="W635" s="291"/>
      <c r="X635" s="291"/>
      <c r="Y635" s="291"/>
      <c r="Z635" s="291"/>
      <c r="AA635" s="291"/>
      <c r="AB635" s="291"/>
      <c r="AC635" s="291"/>
      <c r="AD635" s="291"/>
      <c r="AE635" s="291"/>
      <c r="AF635" s="291"/>
      <c r="AG635" s="291"/>
    </row>
    <row r="636" ht="18.75" customHeight="1">
      <c r="A636" s="283"/>
      <c r="B636" s="234" t="str">
        <f>'Building Bill of Materials_SLIM'!P636</f>
        <v/>
      </c>
      <c r="C636" s="234" t="str">
        <f>'Building Bill of Materials_SLIM'!Q636</f>
        <v/>
      </c>
      <c r="D636" s="234" t="str">
        <f>'Building Bill of Materials_SLIM'!R636</f>
        <v/>
      </c>
      <c r="E636" s="234" t="str">
        <f>'Building Bill of Materials_SLIM'!S636</f>
        <v/>
      </c>
      <c r="F636" s="234"/>
      <c r="G636" s="234"/>
      <c r="H636" s="234" t="str">
        <f>'Building Bill of Materials_SLIM'!T636</f>
        <v/>
      </c>
      <c r="I636" s="234" t="str">
        <f>'Building Bill of Materials_SLIM'!U636</f>
        <v/>
      </c>
      <c r="J636" s="234" t="str">
        <f>'Building Bill of Materials_SLIM'!V636</f>
        <v/>
      </c>
      <c r="K636" s="192"/>
      <c r="L636" s="242"/>
      <c r="M636" s="242"/>
      <c r="N636" s="291"/>
      <c r="O636" s="291"/>
      <c r="P636" s="291"/>
      <c r="Q636" s="291"/>
      <c r="R636" s="291"/>
      <c r="S636" s="291"/>
      <c r="T636" s="291"/>
      <c r="U636" s="291"/>
      <c r="V636" s="291"/>
      <c r="W636" s="291"/>
      <c r="X636" s="291"/>
      <c r="Y636" s="291"/>
      <c r="Z636" s="291"/>
      <c r="AA636" s="291"/>
      <c r="AB636" s="291"/>
      <c r="AC636" s="291"/>
      <c r="AD636" s="291"/>
      <c r="AE636" s="291"/>
      <c r="AF636" s="291"/>
      <c r="AG636" s="291"/>
    </row>
    <row r="637" ht="18.75" customHeight="1">
      <c r="A637" s="283"/>
      <c r="B637" s="234" t="str">
        <f>'Building Bill of Materials_SLIM'!P637</f>
        <v/>
      </c>
      <c r="C637" s="234" t="str">
        <f>'Building Bill of Materials_SLIM'!Q637</f>
        <v/>
      </c>
      <c r="D637" s="234" t="str">
        <f>'Building Bill of Materials_SLIM'!R637</f>
        <v/>
      </c>
      <c r="E637" s="234" t="str">
        <f>'Building Bill of Materials_SLIM'!S637</f>
        <v/>
      </c>
      <c r="F637" s="234"/>
      <c r="G637" s="234"/>
      <c r="H637" s="234" t="str">
        <f>'Building Bill of Materials_SLIM'!T637</f>
        <v/>
      </c>
      <c r="I637" s="234" t="str">
        <f>'Building Bill of Materials_SLIM'!U637</f>
        <v/>
      </c>
      <c r="J637" s="234" t="str">
        <f>'Building Bill of Materials_SLIM'!V637</f>
        <v/>
      </c>
      <c r="K637" s="192"/>
      <c r="L637" s="242"/>
      <c r="M637" s="242"/>
      <c r="N637" s="291"/>
      <c r="O637" s="291"/>
      <c r="P637" s="291"/>
      <c r="Q637" s="291"/>
      <c r="R637" s="291"/>
      <c r="S637" s="291"/>
      <c r="T637" s="291"/>
      <c r="U637" s="291"/>
      <c r="V637" s="291"/>
      <c r="W637" s="291"/>
      <c r="X637" s="291"/>
      <c r="Y637" s="291"/>
      <c r="Z637" s="291"/>
      <c r="AA637" s="291"/>
      <c r="AB637" s="291"/>
      <c r="AC637" s="291"/>
      <c r="AD637" s="291"/>
      <c r="AE637" s="291"/>
      <c r="AF637" s="291"/>
      <c r="AG637" s="291"/>
    </row>
    <row r="638" ht="18.75" customHeight="1">
      <c r="A638" s="283"/>
      <c r="B638" s="234" t="str">
        <f>'Building Bill of Materials_SLIM'!P638</f>
        <v/>
      </c>
      <c r="C638" s="234" t="str">
        <f>'Building Bill of Materials_SLIM'!Q638</f>
        <v/>
      </c>
      <c r="D638" s="234" t="str">
        <f>'Building Bill of Materials_SLIM'!R638</f>
        <v/>
      </c>
      <c r="E638" s="234" t="str">
        <f>'Building Bill of Materials_SLIM'!S638</f>
        <v/>
      </c>
      <c r="F638" s="234"/>
      <c r="G638" s="234"/>
      <c r="H638" s="234" t="str">
        <f>'Building Bill of Materials_SLIM'!T638</f>
        <v/>
      </c>
      <c r="I638" s="234" t="str">
        <f>'Building Bill of Materials_SLIM'!U638</f>
        <v/>
      </c>
      <c r="J638" s="234" t="str">
        <f>'Building Bill of Materials_SLIM'!V638</f>
        <v/>
      </c>
      <c r="K638" s="192"/>
      <c r="L638" s="242"/>
      <c r="M638" s="242"/>
      <c r="N638" s="291"/>
      <c r="O638" s="291"/>
      <c r="P638" s="291"/>
      <c r="Q638" s="291"/>
      <c r="R638" s="291"/>
      <c r="S638" s="291"/>
      <c r="T638" s="291"/>
      <c r="U638" s="291"/>
      <c r="V638" s="291"/>
      <c r="W638" s="291"/>
      <c r="X638" s="291"/>
      <c r="Y638" s="291"/>
      <c r="Z638" s="291"/>
      <c r="AA638" s="291"/>
      <c r="AB638" s="291"/>
      <c r="AC638" s="291"/>
      <c r="AD638" s="291"/>
      <c r="AE638" s="291"/>
      <c r="AF638" s="291"/>
      <c r="AG638" s="291"/>
    </row>
    <row r="639" ht="18.75" customHeight="1">
      <c r="A639" s="283"/>
      <c r="B639" s="234" t="str">
        <f>'Building Bill of Materials_SLIM'!P639</f>
        <v/>
      </c>
      <c r="C639" s="234" t="str">
        <f>'Building Bill of Materials_SLIM'!Q639</f>
        <v/>
      </c>
      <c r="D639" s="234" t="str">
        <f>'Building Bill of Materials_SLIM'!R639</f>
        <v/>
      </c>
      <c r="E639" s="234" t="str">
        <f>'Building Bill of Materials_SLIM'!S639</f>
        <v/>
      </c>
      <c r="F639" s="234"/>
      <c r="G639" s="234"/>
      <c r="H639" s="234" t="str">
        <f>'Building Bill of Materials_SLIM'!T639</f>
        <v/>
      </c>
      <c r="I639" s="234" t="str">
        <f>'Building Bill of Materials_SLIM'!U639</f>
        <v/>
      </c>
      <c r="J639" s="234" t="str">
        <f>'Building Bill of Materials_SLIM'!V639</f>
        <v/>
      </c>
      <c r="K639" s="192"/>
      <c r="L639" s="242"/>
      <c r="M639" s="242"/>
      <c r="N639" s="291"/>
      <c r="O639" s="291"/>
      <c r="P639" s="291"/>
      <c r="Q639" s="291"/>
      <c r="R639" s="291"/>
      <c r="S639" s="291"/>
      <c r="T639" s="291"/>
      <c r="U639" s="291"/>
      <c r="V639" s="291"/>
      <c r="W639" s="291"/>
      <c r="X639" s="291"/>
      <c r="Y639" s="291"/>
      <c r="Z639" s="291"/>
      <c r="AA639" s="291"/>
      <c r="AB639" s="291"/>
      <c r="AC639" s="291"/>
      <c r="AD639" s="291"/>
      <c r="AE639" s="291"/>
      <c r="AF639" s="291"/>
      <c r="AG639" s="291"/>
    </row>
    <row r="640" ht="18.75" customHeight="1">
      <c r="A640" s="283"/>
      <c r="B640" s="234" t="str">
        <f>'Building Bill of Materials_SLIM'!P640</f>
        <v/>
      </c>
      <c r="C640" s="234" t="str">
        <f>'Building Bill of Materials_SLIM'!Q640</f>
        <v/>
      </c>
      <c r="D640" s="234" t="str">
        <f>'Building Bill of Materials_SLIM'!R640</f>
        <v/>
      </c>
      <c r="E640" s="234" t="str">
        <f>'Building Bill of Materials_SLIM'!S640</f>
        <v/>
      </c>
      <c r="F640" s="234"/>
      <c r="G640" s="234"/>
      <c r="H640" s="234" t="str">
        <f>'Building Bill of Materials_SLIM'!T640</f>
        <v/>
      </c>
      <c r="I640" s="234" t="str">
        <f>'Building Bill of Materials_SLIM'!U640</f>
        <v/>
      </c>
      <c r="J640" s="234" t="str">
        <f>'Building Bill of Materials_SLIM'!V640</f>
        <v/>
      </c>
      <c r="K640" s="192"/>
      <c r="L640" s="242"/>
      <c r="M640" s="242"/>
      <c r="N640" s="291"/>
      <c r="O640" s="291"/>
      <c r="P640" s="291"/>
      <c r="Q640" s="291"/>
      <c r="R640" s="291"/>
      <c r="S640" s="291"/>
      <c r="T640" s="291"/>
      <c r="U640" s="291"/>
      <c r="V640" s="291"/>
      <c r="W640" s="291"/>
      <c r="X640" s="291"/>
      <c r="Y640" s="291"/>
      <c r="Z640" s="291"/>
      <c r="AA640" s="291"/>
      <c r="AB640" s="291"/>
      <c r="AC640" s="291"/>
      <c r="AD640" s="291"/>
      <c r="AE640" s="291"/>
      <c r="AF640" s="291"/>
      <c r="AG640" s="291"/>
    </row>
    <row r="641" ht="18.75" customHeight="1">
      <c r="A641" s="283"/>
      <c r="B641" s="234" t="str">
        <f>'Building Bill of Materials_SLIM'!P641</f>
        <v/>
      </c>
      <c r="C641" s="234" t="str">
        <f>'Building Bill of Materials_SLIM'!Q641</f>
        <v/>
      </c>
      <c r="D641" s="234" t="str">
        <f>'Building Bill of Materials_SLIM'!R641</f>
        <v/>
      </c>
      <c r="E641" s="234" t="str">
        <f>'Building Bill of Materials_SLIM'!S641</f>
        <v/>
      </c>
      <c r="F641" s="234"/>
      <c r="G641" s="234"/>
      <c r="H641" s="234" t="str">
        <f>'Building Bill of Materials_SLIM'!T641</f>
        <v/>
      </c>
      <c r="I641" s="234" t="str">
        <f>'Building Bill of Materials_SLIM'!U641</f>
        <v/>
      </c>
      <c r="J641" s="234" t="str">
        <f>'Building Bill of Materials_SLIM'!V641</f>
        <v/>
      </c>
      <c r="K641" s="192"/>
      <c r="L641" s="242"/>
      <c r="M641" s="242"/>
      <c r="N641" s="291"/>
      <c r="O641" s="291"/>
      <c r="P641" s="291"/>
      <c r="Q641" s="291"/>
      <c r="R641" s="291"/>
      <c r="S641" s="291"/>
      <c r="T641" s="291"/>
      <c r="U641" s="291"/>
      <c r="V641" s="291"/>
      <c r="W641" s="291"/>
      <c r="X641" s="291"/>
      <c r="Y641" s="291"/>
      <c r="Z641" s="291"/>
      <c r="AA641" s="291"/>
      <c r="AB641" s="291"/>
      <c r="AC641" s="291"/>
      <c r="AD641" s="291"/>
      <c r="AE641" s="291"/>
      <c r="AF641" s="291"/>
      <c r="AG641" s="291"/>
    </row>
    <row r="642" ht="18.75" customHeight="1">
      <c r="A642" s="283"/>
      <c r="B642" s="234" t="str">
        <f>'Building Bill of Materials_SLIM'!P642</f>
        <v/>
      </c>
      <c r="C642" s="234" t="str">
        <f>'Building Bill of Materials_SLIM'!Q642</f>
        <v/>
      </c>
      <c r="D642" s="234" t="str">
        <f>'Building Bill of Materials_SLIM'!R642</f>
        <v/>
      </c>
      <c r="E642" s="234" t="str">
        <f>'Building Bill of Materials_SLIM'!S642</f>
        <v/>
      </c>
      <c r="F642" s="234"/>
      <c r="G642" s="234"/>
      <c r="H642" s="234" t="str">
        <f>'Building Bill of Materials_SLIM'!T642</f>
        <v/>
      </c>
      <c r="I642" s="234" t="str">
        <f>'Building Bill of Materials_SLIM'!U642</f>
        <v/>
      </c>
      <c r="J642" s="234" t="str">
        <f>'Building Bill of Materials_SLIM'!V642</f>
        <v/>
      </c>
      <c r="K642" s="192"/>
      <c r="L642" s="242"/>
      <c r="M642" s="242"/>
      <c r="N642" s="291"/>
      <c r="O642" s="291"/>
      <c r="P642" s="291"/>
      <c r="Q642" s="291"/>
      <c r="R642" s="291"/>
      <c r="S642" s="291"/>
      <c r="T642" s="291"/>
      <c r="U642" s="291"/>
      <c r="V642" s="291"/>
      <c r="W642" s="291"/>
      <c r="X642" s="291"/>
      <c r="Y642" s="291"/>
      <c r="Z642" s="291"/>
      <c r="AA642" s="291"/>
      <c r="AB642" s="291"/>
      <c r="AC642" s="291"/>
      <c r="AD642" s="291"/>
      <c r="AE642" s="291"/>
      <c r="AF642" s="291"/>
      <c r="AG642" s="291"/>
    </row>
    <row r="643" ht="18.75" customHeight="1">
      <c r="A643" s="283"/>
      <c r="B643" s="234" t="str">
        <f>'Building Bill of Materials_SLIM'!P643</f>
        <v/>
      </c>
      <c r="C643" s="234" t="str">
        <f>'Building Bill of Materials_SLIM'!Q643</f>
        <v/>
      </c>
      <c r="D643" s="234" t="str">
        <f>'Building Bill of Materials_SLIM'!R643</f>
        <v/>
      </c>
      <c r="E643" s="234" t="str">
        <f>'Building Bill of Materials_SLIM'!S643</f>
        <v/>
      </c>
      <c r="F643" s="234"/>
      <c r="G643" s="234"/>
      <c r="H643" s="234" t="str">
        <f>'Building Bill of Materials_SLIM'!T643</f>
        <v/>
      </c>
      <c r="I643" s="234" t="str">
        <f>'Building Bill of Materials_SLIM'!U643</f>
        <v/>
      </c>
      <c r="J643" s="234" t="str">
        <f>'Building Bill of Materials_SLIM'!V643</f>
        <v/>
      </c>
      <c r="K643" s="192"/>
      <c r="L643" s="242"/>
      <c r="M643" s="242"/>
      <c r="N643" s="291"/>
      <c r="O643" s="291"/>
      <c r="P643" s="291"/>
      <c r="Q643" s="291"/>
      <c r="R643" s="291"/>
      <c r="S643" s="291"/>
      <c r="T643" s="291"/>
      <c r="U643" s="291"/>
      <c r="V643" s="291"/>
      <c r="W643" s="291"/>
      <c r="X643" s="291"/>
      <c r="Y643" s="291"/>
      <c r="Z643" s="291"/>
      <c r="AA643" s="291"/>
      <c r="AB643" s="291"/>
      <c r="AC643" s="291"/>
      <c r="AD643" s="291"/>
      <c r="AE643" s="291"/>
      <c r="AF643" s="291"/>
      <c r="AG643" s="291"/>
    </row>
    <row r="644" ht="18.75" customHeight="1">
      <c r="A644" s="283"/>
      <c r="B644" s="234" t="str">
        <f>'Building Bill of Materials_SLIM'!P644</f>
        <v/>
      </c>
      <c r="C644" s="234" t="str">
        <f>'Building Bill of Materials_SLIM'!Q644</f>
        <v/>
      </c>
      <c r="D644" s="234" t="str">
        <f>'Building Bill of Materials_SLIM'!R644</f>
        <v/>
      </c>
      <c r="E644" s="234" t="str">
        <f>'Building Bill of Materials_SLIM'!S644</f>
        <v/>
      </c>
      <c r="F644" s="234"/>
      <c r="G644" s="234"/>
      <c r="H644" s="234" t="str">
        <f>'Building Bill of Materials_SLIM'!T644</f>
        <v/>
      </c>
      <c r="I644" s="234" t="str">
        <f>'Building Bill of Materials_SLIM'!U644</f>
        <v/>
      </c>
      <c r="J644" s="234" t="str">
        <f>'Building Bill of Materials_SLIM'!V644</f>
        <v/>
      </c>
      <c r="K644" s="192"/>
      <c r="L644" s="242"/>
      <c r="M644" s="242"/>
      <c r="N644" s="291"/>
      <c r="O644" s="291"/>
      <c r="P644" s="291"/>
      <c r="Q644" s="291"/>
      <c r="R644" s="291"/>
      <c r="S644" s="291"/>
      <c r="T644" s="291"/>
      <c r="U644" s="291"/>
      <c r="V644" s="291"/>
      <c r="W644" s="291"/>
      <c r="X644" s="291"/>
      <c r="Y644" s="291"/>
      <c r="Z644" s="291"/>
      <c r="AA644" s="291"/>
      <c r="AB644" s="291"/>
      <c r="AC644" s="291"/>
      <c r="AD644" s="291"/>
      <c r="AE644" s="291"/>
      <c r="AF644" s="291"/>
      <c r="AG644" s="291"/>
    </row>
    <row r="645" ht="18.75" customHeight="1">
      <c r="A645" s="283"/>
      <c r="B645" s="234" t="str">
        <f>'Building Bill of Materials_SLIM'!P645</f>
        <v/>
      </c>
      <c r="C645" s="234" t="str">
        <f>'Building Bill of Materials_SLIM'!Q645</f>
        <v/>
      </c>
      <c r="D645" s="234" t="str">
        <f>'Building Bill of Materials_SLIM'!R645</f>
        <v/>
      </c>
      <c r="E645" s="234" t="str">
        <f>'Building Bill of Materials_SLIM'!S645</f>
        <v/>
      </c>
      <c r="F645" s="234"/>
      <c r="G645" s="234"/>
      <c r="H645" s="234" t="str">
        <f>'Building Bill of Materials_SLIM'!T645</f>
        <v/>
      </c>
      <c r="I645" s="234" t="str">
        <f>'Building Bill of Materials_SLIM'!U645</f>
        <v/>
      </c>
      <c r="J645" s="234" t="str">
        <f>'Building Bill of Materials_SLIM'!V645</f>
        <v/>
      </c>
      <c r="K645" s="192"/>
      <c r="L645" s="242"/>
      <c r="M645" s="242"/>
      <c r="N645" s="291"/>
      <c r="O645" s="291"/>
      <c r="P645" s="291"/>
      <c r="Q645" s="291"/>
      <c r="R645" s="291"/>
      <c r="S645" s="291"/>
      <c r="T645" s="291"/>
      <c r="U645" s="291"/>
      <c r="V645" s="291"/>
      <c r="W645" s="291"/>
      <c r="X645" s="291"/>
      <c r="Y645" s="291"/>
      <c r="Z645" s="291"/>
      <c r="AA645" s="291"/>
      <c r="AB645" s="291"/>
      <c r="AC645" s="291"/>
      <c r="AD645" s="291"/>
      <c r="AE645" s="291"/>
      <c r="AF645" s="291"/>
      <c r="AG645" s="291"/>
    </row>
    <row r="646" ht="18.75" customHeight="1">
      <c r="A646" s="283"/>
      <c r="B646" s="234" t="str">
        <f>'Building Bill of Materials_SLIM'!P646</f>
        <v/>
      </c>
      <c r="C646" s="234" t="str">
        <f>'Building Bill of Materials_SLIM'!Q646</f>
        <v/>
      </c>
      <c r="D646" s="234" t="str">
        <f>'Building Bill of Materials_SLIM'!R646</f>
        <v/>
      </c>
      <c r="E646" s="234" t="str">
        <f>'Building Bill of Materials_SLIM'!S646</f>
        <v/>
      </c>
      <c r="F646" s="234"/>
      <c r="G646" s="234"/>
      <c r="H646" s="234" t="str">
        <f>'Building Bill of Materials_SLIM'!T646</f>
        <v/>
      </c>
      <c r="I646" s="234" t="str">
        <f>'Building Bill of Materials_SLIM'!U646</f>
        <v/>
      </c>
      <c r="J646" s="234" t="str">
        <f>'Building Bill of Materials_SLIM'!V646</f>
        <v/>
      </c>
      <c r="K646" s="192"/>
      <c r="L646" s="242"/>
      <c r="M646" s="242"/>
      <c r="N646" s="291"/>
      <c r="O646" s="291"/>
      <c r="P646" s="291"/>
      <c r="Q646" s="291"/>
      <c r="R646" s="291"/>
      <c r="S646" s="291"/>
      <c r="T646" s="291"/>
      <c r="U646" s="291"/>
      <c r="V646" s="291"/>
      <c r="W646" s="291"/>
      <c r="X646" s="291"/>
      <c r="Y646" s="291"/>
      <c r="Z646" s="291"/>
      <c r="AA646" s="291"/>
      <c r="AB646" s="291"/>
      <c r="AC646" s="291"/>
      <c r="AD646" s="291"/>
      <c r="AE646" s="291"/>
      <c r="AF646" s="291"/>
      <c r="AG646" s="291"/>
    </row>
    <row r="647" ht="18.75" customHeight="1">
      <c r="A647" s="283"/>
      <c r="B647" s="234" t="str">
        <f>'Building Bill of Materials_SLIM'!P647</f>
        <v/>
      </c>
      <c r="C647" s="234" t="str">
        <f>'Building Bill of Materials_SLIM'!Q647</f>
        <v/>
      </c>
      <c r="D647" s="234" t="str">
        <f>'Building Bill of Materials_SLIM'!R647</f>
        <v/>
      </c>
      <c r="E647" s="234" t="str">
        <f>'Building Bill of Materials_SLIM'!S647</f>
        <v/>
      </c>
      <c r="F647" s="234"/>
      <c r="G647" s="234"/>
      <c r="H647" s="234" t="str">
        <f>'Building Bill of Materials_SLIM'!T647</f>
        <v/>
      </c>
      <c r="I647" s="234" t="str">
        <f>'Building Bill of Materials_SLIM'!U647</f>
        <v/>
      </c>
      <c r="J647" s="234" t="str">
        <f>'Building Bill of Materials_SLIM'!V647</f>
        <v/>
      </c>
      <c r="K647" s="192"/>
      <c r="L647" s="242"/>
      <c r="M647" s="242"/>
      <c r="N647" s="291"/>
      <c r="O647" s="291"/>
      <c r="P647" s="291"/>
      <c r="Q647" s="291"/>
      <c r="R647" s="291"/>
      <c r="S647" s="291"/>
      <c r="T647" s="291"/>
      <c r="U647" s="291"/>
      <c r="V647" s="291"/>
      <c r="W647" s="291"/>
      <c r="X647" s="291"/>
      <c r="Y647" s="291"/>
      <c r="Z647" s="291"/>
      <c r="AA647" s="291"/>
      <c r="AB647" s="291"/>
      <c r="AC647" s="291"/>
      <c r="AD647" s="291"/>
      <c r="AE647" s="291"/>
      <c r="AF647" s="291"/>
      <c r="AG647" s="291"/>
    </row>
    <row r="648" ht="18.75" customHeight="1">
      <c r="A648" s="283"/>
      <c r="B648" s="234" t="str">
        <f>'Building Bill of Materials_SLIM'!P648</f>
        <v/>
      </c>
      <c r="C648" s="234" t="str">
        <f>'Building Bill of Materials_SLIM'!Q648</f>
        <v/>
      </c>
      <c r="D648" s="234" t="str">
        <f>'Building Bill of Materials_SLIM'!R648</f>
        <v/>
      </c>
      <c r="E648" s="234" t="str">
        <f>'Building Bill of Materials_SLIM'!S648</f>
        <v/>
      </c>
      <c r="F648" s="234"/>
      <c r="G648" s="234"/>
      <c r="H648" s="234" t="str">
        <f>'Building Bill of Materials_SLIM'!T648</f>
        <v/>
      </c>
      <c r="I648" s="234" t="str">
        <f>'Building Bill of Materials_SLIM'!U648</f>
        <v/>
      </c>
      <c r="J648" s="234" t="str">
        <f>'Building Bill of Materials_SLIM'!V648</f>
        <v/>
      </c>
      <c r="K648" s="192"/>
      <c r="L648" s="242"/>
      <c r="M648" s="242"/>
      <c r="N648" s="291"/>
      <c r="O648" s="291"/>
      <c r="P648" s="291"/>
      <c r="Q648" s="291"/>
      <c r="R648" s="291"/>
      <c r="S648" s="291"/>
      <c r="T648" s="291"/>
      <c r="U648" s="291"/>
      <c r="V648" s="291"/>
      <c r="W648" s="291"/>
      <c r="X648" s="291"/>
      <c r="Y648" s="291"/>
      <c r="Z648" s="291"/>
      <c r="AA648" s="291"/>
      <c r="AB648" s="291"/>
      <c r="AC648" s="291"/>
      <c r="AD648" s="291"/>
      <c r="AE648" s="291"/>
      <c r="AF648" s="291"/>
      <c r="AG648" s="291"/>
    </row>
    <row r="649" ht="18.75" customHeight="1">
      <c r="A649" s="283"/>
      <c r="B649" s="234" t="str">
        <f>'Building Bill of Materials_SLIM'!P649</f>
        <v/>
      </c>
      <c r="C649" s="234" t="str">
        <f>'Building Bill of Materials_SLIM'!Q649</f>
        <v/>
      </c>
      <c r="D649" s="234" t="str">
        <f>'Building Bill of Materials_SLIM'!R649</f>
        <v/>
      </c>
      <c r="E649" s="234" t="str">
        <f>'Building Bill of Materials_SLIM'!S649</f>
        <v/>
      </c>
      <c r="F649" s="234"/>
      <c r="G649" s="234"/>
      <c r="H649" s="234" t="str">
        <f>'Building Bill of Materials_SLIM'!T649</f>
        <v/>
      </c>
      <c r="I649" s="234" t="str">
        <f>'Building Bill of Materials_SLIM'!U649</f>
        <v/>
      </c>
      <c r="J649" s="234" t="str">
        <f>'Building Bill of Materials_SLIM'!V649</f>
        <v/>
      </c>
      <c r="K649" s="192"/>
      <c r="L649" s="242"/>
      <c r="M649" s="242"/>
      <c r="N649" s="291"/>
      <c r="O649" s="291"/>
      <c r="P649" s="291"/>
      <c r="Q649" s="291"/>
      <c r="R649" s="291"/>
      <c r="S649" s="291"/>
      <c r="T649" s="291"/>
      <c r="U649" s="291"/>
      <c r="V649" s="291"/>
      <c r="W649" s="291"/>
      <c r="X649" s="291"/>
      <c r="Y649" s="291"/>
      <c r="Z649" s="291"/>
      <c r="AA649" s="291"/>
      <c r="AB649" s="291"/>
      <c r="AC649" s="291"/>
      <c r="AD649" s="291"/>
      <c r="AE649" s="291"/>
      <c r="AF649" s="291"/>
      <c r="AG649" s="291"/>
    </row>
    <row r="650" ht="18.75" customHeight="1">
      <c r="A650" s="283"/>
      <c r="B650" s="234" t="str">
        <f>'Building Bill of Materials_SLIM'!P650</f>
        <v/>
      </c>
      <c r="C650" s="234" t="str">
        <f>'Building Bill of Materials_SLIM'!Q650</f>
        <v/>
      </c>
      <c r="D650" s="234" t="str">
        <f>'Building Bill of Materials_SLIM'!R650</f>
        <v/>
      </c>
      <c r="E650" s="234" t="str">
        <f>'Building Bill of Materials_SLIM'!S650</f>
        <v/>
      </c>
      <c r="F650" s="234"/>
      <c r="G650" s="234"/>
      <c r="H650" s="234" t="str">
        <f>'Building Bill of Materials_SLIM'!T650</f>
        <v/>
      </c>
      <c r="I650" s="234" t="str">
        <f>'Building Bill of Materials_SLIM'!U650</f>
        <v/>
      </c>
      <c r="J650" s="234" t="str">
        <f>'Building Bill of Materials_SLIM'!V650</f>
        <v/>
      </c>
      <c r="K650" s="192"/>
      <c r="L650" s="242"/>
      <c r="M650" s="242"/>
      <c r="N650" s="291"/>
      <c r="O650" s="291"/>
      <c r="P650" s="291"/>
      <c r="Q650" s="291"/>
      <c r="R650" s="291"/>
      <c r="S650" s="291"/>
      <c r="T650" s="291"/>
      <c r="U650" s="291"/>
      <c r="V650" s="291"/>
      <c r="W650" s="291"/>
      <c r="X650" s="291"/>
      <c r="Y650" s="291"/>
      <c r="Z650" s="291"/>
      <c r="AA650" s="291"/>
      <c r="AB650" s="291"/>
      <c r="AC650" s="291"/>
      <c r="AD650" s="291"/>
      <c r="AE650" s="291"/>
      <c r="AF650" s="291"/>
      <c r="AG650" s="291"/>
    </row>
    <row r="651" ht="18.75" customHeight="1">
      <c r="A651" s="283"/>
      <c r="B651" s="234" t="str">
        <f>'Building Bill of Materials_SLIM'!P651</f>
        <v/>
      </c>
      <c r="C651" s="234" t="str">
        <f>'Building Bill of Materials_SLIM'!Q651</f>
        <v/>
      </c>
      <c r="D651" s="234" t="str">
        <f>'Building Bill of Materials_SLIM'!R651</f>
        <v/>
      </c>
      <c r="E651" s="234" t="str">
        <f>'Building Bill of Materials_SLIM'!S651</f>
        <v/>
      </c>
      <c r="F651" s="234"/>
      <c r="G651" s="234"/>
      <c r="H651" s="234" t="str">
        <f>'Building Bill of Materials_SLIM'!T651</f>
        <v/>
      </c>
      <c r="I651" s="234" t="str">
        <f>'Building Bill of Materials_SLIM'!U651</f>
        <v/>
      </c>
      <c r="J651" s="234" t="str">
        <f>'Building Bill of Materials_SLIM'!V651</f>
        <v/>
      </c>
      <c r="K651" s="192"/>
      <c r="L651" s="242"/>
      <c r="M651" s="242"/>
      <c r="N651" s="291"/>
      <c r="O651" s="291"/>
      <c r="P651" s="291"/>
      <c r="Q651" s="291"/>
      <c r="R651" s="291"/>
      <c r="S651" s="291"/>
      <c r="T651" s="291"/>
      <c r="U651" s="291"/>
      <c r="V651" s="291"/>
      <c r="W651" s="291"/>
      <c r="X651" s="291"/>
      <c r="Y651" s="291"/>
      <c r="Z651" s="291"/>
      <c r="AA651" s="291"/>
      <c r="AB651" s="291"/>
      <c r="AC651" s="291"/>
      <c r="AD651" s="291"/>
      <c r="AE651" s="291"/>
      <c r="AF651" s="291"/>
      <c r="AG651" s="291"/>
    </row>
    <row r="652" ht="18.75" customHeight="1">
      <c r="A652" s="283"/>
      <c r="B652" s="234" t="str">
        <f>'Building Bill of Materials_SLIM'!P652</f>
        <v/>
      </c>
      <c r="C652" s="234" t="str">
        <f>'Building Bill of Materials_SLIM'!Q652</f>
        <v/>
      </c>
      <c r="D652" s="234" t="str">
        <f>'Building Bill of Materials_SLIM'!R652</f>
        <v/>
      </c>
      <c r="E652" s="234" t="str">
        <f>'Building Bill of Materials_SLIM'!S652</f>
        <v/>
      </c>
      <c r="F652" s="234"/>
      <c r="G652" s="234"/>
      <c r="H652" s="234" t="str">
        <f>'Building Bill of Materials_SLIM'!T652</f>
        <v/>
      </c>
      <c r="I652" s="234" t="str">
        <f>'Building Bill of Materials_SLIM'!U652</f>
        <v/>
      </c>
      <c r="J652" s="234" t="str">
        <f>'Building Bill of Materials_SLIM'!V652</f>
        <v/>
      </c>
      <c r="K652" s="192"/>
      <c r="L652" s="242"/>
      <c r="M652" s="242"/>
      <c r="N652" s="291"/>
      <c r="O652" s="291"/>
      <c r="P652" s="291"/>
      <c r="Q652" s="291"/>
      <c r="R652" s="291"/>
      <c r="S652" s="291"/>
      <c r="T652" s="291"/>
      <c r="U652" s="291"/>
      <c r="V652" s="291"/>
      <c r="W652" s="291"/>
      <c r="X652" s="291"/>
      <c r="Y652" s="291"/>
      <c r="Z652" s="291"/>
      <c r="AA652" s="291"/>
      <c r="AB652" s="291"/>
      <c r="AC652" s="291"/>
      <c r="AD652" s="291"/>
      <c r="AE652" s="291"/>
      <c r="AF652" s="291"/>
      <c r="AG652" s="291"/>
    </row>
    <row r="653" ht="18.75" customHeight="1">
      <c r="A653" s="283"/>
      <c r="B653" s="234" t="str">
        <f>'Building Bill of Materials_SLIM'!P653</f>
        <v/>
      </c>
      <c r="C653" s="234" t="str">
        <f>'Building Bill of Materials_SLIM'!Q653</f>
        <v/>
      </c>
      <c r="D653" s="234" t="str">
        <f>'Building Bill of Materials_SLIM'!R653</f>
        <v/>
      </c>
      <c r="E653" s="234" t="str">
        <f>'Building Bill of Materials_SLIM'!S653</f>
        <v/>
      </c>
      <c r="F653" s="234"/>
      <c r="G653" s="234"/>
      <c r="H653" s="234" t="str">
        <f>'Building Bill of Materials_SLIM'!T653</f>
        <v/>
      </c>
      <c r="I653" s="234" t="str">
        <f>'Building Bill of Materials_SLIM'!U653</f>
        <v/>
      </c>
      <c r="J653" s="234" t="str">
        <f>'Building Bill of Materials_SLIM'!V653</f>
        <v/>
      </c>
      <c r="K653" s="192"/>
      <c r="L653" s="242"/>
      <c r="M653" s="242"/>
      <c r="N653" s="291"/>
      <c r="O653" s="291"/>
      <c r="P653" s="291"/>
      <c r="Q653" s="291"/>
      <c r="R653" s="291"/>
      <c r="S653" s="291"/>
      <c r="T653" s="291"/>
      <c r="U653" s="291"/>
      <c r="V653" s="291"/>
      <c r="W653" s="291"/>
      <c r="X653" s="291"/>
      <c r="Y653" s="291"/>
      <c r="Z653" s="291"/>
      <c r="AA653" s="291"/>
      <c r="AB653" s="291"/>
      <c r="AC653" s="291"/>
      <c r="AD653" s="291"/>
      <c r="AE653" s="291"/>
      <c r="AF653" s="291"/>
      <c r="AG653" s="291"/>
    </row>
    <row r="654" ht="18.75" customHeight="1">
      <c r="A654" s="283"/>
      <c r="B654" s="234" t="str">
        <f>'Building Bill of Materials_SLIM'!P654</f>
        <v/>
      </c>
      <c r="C654" s="234" t="str">
        <f>'Building Bill of Materials_SLIM'!Q654</f>
        <v/>
      </c>
      <c r="D654" s="234" t="str">
        <f>'Building Bill of Materials_SLIM'!R654</f>
        <v/>
      </c>
      <c r="E654" s="234" t="str">
        <f>'Building Bill of Materials_SLIM'!S654</f>
        <v/>
      </c>
      <c r="F654" s="234"/>
      <c r="G654" s="234"/>
      <c r="H654" s="234" t="str">
        <f>'Building Bill of Materials_SLIM'!T654</f>
        <v/>
      </c>
      <c r="I654" s="234" t="str">
        <f>'Building Bill of Materials_SLIM'!U654</f>
        <v/>
      </c>
      <c r="J654" s="234" t="str">
        <f>'Building Bill of Materials_SLIM'!V654</f>
        <v/>
      </c>
      <c r="K654" s="192"/>
      <c r="L654" s="242"/>
      <c r="M654" s="242"/>
      <c r="N654" s="291"/>
      <c r="O654" s="291"/>
      <c r="P654" s="291"/>
      <c r="Q654" s="291"/>
      <c r="R654" s="291"/>
      <c r="S654" s="291"/>
      <c r="T654" s="291"/>
      <c r="U654" s="291"/>
      <c r="V654" s="291"/>
      <c r="W654" s="291"/>
      <c r="X654" s="291"/>
      <c r="Y654" s="291"/>
      <c r="Z654" s="291"/>
      <c r="AA654" s="291"/>
      <c r="AB654" s="291"/>
      <c r="AC654" s="291"/>
      <c r="AD654" s="291"/>
      <c r="AE654" s="291"/>
      <c r="AF654" s="291"/>
      <c r="AG654" s="291"/>
    </row>
    <row r="655" ht="18.75" customHeight="1">
      <c r="A655" s="283"/>
      <c r="B655" s="234" t="str">
        <f>'Building Bill of Materials_SLIM'!P655</f>
        <v/>
      </c>
      <c r="C655" s="234" t="str">
        <f>'Building Bill of Materials_SLIM'!Q655</f>
        <v/>
      </c>
      <c r="D655" s="234" t="str">
        <f>'Building Bill of Materials_SLIM'!R655</f>
        <v/>
      </c>
      <c r="E655" s="234" t="str">
        <f>'Building Bill of Materials_SLIM'!S655</f>
        <v/>
      </c>
      <c r="F655" s="234"/>
      <c r="G655" s="234"/>
      <c r="H655" s="234" t="str">
        <f>'Building Bill of Materials_SLIM'!T655</f>
        <v/>
      </c>
      <c r="I655" s="234" t="str">
        <f>'Building Bill of Materials_SLIM'!U655</f>
        <v/>
      </c>
      <c r="J655" s="234" t="str">
        <f>'Building Bill of Materials_SLIM'!V655</f>
        <v/>
      </c>
      <c r="K655" s="192"/>
      <c r="L655" s="242"/>
      <c r="M655" s="242"/>
      <c r="N655" s="291"/>
      <c r="O655" s="291"/>
      <c r="P655" s="291"/>
      <c r="Q655" s="291"/>
      <c r="R655" s="291"/>
      <c r="S655" s="291"/>
      <c r="T655" s="291"/>
      <c r="U655" s="291"/>
      <c r="V655" s="291"/>
      <c r="W655" s="291"/>
      <c r="X655" s="291"/>
      <c r="Y655" s="291"/>
      <c r="Z655" s="291"/>
      <c r="AA655" s="291"/>
      <c r="AB655" s="291"/>
      <c r="AC655" s="291"/>
      <c r="AD655" s="291"/>
      <c r="AE655" s="291"/>
      <c r="AF655" s="291"/>
      <c r="AG655" s="291"/>
    </row>
    <row r="656" ht="18.75" customHeight="1">
      <c r="A656" s="283"/>
      <c r="B656" s="234" t="str">
        <f>'Building Bill of Materials_SLIM'!P656</f>
        <v/>
      </c>
      <c r="C656" s="234" t="str">
        <f>'Building Bill of Materials_SLIM'!Q656</f>
        <v/>
      </c>
      <c r="D656" s="234" t="str">
        <f>'Building Bill of Materials_SLIM'!R656</f>
        <v/>
      </c>
      <c r="E656" s="234" t="str">
        <f>'Building Bill of Materials_SLIM'!S656</f>
        <v/>
      </c>
      <c r="F656" s="234"/>
      <c r="G656" s="234"/>
      <c r="H656" s="234" t="str">
        <f>'Building Bill of Materials_SLIM'!T656</f>
        <v/>
      </c>
      <c r="I656" s="234" t="str">
        <f>'Building Bill of Materials_SLIM'!U656</f>
        <v/>
      </c>
      <c r="J656" s="234" t="str">
        <f>'Building Bill of Materials_SLIM'!V656</f>
        <v/>
      </c>
      <c r="K656" s="192"/>
      <c r="L656" s="242"/>
      <c r="M656" s="242"/>
      <c r="N656" s="291"/>
      <c r="O656" s="291"/>
      <c r="P656" s="291"/>
      <c r="Q656" s="291"/>
      <c r="R656" s="291"/>
      <c r="S656" s="291"/>
      <c r="T656" s="291"/>
      <c r="U656" s="291"/>
      <c r="V656" s="291"/>
      <c r="W656" s="291"/>
      <c r="X656" s="291"/>
      <c r="Y656" s="291"/>
      <c r="Z656" s="291"/>
      <c r="AA656" s="291"/>
      <c r="AB656" s="291"/>
      <c r="AC656" s="291"/>
      <c r="AD656" s="291"/>
      <c r="AE656" s="291"/>
      <c r="AF656" s="291"/>
      <c r="AG656" s="291"/>
    </row>
    <row r="657" ht="18.75" customHeight="1">
      <c r="A657" s="283"/>
      <c r="B657" s="234" t="str">
        <f>'Building Bill of Materials_SLIM'!P657</f>
        <v/>
      </c>
      <c r="C657" s="234" t="str">
        <f>'Building Bill of Materials_SLIM'!Q657</f>
        <v/>
      </c>
      <c r="D657" s="234" t="str">
        <f>'Building Bill of Materials_SLIM'!R657</f>
        <v/>
      </c>
      <c r="E657" s="234" t="str">
        <f>'Building Bill of Materials_SLIM'!S657</f>
        <v/>
      </c>
      <c r="F657" s="234"/>
      <c r="G657" s="234"/>
      <c r="H657" s="234" t="str">
        <f>'Building Bill of Materials_SLIM'!T657</f>
        <v/>
      </c>
      <c r="I657" s="234" t="str">
        <f>'Building Bill of Materials_SLIM'!U657</f>
        <v/>
      </c>
      <c r="J657" s="234" t="str">
        <f>'Building Bill of Materials_SLIM'!V657</f>
        <v/>
      </c>
      <c r="K657" s="192"/>
      <c r="L657" s="242"/>
      <c r="M657" s="242"/>
      <c r="N657" s="291"/>
      <c r="O657" s="291"/>
      <c r="P657" s="291"/>
      <c r="Q657" s="291"/>
      <c r="R657" s="291"/>
      <c r="S657" s="291"/>
      <c r="T657" s="291"/>
      <c r="U657" s="291"/>
      <c r="V657" s="291"/>
      <c r="W657" s="291"/>
      <c r="X657" s="291"/>
      <c r="Y657" s="291"/>
      <c r="Z657" s="291"/>
      <c r="AA657" s="291"/>
      <c r="AB657" s="291"/>
      <c r="AC657" s="291"/>
      <c r="AD657" s="291"/>
      <c r="AE657" s="291"/>
      <c r="AF657" s="291"/>
      <c r="AG657" s="291"/>
    </row>
    <row r="658" ht="18.75" customHeight="1">
      <c r="A658" s="283"/>
      <c r="B658" s="234" t="str">
        <f>'Building Bill of Materials_SLIM'!P658</f>
        <v/>
      </c>
      <c r="C658" s="234" t="str">
        <f>'Building Bill of Materials_SLIM'!Q658</f>
        <v/>
      </c>
      <c r="D658" s="234" t="str">
        <f>'Building Bill of Materials_SLIM'!R658</f>
        <v/>
      </c>
      <c r="E658" s="234" t="str">
        <f>'Building Bill of Materials_SLIM'!S658</f>
        <v/>
      </c>
      <c r="F658" s="234"/>
      <c r="G658" s="234"/>
      <c r="H658" s="234" t="str">
        <f>'Building Bill of Materials_SLIM'!T658</f>
        <v/>
      </c>
      <c r="I658" s="234" t="str">
        <f>'Building Bill of Materials_SLIM'!U658</f>
        <v/>
      </c>
      <c r="J658" s="234" t="str">
        <f>'Building Bill of Materials_SLIM'!V658</f>
        <v/>
      </c>
      <c r="K658" s="192"/>
      <c r="L658" s="242"/>
      <c r="M658" s="242"/>
      <c r="N658" s="291"/>
      <c r="O658" s="291"/>
      <c r="P658" s="291"/>
      <c r="Q658" s="291"/>
      <c r="R658" s="291"/>
      <c r="S658" s="291"/>
      <c r="T658" s="291"/>
      <c r="U658" s="291"/>
      <c r="V658" s="291"/>
      <c r="W658" s="291"/>
      <c r="X658" s="291"/>
      <c r="Y658" s="291"/>
      <c r="Z658" s="291"/>
      <c r="AA658" s="291"/>
      <c r="AB658" s="291"/>
      <c r="AC658" s="291"/>
      <c r="AD658" s="291"/>
      <c r="AE658" s="291"/>
      <c r="AF658" s="291"/>
      <c r="AG658" s="291"/>
    </row>
    <row r="659" ht="18.75" customHeight="1">
      <c r="A659" s="283"/>
      <c r="B659" s="234" t="str">
        <f>'Building Bill of Materials_SLIM'!P659</f>
        <v/>
      </c>
      <c r="C659" s="234" t="str">
        <f>'Building Bill of Materials_SLIM'!Q659</f>
        <v/>
      </c>
      <c r="D659" s="234" t="str">
        <f>'Building Bill of Materials_SLIM'!R659</f>
        <v/>
      </c>
      <c r="E659" s="234" t="str">
        <f>'Building Bill of Materials_SLIM'!S659</f>
        <v/>
      </c>
      <c r="F659" s="234"/>
      <c r="G659" s="234"/>
      <c r="H659" s="234" t="str">
        <f>'Building Bill of Materials_SLIM'!T659</f>
        <v/>
      </c>
      <c r="I659" s="234" t="str">
        <f>'Building Bill of Materials_SLIM'!U659</f>
        <v/>
      </c>
      <c r="J659" s="234" t="str">
        <f>'Building Bill of Materials_SLIM'!V659</f>
        <v/>
      </c>
      <c r="K659" s="192"/>
      <c r="L659" s="242"/>
      <c r="M659" s="242"/>
      <c r="N659" s="291"/>
      <c r="O659" s="291"/>
      <c r="P659" s="291"/>
      <c r="Q659" s="291"/>
      <c r="R659" s="291"/>
      <c r="S659" s="291"/>
      <c r="T659" s="291"/>
      <c r="U659" s="291"/>
      <c r="V659" s="291"/>
      <c r="W659" s="291"/>
      <c r="X659" s="291"/>
      <c r="Y659" s="291"/>
      <c r="Z659" s="291"/>
      <c r="AA659" s="291"/>
      <c r="AB659" s="291"/>
      <c r="AC659" s="291"/>
      <c r="AD659" s="291"/>
      <c r="AE659" s="291"/>
      <c r="AF659" s="291"/>
      <c r="AG659" s="291"/>
    </row>
    <row r="660" ht="18.75" customHeight="1">
      <c r="A660" s="283"/>
      <c r="B660" s="234" t="str">
        <f>'Building Bill of Materials_SLIM'!P660</f>
        <v/>
      </c>
      <c r="C660" s="234" t="str">
        <f>'Building Bill of Materials_SLIM'!Q660</f>
        <v/>
      </c>
      <c r="D660" s="234" t="str">
        <f>'Building Bill of Materials_SLIM'!R660</f>
        <v/>
      </c>
      <c r="E660" s="234" t="str">
        <f>'Building Bill of Materials_SLIM'!S660</f>
        <v/>
      </c>
      <c r="F660" s="234"/>
      <c r="G660" s="234"/>
      <c r="H660" s="234" t="str">
        <f>'Building Bill of Materials_SLIM'!T660</f>
        <v/>
      </c>
      <c r="I660" s="234" t="str">
        <f>'Building Bill of Materials_SLIM'!U660</f>
        <v/>
      </c>
      <c r="J660" s="234" t="str">
        <f>'Building Bill of Materials_SLIM'!V660</f>
        <v/>
      </c>
      <c r="K660" s="192"/>
      <c r="L660" s="242"/>
      <c r="M660" s="242"/>
      <c r="N660" s="291"/>
      <c r="O660" s="291"/>
      <c r="P660" s="291"/>
      <c r="Q660" s="291"/>
      <c r="R660" s="291"/>
      <c r="S660" s="291"/>
      <c r="T660" s="291"/>
      <c r="U660" s="291"/>
      <c r="V660" s="291"/>
      <c r="W660" s="291"/>
      <c r="X660" s="291"/>
      <c r="Y660" s="291"/>
      <c r="Z660" s="291"/>
      <c r="AA660" s="291"/>
      <c r="AB660" s="291"/>
      <c r="AC660" s="291"/>
      <c r="AD660" s="291"/>
      <c r="AE660" s="291"/>
      <c r="AF660" s="291"/>
      <c r="AG660" s="291"/>
    </row>
    <row r="661" ht="18.75" customHeight="1">
      <c r="A661" s="283"/>
      <c r="B661" s="234" t="str">
        <f>'Building Bill of Materials_SLIM'!P661</f>
        <v/>
      </c>
      <c r="C661" s="234" t="str">
        <f>'Building Bill of Materials_SLIM'!Q661</f>
        <v/>
      </c>
      <c r="D661" s="234" t="str">
        <f>'Building Bill of Materials_SLIM'!R661</f>
        <v/>
      </c>
      <c r="E661" s="234" t="str">
        <f>'Building Bill of Materials_SLIM'!S661</f>
        <v/>
      </c>
      <c r="F661" s="234"/>
      <c r="G661" s="234"/>
      <c r="H661" s="234" t="str">
        <f>'Building Bill of Materials_SLIM'!T661</f>
        <v/>
      </c>
      <c r="I661" s="234" t="str">
        <f>'Building Bill of Materials_SLIM'!U661</f>
        <v/>
      </c>
      <c r="J661" s="234" t="str">
        <f>'Building Bill of Materials_SLIM'!V661</f>
        <v/>
      </c>
      <c r="K661" s="192"/>
      <c r="L661" s="242"/>
      <c r="M661" s="242"/>
      <c r="N661" s="291"/>
      <c r="O661" s="291"/>
      <c r="P661" s="291"/>
      <c r="Q661" s="291"/>
      <c r="R661" s="291"/>
      <c r="S661" s="291"/>
      <c r="T661" s="291"/>
      <c r="U661" s="291"/>
      <c r="V661" s="291"/>
      <c r="W661" s="291"/>
      <c r="X661" s="291"/>
      <c r="Y661" s="291"/>
      <c r="Z661" s="291"/>
      <c r="AA661" s="291"/>
      <c r="AB661" s="291"/>
      <c r="AC661" s="291"/>
      <c r="AD661" s="291"/>
      <c r="AE661" s="291"/>
      <c r="AF661" s="291"/>
      <c r="AG661" s="291"/>
    </row>
    <row r="662" ht="18.75" customHeight="1">
      <c r="A662" s="283"/>
      <c r="B662" s="234" t="str">
        <f>'Building Bill of Materials_SLIM'!P662</f>
        <v/>
      </c>
      <c r="C662" s="234" t="str">
        <f>'Building Bill of Materials_SLIM'!Q662</f>
        <v/>
      </c>
      <c r="D662" s="234" t="str">
        <f>'Building Bill of Materials_SLIM'!R662</f>
        <v/>
      </c>
      <c r="E662" s="234" t="str">
        <f>'Building Bill of Materials_SLIM'!S662</f>
        <v/>
      </c>
      <c r="F662" s="234"/>
      <c r="G662" s="234"/>
      <c r="H662" s="234" t="str">
        <f>'Building Bill of Materials_SLIM'!T662</f>
        <v/>
      </c>
      <c r="I662" s="234" t="str">
        <f>'Building Bill of Materials_SLIM'!U662</f>
        <v/>
      </c>
      <c r="J662" s="234" t="str">
        <f>'Building Bill of Materials_SLIM'!V662</f>
        <v/>
      </c>
      <c r="K662" s="192"/>
      <c r="L662" s="242"/>
      <c r="M662" s="242"/>
      <c r="N662" s="291"/>
      <c r="O662" s="291"/>
      <c r="P662" s="291"/>
      <c r="Q662" s="291"/>
      <c r="R662" s="291"/>
      <c r="S662" s="291"/>
      <c r="T662" s="291"/>
      <c r="U662" s="291"/>
      <c r="V662" s="291"/>
      <c r="W662" s="291"/>
      <c r="X662" s="291"/>
      <c r="Y662" s="291"/>
      <c r="Z662" s="291"/>
      <c r="AA662" s="291"/>
      <c r="AB662" s="291"/>
      <c r="AC662" s="291"/>
      <c r="AD662" s="291"/>
      <c r="AE662" s="291"/>
      <c r="AF662" s="291"/>
      <c r="AG662" s="291"/>
    </row>
    <row r="663" ht="18.75" customHeight="1">
      <c r="A663" s="283"/>
      <c r="B663" s="234" t="str">
        <f>'Building Bill of Materials_SLIM'!P663</f>
        <v/>
      </c>
      <c r="C663" s="234" t="str">
        <f>'Building Bill of Materials_SLIM'!Q663</f>
        <v/>
      </c>
      <c r="D663" s="234" t="str">
        <f>'Building Bill of Materials_SLIM'!R663</f>
        <v/>
      </c>
      <c r="E663" s="234" t="str">
        <f>'Building Bill of Materials_SLIM'!S663</f>
        <v/>
      </c>
      <c r="F663" s="234"/>
      <c r="G663" s="234"/>
      <c r="H663" s="234" t="str">
        <f>'Building Bill of Materials_SLIM'!T663</f>
        <v/>
      </c>
      <c r="I663" s="234" t="str">
        <f>'Building Bill of Materials_SLIM'!U663</f>
        <v/>
      </c>
      <c r="J663" s="234" t="str">
        <f>'Building Bill of Materials_SLIM'!V663</f>
        <v/>
      </c>
      <c r="K663" s="192"/>
      <c r="L663" s="242"/>
      <c r="M663" s="242"/>
      <c r="N663" s="291"/>
      <c r="O663" s="291"/>
      <c r="P663" s="291"/>
      <c r="Q663" s="291"/>
      <c r="R663" s="291"/>
      <c r="S663" s="291"/>
      <c r="T663" s="291"/>
      <c r="U663" s="291"/>
      <c r="V663" s="291"/>
      <c r="W663" s="291"/>
      <c r="X663" s="291"/>
      <c r="Y663" s="291"/>
      <c r="Z663" s="291"/>
      <c r="AA663" s="291"/>
      <c r="AB663" s="291"/>
      <c r="AC663" s="291"/>
      <c r="AD663" s="291"/>
      <c r="AE663" s="291"/>
      <c r="AF663" s="291"/>
      <c r="AG663" s="291"/>
    </row>
    <row r="664" ht="18.75" customHeight="1">
      <c r="A664" s="283"/>
      <c r="B664" s="234" t="str">
        <f>'Building Bill of Materials_SLIM'!P664</f>
        <v/>
      </c>
      <c r="C664" s="234" t="str">
        <f>'Building Bill of Materials_SLIM'!Q664</f>
        <v/>
      </c>
      <c r="D664" s="234" t="str">
        <f>'Building Bill of Materials_SLIM'!R664</f>
        <v/>
      </c>
      <c r="E664" s="234" t="str">
        <f>'Building Bill of Materials_SLIM'!S664</f>
        <v/>
      </c>
      <c r="F664" s="234"/>
      <c r="G664" s="234"/>
      <c r="H664" s="234" t="str">
        <f>'Building Bill of Materials_SLIM'!T664</f>
        <v/>
      </c>
      <c r="I664" s="234" t="str">
        <f>'Building Bill of Materials_SLIM'!U664</f>
        <v/>
      </c>
      <c r="J664" s="234" t="str">
        <f>'Building Bill of Materials_SLIM'!V664</f>
        <v/>
      </c>
      <c r="K664" s="192"/>
      <c r="L664" s="242"/>
      <c r="M664" s="242"/>
      <c r="N664" s="291"/>
      <c r="O664" s="291"/>
      <c r="P664" s="291"/>
      <c r="Q664" s="291"/>
      <c r="R664" s="291"/>
      <c r="S664" s="291"/>
      <c r="T664" s="291"/>
      <c r="U664" s="291"/>
      <c r="V664" s="291"/>
      <c r="W664" s="291"/>
      <c r="X664" s="291"/>
      <c r="Y664" s="291"/>
      <c r="Z664" s="291"/>
      <c r="AA664" s="291"/>
      <c r="AB664" s="291"/>
      <c r="AC664" s="291"/>
      <c r="AD664" s="291"/>
      <c r="AE664" s="291"/>
      <c r="AF664" s="291"/>
      <c r="AG664" s="291"/>
    </row>
    <row r="665" ht="18.75" customHeight="1">
      <c r="A665" s="283"/>
      <c r="B665" s="234" t="str">
        <f>'Building Bill of Materials_SLIM'!P665</f>
        <v/>
      </c>
      <c r="C665" s="234" t="str">
        <f>'Building Bill of Materials_SLIM'!Q665</f>
        <v/>
      </c>
      <c r="D665" s="234" t="str">
        <f>'Building Bill of Materials_SLIM'!R665</f>
        <v/>
      </c>
      <c r="E665" s="234" t="str">
        <f>'Building Bill of Materials_SLIM'!S665</f>
        <v/>
      </c>
      <c r="F665" s="234"/>
      <c r="G665" s="234"/>
      <c r="H665" s="234" t="str">
        <f>'Building Bill of Materials_SLIM'!T665</f>
        <v/>
      </c>
      <c r="I665" s="234" t="str">
        <f>'Building Bill of Materials_SLIM'!U665</f>
        <v/>
      </c>
      <c r="J665" s="234" t="str">
        <f>'Building Bill of Materials_SLIM'!V665</f>
        <v/>
      </c>
      <c r="K665" s="192"/>
      <c r="L665" s="242"/>
      <c r="M665" s="242"/>
      <c r="N665" s="291"/>
      <c r="O665" s="291"/>
      <c r="P665" s="291"/>
      <c r="Q665" s="291"/>
      <c r="R665" s="291"/>
      <c r="S665" s="291"/>
      <c r="T665" s="291"/>
      <c r="U665" s="291"/>
      <c r="V665" s="291"/>
      <c r="W665" s="291"/>
      <c r="X665" s="291"/>
      <c r="Y665" s="291"/>
      <c r="Z665" s="291"/>
      <c r="AA665" s="291"/>
      <c r="AB665" s="291"/>
      <c r="AC665" s="291"/>
      <c r="AD665" s="291"/>
      <c r="AE665" s="291"/>
      <c r="AF665" s="291"/>
      <c r="AG665" s="291"/>
    </row>
    <row r="666" ht="18.75" customHeight="1">
      <c r="A666" s="283"/>
      <c r="B666" s="234" t="str">
        <f>'Building Bill of Materials_SLIM'!P666</f>
        <v/>
      </c>
      <c r="C666" s="234" t="str">
        <f>'Building Bill of Materials_SLIM'!Q666</f>
        <v/>
      </c>
      <c r="D666" s="234" t="str">
        <f>'Building Bill of Materials_SLIM'!R666</f>
        <v/>
      </c>
      <c r="E666" s="234" t="str">
        <f>'Building Bill of Materials_SLIM'!S666</f>
        <v/>
      </c>
      <c r="F666" s="234"/>
      <c r="G666" s="234"/>
      <c r="H666" s="234" t="str">
        <f>'Building Bill of Materials_SLIM'!T666</f>
        <v/>
      </c>
      <c r="I666" s="234" t="str">
        <f>'Building Bill of Materials_SLIM'!U666</f>
        <v/>
      </c>
      <c r="J666" s="234" t="str">
        <f>'Building Bill of Materials_SLIM'!V666</f>
        <v/>
      </c>
      <c r="K666" s="192"/>
      <c r="L666" s="242"/>
      <c r="M666" s="242"/>
      <c r="N666" s="291"/>
      <c r="O666" s="291"/>
      <c r="P666" s="291"/>
      <c r="Q666" s="291"/>
      <c r="R666" s="291"/>
      <c r="S666" s="291"/>
      <c r="T666" s="291"/>
      <c r="U666" s="291"/>
      <c r="V666" s="291"/>
      <c r="W666" s="291"/>
      <c r="X666" s="291"/>
      <c r="Y666" s="291"/>
      <c r="Z666" s="291"/>
      <c r="AA666" s="291"/>
      <c r="AB666" s="291"/>
      <c r="AC666" s="291"/>
      <c r="AD666" s="291"/>
      <c r="AE666" s="291"/>
      <c r="AF666" s="291"/>
      <c r="AG666" s="291"/>
    </row>
    <row r="667" ht="18.75" customHeight="1">
      <c r="A667" s="283"/>
      <c r="B667" s="234" t="str">
        <f>'Building Bill of Materials_SLIM'!P667</f>
        <v/>
      </c>
      <c r="C667" s="234" t="str">
        <f>'Building Bill of Materials_SLIM'!Q667</f>
        <v/>
      </c>
      <c r="D667" s="234" t="str">
        <f>'Building Bill of Materials_SLIM'!R667</f>
        <v/>
      </c>
      <c r="E667" s="234" t="str">
        <f>'Building Bill of Materials_SLIM'!S667</f>
        <v/>
      </c>
      <c r="F667" s="234"/>
      <c r="G667" s="234"/>
      <c r="H667" s="234" t="str">
        <f>'Building Bill of Materials_SLIM'!T667</f>
        <v/>
      </c>
      <c r="I667" s="234" t="str">
        <f>'Building Bill of Materials_SLIM'!U667</f>
        <v/>
      </c>
      <c r="J667" s="234" t="str">
        <f>'Building Bill of Materials_SLIM'!V667</f>
        <v/>
      </c>
      <c r="K667" s="192"/>
      <c r="L667" s="242"/>
      <c r="M667" s="242"/>
      <c r="N667" s="291"/>
      <c r="O667" s="291"/>
      <c r="P667" s="291"/>
      <c r="Q667" s="291"/>
      <c r="R667" s="291"/>
      <c r="S667" s="291"/>
      <c r="T667" s="291"/>
      <c r="U667" s="291"/>
      <c r="V667" s="291"/>
      <c r="W667" s="291"/>
      <c r="X667" s="291"/>
      <c r="Y667" s="291"/>
      <c r="Z667" s="291"/>
      <c r="AA667" s="291"/>
      <c r="AB667" s="291"/>
      <c r="AC667" s="291"/>
      <c r="AD667" s="291"/>
      <c r="AE667" s="291"/>
      <c r="AF667" s="291"/>
      <c r="AG667" s="291"/>
    </row>
    <row r="668" ht="18.75" customHeight="1">
      <c r="A668" s="283"/>
      <c r="B668" s="234" t="str">
        <f>'Building Bill of Materials_SLIM'!P668</f>
        <v/>
      </c>
      <c r="C668" s="234" t="str">
        <f>'Building Bill of Materials_SLIM'!Q668</f>
        <v/>
      </c>
      <c r="D668" s="234" t="str">
        <f>'Building Bill of Materials_SLIM'!R668</f>
        <v/>
      </c>
      <c r="E668" s="234" t="str">
        <f>'Building Bill of Materials_SLIM'!S668</f>
        <v/>
      </c>
      <c r="F668" s="234"/>
      <c r="G668" s="234"/>
      <c r="H668" s="234" t="str">
        <f>'Building Bill of Materials_SLIM'!T668</f>
        <v/>
      </c>
      <c r="I668" s="234" t="str">
        <f>'Building Bill of Materials_SLIM'!U668</f>
        <v/>
      </c>
      <c r="J668" s="234" t="str">
        <f>'Building Bill of Materials_SLIM'!V668</f>
        <v/>
      </c>
      <c r="K668" s="192"/>
      <c r="L668" s="242"/>
      <c r="M668" s="242"/>
      <c r="N668" s="291"/>
      <c r="O668" s="291"/>
      <c r="P668" s="291"/>
      <c r="Q668" s="291"/>
      <c r="R668" s="291"/>
      <c r="S668" s="291"/>
      <c r="T668" s="291"/>
      <c r="U668" s="291"/>
      <c r="V668" s="291"/>
      <c r="W668" s="291"/>
      <c r="X668" s="291"/>
      <c r="Y668" s="291"/>
      <c r="Z668" s="291"/>
      <c r="AA668" s="291"/>
      <c r="AB668" s="291"/>
      <c r="AC668" s="291"/>
      <c r="AD668" s="291"/>
      <c r="AE668" s="291"/>
      <c r="AF668" s="291"/>
      <c r="AG668" s="291"/>
    </row>
    <row r="669" ht="18.75" customHeight="1">
      <c r="A669" s="283"/>
      <c r="B669" s="234" t="str">
        <f>'Building Bill of Materials_SLIM'!P669</f>
        <v/>
      </c>
      <c r="C669" s="234" t="str">
        <f>'Building Bill of Materials_SLIM'!Q669</f>
        <v/>
      </c>
      <c r="D669" s="234" t="str">
        <f>'Building Bill of Materials_SLIM'!R669</f>
        <v/>
      </c>
      <c r="E669" s="234" t="str">
        <f>'Building Bill of Materials_SLIM'!S669</f>
        <v/>
      </c>
      <c r="F669" s="234"/>
      <c r="G669" s="234"/>
      <c r="H669" s="234" t="str">
        <f>'Building Bill of Materials_SLIM'!T669</f>
        <v/>
      </c>
      <c r="I669" s="234" t="str">
        <f>'Building Bill of Materials_SLIM'!U669</f>
        <v/>
      </c>
      <c r="J669" s="234" t="str">
        <f>'Building Bill of Materials_SLIM'!V669</f>
        <v/>
      </c>
      <c r="K669" s="192"/>
      <c r="L669" s="242"/>
      <c r="M669" s="242"/>
      <c r="N669" s="291"/>
      <c r="O669" s="291"/>
      <c r="P669" s="291"/>
      <c r="Q669" s="291"/>
      <c r="R669" s="291"/>
      <c r="S669" s="291"/>
      <c r="T669" s="291"/>
      <c r="U669" s="291"/>
      <c r="V669" s="291"/>
      <c r="W669" s="291"/>
      <c r="X669" s="291"/>
      <c r="Y669" s="291"/>
      <c r="Z669" s="291"/>
      <c r="AA669" s="291"/>
      <c r="AB669" s="291"/>
      <c r="AC669" s="291"/>
      <c r="AD669" s="291"/>
      <c r="AE669" s="291"/>
      <c r="AF669" s="291"/>
      <c r="AG669" s="291"/>
    </row>
    <row r="670" ht="18.75" customHeight="1">
      <c r="A670" s="283"/>
      <c r="B670" s="234" t="str">
        <f>'Building Bill of Materials_SLIM'!P670</f>
        <v/>
      </c>
      <c r="C670" s="234" t="str">
        <f>'Building Bill of Materials_SLIM'!Q670</f>
        <v/>
      </c>
      <c r="D670" s="234" t="str">
        <f>'Building Bill of Materials_SLIM'!R670</f>
        <v/>
      </c>
      <c r="E670" s="234" t="str">
        <f>'Building Bill of Materials_SLIM'!S670</f>
        <v/>
      </c>
      <c r="F670" s="234"/>
      <c r="G670" s="234"/>
      <c r="H670" s="234" t="str">
        <f>'Building Bill of Materials_SLIM'!T670</f>
        <v/>
      </c>
      <c r="I670" s="234" t="str">
        <f>'Building Bill of Materials_SLIM'!U670</f>
        <v/>
      </c>
      <c r="J670" s="234" t="str">
        <f>'Building Bill of Materials_SLIM'!V670</f>
        <v/>
      </c>
      <c r="K670" s="192"/>
      <c r="L670" s="242"/>
      <c r="M670" s="242"/>
      <c r="N670" s="291"/>
      <c r="O670" s="291"/>
      <c r="P670" s="291"/>
      <c r="Q670" s="291"/>
      <c r="R670" s="291"/>
      <c r="S670" s="291"/>
      <c r="T670" s="291"/>
      <c r="U670" s="291"/>
      <c r="V670" s="291"/>
      <c r="W670" s="291"/>
      <c r="X670" s="291"/>
      <c r="Y670" s="291"/>
      <c r="Z670" s="291"/>
      <c r="AA670" s="291"/>
      <c r="AB670" s="291"/>
      <c r="AC670" s="291"/>
      <c r="AD670" s="291"/>
      <c r="AE670" s="291"/>
      <c r="AF670" s="291"/>
      <c r="AG670" s="291"/>
    </row>
    <row r="671" ht="18.75" customHeight="1">
      <c r="A671" s="283"/>
      <c r="B671" s="234" t="str">
        <f>'Building Bill of Materials_SLIM'!P671</f>
        <v/>
      </c>
      <c r="C671" s="234" t="str">
        <f>'Building Bill of Materials_SLIM'!Q671</f>
        <v/>
      </c>
      <c r="D671" s="234" t="str">
        <f>'Building Bill of Materials_SLIM'!R671</f>
        <v/>
      </c>
      <c r="E671" s="234" t="str">
        <f>'Building Bill of Materials_SLIM'!S671</f>
        <v/>
      </c>
      <c r="F671" s="234"/>
      <c r="G671" s="234"/>
      <c r="H671" s="234" t="str">
        <f>'Building Bill of Materials_SLIM'!T671</f>
        <v/>
      </c>
      <c r="I671" s="234" t="str">
        <f>'Building Bill of Materials_SLIM'!U671</f>
        <v/>
      </c>
      <c r="J671" s="234" t="str">
        <f>'Building Bill of Materials_SLIM'!V671</f>
        <v/>
      </c>
      <c r="K671" s="192"/>
      <c r="L671" s="242"/>
      <c r="M671" s="242"/>
      <c r="N671" s="291"/>
      <c r="O671" s="291"/>
      <c r="P671" s="291"/>
      <c r="Q671" s="291"/>
      <c r="R671" s="291"/>
      <c r="S671" s="291"/>
      <c r="T671" s="291"/>
      <c r="U671" s="291"/>
      <c r="V671" s="291"/>
      <c r="W671" s="291"/>
      <c r="X671" s="291"/>
      <c r="Y671" s="291"/>
      <c r="Z671" s="291"/>
      <c r="AA671" s="291"/>
      <c r="AB671" s="291"/>
      <c r="AC671" s="291"/>
      <c r="AD671" s="291"/>
      <c r="AE671" s="291"/>
      <c r="AF671" s="291"/>
      <c r="AG671" s="291"/>
    </row>
    <row r="672" ht="18.75" customHeight="1">
      <c r="A672" s="283"/>
      <c r="B672" s="234" t="str">
        <f>'Building Bill of Materials_SLIM'!P672</f>
        <v/>
      </c>
      <c r="C672" s="234" t="str">
        <f>'Building Bill of Materials_SLIM'!Q672</f>
        <v/>
      </c>
      <c r="D672" s="234" t="str">
        <f>'Building Bill of Materials_SLIM'!R672</f>
        <v/>
      </c>
      <c r="E672" s="234" t="str">
        <f>'Building Bill of Materials_SLIM'!S672</f>
        <v/>
      </c>
      <c r="F672" s="234"/>
      <c r="G672" s="234"/>
      <c r="H672" s="234" t="str">
        <f>'Building Bill of Materials_SLIM'!T672</f>
        <v/>
      </c>
      <c r="I672" s="234" t="str">
        <f>'Building Bill of Materials_SLIM'!U672</f>
        <v/>
      </c>
      <c r="J672" s="234" t="str">
        <f>'Building Bill of Materials_SLIM'!V672</f>
        <v/>
      </c>
      <c r="K672" s="192"/>
      <c r="L672" s="242"/>
      <c r="M672" s="242"/>
      <c r="N672" s="291"/>
      <c r="O672" s="291"/>
      <c r="P672" s="291"/>
      <c r="Q672" s="291"/>
      <c r="R672" s="291"/>
      <c r="S672" s="291"/>
      <c r="T672" s="291"/>
      <c r="U672" s="291"/>
      <c r="V672" s="291"/>
      <c r="W672" s="291"/>
      <c r="X672" s="291"/>
      <c r="Y672" s="291"/>
      <c r="Z672" s="291"/>
      <c r="AA672" s="291"/>
      <c r="AB672" s="291"/>
      <c r="AC672" s="291"/>
      <c r="AD672" s="291"/>
      <c r="AE672" s="291"/>
      <c r="AF672" s="291"/>
      <c r="AG672" s="291"/>
    </row>
    <row r="673" ht="18.75" customHeight="1">
      <c r="A673" s="283"/>
      <c r="B673" s="234" t="str">
        <f>'Building Bill of Materials_SLIM'!P673</f>
        <v/>
      </c>
      <c r="C673" s="234" t="str">
        <f>'Building Bill of Materials_SLIM'!Q673</f>
        <v/>
      </c>
      <c r="D673" s="234" t="str">
        <f>'Building Bill of Materials_SLIM'!R673</f>
        <v/>
      </c>
      <c r="E673" s="234" t="str">
        <f>'Building Bill of Materials_SLIM'!S673</f>
        <v/>
      </c>
      <c r="F673" s="234"/>
      <c r="G673" s="234"/>
      <c r="H673" s="234" t="str">
        <f>'Building Bill of Materials_SLIM'!T673</f>
        <v/>
      </c>
      <c r="I673" s="234" t="str">
        <f>'Building Bill of Materials_SLIM'!U673</f>
        <v/>
      </c>
      <c r="J673" s="234" t="str">
        <f>'Building Bill of Materials_SLIM'!V673</f>
        <v/>
      </c>
      <c r="K673" s="192"/>
      <c r="L673" s="242"/>
      <c r="M673" s="242"/>
      <c r="N673" s="291"/>
      <c r="O673" s="291"/>
      <c r="P673" s="291"/>
      <c r="Q673" s="291"/>
      <c r="R673" s="291"/>
      <c r="S673" s="291"/>
      <c r="T673" s="291"/>
      <c r="U673" s="291"/>
      <c r="V673" s="291"/>
      <c r="W673" s="291"/>
      <c r="X673" s="291"/>
      <c r="Y673" s="291"/>
      <c r="Z673" s="291"/>
      <c r="AA673" s="291"/>
      <c r="AB673" s="291"/>
      <c r="AC673" s="291"/>
      <c r="AD673" s="291"/>
      <c r="AE673" s="291"/>
      <c r="AF673" s="291"/>
      <c r="AG673" s="291"/>
    </row>
    <row r="674" ht="18.75" customHeight="1">
      <c r="A674" s="283"/>
      <c r="B674" s="234" t="str">
        <f>'Building Bill of Materials_SLIM'!P674</f>
        <v/>
      </c>
      <c r="C674" s="234" t="str">
        <f>'Building Bill of Materials_SLIM'!Q674</f>
        <v/>
      </c>
      <c r="D674" s="234" t="str">
        <f>'Building Bill of Materials_SLIM'!R674</f>
        <v/>
      </c>
      <c r="E674" s="234" t="str">
        <f>'Building Bill of Materials_SLIM'!S674</f>
        <v/>
      </c>
      <c r="F674" s="234"/>
      <c r="G674" s="234"/>
      <c r="H674" s="234" t="str">
        <f>'Building Bill of Materials_SLIM'!T674</f>
        <v/>
      </c>
      <c r="I674" s="234" t="str">
        <f>'Building Bill of Materials_SLIM'!U674</f>
        <v/>
      </c>
      <c r="J674" s="234" t="str">
        <f>'Building Bill of Materials_SLIM'!V674</f>
        <v/>
      </c>
      <c r="K674" s="192"/>
      <c r="L674" s="242"/>
      <c r="M674" s="242"/>
      <c r="N674" s="291"/>
      <c r="O674" s="291"/>
      <c r="P674" s="291"/>
      <c r="Q674" s="291"/>
      <c r="R674" s="291"/>
      <c r="S674" s="291"/>
      <c r="T674" s="291"/>
      <c r="U674" s="291"/>
      <c r="V674" s="291"/>
      <c r="W674" s="291"/>
      <c r="X674" s="291"/>
      <c r="Y674" s="291"/>
      <c r="Z674" s="291"/>
      <c r="AA674" s="291"/>
      <c r="AB674" s="291"/>
      <c r="AC674" s="291"/>
      <c r="AD674" s="291"/>
      <c r="AE674" s="291"/>
      <c r="AF674" s="291"/>
      <c r="AG674" s="291"/>
    </row>
    <row r="675" ht="18.75" customHeight="1">
      <c r="A675" s="283"/>
      <c r="B675" s="234" t="str">
        <f>'Building Bill of Materials_SLIM'!P675</f>
        <v/>
      </c>
      <c r="C675" s="234" t="str">
        <f>'Building Bill of Materials_SLIM'!Q675</f>
        <v/>
      </c>
      <c r="D675" s="234" t="str">
        <f>'Building Bill of Materials_SLIM'!R675</f>
        <v/>
      </c>
      <c r="E675" s="234" t="str">
        <f>'Building Bill of Materials_SLIM'!S675</f>
        <v/>
      </c>
      <c r="F675" s="234"/>
      <c r="G675" s="234"/>
      <c r="H675" s="234" t="str">
        <f>'Building Bill of Materials_SLIM'!T675</f>
        <v/>
      </c>
      <c r="I675" s="234" t="str">
        <f>'Building Bill of Materials_SLIM'!U675</f>
        <v/>
      </c>
      <c r="J675" s="234" t="str">
        <f>'Building Bill of Materials_SLIM'!V675</f>
        <v/>
      </c>
      <c r="K675" s="192"/>
      <c r="L675" s="242"/>
      <c r="M675" s="242"/>
      <c r="N675" s="291"/>
      <c r="O675" s="291"/>
      <c r="P675" s="291"/>
      <c r="Q675" s="291"/>
      <c r="R675" s="291"/>
      <c r="S675" s="291"/>
      <c r="T675" s="291"/>
      <c r="U675" s="291"/>
      <c r="V675" s="291"/>
      <c r="W675" s="291"/>
      <c r="X675" s="291"/>
      <c r="Y675" s="291"/>
      <c r="Z675" s="291"/>
      <c r="AA675" s="291"/>
      <c r="AB675" s="291"/>
      <c r="AC675" s="291"/>
      <c r="AD675" s="291"/>
      <c r="AE675" s="291"/>
      <c r="AF675" s="291"/>
      <c r="AG675" s="291"/>
    </row>
    <row r="676" ht="18.75" customHeight="1">
      <c r="A676" s="283"/>
      <c r="B676" s="234" t="str">
        <f>'Building Bill of Materials_SLIM'!P676</f>
        <v/>
      </c>
      <c r="C676" s="234" t="str">
        <f>'Building Bill of Materials_SLIM'!Q676</f>
        <v/>
      </c>
      <c r="D676" s="234" t="str">
        <f>'Building Bill of Materials_SLIM'!R676</f>
        <v/>
      </c>
      <c r="E676" s="234" t="str">
        <f>'Building Bill of Materials_SLIM'!S676</f>
        <v/>
      </c>
      <c r="F676" s="234"/>
      <c r="G676" s="234"/>
      <c r="H676" s="234" t="str">
        <f>'Building Bill of Materials_SLIM'!T676</f>
        <v/>
      </c>
      <c r="I676" s="234" t="str">
        <f>'Building Bill of Materials_SLIM'!U676</f>
        <v/>
      </c>
      <c r="J676" s="234" t="str">
        <f>'Building Bill of Materials_SLIM'!V676</f>
        <v/>
      </c>
      <c r="K676" s="192"/>
      <c r="L676" s="242"/>
      <c r="M676" s="242"/>
      <c r="N676" s="291"/>
      <c r="O676" s="291"/>
      <c r="P676" s="291"/>
      <c r="Q676" s="291"/>
      <c r="R676" s="291"/>
      <c r="S676" s="291"/>
      <c r="T676" s="291"/>
      <c r="U676" s="291"/>
      <c r="V676" s="291"/>
      <c r="W676" s="291"/>
      <c r="X676" s="291"/>
      <c r="Y676" s="291"/>
      <c r="Z676" s="291"/>
      <c r="AA676" s="291"/>
      <c r="AB676" s="291"/>
      <c r="AC676" s="291"/>
      <c r="AD676" s="291"/>
      <c r="AE676" s="291"/>
      <c r="AF676" s="291"/>
      <c r="AG676" s="291"/>
    </row>
    <row r="677" ht="18.75" customHeight="1">
      <c r="A677" s="283"/>
      <c r="B677" s="234" t="str">
        <f>'Building Bill of Materials_SLIM'!P677</f>
        <v/>
      </c>
      <c r="C677" s="234" t="str">
        <f>'Building Bill of Materials_SLIM'!Q677</f>
        <v/>
      </c>
      <c r="D677" s="234" t="str">
        <f>'Building Bill of Materials_SLIM'!R677</f>
        <v/>
      </c>
      <c r="E677" s="234" t="str">
        <f>'Building Bill of Materials_SLIM'!S677</f>
        <v/>
      </c>
      <c r="F677" s="234"/>
      <c r="G677" s="234"/>
      <c r="H677" s="234" t="str">
        <f>'Building Bill of Materials_SLIM'!T677</f>
        <v/>
      </c>
      <c r="I677" s="234" t="str">
        <f>'Building Bill of Materials_SLIM'!U677</f>
        <v/>
      </c>
      <c r="J677" s="234" t="str">
        <f>'Building Bill of Materials_SLIM'!V677</f>
        <v/>
      </c>
      <c r="K677" s="192"/>
      <c r="L677" s="242"/>
      <c r="M677" s="242"/>
      <c r="N677" s="291"/>
      <c r="O677" s="291"/>
      <c r="P677" s="291"/>
      <c r="Q677" s="291"/>
      <c r="R677" s="291"/>
      <c r="S677" s="291"/>
      <c r="T677" s="291"/>
      <c r="U677" s="291"/>
      <c r="V677" s="291"/>
      <c r="W677" s="291"/>
      <c r="X677" s="291"/>
      <c r="Y677" s="291"/>
      <c r="Z677" s="291"/>
      <c r="AA677" s="291"/>
      <c r="AB677" s="291"/>
      <c r="AC677" s="291"/>
      <c r="AD677" s="291"/>
      <c r="AE677" s="291"/>
      <c r="AF677" s="291"/>
      <c r="AG677" s="291"/>
    </row>
    <row r="678" ht="18.75" customHeight="1">
      <c r="A678" s="283"/>
      <c r="B678" s="234" t="str">
        <f>'Building Bill of Materials_SLIM'!P678</f>
        <v/>
      </c>
      <c r="C678" s="234" t="str">
        <f>'Building Bill of Materials_SLIM'!Q678</f>
        <v/>
      </c>
      <c r="D678" s="234" t="str">
        <f>'Building Bill of Materials_SLIM'!R678</f>
        <v/>
      </c>
      <c r="E678" s="234" t="str">
        <f>'Building Bill of Materials_SLIM'!S678</f>
        <v/>
      </c>
      <c r="F678" s="234"/>
      <c r="G678" s="234"/>
      <c r="H678" s="234" t="str">
        <f>'Building Bill of Materials_SLIM'!T678</f>
        <v/>
      </c>
      <c r="I678" s="234" t="str">
        <f>'Building Bill of Materials_SLIM'!U678</f>
        <v/>
      </c>
      <c r="J678" s="234" t="str">
        <f>'Building Bill of Materials_SLIM'!V678</f>
        <v/>
      </c>
      <c r="K678" s="192"/>
      <c r="L678" s="242"/>
      <c r="M678" s="242"/>
      <c r="N678" s="291"/>
      <c r="O678" s="291"/>
      <c r="P678" s="291"/>
      <c r="Q678" s="291"/>
      <c r="R678" s="291"/>
      <c r="S678" s="291"/>
      <c r="T678" s="291"/>
      <c r="U678" s="291"/>
      <c r="V678" s="291"/>
      <c r="W678" s="291"/>
      <c r="X678" s="291"/>
      <c r="Y678" s="291"/>
      <c r="Z678" s="291"/>
      <c r="AA678" s="291"/>
      <c r="AB678" s="291"/>
      <c r="AC678" s="291"/>
      <c r="AD678" s="291"/>
      <c r="AE678" s="291"/>
      <c r="AF678" s="291"/>
      <c r="AG678" s="291"/>
    </row>
    <row r="679" ht="18.75" customHeight="1">
      <c r="A679" s="283"/>
      <c r="B679" s="234" t="str">
        <f>'Building Bill of Materials_SLIM'!P679</f>
        <v/>
      </c>
      <c r="C679" s="234" t="str">
        <f>'Building Bill of Materials_SLIM'!Q679</f>
        <v/>
      </c>
      <c r="D679" s="234" t="str">
        <f>'Building Bill of Materials_SLIM'!R679</f>
        <v/>
      </c>
      <c r="E679" s="234" t="str">
        <f>'Building Bill of Materials_SLIM'!S679</f>
        <v/>
      </c>
      <c r="F679" s="234"/>
      <c r="G679" s="234"/>
      <c r="H679" s="234" t="str">
        <f>'Building Bill of Materials_SLIM'!T679</f>
        <v/>
      </c>
      <c r="I679" s="234" t="str">
        <f>'Building Bill of Materials_SLIM'!U679</f>
        <v/>
      </c>
      <c r="J679" s="234" t="str">
        <f>'Building Bill of Materials_SLIM'!V679</f>
        <v/>
      </c>
      <c r="K679" s="192"/>
      <c r="L679" s="242"/>
      <c r="M679" s="242"/>
      <c r="N679" s="291"/>
      <c r="O679" s="291"/>
      <c r="P679" s="291"/>
      <c r="Q679" s="291"/>
      <c r="R679" s="291"/>
      <c r="S679" s="291"/>
      <c r="T679" s="291"/>
      <c r="U679" s="291"/>
      <c r="V679" s="291"/>
      <c r="W679" s="291"/>
      <c r="X679" s="291"/>
      <c r="Y679" s="291"/>
      <c r="Z679" s="291"/>
      <c r="AA679" s="291"/>
      <c r="AB679" s="291"/>
      <c r="AC679" s="291"/>
      <c r="AD679" s="291"/>
      <c r="AE679" s="291"/>
      <c r="AF679" s="291"/>
      <c r="AG679" s="291"/>
    </row>
    <row r="680" ht="18.75" customHeight="1">
      <c r="A680" s="283"/>
      <c r="B680" s="234" t="str">
        <f>'Building Bill of Materials_SLIM'!P680</f>
        <v/>
      </c>
      <c r="C680" s="234" t="str">
        <f>'Building Bill of Materials_SLIM'!Q680</f>
        <v/>
      </c>
      <c r="D680" s="234" t="str">
        <f>'Building Bill of Materials_SLIM'!R680</f>
        <v/>
      </c>
      <c r="E680" s="234" t="str">
        <f>'Building Bill of Materials_SLIM'!S680</f>
        <v/>
      </c>
      <c r="F680" s="234"/>
      <c r="G680" s="234"/>
      <c r="H680" s="234" t="str">
        <f>'Building Bill of Materials_SLIM'!T680</f>
        <v/>
      </c>
      <c r="I680" s="234" t="str">
        <f>'Building Bill of Materials_SLIM'!U680</f>
        <v/>
      </c>
      <c r="J680" s="234" t="str">
        <f>'Building Bill of Materials_SLIM'!V680</f>
        <v/>
      </c>
      <c r="K680" s="192"/>
      <c r="L680" s="242"/>
      <c r="M680" s="242"/>
      <c r="N680" s="291"/>
      <c r="O680" s="291"/>
      <c r="P680" s="291"/>
      <c r="Q680" s="291"/>
      <c r="R680" s="291"/>
      <c r="S680" s="291"/>
      <c r="T680" s="291"/>
      <c r="U680" s="291"/>
      <c r="V680" s="291"/>
      <c r="W680" s="291"/>
      <c r="X680" s="291"/>
      <c r="Y680" s="291"/>
      <c r="Z680" s="291"/>
      <c r="AA680" s="291"/>
      <c r="AB680" s="291"/>
      <c r="AC680" s="291"/>
      <c r="AD680" s="291"/>
      <c r="AE680" s="291"/>
      <c r="AF680" s="291"/>
      <c r="AG680" s="291"/>
    </row>
    <row r="681" ht="18.75" customHeight="1">
      <c r="A681" s="283"/>
      <c r="B681" s="234" t="str">
        <f>'Building Bill of Materials_SLIM'!P681</f>
        <v/>
      </c>
      <c r="C681" s="234" t="str">
        <f>'Building Bill of Materials_SLIM'!Q681</f>
        <v/>
      </c>
      <c r="D681" s="234" t="str">
        <f>'Building Bill of Materials_SLIM'!R681</f>
        <v/>
      </c>
      <c r="E681" s="234" t="str">
        <f>'Building Bill of Materials_SLIM'!S681</f>
        <v/>
      </c>
      <c r="F681" s="234"/>
      <c r="G681" s="234"/>
      <c r="H681" s="234" t="str">
        <f>'Building Bill of Materials_SLIM'!T681</f>
        <v/>
      </c>
      <c r="I681" s="234" t="str">
        <f>'Building Bill of Materials_SLIM'!U681</f>
        <v/>
      </c>
      <c r="J681" s="234" t="str">
        <f>'Building Bill of Materials_SLIM'!V681</f>
        <v/>
      </c>
      <c r="K681" s="192"/>
      <c r="L681" s="242"/>
      <c r="M681" s="242"/>
      <c r="N681" s="291"/>
      <c r="O681" s="291"/>
      <c r="P681" s="291"/>
      <c r="Q681" s="291"/>
      <c r="R681" s="291"/>
      <c r="S681" s="291"/>
      <c r="T681" s="291"/>
      <c r="U681" s="291"/>
      <c r="V681" s="291"/>
      <c r="W681" s="291"/>
      <c r="X681" s="291"/>
      <c r="Y681" s="291"/>
      <c r="Z681" s="291"/>
      <c r="AA681" s="291"/>
      <c r="AB681" s="291"/>
      <c r="AC681" s="291"/>
      <c r="AD681" s="291"/>
      <c r="AE681" s="291"/>
      <c r="AF681" s="291"/>
      <c r="AG681" s="291"/>
    </row>
    <row r="682" ht="18.75" customHeight="1">
      <c r="A682" s="283"/>
      <c r="B682" s="234" t="str">
        <f>'Building Bill of Materials_SLIM'!P682</f>
        <v/>
      </c>
      <c r="C682" s="234" t="str">
        <f>'Building Bill of Materials_SLIM'!Q682</f>
        <v/>
      </c>
      <c r="D682" s="234" t="str">
        <f>'Building Bill of Materials_SLIM'!R682</f>
        <v/>
      </c>
      <c r="E682" s="234" t="str">
        <f>'Building Bill of Materials_SLIM'!S682</f>
        <v/>
      </c>
      <c r="F682" s="234"/>
      <c r="G682" s="234"/>
      <c r="H682" s="234" t="str">
        <f>'Building Bill of Materials_SLIM'!T682</f>
        <v/>
      </c>
      <c r="I682" s="234" t="str">
        <f>'Building Bill of Materials_SLIM'!U682</f>
        <v/>
      </c>
      <c r="J682" s="234" t="str">
        <f>'Building Bill of Materials_SLIM'!V682</f>
        <v/>
      </c>
      <c r="K682" s="192"/>
      <c r="L682" s="242"/>
      <c r="M682" s="242"/>
      <c r="N682" s="291"/>
      <c r="O682" s="291"/>
      <c r="P682" s="291"/>
      <c r="Q682" s="291"/>
      <c r="R682" s="291"/>
      <c r="S682" s="291"/>
      <c r="T682" s="291"/>
      <c r="U682" s="291"/>
      <c r="V682" s="291"/>
      <c r="W682" s="291"/>
      <c r="X682" s="291"/>
      <c r="Y682" s="291"/>
      <c r="Z682" s="291"/>
      <c r="AA682" s="291"/>
      <c r="AB682" s="291"/>
      <c r="AC682" s="291"/>
      <c r="AD682" s="291"/>
      <c r="AE682" s="291"/>
      <c r="AF682" s="291"/>
      <c r="AG682" s="291"/>
    </row>
    <row r="683" ht="18.75" customHeight="1">
      <c r="A683" s="283"/>
      <c r="B683" s="234" t="str">
        <f>'Building Bill of Materials_SLIM'!P683</f>
        <v/>
      </c>
      <c r="C683" s="234" t="str">
        <f>'Building Bill of Materials_SLIM'!Q683</f>
        <v/>
      </c>
      <c r="D683" s="234" t="str">
        <f>'Building Bill of Materials_SLIM'!R683</f>
        <v/>
      </c>
      <c r="E683" s="234" t="str">
        <f>'Building Bill of Materials_SLIM'!S683</f>
        <v/>
      </c>
      <c r="F683" s="234"/>
      <c r="G683" s="234"/>
      <c r="H683" s="234" t="str">
        <f>'Building Bill of Materials_SLIM'!T683</f>
        <v/>
      </c>
      <c r="I683" s="234" t="str">
        <f>'Building Bill of Materials_SLIM'!U683</f>
        <v/>
      </c>
      <c r="J683" s="234" t="str">
        <f>'Building Bill of Materials_SLIM'!V683</f>
        <v/>
      </c>
      <c r="K683" s="192"/>
      <c r="L683" s="242"/>
      <c r="M683" s="242"/>
      <c r="N683" s="291"/>
      <c r="O683" s="291"/>
      <c r="P683" s="291"/>
      <c r="Q683" s="291"/>
      <c r="R683" s="291"/>
      <c r="S683" s="291"/>
      <c r="T683" s="291"/>
      <c r="U683" s="291"/>
      <c r="V683" s="291"/>
      <c r="W683" s="291"/>
      <c r="X683" s="291"/>
      <c r="Y683" s="291"/>
      <c r="Z683" s="291"/>
      <c r="AA683" s="291"/>
      <c r="AB683" s="291"/>
      <c r="AC683" s="291"/>
      <c r="AD683" s="291"/>
      <c r="AE683" s="291"/>
      <c r="AF683" s="291"/>
      <c r="AG683" s="291"/>
    </row>
    <row r="684" ht="18.75" customHeight="1">
      <c r="A684" s="283"/>
      <c r="B684" s="234" t="str">
        <f>'Building Bill of Materials_SLIM'!P684</f>
        <v/>
      </c>
      <c r="C684" s="234" t="str">
        <f>'Building Bill of Materials_SLIM'!Q684</f>
        <v/>
      </c>
      <c r="D684" s="234" t="str">
        <f>'Building Bill of Materials_SLIM'!R684</f>
        <v/>
      </c>
      <c r="E684" s="234" t="str">
        <f>'Building Bill of Materials_SLIM'!S684</f>
        <v/>
      </c>
      <c r="F684" s="234"/>
      <c r="G684" s="234"/>
      <c r="H684" s="234" t="str">
        <f>'Building Bill of Materials_SLIM'!T684</f>
        <v/>
      </c>
      <c r="I684" s="234" t="str">
        <f>'Building Bill of Materials_SLIM'!U684</f>
        <v/>
      </c>
      <c r="J684" s="234" t="str">
        <f>'Building Bill of Materials_SLIM'!V684</f>
        <v/>
      </c>
      <c r="K684" s="192"/>
      <c r="L684" s="242"/>
      <c r="M684" s="242"/>
      <c r="N684" s="291"/>
      <c r="O684" s="291"/>
      <c r="P684" s="291"/>
      <c r="Q684" s="291"/>
      <c r="R684" s="291"/>
      <c r="S684" s="291"/>
      <c r="T684" s="291"/>
      <c r="U684" s="291"/>
      <c r="V684" s="291"/>
      <c r="W684" s="291"/>
      <c r="X684" s="291"/>
      <c r="Y684" s="291"/>
      <c r="Z684" s="291"/>
      <c r="AA684" s="291"/>
      <c r="AB684" s="291"/>
      <c r="AC684" s="291"/>
      <c r="AD684" s="291"/>
      <c r="AE684" s="291"/>
      <c r="AF684" s="291"/>
      <c r="AG684" s="291"/>
    </row>
    <row r="685" ht="18.75" customHeight="1">
      <c r="A685" s="283"/>
      <c r="B685" s="234" t="str">
        <f>'Building Bill of Materials_SLIM'!P685</f>
        <v/>
      </c>
      <c r="C685" s="234" t="str">
        <f>'Building Bill of Materials_SLIM'!Q685</f>
        <v/>
      </c>
      <c r="D685" s="234" t="str">
        <f>'Building Bill of Materials_SLIM'!R685</f>
        <v/>
      </c>
      <c r="E685" s="234" t="str">
        <f>'Building Bill of Materials_SLIM'!S685</f>
        <v/>
      </c>
      <c r="F685" s="234"/>
      <c r="G685" s="234"/>
      <c r="H685" s="234" t="str">
        <f>'Building Bill of Materials_SLIM'!T685</f>
        <v/>
      </c>
      <c r="I685" s="234" t="str">
        <f>'Building Bill of Materials_SLIM'!U685</f>
        <v/>
      </c>
      <c r="J685" s="234" t="str">
        <f>'Building Bill of Materials_SLIM'!V685</f>
        <v/>
      </c>
      <c r="K685" s="192"/>
      <c r="L685" s="242"/>
      <c r="M685" s="242"/>
      <c r="N685" s="291"/>
      <c r="O685" s="291"/>
      <c r="P685" s="291"/>
      <c r="Q685" s="291"/>
      <c r="R685" s="291"/>
      <c r="S685" s="291"/>
      <c r="T685" s="291"/>
      <c r="U685" s="291"/>
      <c r="V685" s="291"/>
      <c r="W685" s="291"/>
      <c r="X685" s="291"/>
      <c r="Y685" s="291"/>
      <c r="Z685" s="291"/>
      <c r="AA685" s="291"/>
      <c r="AB685" s="291"/>
      <c r="AC685" s="291"/>
      <c r="AD685" s="291"/>
      <c r="AE685" s="291"/>
      <c r="AF685" s="291"/>
      <c r="AG685" s="291"/>
    </row>
    <row r="686" ht="18.75" customHeight="1">
      <c r="A686" s="283"/>
      <c r="B686" s="234" t="str">
        <f>'Building Bill of Materials_SLIM'!P686</f>
        <v/>
      </c>
      <c r="C686" s="234" t="str">
        <f>'Building Bill of Materials_SLIM'!Q686</f>
        <v/>
      </c>
      <c r="D686" s="234" t="str">
        <f>'Building Bill of Materials_SLIM'!R686</f>
        <v/>
      </c>
      <c r="E686" s="234" t="str">
        <f>'Building Bill of Materials_SLIM'!S686</f>
        <v/>
      </c>
      <c r="F686" s="234"/>
      <c r="G686" s="234"/>
      <c r="H686" s="234" t="str">
        <f>'Building Bill of Materials_SLIM'!T686</f>
        <v/>
      </c>
      <c r="I686" s="234" t="str">
        <f>'Building Bill of Materials_SLIM'!U686</f>
        <v/>
      </c>
      <c r="J686" s="234" t="str">
        <f>'Building Bill of Materials_SLIM'!V686</f>
        <v/>
      </c>
      <c r="K686" s="192"/>
      <c r="L686" s="242"/>
      <c r="M686" s="242"/>
      <c r="N686" s="291"/>
      <c r="O686" s="291"/>
      <c r="P686" s="291"/>
      <c r="Q686" s="291"/>
      <c r="R686" s="291"/>
      <c r="S686" s="291"/>
      <c r="T686" s="291"/>
      <c r="U686" s="291"/>
      <c r="V686" s="291"/>
      <c r="W686" s="291"/>
      <c r="X686" s="291"/>
      <c r="Y686" s="291"/>
      <c r="Z686" s="291"/>
      <c r="AA686" s="291"/>
      <c r="AB686" s="291"/>
      <c r="AC686" s="291"/>
      <c r="AD686" s="291"/>
      <c r="AE686" s="291"/>
      <c r="AF686" s="291"/>
      <c r="AG686" s="291"/>
    </row>
    <row r="687" ht="18.75" customHeight="1">
      <c r="A687" s="283"/>
      <c r="B687" s="234" t="str">
        <f>'Building Bill of Materials_SLIM'!P687</f>
        <v/>
      </c>
      <c r="C687" s="234" t="str">
        <f>'Building Bill of Materials_SLIM'!Q687</f>
        <v/>
      </c>
      <c r="D687" s="234" t="str">
        <f>'Building Bill of Materials_SLIM'!R687</f>
        <v/>
      </c>
      <c r="E687" s="234" t="str">
        <f>'Building Bill of Materials_SLIM'!S687</f>
        <v/>
      </c>
      <c r="F687" s="234"/>
      <c r="G687" s="234"/>
      <c r="H687" s="234" t="str">
        <f>'Building Bill of Materials_SLIM'!T687</f>
        <v/>
      </c>
      <c r="I687" s="234" t="str">
        <f>'Building Bill of Materials_SLIM'!U687</f>
        <v/>
      </c>
      <c r="J687" s="234" t="str">
        <f>'Building Bill of Materials_SLIM'!V687</f>
        <v/>
      </c>
      <c r="K687" s="192"/>
      <c r="L687" s="242"/>
      <c r="M687" s="242"/>
      <c r="N687" s="291"/>
      <c r="O687" s="291"/>
      <c r="P687" s="291"/>
      <c r="Q687" s="291"/>
      <c r="R687" s="291"/>
      <c r="S687" s="291"/>
      <c r="T687" s="291"/>
      <c r="U687" s="291"/>
      <c r="V687" s="291"/>
      <c r="W687" s="291"/>
      <c r="X687" s="291"/>
      <c r="Y687" s="291"/>
      <c r="Z687" s="291"/>
      <c r="AA687" s="291"/>
      <c r="AB687" s="291"/>
      <c r="AC687" s="291"/>
      <c r="AD687" s="291"/>
      <c r="AE687" s="291"/>
      <c r="AF687" s="291"/>
      <c r="AG687" s="291"/>
    </row>
    <row r="688" ht="18.75" customHeight="1">
      <c r="A688" s="283"/>
      <c r="B688" s="234" t="str">
        <f>'Building Bill of Materials_SLIM'!P688</f>
        <v/>
      </c>
      <c r="C688" s="234" t="str">
        <f>'Building Bill of Materials_SLIM'!Q688</f>
        <v/>
      </c>
      <c r="D688" s="234" t="str">
        <f>'Building Bill of Materials_SLIM'!R688</f>
        <v/>
      </c>
      <c r="E688" s="234" t="str">
        <f>'Building Bill of Materials_SLIM'!S688</f>
        <v/>
      </c>
      <c r="F688" s="234"/>
      <c r="G688" s="234"/>
      <c r="H688" s="234" t="str">
        <f>'Building Bill of Materials_SLIM'!T688</f>
        <v/>
      </c>
      <c r="I688" s="234" t="str">
        <f>'Building Bill of Materials_SLIM'!U688</f>
        <v/>
      </c>
      <c r="J688" s="234" t="str">
        <f>'Building Bill of Materials_SLIM'!V688</f>
        <v/>
      </c>
      <c r="K688" s="192"/>
      <c r="L688" s="242"/>
      <c r="M688" s="242"/>
      <c r="N688" s="291"/>
      <c r="O688" s="291"/>
      <c r="P688" s="291"/>
      <c r="Q688" s="291"/>
      <c r="R688" s="291"/>
      <c r="S688" s="291"/>
      <c r="T688" s="291"/>
      <c r="U688" s="291"/>
      <c r="V688" s="291"/>
      <c r="W688" s="291"/>
      <c r="X688" s="291"/>
      <c r="Y688" s="291"/>
      <c r="Z688" s="291"/>
      <c r="AA688" s="291"/>
      <c r="AB688" s="291"/>
      <c r="AC688" s="291"/>
      <c r="AD688" s="291"/>
      <c r="AE688" s="291"/>
      <c r="AF688" s="291"/>
      <c r="AG688" s="291"/>
    </row>
    <row r="689" ht="18.75" customHeight="1">
      <c r="A689" s="283"/>
      <c r="B689" s="234" t="str">
        <f>'Building Bill of Materials_SLIM'!P689</f>
        <v/>
      </c>
      <c r="C689" s="234" t="str">
        <f>'Building Bill of Materials_SLIM'!Q689</f>
        <v/>
      </c>
      <c r="D689" s="234" t="str">
        <f>'Building Bill of Materials_SLIM'!R689</f>
        <v/>
      </c>
      <c r="E689" s="234" t="str">
        <f>'Building Bill of Materials_SLIM'!S689</f>
        <v/>
      </c>
      <c r="F689" s="234"/>
      <c r="G689" s="234"/>
      <c r="H689" s="234" t="str">
        <f>'Building Bill of Materials_SLIM'!T689</f>
        <v/>
      </c>
      <c r="I689" s="234" t="str">
        <f>'Building Bill of Materials_SLIM'!U689</f>
        <v/>
      </c>
      <c r="J689" s="234" t="str">
        <f>'Building Bill of Materials_SLIM'!V689</f>
        <v/>
      </c>
      <c r="K689" s="192"/>
      <c r="L689" s="242"/>
      <c r="M689" s="242"/>
      <c r="N689" s="291"/>
      <c r="O689" s="291"/>
      <c r="P689" s="291"/>
      <c r="Q689" s="291"/>
      <c r="R689" s="291"/>
      <c r="S689" s="291"/>
      <c r="T689" s="291"/>
      <c r="U689" s="291"/>
      <c r="V689" s="291"/>
      <c r="W689" s="291"/>
      <c r="X689" s="291"/>
      <c r="Y689" s="291"/>
      <c r="Z689" s="291"/>
      <c r="AA689" s="291"/>
      <c r="AB689" s="291"/>
      <c r="AC689" s="291"/>
      <c r="AD689" s="291"/>
      <c r="AE689" s="291"/>
      <c r="AF689" s="291"/>
      <c r="AG689" s="291"/>
    </row>
    <row r="690" ht="18.75" customHeight="1">
      <c r="A690" s="283"/>
      <c r="B690" s="234" t="str">
        <f>'Building Bill of Materials_SLIM'!P690</f>
        <v/>
      </c>
      <c r="C690" s="234" t="str">
        <f>'Building Bill of Materials_SLIM'!Q690</f>
        <v/>
      </c>
      <c r="D690" s="234" t="str">
        <f>'Building Bill of Materials_SLIM'!R690</f>
        <v/>
      </c>
      <c r="E690" s="234" t="str">
        <f>'Building Bill of Materials_SLIM'!S690</f>
        <v/>
      </c>
      <c r="F690" s="234"/>
      <c r="G690" s="234"/>
      <c r="H690" s="234" t="str">
        <f>'Building Bill of Materials_SLIM'!T690</f>
        <v/>
      </c>
      <c r="I690" s="234" t="str">
        <f>'Building Bill of Materials_SLIM'!U690</f>
        <v/>
      </c>
      <c r="J690" s="234" t="str">
        <f>'Building Bill of Materials_SLIM'!V690</f>
        <v/>
      </c>
      <c r="K690" s="192"/>
      <c r="L690" s="242"/>
      <c r="M690" s="242"/>
      <c r="N690" s="291"/>
      <c r="O690" s="291"/>
      <c r="P690" s="291"/>
      <c r="Q690" s="291"/>
      <c r="R690" s="291"/>
      <c r="S690" s="291"/>
      <c r="T690" s="291"/>
      <c r="U690" s="291"/>
      <c r="V690" s="291"/>
      <c r="W690" s="291"/>
      <c r="X690" s="291"/>
      <c r="Y690" s="291"/>
      <c r="Z690" s="291"/>
      <c r="AA690" s="291"/>
      <c r="AB690" s="291"/>
      <c r="AC690" s="291"/>
      <c r="AD690" s="291"/>
      <c r="AE690" s="291"/>
      <c r="AF690" s="291"/>
      <c r="AG690" s="291"/>
    </row>
    <row r="691" ht="18.75" customHeight="1">
      <c r="A691" s="283"/>
      <c r="B691" s="234" t="str">
        <f>'Building Bill of Materials_SLIM'!P691</f>
        <v/>
      </c>
      <c r="C691" s="234" t="str">
        <f>'Building Bill of Materials_SLIM'!Q691</f>
        <v/>
      </c>
      <c r="D691" s="234" t="str">
        <f>'Building Bill of Materials_SLIM'!R691</f>
        <v/>
      </c>
      <c r="E691" s="234" t="str">
        <f>'Building Bill of Materials_SLIM'!S691</f>
        <v/>
      </c>
      <c r="F691" s="234"/>
      <c r="G691" s="234"/>
      <c r="H691" s="234" t="str">
        <f>'Building Bill of Materials_SLIM'!T691</f>
        <v/>
      </c>
      <c r="I691" s="234" t="str">
        <f>'Building Bill of Materials_SLIM'!U691</f>
        <v/>
      </c>
      <c r="J691" s="234" t="str">
        <f>'Building Bill of Materials_SLIM'!V691</f>
        <v/>
      </c>
      <c r="K691" s="192"/>
      <c r="L691" s="242"/>
      <c r="M691" s="242"/>
      <c r="N691" s="291"/>
      <c r="O691" s="291"/>
      <c r="P691" s="291"/>
      <c r="Q691" s="291"/>
      <c r="R691" s="291"/>
      <c r="S691" s="291"/>
      <c r="T691" s="291"/>
      <c r="U691" s="291"/>
      <c r="V691" s="291"/>
      <c r="W691" s="291"/>
      <c r="X691" s="291"/>
      <c r="Y691" s="291"/>
      <c r="Z691" s="291"/>
      <c r="AA691" s="291"/>
      <c r="AB691" s="291"/>
      <c r="AC691" s="291"/>
      <c r="AD691" s="291"/>
      <c r="AE691" s="291"/>
      <c r="AF691" s="291"/>
      <c r="AG691" s="291"/>
    </row>
    <row r="692" ht="18.75" customHeight="1">
      <c r="A692" s="283"/>
      <c r="B692" s="234" t="str">
        <f>'Building Bill of Materials_SLIM'!P692</f>
        <v/>
      </c>
      <c r="C692" s="234" t="str">
        <f>'Building Bill of Materials_SLIM'!Q692</f>
        <v/>
      </c>
      <c r="D692" s="234" t="str">
        <f>'Building Bill of Materials_SLIM'!R692</f>
        <v/>
      </c>
      <c r="E692" s="234" t="str">
        <f>'Building Bill of Materials_SLIM'!S692</f>
        <v/>
      </c>
      <c r="F692" s="234"/>
      <c r="G692" s="234"/>
      <c r="H692" s="234" t="str">
        <f>'Building Bill of Materials_SLIM'!T692</f>
        <v/>
      </c>
      <c r="I692" s="234" t="str">
        <f>'Building Bill of Materials_SLIM'!U692</f>
        <v/>
      </c>
      <c r="J692" s="234" t="str">
        <f>'Building Bill of Materials_SLIM'!V692</f>
        <v/>
      </c>
      <c r="K692" s="192"/>
      <c r="L692" s="242"/>
      <c r="M692" s="242"/>
      <c r="N692" s="291"/>
      <c r="O692" s="291"/>
      <c r="P692" s="291"/>
      <c r="Q692" s="291"/>
      <c r="R692" s="291"/>
      <c r="S692" s="291"/>
      <c r="T692" s="291"/>
      <c r="U692" s="291"/>
      <c r="V692" s="291"/>
      <c r="W692" s="291"/>
      <c r="X692" s="291"/>
      <c r="Y692" s="291"/>
      <c r="Z692" s="291"/>
      <c r="AA692" s="291"/>
      <c r="AB692" s="291"/>
      <c r="AC692" s="291"/>
      <c r="AD692" s="291"/>
      <c r="AE692" s="291"/>
      <c r="AF692" s="291"/>
      <c r="AG692" s="291"/>
    </row>
    <row r="693" ht="18.75" customHeight="1">
      <c r="A693" s="283"/>
      <c r="B693" s="234" t="str">
        <f>'Building Bill of Materials_SLIM'!P693</f>
        <v/>
      </c>
      <c r="C693" s="234" t="str">
        <f>'Building Bill of Materials_SLIM'!Q693</f>
        <v/>
      </c>
      <c r="D693" s="234" t="str">
        <f>'Building Bill of Materials_SLIM'!R693</f>
        <v/>
      </c>
      <c r="E693" s="234" t="str">
        <f>'Building Bill of Materials_SLIM'!S693</f>
        <v/>
      </c>
      <c r="F693" s="234"/>
      <c r="G693" s="234"/>
      <c r="H693" s="234" t="str">
        <f>'Building Bill of Materials_SLIM'!T693</f>
        <v/>
      </c>
      <c r="I693" s="234" t="str">
        <f>'Building Bill of Materials_SLIM'!U693</f>
        <v/>
      </c>
      <c r="J693" s="234" t="str">
        <f>'Building Bill of Materials_SLIM'!V693</f>
        <v/>
      </c>
      <c r="K693" s="192"/>
      <c r="L693" s="242"/>
      <c r="M693" s="242"/>
      <c r="N693" s="291"/>
      <c r="O693" s="291"/>
      <c r="P693" s="291"/>
      <c r="Q693" s="291"/>
      <c r="R693" s="291"/>
      <c r="S693" s="291"/>
      <c r="T693" s="291"/>
      <c r="U693" s="291"/>
      <c r="V693" s="291"/>
      <c r="W693" s="291"/>
      <c r="X693" s="291"/>
      <c r="Y693" s="291"/>
      <c r="Z693" s="291"/>
      <c r="AA693" s="291"/>
      <c r="AB693" s="291"/>
      <c r="AC693" s="291"/>
      <c r="AD693" s="291"/>
      <c r="AE693" s="291"/>
      <c r="AF693" s="291"/>
      <c r="AG693" s="291"/>
    </row>
    <row r="694" ht="18.75" customHeight="1">
      <c r="A694" s="283"/>
      <c r="B694" s="234" t="str">
        <f>'Building Bill of Materials_SLIM'!P694</f>
        <v/>
      </c>
      <c r="C694" s="234" t="str">
        <f>'Building Bill of Materials_SLIM'!Q694</f>
        <v/>
      </c>
      <c r="D694" s="234" t="str">
        <f>'Building Bill of Materials_SLIM'!R694</f>
        <v/>
      </c>
      <c r="E694" s="234" t="str">
        <f>'Building Bill of Materials_SLIM'!S694</f>
        <v/>
      </c>
      <c r="F694" s="234"/>
      <c r="G694" s="234"/>
      <c r="H694" s="234" t="str">
        <f>'Building Bill of Materials_SLIM'!T694</f>
        <v/>
      </c>
      <c r="I694" s="234" t="str">
        <f>'Building Bill of Materials_SLIM'!U694</f>
        <v/>
      </c>
      <c r="J694" s="234" t="str">
        <f>'Building Bill of Materials_SLIM'!V694</f>
        <v/>
      </c>
      <c r="K694" s="192"/>
      <c r="L694" s="242"/>
      <c r="M694" s="242"/>
      <c r="N694" s="291"/>
      <c r="O694" s="291"/>
      <c r="P694" s="291"/>
      <c r="Q694" s="291"/>
      <c r="R694" s="291"/>
      <c r="S694" s="291"/>
      <c r="T694" s="291"/>
      <c r="U694" s="291"/>
      <c r="V694" s="291"/>
      <c r="W694" s="291"/>
      <c r="X694" s="291"/>
      <c r="Y694" s="291"/>
      <c r="Z694" s="291"/>
      <c r="AA694" s="291"/>
      <c r="AB694" s="291"/>
      <c r="AC694" s="291"/>
      <c r="AD694" s="291"/>
      <c r="AE694" s="291"/>
      <c r="AF694" s="291"/>
      <c r="AG694" s="291"/>
    </row>
    <row r="695" ht="18.75" customHeight="1">
      <c r="A695" s="283"/>
      <c r="B695" s="234" t="str">
        <f>'Building Bill of Materials_SLIM'!P695</f>
        <v/>
      </c>
      <c r="C695" s="234" t="str">
        <f>'Building Bill of Materials_SLIM'!Q695</f>
        <v/>
      </c>
      <c r="D695" s="234" t="str">
        <f>'Building Bill of Materials_SLIM'!R695</f>
        <v/>
      </c>
      <c r="E695" s="234" t="str">
        <f>'Building Bill of Materials_SLIM'!S695</f>
        <v/>
      </c>
      <c r="F695" s="234"/>
      <c r="G695" s="234"/>
      <c r="H695" s="234" t="str">
        <f>'Building Bill of Materials_SLIM'!T695</f>
        <v/>
      </c>
      <c r="I695" s="234" t="str">
        <f>'Building Bill of Materials_SLIM'!U695</f>
        <v/>
      </c>
      <c r="J695" s="234" t="str">
        <f>'Building Bill of Materials_SLIM'!V695</f>
        <v/>
      </c>
      <c r="K695" s="192"/>
      <c r="L695" s="242"/>
      <c r="M695" s="242"/>
      <c r="N695" s="291"/>
      <c r="O695" s="291"/>
      <c r="P695" s="291"/>
      <c r="Q695" s="291"/>
      <c r="R695" s="291"/>
      <c r="S695" s="291"/>
      <c r="T695" s="291"/>
      <c r="U695" s="291"/>
      <c r="V695" s="291"/>
      <c r="W695" s="291"/>
      <c r="X695" s="291"/>
      <c r="Y695" s="291"/>
      <c r="Z695" s="291"/>
      <c r="AA695" s="291"/>
      <c r="AB695" s="291"/>
      <c r="AC695" s="291"/>
      <c r="AD695" s="291"/>
      <c r="AE695" s="291"/>
      <c r="AF695" s="291"/>
      <c r="AG695" s="291"/>
    </row>
    <row r="696" ht="18.75" customHeight="1">
      <c r="A696" s="283"/>
      <c r="B696" s="234" t="str">
        <f>'Building Bill of Materials_SLIM'!P696</f>
        <v/>
      </c>
      <c r="C696" s="234" t="str">
        <f>'Building Bill of Materials_SLIM'!Q696</f>
        <v/>
      </c>
      <c r="D696" s="234" t="str">
        <f>'Building Bill of Materials_SLIM'!R696</f>
        <v/>
      </c>
      <c r="E696" s="234" t="str">
        <f>'Building Bill of Materials_SLIM'!S696</f>
        <v/>
      </c>
      <c r="F696" s="234"/>
      <c r="G696" s="234"/>
      <c r="H696" s="234" t="str">
        <f>'Building Bill of Materials_SLIM'!T696</f>
        <v/>
      </c>
      <c r="I696" s="234" t="str">
        <f>'Building Bill of Materials_SLIM'!U696</f>
        <v/>
      </c>
      <c r="J696" s="234" t="str">
        <f>'Building Bill of Materials_SLIM'!V696</f>
        <v/>
      </c>
      <c r="K696" s="192"/>
      <c r="L696" s="242"/>
      <c r="M696" s="242"/>
      <c r="N696" s="291"/>
      <c r="O696" s="291"/>
      <c r="P696" s="291"/>
      <c r="Q696" s="291"/>
      <c r="R696" s="291"/>
      <c r="S696" s="291"/>
      <c r="T696" s="291"/>
      <c r="U696" s="291"/>
      <c r="V696" s="291"/>
      <c r="W696" s="291"/>
      <c r="X696" s="291"/>
      <c r="Y696" s="291"/>
      <c r="Z696" s="291"/>
      <c r="AA696" s="291"/>
      <c r="AB696" s="291"/>
      <c r="AC696" s="291"/>
      <c r="AD696" s="291"/>
      <c r="AE696" s="291"/>
      <c r="AF696" s="291"/>
      <c r="AG696" s="291"/>
    </row>
    <row r="697" ht="18.75" customHeight="1">
      <c r="A697" s="283"/>
      <c r="B697" s="234" t="str">
        <f>'Building Bill of Materials_SLIM'!P697</f>
        <v/>
      </c>
      <c r="C697" s="234" t="str">
        <f>'Building Bill of Materials_SLIM'!Q697</f>
        <v/>
      </c>
      <c r="D697" s="234" t="str">
        <f>'Building Bill of Materials_SLIM'!R697</f>
        <v/>
      </c>
      <c r="E697" s="234" t="str">
        <f>'Building Bill of Materials_SLIM'!S697</f>
        <v/>
      </c>
      <c r="F697" s="234"/>
      <c r="G697" s="234"/>
      <c r="H697" s="234" t="str">
        <f>'Building Bill of Materials_SLIM'!T697</f>
        <v/>
      </c>
      <c r="I697" s="234" t="str">
        <f>'Building Bill of Materials_SLIM'!U697</f>
        <v/>
      </c>
      <c r="J697" s="234" t="str">
        <f>'Building Bill of Materials_SLIM'!V697</f>
        <v/>
      </c>
      <c r="K697" s="192"/>
      <c r="L697" s="242"/>
      <c r="M697" s="242"/>
      <c r="N697" s="291"/>
      <c r="O697" s="291"/>
      <c r="P697" s="291"/>
      <c r="Q697" s="291"/>
      <c r="R697" s="291"/>
      <c r="S697" s="291"/>
      <c r="T697" s="291"/>
      <c r="U697" s="291"/>
      <c r="V697" s="291"/>
      <c r="W697" s="291"/>
      <c r="X697" s="291"/>
      <c r="Y697" s="291"/>
      <c r="Z697" s="291"/>
      <c r="AA697" s="291"/>
      <c r="AB697" s="291"/>
      <c r="AC697" s="291"/>
      <c r="AD697" s="291"/>
      <c r="AE697" s="291"/>
      <c r="AF697" s="291"/>
      <c r="AG697" s="291"/>
    </row>
    <row r="698" ht="18.75" customHeight="1">
      <c r="A698" s="283"/>
      <c r="B698" s="234" t="str">
        <f>'Building Bill of Materials_SLIM'!P698</f>
        <v/>
      </c>
      <c r="C698" s="234" t="str">
        <f>'Building Bill of Materials_SLIM'!Q698</f>
        <v/>
      </c>
      <c r="D698" s="234" t="str">
        <f>'Building Bill of Materials_SLIM'!R698</f>
        <v/>
      </c>
      <c r="E698" s="234" t="str">
        <f>'Building Bill of Materials_SLIM'!S698</f>
        <v/>
      </c>
      <c r="F698" s="234"/>
      <c r="G698" s="234"/>
      <c r="H698" s="234" t="str">
        <f>'Building Bill of Materials_SLIM'!T698</f>
        <v/>
      </c>
      <c r="I698" s="234" t="str">
        <f>'Building Bill of Materials_SLIM'!U698</f>
        <v/>
      </c>
      <c r="J698" s="234" t="str">
        <f>'Building Bill of Materials_SLIM'!V698</f>
        <v/>
      </c>
      <c r="K698" s="192"/>
      <c r="L698" s="242"/>
      <c r="M698" s="242"/>
      <c r="N698" s="291"/>
      <c r="O698" s="291"/>
      <c r="P698" s="291"/>
      <c r="Q698" s="291"/>
      <c r="R698" s="291"/>
      <c r="S698" s="291"/>
      <c r="T698" s="291"/>
      <c r="U698" s="291"/>
      <c r="V698" s="291"/>
      <c r="W698" s="291"/>
      <c r="X698" s="291"/>
      <c r="Y698" s="291"/>
      <c r="Z698" s="291"/>
      <c r="AA698" s="291"/>
      <c r="AB698" s="291"/>
      <c r="AC698" s="291"/>
      <c r="AD698" s="291"/>
      <c r="AE698" s="291"/>
      <c r="AF698" s="291"/>
      <c r="AG698" s="291"/>
    </row>
    <row r="699" ht="18.75" customHeight="1">
      <c r="A699" s="283"/>
      <c r="B699" s="234" t="str">
        <f>'Building Bill of Materials_SLIM'!P699</f>
        <v/>
      </c>
      <c r="C699" s="234" t="str">
        <f>'Building Bill of Materials_SLIM'!Q699</f>
        <v/>
      </c>
      <c r="D699" s="234" t="str">
        <f>'Building Bill of Materials_SLIM'!R699</f>
        <v/>
      </c>
      <c r="E699" s="234" t="str">
        <f>'Building Bill of Materials_SLIM'!S699</f>
        <v/>
      </c>
      <c r="F699" s="234"/>
      <c r="G699" s="234"/>
      <c r="H699" s="234" t="str">
        <f>'Building Bill of Materials_SLIM'!T699</f>
        <v/>
      </c>
      <c r="I699" s="234" t="str">
        <f>'Building Bill of Materials_SLIM'!U699</f>
        <v/>
      </c>
      <c r="J699" s="234" t="str">
        <f>'Building Bill of Materials_SLIM'!V699</f>
        <v/>
      </c>
      <c r="K699" s="192"/>
      <c r="L699" s="242"/>
      <c r="M699" s="242"/>
      <c r="N699" s="291"/>
      <c r="O699" s="291"/>
      <c r="P699" s="291"/>
      <c r="Q699" s="291"/>
      <c r="R699" s="291"/>
      <c r="S699" s="291"/>
      <c r="T699" s="291"/>
      <c r="U699" s="291"/>
      <c r="V699" s="291"/>
      <c r="W699" s="291"/>
      <c r="X699" s="291"/>
      <c r="Y699" s="291"/>
      <c r="Z699" s="291"/>
      <c r="AA699" s="291"/>
      <c r="AB699" s="291"/>
      <c r="AC699" s="291"/>
      <c r="AD699" s="291"/>
      <c r="AE699" s="291"/>
      <c r="AF699" s="291"/>
      <c r="AG699" s="291"/>
    </row>
    <row r="700" ht="18.75" customHeight="1">
      <c r="A700" s="283"/>
      <c r="B700" s="234" t="str">
        <f>'Building Bill of Materials_SLIM'!P700</f>
        <v/>
      </c>
      <c r="C700" s="234" t="str">
        <f>'Building Bill of Materials_SLIM'!Q700</f>
        <v/>
      </c>
      <c r="D700" s="234" t="str">
        <f>'Building Bill of Materials_SLIM'!R700</f>
        <v/>
      </c>
      <c r="E700" s="234" t="str">
        <f>'Building Bill of Materials_SLIM'!S700</f>
        <v/>
      </c>
      <c r="F700" s="234"/>
      <c r="G700" s="234"/>
      <c r="H700" s="234" t="str">
        <f>'Building Bill of Materials_SLIM'!T700</f>
        <v/>
      </c>
      <c r="I700" s="234" t="str">
        <f>'Building Bill of Materials_SLIM'!U700</f>
        <v/>
      </c>
      <c r="J700" s="234" t="str">
        <f>'Building Bill of Materials_SLIM'!V700</f>
        <v/>
      </c>
      <c r="K700" s="192"/>
      <c r="L700" s="242"/>
      <c r="M700" s="242"/>
      <c r="N700" s="291"/>
      <c r="O700" s="291"/>
      <c r="P700" s="291"/>
      <c r="Q700" s="291"/>
      <c r="R700" s="291"/>
      <c r="S700" s="291"/>
      <c r="T700" s="291"/>
      <c r="U700" s="291"/>
      <c r="V700" s="291"/>
      <c r="W700" s="291"/>
      <c r="X700" s="291"/>
      <c r="Y700" s="291"/>
      <c r="Z700" s="291"/>
      <c r="AA700" s="291"/>
      <c r="AB700" s="291"/>
      <c r="AC700" s="291"/>
      <c r="AD700" s="291"/>
      <c r="AE700" s="291"/>
      <c r="AF700" s="291"/>
      <c r="AG700" s="291"/>
    </row>
    <row r="701" ht="18.75" customHeight="1">
      <c r="A701" s="283"/>
      <c r="B701" s="234" t="str">
        <f>'Building Bill of Materials_SLIM'!P701</f>
        <v/>
      </c>
      <c r="C701" s="234" t="str">
        <f>'Building Bill of Materials_SLIM'!Q701</f>
        <v/>
      </c>
      <c r="D701" s="234" t="str">
        <f>'Building Bill of Materials_SLIM'!R701</f>
        <v/>
      </c>
      <c r="E701" s="234" t="str">
        <f>'Building Bill of Materials_SLIM'!S701</f>
        <v/>
      </c>
      <c r="F701" s="234"/>
      <c r="G701" s="234"/>
      <c r="H701" s="234" t="str">
        <f>'Building Bill of Materials_SLIM'!T701</f>
        <v/>
      </c>
      <c r="I701" s="234" t="str">
        <f>'Building Bill of Materials_SLIM'!U701</f>
        <v/>
      </c>
      <c r="J701" s="234" t="str">
        <f>'Building Bill of Materials_SLIM'!V701</f>
        <v/>
      </c>
      <c r="K701" s="192"/>
      <c r="L701" s="242"/>
      <c r="M701" s="242"/>
      <c r="N701" s="291"/>
      <c r="O701" s="291"/>
      <c r="P701" s="291"/>
      <c r="Q701" s="291"/>
      <c r="R701" s="291"/>
      <c r="S701" s="291"/>
      <c r="T701" s="291"/>
      <c r="U701" s="291"/>
      <c r="V701" s="291"/>
      <c r="W701" s="291"/>
      <c r="X701" s="291"/>
      <c r="Y701" s="291"/>
      <c r="Z701" s="291"/>
      <c r="AA701" s="291"/>
      <c r="AB701" s="291"/>
      <c r="AC701" s="291"/>
      <c r="AD701" s="291"/>
      <c r="AE701" s="291"/>
      <c r="AF701" s="291"/>
      <c r="AG701" s="291"/>
    </row>
    <row r="702" ht="18.75" customHeight="1">
      <c r="A702" s="283"/>
      <c r="B702" s="234" t="str">
        <f>'Building Bill of Materials_SLIM'!P702</f>
        <v/>
      </c>
      <c r="C702" s="234" t="str">
        <f>'Building Bill of Materials_SLIM'!Q702</f>
        <v/>
      </c>
      <c r="D702" s="234" t="str">
        <f>'Building Bill of Materials_SLIM'!R702</f>
        <v/>
      </c>
      <c r="E702" s="234" t="str">
        <f>'Building Bill of Materials_SLIM'!S702</f>
        <v/>
      </c>
      <c r="F702" s="234"/>
      <c r="G702" s="234"/>
      <c r="H702" s="234" t="str">
        <f>'Building Bill of Materials_SLIM'!T702</f>
        <v/>
      </c>
      <c r="I702" s="234" t="str">
        <f>'Building Bill of Materials_SLIM'!U702</f>
        <v/>
      </c>
      <c r="J702" s="234" t="str">
        <f>'Building Bill of Materials_SLIM'!V702</f>
        <v/>
      </c>
      <c r="K702" s="192"/>
      <c r="L702" s="242"/>
      <c r="M702" s="242"/>
      <c r="N702" s="291"/>
      <c r="O702" s="291"/>
      <c r="P702" s="291"/>
      <c r="Q702" s="291"/>
      <c r="R702" s="291"/>
      <c r="S702" s="291"/>
      <c r="T702" s="291"/>
      <c r="U702" s="291"/>
      <c r="V702" s="291"/>
      <c r="W702" s="291"/>
      <c r="X702" s="291"/>
      <c r="Y702" s="291"/>
      <c r="Z702" s="291"/>
      <c r="AA702" s="291"/>
      <c r="AB702" s="291"/>
      <c r="AC702" s="291"/>
      <c r="AD702" s="291"/>
      <c r="AE702" s="291"/>
      <c r="AF702" s="291"/>
      <c r="AG702" s="291"/>
    </row>
    <row r="703" ht="18.75" customHeight="1">
      <c r="A703" s="283"/>
      <c r="B703" s="234" t="str">
        <f>'Building Bill of Materials_SLIM'!P703</f>
        <v/>
      </c>
      <c r="C703" s="234" t="str">
        <f>'Building Bill of Materials_SLIM'!Q703</f>
        <v/>
      </c>
      <c r="D703" s="234" t="str">
        <f>'Building Bill of Materials_SLIM'!R703</f>
        <v/>
      </c>
      <c r="E703" s="234" t="str">
        <f>'Building Bill of Materials_SLIM'!S703</f>
        <v/>
      </c>
      <c r="F703" s="234"/>
      <c r="G703" s="234"/>
      <c r="H703" s="234" t="str">
        <f>'Building Bill of Materials_SLIM'!T703</f>
        <v/>
      </c>
      <c r="I703" s="234" t="str">
        <f>'Building Bill of Materials_SLIM'!U703</f>
        <v/>
      </c>
      <c r="J703" s="234" t="str">
        <f>'Building Bill of Materials_SLIM'!V703</f>
        <v/>
      </c>
      <c r="K703" s="192"/>
      <c r="L703" s="242"/>
      <c r="M703" s="242"/>
      <c r="N703" s="291"/>
      <c r="O703" s="291"/>
      <c r="P703" s="291"/>
      <c r="Q703" s="291"/>
      <c r="R703" s="291"/>
      <c r="S703" s="291"/>
      <c r="T703" s="291"/>
      <c r="U703" s="291"/>
      <c r="V703" s="291"/>
      <c r="W703" s="291"/>
      <c r="X703" s="291"/>
      <c r="Y703" s="291"/>
      <c r="Z703" s="291"/>
      <c r="AA703" s="291"/>
      <c r="AB703" s="291"/>
      <c r="AC703" s="291"/>
      <c r="AD703" s="291"/>
      <c r="AE703" s="291"/>
      <c r="AF703" s="291"/>
      <c r="AG703" s="291"/>
    </row>
    <row r="704" ht="18.75" customHeight="1">
      <c r="A704" s="283"/>
      <c r="B704" s="234" t="str">
        <f>'Building Bill of Materials_SLIM'!P704</f>
        <v/>
      </c>
      <c r="C704" s="234" t="str">
        <f>'Building Bill of Materials_SLIM'!Q704</f>
        <v/>
      </c>
      <c r="D704" s="234" t="str">
        <f>'Building Bill of Materials_SLIM'!R704</f>
        <v/>
      </c>
      <c r="E704" s="234" t="str">
        <f>'Building Bill of Materials_SLIM'!S704</f>
        <v/>
      </c>
      <c r="F704" s="234"/>
      <c r="G704" s="234"/>
      <c r="H704" s="234" t="str">
        <f>'Building Bill of Materials_SLIM'!T704</f>
        <v/>
      </c>
      <c r="I704" s="234" t="str">
        <f>'Building Bill of Materials_SLIM'!U704</f>
        <v/>
      </c>
      <c r="J704" s="234" t="str">
        <f>'Building Bill of Materials_SLIM'!V704</f>
        <v/>
      </c>
      <c r="K704" s="192"/>
      <c r="L704" s="242"/>
      <c r="M704" s="242"/>
      <c r="N704" s="291"/>
      <c r="O704" s="291"/>
      <c r="P704" s="291"/>
      <c r="Q704" s="291"/>
      <c r="R704" s="291"/>
      <c r="S704" s="291"/>
      <c r="T704" s="291"/>
      <c r="U704" s="291"/>
      <c r="V704" s="291"/>
      <c r="W704" s="291"/>
      <c r="X704" s="291"/>
      <c r="Y704" s="291"/>
      <c r="Z704" s="291"/>
      <c r="AA704" s="291"/>
      <c r="AB704" s="291"/>
      <c r="AC704" s="291"/>
      <c r="AD704" s="291"/>
      <c r="AE704" s="291"/>
      <c r="AF704" s="291"/>
      <c r="AG704" s="291"/>
    </row>
    <row r="705" ht="18.75" customHeight="1">
      <c r="A705" s="283"/>
      <c r="B705" s="234" t="str">
        <f>'Building Bill of Materials_SLIM'!P705</f>
        <v/>
      </c>
      <c r="C705" s="234" t="str">
        <f>'Building Bill of Materials_SLIM'!Q705</f>
        <v/>
      </c>
      <c r="D705" s="234" t="str">
        <f>'Building Bill of Materials_SLIM'!R705</f>
        <v/>
      </c>
      <c r="E705" s="234" t="str">
        <f>'Building Bill of Materials_SLIM'!S705</f>
        <v/>
      </c>
      <c r="F705" s="234"/>
      <c r="G705" s="234"/>
      <c r="H705" s="234" t="str">
        <f>'Building Bill of Materials_SLIM'!T705</f>
        <v/>
      </c>
      <c r="I705" s="234" t="str">
        <f>'Building Bill of Materials_SLIM'!U705</f>
        <v/>
      </c>
      <c r="J705" s="234" t="str">
        <f>'Building Bill of Materials_SLIM'!V705</f>
        <v/>
      </c>
      <c r="K705" s="192"/>
      <c r="L705" s="242"/>
      <c r="M705" s="242"/>
      <c r="N705" s="291"/>
      <c r="O705" s="291"/>
      <c r="P705" s="291"/>
      <c r="Q705" s="291"/>
      <c r="R705" s="291"/>
      <c r="S705" s="291"/>
      <c r="T705" s="291"/>
      <c r="U705" s="291"/>
      <c r="V705" s="291"/>
      <c r="W705" s="291"/>
      <c r="X705" s="291"/>
      <c r="Y705" s="291"/>
      <c r="Z705" s="291"/>
      <c r="AA705" s="291"/>
      <c r="AB705" s="291"/>
      <c r="AC705" s="291"/>
      <c r="AD705" s="291"/>
      <c r="AE705" s="291"/>
      <c r="AF705" s="291"/>
      <c r="AG705" s="291"/>
    </row>
    <row r="706" ht="18.75" customHeight="1">
      <c r="A706" s="283"/>
      <c r="B706" s="234" t="str">
        <f>'Building Bill of Materials_SLIM'!P706</f>
        <v/>
      </c>
      <c r="C706" s="234" t="str">
        <f>'Building Bill of Materials_SLIM'!Q706</f>
        <v/>
      </c>
      <c r="D706" s="234" t="str">
        <f>'Building Bill of Materials_SLIM'!R706</f>
        <v/>
      </c>
      <c r="E706" s="234" t="str">
        <f>'Building Bill of Materials_SLIM'!S706</f>
        <v/>
      </c>
      <c r="F706" s="234"/>
      <c r="G706" s="234"/>
      <c r="H706" s="234" t="str">
        <f>'Building Bill of Materials_SLIM'!T706</f>
        <v/>
      </c>
      <c r="I706" s="234" t="str">
        <f>'Building Bill of Materials_SLIM'!U706</f>
        <v/>
      </c>
      <c r="J706" s="234" t="str">
        <f>'Building Bill of Materials_SLIM'!V706</f>
        <v/>
      </c>
      <c r="K706" s="192"/>
      <c r="L706" s="242"/>
      <c r="M706" s="242"/>
      <c r="N706" s="291"/>
      <c r="O706" s="291"/>
      <c r="P706" s="291"/>
      <c r="Q706" s="291"/>
      <c r="R706" s="291"/>
      <c r="S706" s="291"/>
      <c r="T706" s="291"/>
      <c r="U706" s="291"/>
      <c r="V706" s="291"/>
      <c r="W706" s="291"/>
      <c r="X706" s="291"/>
      <c r="Y706" s="291"/>
      <c r="Z706" s="291"/>
      <c r="AA706" s="291"/>
      <c r="AB706" s="291"/>
      <c r="AC706" s="291"/>
      <c r="AD706" s="291"/>
      <c r="AE706" s="291"/>
      <c r="AF706" s="291"/>
      <c r="AG706" s="291"/>
    </row>
    <row r="707" ht="18.75" customHeight="1">
      <c r="A707" s="283"/>
      <c r="B707" s="234" t="str">
        <f>'Building Bill of Materials_SLIM'!P707</f>
        <v/>
      </c>
      <c r="C707" s="234" t="str">
        <f>'Building Bill of Materials_SLIM'!Q707</f>
        <v/>
      </c>
      <c r="D707" s="234" t="str">
        <f>'Building Bill of Materials_SLIM'!R707</f>
        <v/>
      </c>
      <c r="E707" s="234" t="str">
        <f>'Building Bill of Materials_SLIM'!S707</f>
        <v/>
      </c>
      <c r="F707" s="234"/>
      <c r="G707" s="234"/>
      <c r="H707" s="234" t="str">
        <f>'Building Bill of Materials_SLIM'!T707</f>
        <v/>
      </c>
      <c r="I707" s="234" t="str">
        <f>'Building Bill of Materials_SLIM'!U707</f>
        <v/>
      </c>
      <c r="J707" s="234" t="str">
        <f>'Building Bill of Materials_SLIM'!V707</f>
        <v/>
      </c>
      <c r="K707" s="192"/>
      <c r="L707" s="242"/>
      <c r="M707" s="242"/>
      <c r="N707" s="291"/>
      <c r="O707" s="291"/>
      <c r="P707" s="291"/>
      <c r="Q707" s="291"/>
      <c r="R707" s="291"/>
      <c r="S707" s="291"/>
      <c r="T707" s="291"/>
      <c r="U707" s="291"/>
      <c r="V707" s="291"/>
      <c r="W707" s="291"/>
      <c r="X707" s="291"/>
      <c r="Y707" s="291"/>
      <c r="Z707" s="291"/>
      <c r="AA707" s="291"/>
      <c r="AB707" s="291"/>
      <c r="AC707" s="291"/>
      <c r="AD707" s="291"/>
      <c r="AE707" s="291"/>
      <c r="AF707" s="291"/>
      <c r="AG707" s="291"/>
    </row>
    <row r="708" ht="18.75" customHeight="1">
      <c r="A708" s="283"/>
      <c r="B708" s="234" t="str">
        <f>'Building Bill of Materials_SLIM'!P708</f>
        <v/>
      </c>
      <c r="C708" s="234" t="str">
        <f>'Building Bill of Materials_SLIM'!Q708</f>
        <v/>
      </c>
      <c r="D708" s="234" t="str">
        <f>'Building Bill of Materials_SLIM'!R708</f>
        <v/>
      </c>
      <c r="E708" s="234" t="str">
        <f>'Building Bill of Materials_SLIM'!S708</f>
        <v/>
      </c>
      <c r="F708" s="234"/>
      <c r="G708" s="234"/>
      <c r="H708" s="234" t="str">
        <f>'Building Bill of Materials_SLIM'!T708</f>
        <v/>
      </c>
      <c r="I708" s="234" t="str">
        <f>'Building Bill of Materials_SLIM'!U708</f>
        <v/>
      </c>
      <c r="J708" s="234" t="str">
        <f>'Building Bill of Materials_SLIM'!V708</f>
        <v/>
      </c>
      <c r="K708" s="192"/>
      <c r="L708" s="242"/>
      <c r="M708" s="242"/>
      <c r="N708" s="291"/>
      <c r="O708" s="291"/>
      <c r="P708" s="291"/>
      <c r="Q708" s="291"/>
      <c r="R708" s="291"/>
      <c r="S708" s="291"/>
      <c r="T708" s="291"/>
      <c r="U708" s="291"/>
      <c r="V708" s="291"/>
      <c r="W708" s="291"/>
      <c r="X708" s="291"/>
      <c r="Y708" s="291"/>
      <c r="Z708" s="291"/>
      <c r="AA708" s="291"/>
      <c r="AB708" s="291"/>
      <c r="AC708" s="291"/>
      <c r="AD708" s="291"/>
      <c r="AE708" s="291"/>
      <c r="AF708" s="291"/>
      <c r="AG708" s="291"/>
    </row>
    <row r="709" ht="18.75" customHeight="1">
      <c r="A709" s="283"/>
      <c r="B709" s="234" t="str">
        <f>'Building Bill of Materials_SLIM'!P709</f>
        <v/>
      </c>
      <c r="C709" s="234" t="str">
        <f>'Building Bill of Materials_SLIM'!Q709</f>
        <v/>
      </c>
      <c r="D709" s="234" t="str">
        <f>'Building Bill of Materials_SLIM'!R709</f>
        <v/>
      </c>
      <c r="E709" s="234" t="str">
        <f>'Building Bill of Materials_SLIM'!S709</f>
        <v/>
      </c>
      <c r="F709" s="234"/>
      <c r="G709" s="234"/>
      <c r="H709" s="234" t="str">
        <f>'Building Bill of Materials_SLIM'!T709</f>
        <v/>
      </c>
      <c r="I709" s="234" t="str">
        <f>'Building Bill of Materials_SLIM'!U709</f>
        <v/>
      </c>
      <c r="J709" s="234" t="str">
        <f>'Building Bill of Materials_SLIM'!V709</f>
        <v/>
      </c>
      <c r="K709" s="192"/>
      <c r="L709" s="242"/>
      <c r="M709" s="242"/>
      <c r="N709" s="291"/>
      <c r="O709" s="291"/>
      <c r="P709" s="291"/>
      <c r="Q709" s="291"/>
      <c r="R709" s="291"/>
      <c r="S709" s="291"/>
      <c r="T709" s="291"/>
      <c r="U709" s="291"/>
      <c r="V709" s="291"/>
      <c r="W709" s="291"/>
      <c r="X709" s="291"/>
      <c r="Y709" s="291"/>
      <c r="Z709" s="291"/>
      <c r="AA709" s="291"/>
      <c r="AB709" s="291"/>
      <c r="AC709" s="291"/>
      <c r="AD709" s="291"/>
      <c r="AE709" s="291"/>
      <c r="AF709" s="291"/>
      <c r="AG709" s="291"/>
    </row>
    <row r="710" ht="18.75" customHeight="1">
      <c r="A710" s="283"/>
      <c r="B710" s="234" t="str">
        <f>'Building Bill of Materials_SLIM'!P710</f>
        <v/>
      </c>
      <c r="C710" s="234" t="str">
        <f>'Building Bill of Materials_SLIM'!Q710</f>
        <v/>
      </c>
      <c r="D710" s="234" t="str">
        <f>'Building Bill of Materials_SLIM'!R710</f>
        <v/>
      </c>
      <c r="E710" s="234" t="str">
        <f>'Building Bill of Materials_SLIM'!S710</f>
        <v/>
      </c>
      <c r="F710" s="234"/>
      <c r="G710" s="234"/>
      <c r="H710" s="234" t="str">
        <f>'Building Bill of Materials_SLIM'!T710</f>
        <v/>
      </c>
      <c r="I710" s="234" t="str">
        <f>'Building Bill of Materials_SLIM'!U710</f>
        <v/>
      </c>
      <c r="J710" s="234" t="str">
        <f>'Building Bill of Materials_SLIM'!V710</f>
        <v/>
      </c>
      <c r="K710" s="192"/>
      <c r="L710" s="242"/>
      <c r="M710" s="242"/>
      <c r="N710" s="291"/>
      <c r="O710" s="291"/>
      <c r="P710" s="291"/>
      <c r="Q710" s="291"/>
      <c r="R710" s="291"/>
      <c r="S710" s="291"/>
      <c r="T710" s="291"/>
      <c r="U710" s="291"/>
      <c r="V710" s="291"/>
      <c r="W710" s="291"/>
      <c r="X710" s="291"/>
      <c r="Y710" s="291"/>
      <c r="Z710" s="291"/>
      <c r="AA710" s="291"/>
      <c r="AB710" s="291"/>
      <c r="AC710" s="291"/>
      <c r="AD710" s="291"/>
      <c r="AE710" s="291"/>
      <c r="AF710" s="291"/>
      <c r="AG710" s="291"/>
    </row>
    <row r="711" ht="18.75" customHeight="1">
      <c r="A711" s="283"/>
      <c r="B711" s="234" t="str">
        <f>'Building Bill of Materials_SLIM'!P711</f>
        <v/>
      </c>
      <c r="C711" s="234" t="str">
        <f>'Building Bill of Materials_SLIM'!Q711</f>
        <v/>
      </c>
      <c r="D711" s="234" t="str">
        <f>'Building Bill of Materials_SLIM'!R711</f>
        <v/>
      </c>
      <c r="E711" s="234" t="str">
        <f>'Building Bill of Materials_SLIM'!S711</f>
        <v/>
      </c>
      <c r="F711" s="234"/>
      <c r="G711" s="234"/>
      <c r="H711" s="234" t="str">
        <f>'Building Bill of Materials_SLIM'!T711</f>
        <v/>
      </c>
      <c r="I711" s="234" t="str">
        <f>'Building Bill of Materials_SLIM'!U711</f>
        <v/>
      </c>
      <c r="J711" s="234" t="str">
        <f>'Building Bill of Materials_SLIM'!V711</f>
        <v/>
      </c>
      <c r="K711" s="192"/>
      <c r="L711" s="242"/>
      <c r="M711" s="242"/>
      <c r="N711" s="291"/>
      <c r="O711" s="291"/>
      <c r="P711" s="291"/>
      <c r="Q711" s="291"/>
      <c r="R711" s="291"/>
      <c r="S711" s="291"/>
      <c r="T711" s="291"/>
      <c r="U711" s="291"/>
      <c r="V711" s="291"/>
      <c r="W711" s="291"/>
      <c r="X711" s="291"/>
      <c r="Y711" s="291"/>
      <c r="Z711" s="291"/>
      <c r="AA711" s="291"/>
      <c r="AB711" s="291"/>
      <c r="AC711" s="291"/>
      <c r="AD711" s="291"/>
      <c r="AE711" s="291"/>
      <c r="AF711" s="291"/>
      <c r="AG711" s="291"/>
    </row>
    <row r="712" ht="18.75" customHeight="1">
      <c r="A712" s="283"/>
      <c r="B712" s="234" t="str">
        <f>'Building Bill of Materials_SLIM'!P712</f>
        <v/>
      </c>
      <c r="C712" s="234" t="str">
        <f>'Building Bill of Materials_SLIM'!Q712</f>
        <v/>
      </c>
      <c r="D712" s="234" t="str">
        <f>'Building Bill of Materials_SLIM'!R712</f>
        <v/>
      </c>
      <c r="E712" s="234" t="str">
        <f>'Building Bill of Materials_SLIM'!S712</f>
        <v/>
      </c>
      <c r="F712" s="234"/>
      <c r="G712" s="234"/>
      <c r="H712" s="234" t="str">
        <f>'Building Bill of Materials_SLIM'!T712</f>
        <v/>
      </c>
      <c r="I712" s="234" t="str">
        <f>'Building Bill of Materials_SLIM'!U712</f>
        <v/>
      </c>
      <c r="J712" s="234" t="str">
        <f>'Building Bill of Materials_SLIM'!V712</f>
        <v/>
      </c>
      <c r="K712" s="192"/>
      <c r="L712" s="242"/>
      <c r="M712" s="242"/>
      <c r="N712" s="291"/>
      <c r="O712" s="291"/>
      <c r="P712" s="291"/>
      <c r="Q712" s="291"/>
      <c r="R712" s="291"/>
      <c r="S712" s="291"/>
      <c r="T712" s="291"/>
      <c r="U712" s="291"/>
      <c r="V712" s="291"/>
      <c r="W712" s="291"/>
      <c r="X712" s="291"/>
      <c r="Y712" s="291"/>
      <c r="Z712" s="291"/>
      <c r="AA712" s="291"/>
      <c r="AB712" s="291"/>
      <c r="AC712" s="291"/>
      <c r="AD712" s="291"/>
      <c r="AE712" s="291"/>
      <c r="AF712" s="291"/>
      <c r="AG712" s="291"/>
    </row>
    <row r="713" ht="18.75" customHeight="1">
      <c r="A713" s="283"/>
      <c r="B713" s="234" t="str">
        <f>'Building Bill of Materials_SLIM'!P713</f>
        <v/>
      </c>
      <c r="C713" s="234" t="str">
        <f>'Building Bill of Materials_SLIM'!Q713</f>
        <v/>
      </c>
      <c r="D713" s="234" t="str">
        <f>'Building Bill of Materials_SLIM'!R713</f>
        <v/>
      </c>
      <c r="E713" s="234" t="str">
        <f>'Building Bill of Materials_SLIM'!S713</f>
        <v/>
      </c>
      <c r="F713" s="234"/>
      <c r="G713" s="234"/>
      <c r="H713" s="234" t="str">
        <f>'Building Bill of Materials_SLIM'!T713</f>
        <v/>
      </c>
      <c r="I713" s="234" t="str">
        <f>'Building Bill of Materials_SLIM'!U713</f>
        <v/>
      </c>
      <c r="J713" s="234" t="str">
        <f>'Building Bill of Materials_SLIM'!V713</f>
        <v/>
      </c>
      <c r="K713" s="192"/>
      <c r="L713" s="242"/>
      <c r="M713" s="242"/>
      <c r="N713" s="291"/>
      <c r="O713" s="291"/>
      <c r="P713" s="291"/>
      <c r="Q713" s="291"/>
      <c r="R713" s="291"/>
      <c r="S713" s="291"/>
      <c r="T713" s="291"/>
      <c r="U713" s="291"/>
      <c r="V713" s="291"/>
      <c r="W713" s="291"/>
      <c r="X713" s="291"/>
      <c r="Y713" s="291"/>
      <c r="Z713" s="291"/>
      <c r="AA713" s="291"/>
      <c r="AB713" s="291"/>
      <c r="AC713" s="291"/>
      <c r="AD713" s="291"/>
      <c r="AE713" s="291"/>
      <c r="AF713" s="291"/>
      <c r="AG713" s="291"/>
    </row>
    <row r="714" ht="18.75" customHeight="1">
      <c r="A714" s="283"/>
      <c r="B714" s="234" t="str">
        <f>'Building Bill of Materials_SLIM'!P714</f>
        <v/>
      </c>
      <c r="C714" s="234" t="str">
        <f>'Building Bill of Materials_SLIM'!Q714</f>
        <v/>
      </c>
      <c r="D714" s="234" t="str">
        <f>'Building Bill of Materials_SLIM'!R714</f>
        <v/>
      </c>
      <c r="E714" s="234" t="str">
        <f>'Building Bill of Materials_SLIM'!S714</f>
        <v/>
      </c>
      <c r="F714" s="234"/>
      <c r="G714" s="234"/>
      <c r="H714" s="234" t="str">
        <f>'Building Bill of Materials_SLIM'!T714</f>
        <v/>
      </c>
      <c r="I714" s="234" t="str">
        <f>'Building Bill of Materials_SLIM'!U714</f>
        <v/>
      </c>
      <c r="J714" s="234" t="str">
        <f>'Building Bill of Materials_SLIM'!V714</f>
        <v/>
      </c>
      <c r="K714" s="192"/>
      <c r="L714" s="242"/>
      <c r="M714" s="242"/>
      <c r="N714" s="291"/>
      <c r="O714" s="291"/>
      <c r="P714" s="291"/>
      <c r="Q714" s="291"/>
      <c r="R714" s="291"/>
      <c r="S714" s="291"/>
      <c r="T714" s="291"/>
      <c r="U714" s="291"/>
      <c r="V714" s="291"/>
      <c r="W714" s="291"/>
      <c r="X714" s="291"/>
      <c r="Y714" s="291"/>
      <c r="Z714" s="291"/>
      <c r="AA714" s="291"/>
      <c r="AB714" s="291"/>
      <c r="AC714" s="291"/>
      <c r="AD714" s="291"/>
      <c r="AE714" s="291"/>
      <c r="AF714" s="291"/>
      <c r="AG714" s="291"/>
    </row>
    <row r="715" ht="18.75" customHeight="1">
      <c r="A715" s="283"/>
      <c r="B715" s="234" t="str">
        <f>'Building Bill of Materials_SLIM'!P715</f>
        <v/>
      </c>
      <c r="C715" s="234" t="str">
        <f>'Building Bill of Materials_SLIM'!Q715</f>
        <v/>
      </c>
      <c r="D715" s="234" t="str">
        <f>'Building Bill of Materials_SLIM'!R715</f>
        <v/>
      </c>
      <c r="E715" s="234" t="str">
        <f>'Building Bill of Materials_SLIM'!S715</f>
        <v/>
      </c>
      <c r="F715" s="234"/>
      <c r="G715" s="234"/>
      <c r="H715" s="234" t="str">
        <f>'Building Bill of Materials_SLIM'!T715</f>
        <v/>
      </c>
      <c r="I715" s="234" t="str">
        <f>'Building Bill of Materials_SLIM'!U715</f>
        <v/>
      </c>
      <c r="J715" s="234" t="str">
        <f>'Building Bill of Materials_SLIM'!V715</f>
        <v/>
      </c>
      <c r="K715" s="192"/>
      <c r="L715" s="242"/>
      <c r="M715" s="242"/>
      <c r="N715" s="291"/>
      <c r="O715" s="291"/>
      <c r="P715" s="291"/>
      <c r="Q715" s="291"/>
      <c r="R715" s="291"/>
      <c r="S715" s="291"/>
      <c r="T715" s="291"/>
      <c r="U715" s="291"/>
      <c r="V715" s="291"/>
      <c r="W715" s="291"/>
      <c r="X715" s="291"/>
      <c r="Y715" s="291"/>
      <c r="Z715" s="291"/>
      <c r="AA715" s="291"/>
      <c r="AB715" s="291"/>
      <c r="AC715" s="291"/>
      <c r="AD715" s="291"/>
      <c r="AE715" s="291"/>
      <c r="AF715" s="291"/>
      <c r="AG715" s="291"/>
    </row>
    <row r="716" ht="18.75" customHeight="1">
      <c r="A716" s="283"/>
      <c r="B716" s="234" t="str">
        <f>'Building Bill of Materials_SLIM'!P716</f>
        <v/>
      </c>
      <c r="C716" s="234" t="str">
        <f>'Building Bill of Materials_SLIM'!Q716</f>
        <v/>
      </c>
      <c r="D716" s="234" t="str">
        <f>'Building Bill of Materials_SLIM'!R716</f>
        <v/>
      </c>
      <c r="E716" s="234" t="str">
        <f>'Building Bill of Materials_SLIM'!S716</f>
        <v/>
      </c>
      <c r="F716" s="234"/>
      <c r="G716" s="234"/>
      <c r="H716" s="234" t="str">
        <f>'Building Bill of Materials_SLIM'!T716</f>
        <v/>
      </c>
      <c r="I716" s="234" t="str">
        <f>'Building Bill of Materials_SLIM'!U716</f>
        <v/>
      </c>
      <c r="J716" s="234" t="str">
        <f>'Building Bill of Materials_SLIM'!V716</f>
        <v/>
      </c>
      <c r="K716" s="192"/>
      <c r="L716" s="242"/>
      <c r="M716" s="242"/>
      <c r="N716" s="291"/>
      <c r="O716" s="291"/>
      <c r="P716" s="291"/>
      <c r="Q716" s="291"/>
      <c r="R716" s="291"/>
      <c r="S716" s="291"/>
      <c r="T716" s="291"/>
      <c r="U716" s="291"/>
      <c r="V716" s="291"/>
      <c r="W716" s="291"/>
      <c r="X716" s="291"/>
      <c r="Y716" s="291"/>
      <c r="Z716" s="291"/>
      <c r="AA716" s="291"/>
      <c r="AB716" s="291"/>
      <c r="AC716" s="291"/>
      <c r="AD716" s="291"/>
      <c r="AE716" s="291"/>
      <c r="AF716" s="291"/>
      <c r="AG716" s="291"/>
    </row>
    <row r="717" ht="18.75" customHeight="1">
      <c r="A717" s="283"/>
      <c r="B717" s="234" t="str">
        <f>'Building Bill of Materials_SLIM'!P717</f>
        <v/>
      </c>
      <c r="C717" s="234" t="str">
        <f>'Building Bill of Materials_SLIM'!Q717</f>
        <v/>
      </c>
      <c r="D717" s="234" t="str">
        <f>'Building Bill of Materials_SLIM'!R717</f>
        <v/>
      </c>
      <c r="E717" s="234" t="str">
        <f>'Building Bill of Materials_SLIM'!S717</f>
        <v/>
      </c>
      <c r="F717" s="234"/>
      <c r="G717" s="234"/>
      <c r="H717" s="234" t="str">
        <f>'Building Bill of Materials_SLIM'!T717</f>
        <v/>
      </c>
      <c r="I717" s="234" t="str">
        <f>'Building Bill of Materials_SLIM'!U717</f>
        <v/>
      </c>
      <c r="J717" s="234" t="str">
        <f>'Building Bill of Materials_SLIM'!V717</f>
        <v/>
      </c>
      <c r="K717" s="192"/>
      <c r="L717" s="242"/>
      <c r="M717" s="242"/>
      <c r="N717" s="291"/>
      <c r="O717" s="291"/>
      <c r="P717" s="291"/>
      <c r="Q717" s="291"/>
      <c r="R717" s="291"/>
      <c r="S717" s="291"/>
      <c r="T717" s="291"/>
      <c r="U717" s="291"/>
      <c r="V717" s="291"/>
      <c r="W717" s="291"/>
      <c r="X717" s="291"/>
      <c r="Y717" s="291"/>
      <c r="Z717" s="291"/>
      <c r="AA717" s="291"/>
      <c r="AB717" s="291"/>
      <c r="AC717" s="291"/>
      <c r="AD717" s="291"/>
      <c r="AE717" s="291"/>
      <c r="AF717" s="291"/>
      <c r="AG717" s="291"/>
    </row>
    <row r="718" ht="18.75" customHeight="1">
      <c r="A718" s="283"/>
      <c r="B718" s="234" t="str">
        <f>'Building Bill of Materials_SLIM'!P718</f>
        <v/>
      </c>
      <c r="C718" s="234" t="str">
        <f>'Building Bill of Materials_SLIM'!Q718</f>
        <v/>
      </c>
      <c r="D718" s="234" t="str">
        <f>'Building Bill of Materials_SLIM'!R718</f>
        <v/>
      </c>
      <c r="E718" s="234" t="str">
        <f>'Building Bill of Materials_SLIM'!S718</f>
        <v/>
      </c>
      <c r="F718" s="234"/>
      <c r="G718" s="234"/>
      <c r="H718" s="234" t="str">
        <f>'Building Bill of Materials_SLIM'!T718</f>
        <v/>
      </c>
      <c r="I718" s="234" t="str">
        <f>'Building Bill of Materials_SLIM'!U718</f>
        <v/>
      </c>
      <c r="J718" s="234" t="str">
        <f>'Building Bill of Materials_SLIM'!V718</f>
        <v/>
      </c>
      <c r="K718" s="192"/>
      <c r="L718" s="242"/>
      <c r="M718" s="242"/>
      <c r="N718" s="291"/>
      <c r="O718" s="291"/>
      <c r="P718" s="291"/>
      <c r="Q718" s="291"/>
      <c r="R718" s="291"/>
      <c r="S718" s="291"/>
      <c r="T718" s="291"/>
      <c r="U718" s="291"/>
      <c r="V718" s="291"/>
      <c r="W718" s="291"/>
      <c r="X718" s="291"/>
      <c r="Y718" s="291"/>
      <c r="Z718" s="291"/>
      <c r="AA718" s="291"/>
      <c r="AB718" s="291"/>
      <c r="AC718" s="291"/>
      <c r="AD718" s="291"/>
      <c r="AE718" s="291"/>
      <c r="AF718" s="291"/>
      <c r="AG718" s="291"/>
    </row>
    <row r="719" ht="18.75" customHeight="1">
      <c r="A719" s="283"/>
      <c r="B719" s="234" t="str">
        <f>'Building Bill of Materials_SLIM'!P719</f>
        <v/>
      </c>
      <c r="C719" s="234" t="str">
        <f>'Building Bill of Materials_SLIM'!Q719</f>
        <v/>
      </c>
      <c r="D719" s="234" t="str">
        <f>'Building Bill of Materials_SLIM'!R719</f>
        <v/>
      </c>
      <c r="E719" s="234" t="str">
        <f>'Building Bill of Materials_SLIM'!S719</f>
        <v/>
      </c>
      <c r="F719" s="234"/>
      <c r="G719" s="234"/>
      <c r="H719" s="234" t="str">
        <f>'Building Bill of Materials_SLIM'!T719</f>
        <v/>
      </c>
      <c r="I719" s="234" t="str">
        <f>'Building Bill of Materials_SLIM'!U719</f>
        <v/>
      </c>
      <c r="J719" s="234" t="str">
        <f>'Building Bill of Materials_SLIM'!V719</f>
        <v/>
      </c>
      <c r="K719" s="192"/>
      <c r="L719" s="242"/>
      <c r="M719" s="242"/>
      <c r="N719" s="291"/>
      <c r="O719" s="291"/>
      <c r="P719" s="291"/>
      <c r="Q719" s="291"/>
      <c r="R719" s="291"/>
      <c r="S719" s="291"/>
      <c r="T719" s="291"/>
      <c r="U719" s="291"/>
      <c r="V719" s="291"/>
      <c r="W719" s="291"/>
      <c r="X719" s="291"/>
      <c r="Y719" s="291"/>
      <c r="Z719" s="291"/>
      <c r="AA719" s="291"/>
      <c r="AB719" s="291"/>
      <c r="AC719" s="291"/>
      <c r="AD719" s="291"/>
      <c r="AE719" s="291"/>
      <c r="AF719" s="291"/>
      <c r="AG719" s="291"/>
    </row>
    <row r="720" ht="18.75" customHeight="1">
      <c r="A720" s="283"/>
      <c r="B720" s="234" t="str">
        <f>'Building Bill of Materials_SLIM'!P720</f>
        <v/>
      </c>
      <c r="C720" s="234" t="str">
        <f>'Building Bill of Materials_SLIM'!Q720</f>
        <v/>
      </c>
      <c r="D720" s="234" t="str">
        <f>'Building Bill of Materials_SLIM'!R720</f>
        <v/>
      </c>
      <c r="E720" s="234" t="str">
        <f>'Building Bill of Materials_SLIM'!S720</f>
        <v/>
      </c>
      <c r="F720" s="234"/>
      <c r="G720" s="234"/>
      <c r="H720" s="234" t="str">
        <f>'Building Bill of Materials_SLIM'!T720</f>
        <v/>
      </c>
      <c r="I720" s="234" t="str">
        <f>'Building Bill of Materials_SLIM'!U720</f>
        <v/>
      </c>
      <c r="J720" s="234" t="str">
        <f>'Building Bill of Materials_SLIM'!V720</f>
        <v/>
      </c>
      <c r="K720" s="192"/>
      <c r="L720" s="242"/>
      <c r="M720" s="242"/>
      <c r="N720" s="291"/>
      <c r="O720" s="291"/>
      <c r="P720" s="291"/>
      <c r="Q720" s="291"/>
      <c r="R720" s="291"/>
      <c r="S720" s="291"/>
      <c r="T720" s="291"/>
      <c r="U720" s="291"/>
      <c r="V720" s="291"/>
      <c r="W720" s="291"/>
      <c r="X720" s="291"/>
      <c r="Y720" s="291"/>
      <c r="Z720" s="291"/>
      <c r="AA720" s="291"/>
      <c r="AB720" s="291"/>
      <c r="AC720" s="291"/>
      <c r="AD720" s="291"/>
      <c r="AE720" s="291"/>
      <c r="AF720" s="291"/>
      <c r="AG720" s="291"/>
    </row>
    <row r="721" ht="18.75" customHeight="1">
      <c r="A721" s="283"/>
      <c r="B721" s="234" t="str">
        <f>'Building Bill of Materials_SLIM'!P721</f>
        <v/>
      </c>
      <c r="C721" s="234" t="str">
        <f>'Building Bill of Materials_SLIM'!Q721</f>
        <v/>
      </c>
      <c r="D721" s="234" t="str">
        <f>'Building Bill of Materials_SLIM'!R721</f>
        <v/>
      </c>
      <c r="E721" s="234" t="str">
        <f>'Building Bill of Materials_SLIM'!S721</f>
        <v/>
      </c>
      <c r="F721" s="234"/>
      <c r="G721" s="234"/>
      <c r="H721" s="234" t="str">
        <f>'Building Bill of Materials_SLIM'!T721</f>
        <v/>
      </c>
      <c r="I721" s="234" t="str">
        <f>'Building Bill of Materials_SLIM'!U721</f>
        <v/>
      </c>
      <c r="J721" s="234" t="str">
        <f>'Building Bill of Materials_SLIM'!V721</f>
        <v/>
      </c>
      <c r="K721" s="192"/>
      <c r="L721" s="242"/>
      <c r="M721" s="242"/>
      <c r="N721" s="291"/>
      <c r="O721" s="291"/>
      <c r="P721" s="291"/>
      <c r="Q721" s="291"/>
      <c r="R721" s="291"/>
      <c r="S721" s="291"/>
      <c r="T721" s="291"/>
      <c r="U721" s="291"/>
      <c r="V721" s="291"/>
      <c r="W721" s="291"/>
      <c r="X721" s="291"/>
      <c r="Y721" s="291"/>
      <c r="Z721" s="291"/>
      <c r="AA721" s="291"/>
      <c r="AB721" s="291"/>
      <c r="AC721" s="291"/>
      <c r="AD721" s="291"/>
      <c r="AE721" s="291"/>
      <c r="AF721" s="291"/>
      <c r="AG721" s="291"/>
    </row>
    <row r="722" ht="18.75" customHeight="1">
      <c r="A722" s="283"/>
      <c r="B722" s="234" t="str">
        <f>'Building Bill of Materials_SLIM'!P722</f>
        <v/>
      </c>
      <c r="C722" s="234" t="str">
        <f>'Building Bill of Materials_SLIM'!Q722</f>
        <v/>
      </c>
      <c r="D722" s="234" t="str">
        <f>'Building Bill of Materials_SLIM'!R722</f>
        <v/>
      </c>
      <c r="E722" s="234" t="str">
        <f>'Building Bill of Materials_SLIM'!S722</f>
        <v/>
      </c>
      <c r="F722" s="234"/>
      <c r="G722" s="234"/>
      <c r="H722" s="234" t="str">
        <f>'Building Bill of Materials_SLIM'!T722</f>
        <v/>
      </c>
      <c r="I722" s="234" t="str">
        <f>'Building Bill of Materials_SLIM'!U722</f>
        <v/>
      </c>
      <c r="J722" s="234" t="str">
        <f>'Building Bill of Materials_SLIM'!V722</f>
        <v/>
      </c>
      <c r="K722" s="192"/>
      <c r="L722" s="242"/>
      <c r="M722" s="242"/>
      <c r="N722" s="291"/>
      <c r="O722" s="291"/>
      <c r="P722" s="291"/>
      <c r="Q722" s="291"/>
      <c r="R722" s="291"/>
      <c r="S722" s="291"/>
      <c r="T722" s="291"/>
      <c r="U722" s="291"/>
      <c r="V722" s="291"/>
      <c r="W722" s="291"/>
      <c r="X722" s="291"/>
      <c r="Y722" s="291"/>
      <c r="Z722" s="291"/>
      <c r="AA722" s="291"/>
      <c r="AB722" s="291"/>
      <c r="AC722" s="291"/>
      <c r="AD722" s="291"/>
      <c r="AE722" s="291"/>
      <c r="AF722" s="291"/>
      <c r="AG722" s="291"/>
    </row>
    <row r="723" ht="18.75" customHeight="1">
      <c r="A723" s="283"/>
      <c r="B723" s="234" t="str">
        <f>'Building Bill of Materials_SLIM'!P723</f>
        <v/>
      </c>
      <c r="C723" s="234" t="str">
        <f>'Building Bill of Materials_SLIM'!Q723</f>
        <v/>
      </c>
      <c r="D723" s="234" t="str">
        <f>'Building Bill of Materials_SLIM'!R723</f>
        <v/>
      </c>
      <c r="E723" s="234" t="str">
        <f>'Building Bill of Materials_SLIM'!S723</f>
        <v/>
      </c>
      <c r="F723" s="234"/>
      <c r="G723" s="234"/>
      <c r="H723" s="234" t="str">
        <f>'Building Bill of Materials_SLIM'!T723</f>
        <v/>
      </c>
      <c r="I723" s="234" t="str">
        <f>'Building Bill of Materials_SLIM'!U723</f>
        <v/>
      </c>
      <c r="J723" s="234" t="str">
        <f>'Building Bill of Materials_SLIM'!V723</f>
        <v/>
      </c>
      <c r="K723" s="192"/>
      <c r="L723" s="242"/>
      <c r="M723" s="242"/>
      <c r="N723" s="291"/>
      <c r="O723" s="291"/>
      <c r="P723" s="291"/>
      <c r="Q723" s="291"/>
      <c r="R723" s="291"/>
      <c r="S723" s="291"/>
      <c r="T723" s="291"/>
      <c r="U723" s="291"/>
      <c r="V723" s="291"/>
      <c r="W723" s="291"/>
      <c r="X723" s="291"/>
      <c r="Y723" s="291"/>
      <c r="Z723" s="291"/>
      <c r="AA723" s="291"/>
      <c r="AB723" s="291"/>
      <c r="AC723" s="291"/>
      <c r="AD723" s="291"/>
      <c r="AE723" s="291"/>
      <c r="AF723" s="291"/>
      <c r="AG723" s="291"/>
    </row>
    <row r="724" ht="18.75" customHeight="1">
      <c r="A724" s="283"/>
      <c r="B724" s="234" t="str">
        <f>'Building Bill of Materials_SLIM'!P724</f>
        <v/>
      </c>
      <c r="C724" s="234" t="str">
        <f>'Building Bill of Materials_SLIM'!Q724</f>
        <v/>
      </c>
      <c r="D724" s="234" t="str">
        <f>'Building Bill of Materials_SLIM'!R724</f>
        <v/>
      </c>
      <c r="E724" s="234" t="str">
        <f>'Building Bill of Materials_SLIM'!S724</f>
        <v/>
      </c>
      <c r="F724" s="234"/>
      <c r="G724" s="234"/>
      <c r="H724" s="234" t="str">
        <f>'Building Bill of Materials_SLIM'!T724</f>
        <v/>
      </c>
      <c r="I724" s="234" t="str">
        <f>'Building Bill of Materials_SLIM'!U724</f>
        <v/>
      </c>
      <c r="J724" s="234" t="str">
        <f>'Building Bill of Materials_SLIM'!V724</f>
        <v/>
      </c>
      <c r="K724" s="192"/>
      <c r="L724" s="242"/>
      <c r="M724" s="242"/>
      <c r="N724" s="291"/>
      <c r="O724" s="291"/>
      <c r="P724" s="291"/>
      <c r="Q724" s="291"/>
      <c r="R724" s="291"/>
      <c r="S724" s="291"/>
      <c r="T724" s="291"/>
      <c r="U724" s="291"/>
      <c r="V724" s="291"/>
      <c r="W724" s="291"/>
      <c r="X724" s="291"/>
      <c r="Y724" s="291"/>
      <c r="Z724" s="291"/>
      <c r="AA724" s="291"/>
      <c r="AB724" s="291"/>
      <c r="AC724" s="291"/>
      <c r="AD724" s="291"/>
      <c r="AE724" s="291"/>
      <c r="AF724" s="291"/>
      <c r="AG724" s="291"/>
    </row>
    <row r="725" ht="18.75" customHeight="1">
      <c r="A725" s="283"/>
      <c r="B725" s="234" t="str">
        <f>'Building Bill of Materials_SLIM'!P725</f>
        <v/>
      </c>
      <c r="C725" s="234" t="str">
        <f>'Building Bill of Materials_SLIM'!Q725</f>
        <v/>
      </c>
      <c r="D725" s="234" t="str">
        <f>'Building Bill of Materials_SLIM'!R725</f>
        <v/>
      </c>
      <c r="E725" s="234" t="str">
        <f>'Building Bill of Materials_SLIM'!S725</f>
        <v/>
      </c>
      <c r="F725" s="234"/>
      <c r="G725" s="234"/>
      <c r="H725" s="234" t="str">
        <f>'Building Bill of Materials_SLIM'!T725</f>
        <v/>
      </c>
      <c r="I725" s="234" t="str">
        <f>'Building Bill of Materials_SLIM'!U725</f>
        <v/>
      </c>
      <c r="J725" s="234" t="str">
        <f>'Building Bill of Materials_SLIM'!V725</f>
        <v/>
      </c>
      <c r="K725" s="192"/>
      <c r="L725" s="242"/>
      <c r="M725" s="242"/>
      <c r="N725" s="291"/>
      <c r="O725" s="291"/>
      <c r="P725" s="291"/>
      <c r="Q725" s="291"/>
      <c r="R725" s="291"/>
      <c r="S725" s="291"/>
      <c r="T725" s="291"/>
      <c r="U725" s="291"/>
      <c r="V725" s="291"/>
      <c r="W725" s="291"/>
      <c r="X725" s="291"/>
      <c r="Y725" s="291"/>
      <c r="Z725" s="291"/>
      <c r="AA725" s="291"/>
      <c r="AB725" s="291"/>
      <c r="AC725" s="291"/>
      <c r="AD725" s="291"/>
      <c r="AE725" s="291"/>
      <c r="AF725" s="291"/>
      <c r="AG725" s="291"/>
    </row>
    <row r="726" ht="18.75" customHeight="1">
      <c r="A726" s="283"/>
      <c r="B726" s="234" t="str">
        <f>'Building Bill of Materials_SLIM'!P726</f>
        <v/>
      </c>
      <c r="C726" s="234" t="str">
        <f>'Building Bill of Materials_SLIM'!Q726</f>
        <v/>
      </c>
      <c r="D726" s="234" t="str">
        <f>'Building Bill of Materials_SLIM'!R726</f>
        <v/>
      </c>
      <c r="E726" s="234" t="str">
        <f>'Building Bill of Materials_SLIM'!S726</f>
        <v/>
      </c>
      <c r="F726" s="234"/>
      <c r="G726" s="234"/>
      <c r="H726" s="234" t="str">
        <f>'Building Bill of Materials_SLIM'!T726</f>
        <v/>
      </c>
      <c r="I726" s="234" t="str">
        <f>'Building Bill of Materials_SLIM'!U726</f>
        <v/>
      </c>
      <c r="J726" s="234" t="str">
        <f>'Building Bill of Materials_SLIM'!V726</f>
        <v/>
      </c>
      <c r="K726" s="192"/>
      <c r="L726" s="242"/>
      <c r="M726" s="242"/>
      <c r="N726" s="291"/>
      <c r="O726" s="291"/>
      <c r="P726" s="291"/>
      <c r="Q726" s="291"/>
      <c r="R726" s="291"/>
      <c r="S726" s="291"/>
      <c r="T726" s="291"/>
      <c r="U726" s="291"/>
      <c r="V726" s="291"/>
      <c r="W726" s="291"/>
      <c r="X726" s="291"/>
      <c r="Y726" s="291"/>
      <c r="Z726" s="291"/>
      <c r="AA726" s="291"/>
      <c r="AB726" s="291"/>
      <c r="AC726" s="291"/>
      <c r="AD726" s="291"/>
      <c r="AE726" s="291"/>
      <c r="AF726" s="291"/>
      <c r="AG726" s="291"/>
    </row>
    <row r="727" ht="18.75" customHeight="1">
      <c r="A727" s="283"/>
      <c r="B727" s="234" t="str">
        <f>'Building Bill of Materials_SLIM'!P727</f>
        <v/>
      </c>
      <c r="C727" s="234" t="str">
        <f>'Building Bill of Materials_SLIM'!Q727</f>
        <v/>
      </c>
      <c r="D727" s="234" t="str">
        <f>'Building Bill of Materials_SLIM'!R727</f>
        <v/>
      </c>
      <c r="E727" s="234" t="str">
        <f>'Building Bill of Materials_SLIM'!S727</f>
        <v/>
      </c>
      <c r="F727" s="234"/>
      <c r="G727" s="234"/>
      <c r="H727" s="234" t="str">
        <f>'Building Bill of Materials_SLIM'!T727</f>
        <v/>
      </c>
      <c r="I727" s="234" t="str">
        <f>'Building Bill of Materials_SLIM'!U727</f>
        <v/>
      </c>
      <c r="J727" s="234" t="str">
        <f>'Building Bill of Materials_SLIM'!V727</f>
        <v/>
      </c>
      <c r="K727" s="192"/>
      <c r="L727" s="242"/>
      <c r="M727" s="242"/>
      <c r="N727" s="291"/>
      <c r="O727" s="291"/>
      <c r="P727" s="291"/>
      <c r="Q727" s="291"/>
      <c r="R727" s="291"/>
      <c r="S727" s="291"/>
      <c r="T727" s="291"/>
      <c r="U727" s="291"/>
      <c r="V727" s="291"/>
      <c r="W727" s="291"/>
      <c r="X727" s="291"/>
      <c r="Y727" s="291"/>
      <c r="Z727" s="291"/>
      <c r="AA727" s="291"/>
      <c r="AB727" s="291"/>
      <c r="AC727" s="291"/>
      <c r="AD727" s="291"/>
      <c r="AE727" s="291"/>
      <c r="AF727" s="291"/>
      <c r="AG727" s="291"/>
    </row>
    <row r="728" ht="18.75" customHeight="1">
      <c r="A728" s="283"/>
      <c r="B728" s="234" t="str">
        <f>'Building Bill of Materials_SLIM'!P728</f>
        <v/>
      </c>
      <c r="C728" s="234" t="str">
        <f>'Building Bill of Materials_SLIM'!Q728</f>
        <v/>
      </c>
      <c r="D728" s="234" t="str">
        <f>'Building Bill of Materials_SLIM'!R728</f>
        <v/>
      </c>
      <c r="E728" s="234" t="str">
        <f>'Building Bill of Materials_SLIM'!S728</f>
        <v/>
      </c>
      <c r="F728" s="234"/>
      <c r="G728" s="234"/>
      <c r="H728" s="234" t="str">
        <f>'Building Bill of Materials_SLIM'!T728</f>
        <v/>
      </c>
      <c r="I728" s="234" t="str">
        <f>'Building Bill of Materials_SLIM'!U728</f>
        <v/>
      </c>
      <c r="J728" s="234" t="str">
        <f>'Building Bill of Materials_SLIM'!V728</f>
        <v/>
      </c>
      <c r="K728" s="192"/>
      <c r="L728" s="242"/>
      <c r="M728" s="242"/>
      <c r="N728" s="291"/>
      <c r="O728" s="291"/>
      <c r="P728" s="291"/>
      <c r="Q728" s="291"/>
      <c r="R728" s="291"/>
      <c r="S728" s="291"/>
      <c r="T728" s="291"/>
      <c r="U728" s="291"/>
      <c r="V728" s="291"/>
      <c r="W728" s="291"/>
      <c r="X728" s="291"/>
      <c r="Y728" s="291"/>
      <c r="Z728" s="291"/>
      <c r="AA728" s="291"/>
      <c r="AB728" s="291"/>
      <c r="AC728" s="291"/>
      <c r="AD728" s="291"/>
      <c r="AE728" s="291"/>
      <c r="AF728" s="291"/>
      <c r="AG728" s="291"/>
    </row>
    <row r="729" ht="18.75" customHeight="1">
      <c r="A729" s="283"/>
      <c r="B729" s="234" t="str">
        <f>'Building Bill of Materials_SLIM'!P729</f>
        <v/>
      </c>
      <c r="C729" s="234" t="str">
        <f>'Building Bill of Materials_SLIM'!Q729</f>
        <v/>
      </c>
      <c r="D729" s="234" t="str">
        <f>'Building Bill of Materials_SLIM'!R729</f>
        <v/>
      </c>
      <c r="E729" s="234" t="str">
        <f>'Building Bill of Materials_SLIM'!S729</f>
        <v/>
      </c>
      <c r="F729" s="234"/>
      <c r="G729" s="234"/>
      <c r="H729" s="234" t="str">
        <f>'Building Bill of Materials_SLIM'!T729</f>
        <v/>
      </c>
      <c r="I729" s="234" t="str">
        <f>'Building Bill of Materials_SLIM'!U729</f>
        <v/>
      </c>
      <c r="J729" s="234" t="str">
        <f>'Building Bill of Materials_SLIM'!V729</f>
        <v/>
      </c>
      <c r="K729" s="192"/>
      <c r="L729" s="242"/>
      <c r="M729" s="242"/>
      <c r="N729" s="291"/>
      <c r="O729" s="291"/>
      <c r="P729" s="291"/>
      <c r="Q729" s="291"/>
      <c r="R729" s="291"/>
      <c r="S729" s="291"/>
      <c r="T729" s="291"/>
      <c r="U729" s="291"/>
      <c r="V729" s="291"/>
      <c r="W729" s="291"/>
      <c r="X729" s="291"/>
      <c r="Y729" s="291"/>
      <c r="Z729" s="291"/>
      <c r="AA729" s="291"/>
      <c r="AB729" s="291"/>
      <c r="AC729" s="291"/>
      <c r="AD729" s="291"/>
      <c r="AE729" s="291"/>
      <c r="AF729" s="291"/>
      <c r="AG729" s="291"/>
    </row>
    <row r="730" ht="18.75" customHeight="1">
      <c r="A730" s="283"/>
      <c r="B730" s="234" t="str">
        <f>'Building Bill of Materials_SLIM'!P730</f>
        <v/>
      </c>
      <c r="C730" s="234" t="str">
        <f>'Building Bill of Materials_SLIM'!Q730</f>
        <v/>
      </c>
      <c r="D730" s="234" t="str">
        <f>'Building Bill of Materials_SLIM'!R730</f>
        <v/>
      </c>
      <c r="E730" s="234" t="str">
        <f>'Building Bill of Materials_SLIM'!S730</f>
        <v/>
      </c>
      <c r="F730" s="234"/>
      <c r="G730" s="234"/>
      <c r="H730" s="234" t="str">
        <f>'Building Bill of Materials_SLIM'!T730</f>
        <v/>
      </c>
      <c r="I730" s="234" t="str">
        <f>'Building Bill of Materials_SLIM'!U730</f>
        <v/>
      </c>
      <c r="J730" s="234" t="str">
        <f>'Building Bill of Materials_SLIM'!V730</f>
        <v/>
      </c>
      <c r="K730" s="192"/>
      <c r="L730" s="242"/>
      <c r="M730" s="242"/>
      <c r="N730" s="291"/>
      <c r="O730" s="291"/>
      <c r="P730" s="291"/>
      <c r="Q730" s="291"/>
      <c r="R730" s="291"/>
      <c r="S730" s="291"/>
      <c r="T730" s="291"/>
      <c r="U730" s="291"/>
      <c r="V730" s="291"/>
      <c r="W730" s="291"/>
      <c r="X730" s="291"/>
      <c r="Y730" s="291"/>
      <c r="Z730" s="291"/>
      <c r="AA730" s="291"/>
      <c r="AB730" s="291"/>
      <c r="AC730" s="291"/>
      <c r="AD730" s="291"/>
      <c r="AE730" s="291"/>
      <c r="AF730" s="291"/>
      <c r="AG730" s="291"/>
    </row>
    <row r="731" ht="18.75" customHeight="1">
      <c r="A731" s="283"/>
      <c r="B731" s="234" t="str">
        <f>'Building Bill of Materials_SLIM'!P731</f>
        <v/>
      </c>
      <c r="C731" s="234" t="str">
        <f>'Building Bill of Materials_SLIM'!Q731</f>
        <v/>
      </c>
      <c r="D731" s="234" t="str">
        <f>'Building Bill of Materials_SLIM'!R731</f>
        <v/>
      </c>
      <c r="E731" s="234" t="str">
        <f>'Building Bill of Materials_SLIM'!S731</f>
        <v/>
      </c>
      <c r="F731" s="234"/>
      <c r="G731" s="234"/>
      <c r="H731" s="234" t="str">
        <f>'Building Bill of Materials_SLIM'!T731</f>
        <v/>
      </c>
      <c r="I731" s="234" t="str">
        <f>'Building Bill of Materials_SLIM'!U731</f>
        <v/>
      </c>
      <c r="J731" s="234" t="str">
        <f>'Building Bill of Materials_SLIM'!V731</f>
        <v/>
      </c>
      <c r="K731" s="192"/>
      <c r="L731" s="242"/>
      <c r="M731" s="242"/>
      <c r="N731" s="291"/>
      <c r="O731" s="291"/>
      <c r="P731" s="291"/>
      <c r="Q731" s="291"/>
      <c r="R731" s="291"/>
      <c r="S731" s="291"/>
      <c r="T731" s="291"/>
      <c r="U731" s="291"/>
      <c r="V731" s="291"/>
      <c r="W731" s="291"/>
      <c r="X731" s="291"/>
      <c r="Y731" s="291"/>
      <c r="Z731" s="291"/>
      <c r="AA731" s="291"/>
      <c r="AB731" s="291"/>
      <c r="AC731" s="291"/>
      <c r="AD731" s="291"/>
      <c r="AE731" s="291"/>
      <c r="AF731" s="291"/>
      <c r="AG731" s="291"/>
    </row>
    <row r="732" ht="18.75" customHeight="1">
      <c r="A732" s="283"/>
      <c r="B732" s="234" t="str">
        <f>'Building Bill of Materials_SLIM'!P732</f>
        <v/>
      </c>
      <c r="C732" s="234" t="str">
        <f>'Building Bill of Materials_SLIM'!Q732</f>
        <v/>
      </c>
      <c r="D732" s="234" t="str">
        <f>'Building Bill of Materials_SLIM'!R732</f>
        <v/>
      </c>
      <c r="E732" s="234" t="str">
        <f>'Building Bill of Materials_SLIM'!S732</f>
        <v/>
      </c>
      <c r="F732" s="234"/>
      <c r="G732" s="234"/>
      <c r="H732" s="234" t="str">
        <f>'Building Bill of Materials_SLIM'!T732</f>
        <v/>
      </c>
      <c r="I732" s="234" t="str">
        <f>'Building Bill of Materials_SLIM'!U732</f>
        <v/>
      </c>
      <c r="J732" s="234" t="str">
        <f>'Building Bill of Materials_SLIM'!V732</f>
        <v/>
      </c>
      <c r="K732" s="192"/>
      <c r="L732" s="242"/>
      <c r="M732" s="242"/>
      <c r="N732" s="291"/>
      <c r="O732" s="291"/>
      <c r="P732" s="291"/>
      <c r="Q732" s="291"/>
      <c r="R732" s="291"/>
      <c r="S732" s="291"/>
      <c r="T732" s="291"/>
      <c r="U732" s="291"/>
      <c r="V732" s="291"/>
      <c r="W732" s="291"/>
      <c r="X732" s="291"/>
      <c r="Y732" s="291"/>
      <c r="Z732" s="291"/>
      <c r="AA732" s="291"/>
      <c r="AB732" s="291"/>
      <c r="AC732" s="291"/>
      <c r="AD732" s="291"/>
      <c r="AE732" s="291"/>
      <c r="AF732" s="291"/>
      <c r="AG732" s="291"/>
    </row>
    <row r="733" ht="18.75" customHeight="1">
      <c r="A733" s="283"/>
      <c r="B733" s="234" t="str">
        <f>'Building Bill of Materials_SLIM'!P733</f>
        <v/>
      </c>
      <c r="C733" s="234" t="str">
        <f>'Building Bill of Materials_SLIM'!Q733</f>
        <v/>
      </c>
      <c r="D733" s="234" t="str">
        <f>'Building Bill of Materials_SLIM'!R733</f>
        <v/>
      </c>
      <c r="E733" s="234" t="str">
        <f>'Building Bill of Materials_SLIM'!S733</f>
        <v/>
      </c>
      <c r="F733" s="234"/>
      <c r="G733" s="234"/>
      <c r="H733" s="234" t="str">
        <f>'Building Bill of Materials_SLIM'!T733</f>
        <v/>
      </c>
      <c r="I733" s="234" t="str">
        <f>'Building Bill of Materials_SLIM'!U733</f>
        <v/>
      </c>
      <c r="J733" s="234" t="str">
        <f>'Building Bill of Materials_SLIM'!V733</f>
        <v/>
      </c>
      <c r="K733" s="192"/>
      <c r="L733" s="242"/>
      <c r="M733" s="242"/>
      <c r="N733" s="291"/>
      <c r="O733" s="291"/>
      <c r="P733" s="291"/>
      <c r="Q733" s="291"/>
      <c r="R733" s="291"/>
      <c r="S733" s="291"/>
      <c r="T733" s="291"/>
      <c r="U733" s="291"/>
      <c r="V733" s="291"/>
      <c r="W733" s="291"/>
      <c r="X733" s="291"/>
      <c r="Y733" s="291"/>
      <c r="Z733" s="291"/>
      <c r="AA733" s="291"/>
      <c r="AB733" s="291"/>
      <c r="AC733" s="291"/>
      <c r="AD733" s="291"/>
      <c r="AE733" s="291"/>
      <c r="AF733" s="291"/>
      <c r="AG733" s="291"/>
    </row>
    <row r="734" ht="18.75" customHeight="1">
      <c r="A734" s="283"/>
      <c r="B734" s="234" t="str">
        <f>'Building Bill of Materials_SLIM'!P734</f>
        <v/>
      </c>
      <c r="C734" s="234" t="str">
        <f>'Building Bill of Materials_SLIM'!Q734</f>
        <v/>
      </c>
      <c r="D734" s="234" t="str">
        <f>'Building Bill of Materials_SLIM'!R734</f>
        <v/>
      </c>
      <c r="E734" s="234" t="str">
        <f>'Building Bill of Materials_SLIM'!S734</f>
        <v/>
      </c>
      <c r="F734" s="234"/>
      <c r="G734" s="234"/>
      <c r="H734" s="234" t="str">
        <f>'Building Bill of Materials_SLIM'!T734</f>
        <v/>
      </c>
      <c r="I734" s="234" t="str">
        <f>'Building Bill of Materials_SLIM'!U734</f>
        <v/>
      </c>
      <c r="J734" s="234" t="str">
        <f>'Building Bill of Materials_SLIM'!V734</f>
        <v/>
      </c>
      <c r="K734" s="192"/>
      <c r="L734" s="242"/>
      <c r="M734" s="242"/>
      <c r="N734" s="291"/>
      <c r="O734" s="291"/>
      <c r="P734" s="291"/>
      <c r="Q734" s="291"/>
      <c r="R734" s="291"/>
      <c r="S734" s="291"/>
      <c r="T734" s="291"/>
      <c r="U734" s="291"/>
      <c r="V734" s="291"/>
      <c r="W734" s="291"/>
      <c r="X734" s="291"/>
      <c r="Y734" s="291"/>
      <c r="Z734" s="291"/>
      <c r="AA734" s="291"/>
      <c r="AB734" s="291"/>
      <c r="AC734" s="291"/>
      <c r="AD734" s="291"/>
      <c r="AE734" s="291"/>
      <c r="AF734" s="291"/>
      <c r="AG734" s="291"/>
    </row>
    <row r="735" ht="18.75" customHeight="1">
      <c r="A735" s="283"/>
      <c r="B735" s="234" t="str">
        <f>'Building Bill of Materials_SLIM'!P735</f>
        <v/>
      </c>
      <c r="C735" s="234" t="str">
        <f>'Building Bill of Materials_SLIM'!Q735</f>
        <v/>
      </c>
      <c r="D735" s="234" t="str">
        <f>'Building Bill of Materials_SLIM'!R735</f>
        <v/>
      </c>
      <c r="E735" s="234" t="str">
        <f>'Building Bill of Materials_SLIM'!S735</f>
        <v/>
      </c>
      <c r="F735" s="234"/>
      <c r="G735" s="234"/>
      <c r="H735" s="234" t="str">
        <f>'Building Bill of Materials_SLIM'!T735</f>
        <v/>
      </c>
      <c r="I735" s="234" t="str">
        <f>'Building Bill of Materials_SLIM'!U735</f>
        <v/>
      </c>
      <c r="J735" s="234" t="str">
        <f>'Building Bill of Materials_SLIM'!V735</f>
        <v/>
      </c>
      <c r="K735" s="192"/>
      <c r="L735" s="242"/>
      <c r="M735" s="242"/>
      <c r="N735" s="291"/>
      <c r="O735" s="291"/>
      <c r="P735" s="291"/>
      <c r="Q735" s="291"/>
      <c r="R735" s="291"/>
      <c r="S735" s="291"/>
      <c r="T735" s="291"/>
      <c r="U735" s="291"/>
      <c r="V735" s="291"/>
      <c r="W735" s="291"/>
      <c r="X735" s="291"/>
      <c r="Y735" s="291"/>
      <c r="Z735" s="291"/>
      <c r="AA735" s="291"/>
      <c r="AB735" s="291"/>
      <c r="AC735" s="291"/>
      <c r="AD735" s="291"/>
      <c r="AE735" s="291"/>
      <c r="AF735" s="291"/>
      <c r="AG735" s="291"/>
    </row>
    <row r="736" ht="18.75" customHeight="1">
      <c r="A736" s="283"/>
      <c r="B736" s="234" t="str">
        <f>'Building Bill of Materials_SLIM'!P736</f>
        <v/>
      </c>
      <c r="C736" s="234" t="str">
        <f>'Building Bill of Materials_SLIM'!Q736</f>
        <v/>
      </c>
      <c r="D736" s="234" t="str">
        <f>'Building Bill of Materials_SLIM'!R736</f>
        <v/>
      </c>
      <c r="E736" s="234" t="str">
        <f>'Building Bill of Materials_SLIM'!S736</f>
        <v/>
      </c>
      <c r="F736" s="234"/>
      <c r="G736" s="234"/>
      <c r="H736" s="234" t="str">
        <f>'Building Bill of Materials_SLIM'!T736</f>
        <v/>
      </c>
      <c r="I736" s="234" t="str">
        <f>'Building Bill of Materials_SLIM'!U736</f>
        <v/>
      </c>
      <c r="J736" s="234" t="str">
        <f>'Building Bill of Materials_SLIM'!V736</f>
        <v/>
      </c>
      <c r="K736" s="192"/>
      <c r="L736" s="242"/>
      <c r="M736" s="242"/>
      <c r="N736" s="291"/>
      <c r="O736" s="291"/>
      <c r="P736" s="291"/>
      <c r="Q736" s="291"/>
      <c r="R736" s="291"/>
      <c r="S736" s="291"/>
      <c r="T736" s="291"/>
      <c r="U736" s="291"/>
      <c r="V736" s="291"/>
      <c r="W736" s="291"/>
      <c r="X736" s="291"/>
      <c r="Y736" s="291"/>
      <c r="Z736" s="291"/>
      <c r="AA736" s="291"/>
      <c r="AB736" s="291"/>
      <c r="AC736" s="291"/>
      <c r="AD736" s="291"/>
      <c r="AE736" s="291"/>
      <c r="AF736" s="291"/>
      <c r="AG736" s="291"/>
    </row>
    <row r="737" ht="18.75" customHeight="1">
      <c r="A737" s="283"/>
      <c r="B737" s="234" t="str">
        <f>'Building Bill of Materials_SLIM'!P737</f>
        <v/>
      </c>
      <c r="C737" s="234" t="str">
        <f>'Building Bill of Materials_SLIM'!Q737</f>
        <v/>
      </c>
      <c r="D737" s="234" t="str">
        <f>'Building Bill of Materials_SLIM'!R737</f>
        <v/>
      </c>
      <c r="E737" s="234" t="str">
        <f>'Building Bill of Materials_SLIM'!S737</f>
        <v/>
      </c>
      <c r="F737" s="234"/>
      <c r="G737" s="234"/>
      <c r="H737" s="234" t="str">
        <f>'Building Bill of Materials_SLIM'!T737</f>
        <v/>
      </c>
      <c r="I737" s="234" t="str">
        <f>'Building Bill of Materials_SLIM'!U737</f>
        <v/>
      </c>
      <c r="J737" s="234" t="str">
        <f>'Building Bill of Materials_SLIM'!V737</f>
        <v/>
      </c>
      <c r="K737" s="192"/>
      <c r="L737" s="242"/>
      <c r="M737" s="242"/>
      <c r="N737" s="291"/>
      <c r="O737" s="291"/>
      <c r="P737" s="291"/>
      <c r="Q737" s="291"/>
      <c r="R737" s="291"/>
      <c r="S737" s="291"/>
      <c r="T737" s="291"/>
      <c r="U737" s="291"/>
      <c r="V737" s="291"/>
      <c r="W737" s="291"/>
      <c r="X737" s="291"/>
      <c r="Y737" s="291"/>
      <c r="Z737" s="291"/>
      <c r="AA737" s="291"/>
      <c r="AB737" s="291"/>
      <c r="AC737" s="291"/>
      <c r="AD737" s="291"/>
      <c r="AE737" s="291"/>
      <c r="AF737" s="291"/>
      <c r="AG737" s="291"/>
    </row>
    <row r="738" ht="18.75" customHeight="1">
      <c r="A738" s="283"/>
      <c r="B738" s="234" t="str">
        <f>'Building Bill of Materials_SLIM'!P738</f>
        <v/>
      </c>
      <c r="C738" s="234" t="str">
        <f>'Building Bill of Materials_SLIM'!Q738</f>
        <v/>
      </c>
      <c r="D738" s="234" t="str">
        <f>'Building Bill of Materials_SLIM'!R738</f>
        <v/>
      </c>
      <c r="E738" s="234" t="str">
        <f>'Building Bill of Materials_SLIM'!S738</f>
        <v/>
      </c>
      <c r="F738" s="234"/>
      <c r="G738" s="234"/>
      <c r="H738" s="234" t="str">
        <f>'Building Bill of Materials_SLIM'!T738</f>
        <v/>
      </c>
      <c r="I738" s="234" t="str">
        <f>'Building Bill of Materials_SLIM'!U738</f>
        <v/>
      </c>
      <c r="J738" s="234" t="str">
        <f>'Building Bill of Materials_SLIM'!V738</f>
        <v/>
      </c>
      <c r="K738" s="192"/>
      <c r="L738" s="242"/>
      <c r="M738" s="242"/>
      <c r="N738" s="291"/>
      <c r="O738" s="291"/>
      <c r="P738" s="291"/>
      <c r="Q738" s="291"/>
      <c r="R738" s="291"/>
      <c r="S738" s="291"/>
      <c r="T738" s="291"/>
      <c r="U738" s="291"/>
      <c r="V738" s="291"/>
      <c r="W738" s="291"/>
      <c r="X738" s="291"/>
      <c r="Y738" s="291"/>
      <c r="Z738" s="291"/>
      <c r="AA738" s="291"/>
      <c r="AB738" s="291"/>
      <c r="AC738" s="291"/>
      <c r="AD738" s="291"/>
      <c r="AE738" s="291"/>
      <c r="AF738" s="291"/>
      <c r="AG738" s="291"/>
    </row>
    <row r="739" ht="18.75" customHeight="1">
      <c r="A739" s="283"/>
      <c r="B739" s="234" t="str">
        <f>'Building Bill of Materials_SLIM'!P739</f>
        <v/>
      </c>
      <c r="C739" s="234" t="str">
        <f>'Building Bill of Materials_SLIM'!Q739</f>
        <v/>
      </c>
      <c r="D739" s="234" t="str">
        <f>'Building Bill of Materials_SLIM'!R739</f>
        <v/>
      </c>
      <c r="E739" s="234" t="str">
        <f>'Building Bill of Materials_SLIM'!S739</f>
        <v/>
      </c>
      <c r="F739" s="234"/>
      <c r="G739" s="234"/>
      <c r="H739" s="234" t="str">
        <f>'Building Bill of Materials_SLIM'!T739</f>
        <v/>
      </c>
      <c r="I739" s="234" t="str">
        <f>'Building Bill of Materials_SLIM'!U739</f>
        <v/>
      </c>
      <c r="J739" s="234" t="str">
        <f>'Building Bill of Materials_SLIM'!V739</f>
        <v/>
      </c>
      <c r="K739" s="192"/>
      <c r="L739" s="242"/>
      <c r="M739" s="242"/>
      <c r="N739" s="291"/>
      <c r="O739" s="291"/>
      <c r="P739" s="291"/>
      <c r="Q739" s="291"/>
      <c r="R739" s="291"/>
      <c r="S739" s="291"/>
      <c r="T739" s="291"/>
      <c r="U739" s="291"/>
      <c r="V739" s="291"/>
      <c r="W739" s="291"/>
      <c r="X739" s="291"/>
      <c r="Y739" s="291"/>
      <c r="Z739" s="291"/>
      <c r="AA739" s="291"/>
      <c r="AB739" s="291"/>
      <c r="AC739" s="291"/>
      <c r="AD739" s="291"/>
      <c r="AE739" s="291"/>
      <c r="AF739" s="291"/>
      <c r="AG739" s="291"/>
    </row>
    <row r="740" ht="18.75" customHeight="1">
      <c r="A740" s="283"/>
      <c r="B740" s="234" t="str">
        <f>'Building Bill of Materials_SLIM'!P740</f>
        <v/>
      </c>
      <c r="C740" s="234" t="str">
        <f>'Building Bill of Materials_SLIM'!Q740</f>
        <v/>
      </c>
      <c r="D740" s="234" t="str">
        <f>'Building Bill of Materials_SLIM'!R740</f>
        <v/>
      </c>
      <c r="E740" s="234" t="str">
        <f>'Building Bill of Materials_SLIM'!S740</f>
        <v/>
      </c>
      <c r="F740" s="234"/>
      <c r="G740" s="234"/>
      <c r="H740" s="234" t="str">
        <f>'Building Bill of Materials_SLIM'!T740</f>
        <v/>
      </c>
      <c r="I740" s="234" t="str">
        <f>'Building Bill of Materials_SLIM'!U740</f>
        <v/>
      </c>
      <c r="J740" s="234" t="str">
        <f>'Building Bill of Materials_SLIM'!V740</f>
        <v/>
      </c>
      <c r="K740" s="192"/>
      <c r="L740" s="242"/>
      <c r="M740" s="242"/>
      <c r="N740" s="291"/>
      <c r="O740" s="291"/>
      <c r="P740" s="291"/>
      <c r="Q740" s="291"/>
      <c r="R740" s="291"/>
      <c r="S740" s="291"/>
      <c r="T740" s="291"/>
      <c r="U740" s="291"/>
      <c r="V740" s="291"/>
      <c r="W740" s="291"/>
      <c r="X740" s="291"/>
      <c r="Y740" s="291"/>
      <c r="Z740" s="291"/>
      <c r="AA740" s="291"/>
      <c r="AB740" s="291"/>
      <c r="AC740" s="291"/>
      <c r="AD740" s="291"/>
      <c r="AE740" s="291"/>
      <c r="AF740" s="291"/>
      <c r="AG740" s="291"/>
    </row>
    <row r="741" ht="18.75" customHeight="1">
      <c r="A741" s="283"/>
      <c r="B741" s="234" t="str">
        <f>'Building Bill of Materials_SLIM'!P741</f>
        <v/>
      </c>
      <c r="C741" s="234" t="str">
        <f>'Building Bill of Materials_SLIM'!Q741</f>
        <v/>
      </c>
      <c r="D741" s="234" t="str">
        <f>'Building Bill of Materials_SLIM'!R741</f>
        <v/>
      </c>
      <c r="E741" s="234" t="str">
        <f>'Building Bill of Materials_SLIM'!S741</f>
        <v/>
      </c>
      <c r="F741" s="234"/>
      <c r="G741" s="234"/>
      <c r="H741" s="234" t="str">
        <f>'Building Bill of Materials_SLIM'!T741</f>
        <v/>
      </c>
      <c r="I741" s="234" t="str">
        <f>'Building Bill of Materials_SLIM'!U741</f>
        <v/>
      </c>
      <c r="J741" s="234" t="str">
        <f>'Building Bill of Materials_SLIM'!V741</f>
        <v/>
      </c>
      <c r="K741" s="192"/>
      <c r="L741" s="242"/>
      <c r="M741" s="242"/>
      <c r="N741" s="291"/>
      <c r="O741" s="291"/>
      <c r="P741" s="291"/>
      <c r="Q741" s="291"/>
      <c r="R741" s="291"/>
      <c r="S741" s="291"/>
      <c r="T741" s="291"/>
      <c r="U741" s="291"/>
      <c r="V741" s="291"/>
      <c r="W741" s="291"/>
      <c r="X741" s="291"/>
      <c r="Y741" s="291"/>
      <c r="Z741" s="291"/>
      <c r="AA741" s="291"/>
      <c r="AB741" s="291"/>
      <c r="AC741" s="291"/>
      <c r="AD741" s="291"/>
      <c r="AE741" s="291"/>
      <c r="AF741" s="291"/>
      <c r="AG741" s="291"/>
    </row>
    <row r="742" ht="18.75" customHeight="1">
      <c r="A742" s="283"/>
      <c r="B742" s="234" t="str">
        <f>'Building Bill of Materials_SLIM'!P742</f>
        <v/>
      </c>
      <c r="C742" s="234" t="str">
        <f>'Building Bill of Materials_SLIM'!Q742</f>
        <v/>
      </c>
      <c r="D742" s="234" t="str">
        <f>'Building Bill of Materials_SLIM'!R742</f>
        <v/>
      </c>
      <c r="E742" s="234" t="str">
        <f>'Building Bill of Materials_SLIM'!S742</f>
        <v/>
      </c>
      <c r="F742" s="234"/>
      <c r="G742" s="234"/>
      <c r="H742" s="234" t="str">
        <f>'Building Bill of Materials_SLIM'!T742</f>
        <v/>
      </c>
      <c r="I742" s="234" t="str">
        <f>'Building Bill of Materials_SLIM'!U742</f>
        <v/>
      </c>
      <c r="J742" s="234" t="str">
        <f>'Building Bill of Materials_SLIM'!V742</f>
        <v/>
      </c>
      <c r="K742" s="192"/>
      <c r="L742" s="242"/>
      <c r="M742" s="242"/>
      <c r="N742" s="291"/>
      <c r="O742" s="291"/>
      <c r="P742" s="291"/>
      <c r="Q742" s="291"/>
      <c r="R742" s="291"/>
      <c r="S742" s="291"/>
      <c r="T742" s="291"/>
      <c r="U742" s="291"/>
      <c r="V742" s="291"/>
      <c r="W742" s="291"/>
      <c r="X742" s="291"/>
      <c r="Y742" s="291"/>
      <c r="Z742" s="291"/>
      <c r="AA742" s="291"/>
      <c r="AB742" s="291"/>
      <c r="AC742" s="291"/>
      <c r="AD742" s="291"/>
      <c r="AE742" s="291"/>
      <c r="AF742" s="291"/>
      <c r="AG742" s="291"/>
    </row>
    <row r="743" ht="18.75" customHeight="1">
      <c r="A743" s="283"/>
      <c r="B743" s="234" t="str">
        <f>'Building Bill of Materials_SLIM'!P743</f>
        <v/>
      </c>
      <c r="C743" s="234" t="str">
        <f>'Building Bill of Materials_SLIM'!Q743</f>
        <v/>
      </c>
      <c r="D743" s="234" t="str">
        <f>'Building Bill of Materials_SLIM'!R743</f>
        <v/>
      </c>
      <c r="E743" s="234" t="str">
        <f>'Building Bill of Materials_SLIM'!S743</f>
        <v/>
      </c>
      <c r="F743" s="234"/>
      <c r="G743" s="234"/>
      <c r="H743" s="234" t="str">
        <f>'Building Bill of Materials_SLIM'!T743</f>
        <v/>
      </c>
      <c r="I743" s="234" t="str">
        <f>'Building Bill of Materials_SLIM'!U743</f>
        <v/>
      </c>
      <c r="J743" s="234" t="str">
        <f>'Building Bill of Materials_SLIM'!V743</f>
        <v/>
      </c>
      <c r="K743" s="192"/>
      <c r="L743" s="242"/>
      <c r="M743" s="242"/>
      <c r="N743" s="291"/>
      <c r="O743" s="291"/>
      <c r="P743" s="291"/>
      <c r="Q743" s="291"/>
      <c r="R743" s="291"/>
      <c r="S743" s="291"/>
      <c r="T743" s="291"/>
      <c r="U743" s="291"/>
      <c r="V743" s="291"/>
      <c r="W743" s="291"/>
      <c r="X743" s="291"/>
      <c r="Y743" s="291"/>
      <c r="Z743" s="291"/>
      <c r="AA743" s="291"/>
      <c r="AB743" s="291"/>
      <c r="AC743" s="291"/>
      <c r="AD743" s="291"/>
      <c r="AE743" s="291"/>
      <c r="AF743" s="291"/>
      <c r="AG743" s="291"/>
    </row>
    <row r="744" ht="18.75" customHeight="1">
      <c r="A744" s="283"/>
      <c r="B744" s="234" t="str">
        <f>'Building Bill of Materials_SLIM'!P744</f>
        <v/>
      </c>
      <c r="C744" s="234" t="str">
        <f>'Building Bill of Materials_SLIM'!Q744</f>
        <v/>
      </c>
      <c r="D744" s="234" t="str">
        <f>'Building Bill of Materials_SLIM'!R744</f>
        <v/>
      </c>
      <c r="E744" s="234" t="str">
        <f>'Building Bill of Materials_SLIM'!S744</f>
        <v/>
      </c>
      <c r="F744" s="234"/>
      <c r="G744" s="234"/>
      <c r="H744" s="234" t="str">
        <f>'Building Bill of Materials_SLIM'!T744</f>
        <v/>
      </c>
      <c r="I744" s="234" t="str">
        <f>'Building Bill of Materials_SLIM'!U744</f>
        <v/>
      </c>
      <c r="J744" s="234" t="str">
        <f>'Building Bill of Materials_SLIM'!V744</f>
        <v/>
      </c>
      <c r="K744" s="192"/>
      <c r="L744" s="242"/>
      <c r="M744" s="242"/>
      <c r="N744" s="291"/>
      <c r="O744" s="291"/>
      <c r="P744" s="291"/>
      <c r="Q744" s="291"/>
      <c r="R744" s="291"/>
      <c r="S744" s="291"/>
      <c r="T744" s="291"/>
      <c r="U744" s="291"/>
      <c r="V744" s="291"/>
      <c r="W744" s="291"/>
      <c r="X744" s="291"/>
      <c r="Y744" s="291"/>
      <c r="Z744" s="291"/>
      <c r="AA744" s="291"/>
      <c r="AB744" s="291"/>
      <c r="AC744" s="291"/>
      <c r="AD744" s="291"/>
      <c r="AE744" s="291"/>
      <c r="AF744" s="291"/>
      <c r="AG744" s="291"/>
    </row>
    <row r="745" ht="18.75" customHeight="1">
      <c r="A745" s="283"/>
      <c r="B745" s="234" t="str">
        <f>'Building Bill of Materials_SLIM'!P745</f>
        <v/>
      </c>
      <c r="C745" s="234" t="str">
        <f>'Building Bill of Materials_SLIM'!Q745</f>
        <v/>
      </c>
      <c r="D745" s="234" t="str">
        <f>'Building Bill of Materials_SLIM'!R745</f>
        <v/>
      </c>
      <c r="E745" s="234" t="str">
        <f>'Building Bill of Materials_SLIM'!S745</f>
        <v/>
      </c>
      <c r="F745" s="234"/>
      <c r="G745" s="234"/>
      <c r="H745" s="234" t="str">
        <f>'Building Bill of Materials_SLIM'!T745</f>
        <v/>
      </c>
      <c r="I745" s="234" t="str">
        <f>'Building Bill of Materials_SLIM'!U745</f>
        <v/>
      </c>
      <c r="J745" s="234" t="str">
        <f>'Building Bill of Materials_SLIM'!V745</f>
        <v/>
      </c>
      <c r="K745" s="192"/>
      <c r="L745" s="242"/>
      <c r="M745" s="242"/>
      <c r="N745" s="291"/>
      <c r="O745" s="291"/>
      <c r="P745" s="291"/>
      <c r="Q745" s="291"/>
      <c r="R745" s="291"/>
      <c r="S745" s="291"/>
      <c r="T745" s="291"/>
      <c r="U745" s="291"/>
      <c r="V745" s="291"/>
      <c r="W745" s="291"/>
      <c r="X745" s="291"/>
      <c r="Y745" s="291"/>
      <c r="Z745" s="291"/>
      <c r="AA745" s="291"/>
      <c r="AB745" s="291"/>
      <c r="AC745" s="291"/>
      <c r="AD745" s="291"/>
      <c r="AE745" s="291"/>
      <c r="AF745" s="291"/>
      <c r="AG745" s="291"/>
    </row>
    <row r="746" ht="18.75" customHeight="1">
      <c r="A746" s="283"/>
      <c r="B746" s="234" t="str">
        <f>'Building Bill of Materials_SLIM'!P746</f>
        <v/>
      </c>
      <c r="C746" s="234" t="str">
        <f>'Building Bill of Materials_SLIM'!Q746</f>
        <v/>
      </c>
      <c r="D746" s="234" t="str">
        <f>'Building Bill of Materials_SLIM'!R746</f>
        <v/>
      </c>
      <c r="E746" s="234" t="str">
        <f>'Building Bill of Materials_SLIM'!S746</f>
        <v/>
      </c>
      <c r="F746" s="234"/>
      <c r="G746" s="234"/>
      <c r="H746" s="234" t="str">
        <f>'Building Bill of Materials_SLIM'!T746</f>
        <v/>
      </c>
      <c r="I746" s="234" t="str">
        <f>'Building Bill of Materials_SLIM'!U746</f>
        <v/>
      </c>
      <c r="J746" s="234" t="str">
        <f>'Building Bill of Materials_SLIM'!V746</f>
        <v/>
      </c>
      <c r="K746" s="192"/>
      <c r="L746" s="242"/>
      <c r="M746" s="242"/>
      <c r="N746" s="291"/>
      <c r="O746" s="291"/>
      <c r="P746" s="291"/>
      <c r="Q746" s="291"/>
      <c r="R746" s="291"/>
      <c r="S746" s="291"/>
      <c r="T746" s="291"/>
      <c r="U746" s="291"/>
      <c r="V746" s="291"/>
      <c r="W746" s="291"/>
      <c r="X746" s="291"/>
      <c r="Y746" s="291"/>
      <c r="Z746" s="291"/>
      <c r="AA746" s="291"/>
      <c r="AB746" s="291"/>
      <c r="AC746" s="291"/>
      <c r="AD746" s="291"/>
      <c r="AE746" s="291"/>
      <c r="AF746" s="291"/>
      <c r="AG746" s="291"/>
    </row>
    <row r="747" ht="18.75" customHeight="1">
      <c r="A747" s="283"/>
      <c r="B747" s="234" t="str">
        <f>'Building Bill of Materials_SLIM'!P747</f>
        <v/>
      </c>
      <c r="C747" s="234" t="str">
        <f>'Building Bill of Materials_SLIM'!Q747</f>
        <v/>
      </c>
      <c r="D747" s="234" t="str">
        <f>'Building Bill of Materials_SLIM'!R747</f>
        <v/>
      </c>
      <c r="E747" s="234" t="str">
        <f>'Building Bill of Materials_SLIM'!S747</f>
        <v/>
      </c>
      <c r="F747" s="234"/>
      <c r="G747" s="234"/>
      <c r="H747" s="234" t="str">
        <f>'Building Bill of Materials_SLIM'!T747</f>
        <v/>
      </c>
      <c r="I747" s="234" t="str">
        <f>'Building Bill of Materials_SLIM'!U747</f>
        <v/>
      </c>
      <c r="J747" s="234" t="str">
        <f>'Building Bill of Materials_SLIM'!V747</f>
        <v/>
      </c>
      <c r="K747" s="192"/>
      <c r="L747" s="242"/>
      <c r="M747" s="242"/>
      <c r="N747" s="291"/>
      <c r="O747" s="291"/>
      <c r="P747" s="291"/>
      <c r="Q747" s="291"/>
      <c r="R747" s="291"/>
      <c r="S747" s="291"/>
      <c r="T747" s="291"/>
      <c r="U747" s="291"/>
      <c r="V747" s="291"/>
      <c r="W747" s="291"/>
      <c r="X747" s="291"/>
      <c r="Y747" s="291"/>
      <c r="Z747" s="291"/>
      <c r="AA747" s="291"/>
      <c r="AB747" s="291"/>
      <c r="AC747" s="291"/>
      <c r="AD747" s="291"/>
      <c r="AE747" s="291"/>
      <c r="AF747" s="291"/>
      <c r="AG747" s="291"/>
    </row>
    <row r="748" ht="18.75" customHeight="1">
      <c r="A748" s="283"/>
      <c r="B748" s="234" t="str">
        <f>'Building Bill of Materials_SLIM'!P748</f>
        <v/>
      </c>
      <c r="C748" s="234" t="str">
        <f>'Building Bill of Materials_SLIM'!Q748</f>
        <v/>
      </c>
      <c r="D748" s="234" t="str">
        <f>'Building Bill of Materials_SLIM'!R748</f>
        <v/>
      </c>
      <c r="E748" s="234" t="str">
        <f>'Building Bill of Materials_SLIM'!S748</f>
        <v/>
      </c>
      <c r="F748" s="234"/>
      <c r="G748" s="234"/>
      <c r="H748" s="234" t="str">
        <f>'Building Bill of Materials_SLIM'!T748</f>
        <v/>
      </c>
      <c r="I748" s="234" t="str">
        <f>'Building Bill of Materials_SLIM'!U748</f>
        <v/>
      </c>
      <c r="J748" s="234" t="str">
        <f>'Building Bill of Materials_SLIM'!V748</f>
        <v/>
      </c>
      <c r="K748" s="192"/>
      <c r="L748" s="242"/>
      <c r="M748" s="242"/>
      <c r="N748" s="291"/>
      <c r="O748" s="291"/>
      <c r="P748" s="291"/>
      <c r="Q748" s="291"/>
      <c r="R748" s="291"/>
      <c r="S748" s="291"/>
      <c r="T748" s="291"/>
      <c r="U748" s="291"/>
      <c r="V748" s="291"/>
      <c r="W748" s="291"/>
      <c r="X748" s="291"/>
      <c r="Y748" s="291"/>
      <c r="Z748" s="291"/>
      <c r="AA748" s="291"/>
      <c r="AB748" s="291"/>
      <c r="AC748" s="291"/>
      <c r="AD748" s="291"/>
      <c r="AE748" s="291"/>
      <c r="AF748" s="291"/>
      <c r="AG748" s="291"/>
    </row>
    <row r="749" ht="18.75" customHeight="1">
      <c r="A749" s="283"/>
      <c r="B749" s="234" t="str">
        <f>'Building Bill of Materials_SLIM'!P749</f>
        <v/>
      </c>
      <c r="C749" s="234" t="str">
        <f>'Building Bill of Materials_SLIM'!Q749</f>
        <v/>
      </c>
      <c r="D749" s="234" t="str">
        <f>'Building Bill of Materials_SLIM'!R749</f>
        <v/>
      </c>
      <c r="E749" s="234" t="str">
        <f>'Building Bill of Materials_SLIM'!S749</f>
        <v/>
      </c>
      <c r="F749" s="234"/>
      <c r="G749" s="234"/>
      <c r="H749" s="234" t="str">
        <f>'Building Bill of Materials_SLIM'!T749</f>
        <v/>
      </c>
      <c r="I749" s="234" t="str">
        <f>'Building Bill of Materials_SLIM'!U749</f>
        <v/>
      </c>
      <c r="J749" s="234" t="str">
        <f>'Building Bill of Materials_SLIM'!V749</f>
        <v/>
      </c>
      <c r="K749" s="192"/>
      <c r="L749" s="242"/>
      <c r="M749" s="242"/>
      <c r="N749" s="291"/>
      <c r="O749" s="291"/>
      <c r="P749" s="291"/>
      <c r="Q749" s="291"/>
      <c r="R749" s="291"/>
      <c r="S749" s="291"/>
      <c r="T749" s="291"/>
      <c r="U749" s="291"/>
      <c r="V749" s="291"/>
      <c r="W749" s="291"/>
      <c r="X749" s="291"/>
      <c r="Y749" s="291"/>
      <c r="Z749" s="291"/>
      <c r="AA749" s="291"/>
      <c r="AB749" s="291"/>
      <c r="AC749" s="291"/>
      <c r="AD749" s="291"/>
      <c r="AE749" s="291"/>
      <c r="AF749" s="291"/>
      <c r="AG749" s="291"/>
    </row>
    <row r="750" ht="18.75" customHeight="1">
      <c r="A750" s="283"/>
      <c r="B750" s="234" t="str">
        <f>'Building Bill of Materials_SLIM'!P750</f>
        <v/>
      </c>
      <c r="C750" s="234" t="str">
        <f>'Building Bill of Materials_SLIM'!Q750</f>
        <v/>
      </c>
      <c r="D750" s="234" t="str">
        <f>'Building Bill of Materials_SLIM'!R750</f>
        <v/>
      </c>
      <c r="E750" s="234" t="str">
        <f>'Building Bill of Materials_SLIM'!S750</f>
        <v/>
      </c>
      <c r="F750" s="234"/>
      <c r="G750" s="234"/>
      <c r="H750" s="234" t="str">
        <f>'Building Bill of Materials_SLIM'!T750</f>
        <v/>
      </c>
      <c r="I750" s="234" t="str">
        <f>'Building Bill of Materials_SLIM'!U750</f>
        <v/>
      </c>
      <c r="J750" s="234" t="str">
        <f>'Building Bill of Materials_SLIM'!V750</f>
        <v/>
      </c>
      <c r="K750" s="192"/>
      <c r="L750" s="242"/>
      <c r="M750" s="242"/>
      <c r="N750" s="291"/>
      <c r="O750" s="291"/>
      <c r="P750" s="291"/>
      <c r="Q750" s="291"/>
      <c r="R750" s="291"/>
      <c r="S750" s="291"/>
      <c r="T750" s="291"/>
      <c r="U750" s="291"/>
      <c r="V750" s="291"/>
      <c r="W750" s="291"/>
      <c r="X750" s="291"/>
      <c r="Y750" s="291"/>
      <c r="Z750" s="291"/>
      <c r="AA750" s="291"/>
      <c r="AB750" s="291"/>
      <c r="AC750" s="291"/>
      <c r="AD750" s="291"/>
      <c r="AE750" s="291"/>
      <c r="AF750" s="291"/>
      <c r="AG750" s="291"/>
    </row>
    <row r="751" ht="18.75" customHeight="1">
      <c r="A751" s="283"/>
      <c r="B751" s="234" t="str">
        <f>'Building Bill of Materials_SLIM'!P751</f>
        <v/>
      </c>
      <c r="C751" s="234" t="str">
        <f>'Building Bill of Materials_SLIM'!Q751</f>
        <v/>
      </c>
      <c r="D751" s="234" t="str">
        <f>'Building Bill of Materials_SLIM'!R751</f>
        <v/>
      </c>
      <c r="E751" s="234" t="str">
        <f>'Building Bill of Materials_SLIM'!S751</f>
        <v/>
      </c>
      <c r="F751" s="234"/>
      <c r="G751" s="234"/>
      <c r="H751" s="234" t="str">
        <f>'Building Bill of Materials_SLIM'!T751</f>
        <v/>
      </c>
      <c r="I751" s="234" t="str">
        <f>'Building Bill of Materials_SLIM'!U751</f>
        <v/>
      </c>
      <c r="J751" s="234" t="str">
        <f>'Building Bill of Materials_SLIM'!V751</f>
        <v/>
      </c>
      <c r="K751" s="192"/>
      <c r="L751" s="242"/>
      <c r="M751" s="242"/>
      <c r="N751" s="291"/>
      <c r="O751" s="291"/>
      <c r="P751" s="291"/>
      <c r="Q751" s="291"/>
      <c r="R751" s="291"/>
      <c r="S751" s="291"/>
      <c r="T751" s="291"/>
      <c r="U751" s="291"/>
      <c r="V751" s="291"/>
      <c r="W751" s="291"/>
      <c r="X751" s="291"/>
      <c r="Y751" s="291"/>
      <c r="Z751" s="291"/>
      <c r="AA751" s="291"/>
      <c r="AB751" s="291"/>
      <c r="AC751" s="291"/>
      <c r="AD751" s="291"/>
      <c r="AE751" s="291"/>
      <c r="AF751" s="291"/>
      <c r="AG751" s="291"/>
    </row>
    <row r="752" ht="18.75" customHeight="1">
      <c r="A752" s="283"/>
      <c r="B752" s="234" t="str">
        <f>'Building Bill of Materials_SLIM'!P752</f>
        <v/>
      </c>
      <c r="C752" s="234" t="str">
        <f>'Building Bill of Materials_SLIM'!Q752</f>
        <v/>
      </c>
      <c r="D752" s="234" t="str">
        <f>'Building Bill of Materials_SLIM'!R752</f>
        <v/>
      </c>
      <c r="E752" s="234" t="str">
        <f>'Building Bill of Materials_SLIM'!S752</f>
        <v/>
      </c>
      <c r="F752" s="234"/>
      <c r="G752" s="234"/>
      <c r="H752" s="234" t="str">
        <f>'Building Bill of Materials_SLIM'!T752</f>
        <v/>
      </c>
      <c r="I752" s="234" t="str">
        <f>'Building Bill of Materials_SLIM'!U752</f>
        <v/>
      </c>
      <c r="J752" s="234" t="str">
        <f>'Building Bill of Materials_SLIM'!V752</f>
        <v/>
      </c>
      <c r="K752" s="192"/>
      <c r="L752" s="242"/>
      <c r="M752" s="242"/>
      <c r="N752" s="291"/>
      <c r="O752" s="291"/>
      <c r="P752" s="291"/>
      <c r="Q752" s="291"/>
      <c r="R752" s="291"/>
      <c r="S752" s="291"/>
      <c r="T752" s="291"/>
      <c r="U752" s="291"/>
      <c r="V752" s="291"/>
      <c r="W752" s="291"/>
      <c r="X752" s="291"/>
      <c r="Y752" s="291"/>
      <c r="Z752" s="291"/>
      <c r="AA752" s="291"/>
      <c r="AB752" s="291"/>
      <c r="AC752" s="291"/>
      <c r="AD752" s="291"/>
      <c r="AE752" s="291"/>
      <c r="AF752" s="291"/>
      <c r="AG752" s="291"/>
    </row>
    <row r="753" ht="18.75" customHeight="1">
      <c r="A753" s="283"/>
      <c r="B753" s="234" t="str">
        <f>'Building Bill of Materials_SLIM'!P753</f>
        <v/>
      </c>
      <c r="C753" s="234" t="str">
        <f>'Building Bill of Materials_SLIM'!Q753</f>
        <v/>
      </c>
      <c r="D753" s="234" t="str">
        <f>'Building Bill of Materials_SLIM'!R753</f>
        <v/>
      </c>
      <c r="E753" s="234" t="str">
        <f>'Building Bill of Materials_SLIM'!S753</f>
        <v/>
      </c>
      <c r="F753" s="234"/>
      <c r="G753" s="234"/>
      <c r="H753" s="234" t="str">
        <f>'Building Bill of Materials_SLIM'!T753</f>
        <v/>
      </c>
      <c r="I753" s="234" t="str">
        <f>'Building Bill of Materials_SLIM'!U753</f>
        <v/>
      </c>
      <c r="J753" s="234" t="str">
        <f>'Building Bill of Materials_SLIM'!V753</f>
        <v/>
      </c>
      <c r="K753" s="192"/>
      <c r="L753" s="242"/>
      <c r="M753" s="242"/>
      <c r="N753" s="291"/>
      <c r="O753" s="291"/>
      <c r="P753" s="291"/>
      <c r="Q753" s="291"/>
      <c r="R753" s="291"/>
      <c r="S753" s="291"/>
      <c r="T753" s="291"/>
      <c r="U753" s="291"/>
      <c r="V753" s="291"/>
      <c r="W753" s="291"/>
      <c r="X753" s="291"/>
      <c r="Y753" s="291"/>
      <c r="Z753" s="291"/>
      <c r="AA753" s="291"/>
      <c r="AB753" s="291"/>
      <c r="AC753" s="291"/>
      <c r="AD753" s="291"/>
      <c r="AE753" s="291"/>
      <c r="AF753" s="291"/>
      <c r="AG753" s="291"/>
    </row>
    <row r="754" ht="18.75" customHeight="1">
      <c r="A754" s="283"/>
      <c r="B754" s="234" t="str">
        <f>'Building Bill of Materials_SLIM'!P754</f>
        <v/>
      </c>
      <c r="C754" s="234" t="str">
        <f>'Building Bill of Materials_SLIM'!Q754</f>
        <v/>
      </c>
      <c r="D754" s="234" t="str">
        <f>'Building Bill of Materials_SLIM'!R754</f>
        <v/>
      </c>
      <c r="E754" s="234" t="str">
        <f>'Building Bill of Materials_SLIM'!S754</f>
        <v/>
      </c>
      <c r="F754" s="234"/>
      <c r="G754" s="234"/>
      <c r="H754" s="234" t="str">
        <f>'Building Bill of Materials_SLIM'!T754</f>
        <v/>
      </c>
      <c r="I754" s="234" t="str">
        <f>'Building Bill of Materials_SLIM'!U754</f>
        <v/>
      </c>
      <c r="J754" s="234" t="str">
        <f>'Building Bill of Materials_SLIM'!V754</f>
        <v/>
      </c>
      <c r="K754" s="192"/>
      <c r="L754" s="242"/>
      <c r="M754" s="242"/>
      <c r="N754" s="291"/>
      <c r="O754" s="291"/>
      <c r="P754" s="291"/>
      <c r="Q754" s="291"/>
      <c r="R754" s="291"/>
      <c r="S754" s="291"/>
      <c r="T754" s="291"/>
      <c r="U754" s="291"/>
      <c r="V754" s="291"/>
      <c r="W754" s="291"/>
      <c r="X754" s="291"/>
      <c r="Y754" s="291"/>
      <c r="Z754" s="291"/>
      <c r="AA754" s="291"/>
      <c r="AB754" s="291"/>
      <c r="AC754" s="291"/>
      <c r="AD754" s="291"/>
      <c r="AE754" s="291"/>
      <c r="AF754" s="291"/>
      <c r="AG754" s="291"/>
    </row>
    <row r="755" ht="18.75" customHeight="1">
      <c r="A755" s="283"/>
      <c r="B755" s="234" t="str">
        <f>'Building Bill of Materials_SLIM'!P755</f>
        <v/>
      </c>
      <c r="C755" s="234" t="str">
        <f>'Building Bill of Materials_SLIM'!Q755</f>
        <v/>
      </c>
      <c r="D755" s="234" t="str">
        <f>'Building Bill of Materials_SLIM'!R755</f>
        <v/>
      </c>
      <c r="E755" s="234" t="str">
        <f>'Building Bill of Materials_SLIM'!S755</f>
        <v/>
      </c>
      <c r="F755" s="234"/>
      <c r="G755" s="234"/>
      <c r="H755" s="234" t="str">
        <f>'Building Bill of Materials_SLIM'!T755</f>
        <v/>
      </c>
      <c r="I755" s="234" t="str">
        <f>'Building Bill of Materials_SLIM'!U755</f>
        <v/>
      </c>
      <c r="J755" s="234" t="str">
        <f>'Building Bill of Materials_SLIM'!V755</f>
        <v/>
      </c>
      <c r="K755" s="192"/>
      <c r="L755" s="242"/>
      <c r="M755" s="242"/>
      <c r="N755" s="291"/>
      <c r="O755" s="291"/>
      <c r="P755" s="291"/>
      <c r="Q755" s="291"/>
      <c r="R755" s="291"/>
      <c r="S755" s="291"/>
      <c r="T755" s="291"/>
      <c r="U755" s="291"/>
      <c r="V755" s="291"/>
      <c r="W755" s="291"/>
      <c r="X755" s="291"/>
      <c r="Y755" s="291"/>
      <c r="Z755" s="291"/>
      <c r="AA755" s="291"/>
      <c r="AB755" s="291"/>
      <c r="AC755" s="291"/>
      <c r="AD755" s="291"/>
      <c r="AE755" s="291"/>
      <c r="AF755" s="291"/>
      <c r="AG755" s="291"/>
    </row>
    <row r="756" ht="18.75" customHeight="1">
      <c r="A756" s="283"/>
      <c r="B756" s="234" t="str">
        <f>'Building Bill of Materials_SLIM'!P756</f>
        <v/>
      </c>
      <c r="C756" s="234" t="str">
        <f>'Building Bill of Materials_SLIM'!Q756</f>
        <v/>
      </c>
      <c r="D756" s="234" t="str">
        <f>'Building Bill of Materials_SLIM'!R756</f>
        <v/>
      </c>
      <c r="E756" s="234" t="str">
        <f>'Building Bill of Materials_SLIM'!S756</f>
        <v/>
      </c>
      <c r="F756" s="234"/>
      <c r="G756" s="234"/>
      <c r="H756" s="234" t="str">
        <f>'Building Bill of Materials_SLIM'!T756</f>
        <v/>
      </c>
      <c r="I756" s="234" t="str">
        <f>'Building Bill of Materials_SLIM'!U756</f>
        <v/>
      </c>
      <c r="J756" s="234" t="str">
        <f>'Building Bill of Materials_SLIM'!V756</f>
        <v/>
      </c>
      <c r="K756" s="192"/>
      <c r="L756" s="242"/>
      <c r="M756" s="242"/>
      <c r="N756" s="291"/>
      <c r="O756" s="291"/>
      <c r="P756" s="291"/>
      <c r="Q756" s="291"/>
      <c r="R756" s="291"/>
      <c r="S756" s="291"/>
      <c r="T756" s="291"/>
      <c r="U756" s="291"/>
      <c r="V756" s="291"/>
      <c r="W756" s="291"/>
      <c r="X756" s="291"/>
      <c r="Y756" s="291"/>
      <c r="Z756" s="291"/>
      <c r="AA756" s="291"/>
      <c r="AB756" s="291"/>
      <c r="AC756" s="291"/>
      <c r="AD756" s="291"/>
      <c r="AE756" s="291"/>
      <c r="AF756" s="291"/>
      <c r="AG756" s="291"/>
    </row>
    <row r="757" ht="18.75" customHeight="1">
      <c r="A757" s="283"/>
      <c r="B757" s="234" t="str">
        <f>'Building Bill of Materials_SLIM'!P757</f>
        <v/>
      </c>
      <c r="C757" s="234" t="str">
        <f>'Building Bill of Materials_SLIM'!Q757</f>
        <v/>
      </c>
      <c r="D757" s="234" t="str">
        <f>'Building Bill of Materials_SLIM'!R757</f>
        <v/>
      </c>
      <c r="E757" s="234" t="str">
        <f>'Building Bill of Materials_SLIM'!S757</f>
        <v/>
      </c>
      <c r="F757" s="234"/>
      <c r="G757" s="234"/>
      <c r="H757" s="234" t="str">
        <f>'Building Bill of Materials_SLIM'!T757</f>
        <v/>
      </c>
      <c r="I757" s="234" t="str">
        <f>'Building Bill of Materials_SLIM'!U757</f>
        <v/>
      </c>
      <c r="J757" s="234" t="str">
        <f>'Building Bill of Materials_SLIM'!V757</f>
        <v/>
      </c>
      <c r="K757" s="192"/>
      <c r="L757" s="242"/>
      <c r="M757" s="242"/>
      <c r="N757" s="291"/>
      <c r="O757" s="291"/>
      <c r="P757" s="291"/>
      <c r="Q757" s="291"/>
      <c r="R757" s="291"/>
      <c r="S757" s="291"/>
      <c r="T757" s="291"/>
      <c r="U757" s="291"/>
      <c r="V757" s="291"/>
      <c r="W757" s="291"/>
      <c r="X757" s="291"/>
      <c r="Y757" s="291"/>
      <c r="Z757" s="291"/>
      <c r="AA757" s="291"/>
      <c r="AB757" s="291"/>
      <c r="AC757" s="291"/>
      <c r="AD757" s="291"/>
      <c r="AE757" s="291"/>
      <c r="AF757" s="291"/>
      <c r="AG757" s="291"/>
    </row>
    <row r="758" ht="18.75" customHeight="1">
      <c r="A758" s="283"/>
      <c r="B758" s="234" t="str">
        <f>'Building Bill of Materials_SLIM'!P758</f>
        <v/>
      </c>
      <c r="C758" s="234" t="str">
        <f>'Building Bill of Materials_SLIM'!Q758</f>
        <v/>
      </c>
      <c r="D758" s="234" t="str">
        <f>'Building Bill of Materials_SLIM'!R758</f>
        <v/>
      </c>
      <c r="E758" s="234" t="str">
        <f>'Building Bill of Materials_SLIM'!S758</f>
        <v/>
      </c>
      <c r="F758" s="234"/>
      <c r="G758" s="234"/>
      <c r="H758" s="234" t="str">
        <f>'Building Bill of Materials_SLIM'!T758</f>
        <v/>
      </c>
      <c r="I758" s="234" t="str">
        <f>'Building Bill of Materials_SLIM'!U758</f>
        <v/>
      </c>
      <c r="J758" s="234" t="str">
        <f>'Building Bill of Materials_SLIM'!V758</f>
        <v/>
      </c>
      <c r="K758" s="192"/>
      <c r="L758" s="242"/>
      <c r="M758" s="242"/>
      <c r="N758" s="291"/>
      <c r="O758" s="291"/>
      <c r="P758" s="291"/>
      <c r="Q758" s="291"/>
      <c r="R758" s="291"/>
      <c r="S758" s="291"/>
      <c r="T758" s="291"/>
      <c r="U758" s="291"/>
      <c r="V758" s="291"/>
      <c r="W758" s="291"/>
      <c r="X758" s="291"/>
      <c r="Y758" s="291"/>
      <c r="Z758" s="291"/>
      <c r="AA758" s="291"/>
      <c r="AB758" s="291"/>
      <c r="AC758" s="291"/>
      <c r="AD758" s="291"/>
      <c r="AE758" s="291"/>
      <c r="AF758" s="291"/>
      <c r="AG758" s="291"/>
    </row>
    <row r="759" ht="18.75" customHeight="1">
      <c r="A759" s="283"/>
      <c r="B759" s="234" t="str">
        <f>'Building Bill of Materials_SLIM'!P759</f>
        <v/>
      </c>
      <c r="C759" s="234" t="str">
        <f>'Building Bill of Materials_SLIM'!Q759</f>
        <v/>
      </c>
      <c r="D759" s="234" t="str">
        <f>'Building Bill of Materials_SLIM'!R759</f>
        <v/>
      </c>
      <c r="E759" s="234" t="str">
        <f>'Building Bill of Materials_SLIM'!S759</f>
        <v/>
      </c>
      <c r="F759" s="234"/>
      <c r="G759" s="234"/>
      <c r="H759" s="234" t="str">
        <f>'Building Bill of Materials_SLIM'!T759</f>
        <v/>
      </c>
      <c r="I759" s="234" t="str">
        <f>'Building Bill of Materials_SLIM'!U759</f>
        <v/>
      </c>
      <c r="J759" s="234" t="str">
        <f>'Building Bill of Materials_SLIM'!V759</f>
        <v/>
      </c>
      <c r="K759" s="192"/>
      <c r="L759" s="242"/>
      <c r="M759" s="242"/>
      <c r="N759" s="291"/>
      <c r="O759" s="291"/>
      <c r="P759" s="291"/>
      <c r="Q759" s="291"/>
      <c r="R759" s="291"/>
      <c r="S759" s="291"/>
      <c r="T759" s="291"/>
      <c r="U759" s="291"/>
      <c r="V759" s="291"/>
      <c r="W759" s="291"/>
      <c r="X759" s="291"/>
      <c r="Y759" s="291"/>
      <c r="Z759" s="291"/>
      <c r="AA759" s="291"/>
      <c r="AB759" s="291"/>
      <c r="AC759" s="291"/>
      <c r="AD759" s="291"/>
      <c r="AE759" s="291"/>
      <c r="AF759" s="291"/>
      <c r="AG759" s="291"/>
    </row>
    <row r="760" ht="18.75" customHeight="1">
      <c r="A760" s="283"/>
      <c r="B760" s="234" t="str">
        <f>'Building Bill of Materials_SLIM'!P760</f>
        <v/>
      </c>
      <c r="C760" s="234" t="str">
        <f>'Building Bill of Materials_SLIM'!Q760</f>
        <v/>
      </c>
      <c r="D760" s="234" t="str">
        <f>'Building Bill of Materials_SLIM'!R760</f>
        <v/>
      </c>
      <c r="E760" s="234" t="str">
        <f>'Building Bill of Materials_SLIM'!S760</f>
        <v/>
      </c>
      <c r="F760" s="234"/>
      <c r="G760" s="234"/>
      <c r="H760" s="234" t="str">
        <f>'Building Bill of Materials_SLIM'!T760</f>
        <v/>
      </c>
      <c r="I760" s="234" t="str">
        <f>'Building Bill of Materials_SLIM'!U760</f>
        <v/>
      </c>
      <c r="J760" s="234" t="str">
        <f>'Building Bill of Materials_SLIM'!V760</f>
        <v/>
      </c>
      <c r="K760" s="192"/>
      <c r="L760" s="242"/>
      <c r="M760" s="242"/>
      <c r="N760" s="291"/>
      <c r="O760" s="291"/>
      <c r="P760" s="291"/>
      <c r="Q760" s="291"/>
      <c r="R760" s="291"/>
      <c r="S760" s="291"/>
      <c r="T760" s="291"/>
      <c r="U760" s="291"/>
      <c r="V760" s="291"/>
      <c r="W760" s="291"/>
      <c r="X760" s="291"/>
      <c r="Y760" s="291"/>
      <c r="Z760" s="291"/>
      <c r="AA760" s="291"/>
      <c r="AB760" s="291"/>
      <c r="AC760" s="291"/>
      <c r="AD760" s="291"/>
      <c r="AE760" s="291"/>
      <c r="AF760" s="291"/>
      <c r="AG760" s="291"/>
    </row>
    <row r="761" ht="18.75" customHeight="1">
      <c r="A761" s="283"/>
      <c r="B761" s="234" t="str">
        <f>'Building Bill of Materials_SLIM'!P761</f>
        <v/>
      </c>
      <c r="C761" s="234" t="str">
        <f>'Building Bill of Materials_SLIM'!Q761</f>
        <v/>
      </c>
      <c r="D761" s="234" t="str">
        <f>'Building Bill of Materials_SLIM'!R761</f>
        <v/>
      </c>
      <c r="E761" s="234" t="str">
        <f>'Building Bill of Materials_SLIM'!S761</f>
        <v/>
      </c>
      <c r="F761" s="234"/>
      <c r="G761" s="234"/>
      <c r="H761" s="234" t="str">
        <f>'Building Bill of Materials_SLIM'!T761</f>
        <v/>
      </c>
      <c r="I761" s="234" t="str">
        <f>'Building Bill of Materials_SLIM'!U761</f>
        <v/>
      </c>
      <c r="J761" s="234" t="str">
        <f>'Building Bill of Materials_SLIM'!V761</f>
        <v/>
      </c>
      <c r="K761" s="192"/>
      <c r="L761" s="242"/>
      <c r="M761" s="242"/>
      <c r="N761" s="291"/>
      <c r="O761" s="291"/>
      <c r="P761" s="291"/>
      <c r="Q761" s="291"/>
      <c r="R761" s="291"/>
      <c r="S761" s="291"/>
      <c r="T761" s="291"/>
      <c r="U761" s="291"/>
      <c r="V761" s="291"/>
      <c r="W761" s="291"/>
      <c r="X761" s="291"/>
      <c r="Y761" s="291"/>
      <c r="Z761" s="291"/>
      <c r="AA761" s="291"/>
      <c r="AB761" s="291"/>
      <c r="AC761" s="291"/>
      <c r="AD761" s="291"/>
      <c r="AE761" s="291"/>
      <c r="AF761" s="291"/>
      <c r="AG761" s="291"/>
    </row>
    <row r="762" ht="18.75" customHeight="1">
      <c r="A762" s="283"/>
      <c r="B762" s="234" t="str">
        <f>'Building Bill of Materials_SLIM'!P762</f>
        <v/>
      </c>
      <c r="C762" s="234" t="str">
        <f>'Building Bill of Materials_SLIM'!Q762</f>
        <v/>
      </c>
      <c r="D762" s="234" t="str">
        <f>'Building Bill of Materials_SLIM'!R762</f>
        <v/>
      </c>
      <c r="E762" s="234" t="str">
        <f>'Building Bill of Materials_SLIM'!S762</f>
        <v/>
      </c>
      <c r="F762" s="234"/>
      <c r="G762" s="234"/>
      <c r="H762" s="234" t="str">
        <f>'Building Bill of Materials_SLIM'!T762</f>
        <v/>
      </c>
      <c r="I762" s="234" t="str">
        <f>'Building Bill of Materials_SLIM'!U762</f>
        <v/>
      </c>
      <c r="J762" s="234" t="str">
        <f>'Building Bill of Materials_SLIM'!V762</f>
        <v/>
      </c>
      <c r="K762" s="192"/>
      <c r="L762" s="242"/>
      <c r="M762" s="242"/>
      <c r="N762" s="291"/>
      <c r="O762" s="291"/>
      <c r="P762" s="291"/>
      <c r="Q762" s="291"/>
      <c r="R762" s="291"/>
      <c r="S762" s="291"/>
      <c r="T762" s="291"/>
      <c r="U762" s="291"/>
      <c r="V762" s="291"/>
      <c r="W762" s="291"/>
      <c r="X762" s="291"/>
      <c r="Y762" s="291"/>
      <c r="Z762" s="291"/>
      <c r="AA762" s="291"/>
      <c r="AB762" s="291"/>
      <c r="AC762" s="291"/>
      <c r="AD762" s="291"/>
      <c r="AE762" s="291"/>
      <c r="AF762" s="291"/>
      <c r="AG762" s="291"/>
    </row>
    <row r="763" ht="18.75" customHeight="1">
      <c r="A763" s="283"/>
      <c r="B763" s="234" t="str">
        <f>'Building Bill of Materials_SLIM'!P763</f>
        <v/>
      </c>
      <c r="C763" s="234" t="str">
        <f>'Building Bill of Materials_SLIM'!Q763</f>
        <v/>
      </c>
      <c r="D763" s="234" t="str">
        <f>'Building Bill of Materials_SLIM'!R763</f>
        <v/>
      </c>
      <c r="E763" s="234" t="str">
        <f>'Building Bill of Materials_SLIM'!S763</f>
        <v/>
      </c>
      <c r="F763" s="234"/>
      <c r="G763" s="234"/>
      <c r="H763" s="234" t="str">
        <f>'Building Bill of Materials_SLIM'!T763</f>
        <v/>
      </c>
      <c r="I763" s="234" t="str">
        <f>'Building Bill of Materials_SLIM'!U763</f>
        <v/>
      </c>
      <c r="J763" s="234" t="str">
        <f>'Building Bill of Materials_SLIM'!V763</f>
        <v/>
      </c>
      <c r="K763" s="192"/>
      <c r="L763" s="242"/>
      <c r="M763" s="242"/>
      <c r="N763" s="291"/>
      <c r="O763" s="291"/>
      <c r="P763" s="291"/>
      <c r="Q763" s="291"/>
      <c r="R763" s="291"/>
      <c r="S763" s="291"/>
      <c r="T763" s="291"/>
      <c r="U763" s="291"/>
      <c r="V763" s="291"/>
      <c r="W763" s="291"/>
      <c r="X763" s="291"/>
      <c r="Y763" s="291"/>
      <c r="Z763" s="291"/>
      <c r="AA763" s="291"/>
      <c r="AB763" s="291"/>
      <c r="AC763" s="291"/>
      <c r="AD763" s="291"/>
      <c r="AE763" s="291"/>
      <c r="AF763" s="291"/>
      <c r="AG763" s="291"/>
    </row>
    <row r="764" ht="18.75" customHeight="1">
      <c r="A764" s="283"/>
      <c r="B764" s="234" t="str">
        <f>'Building Bill of Materials_SLIM'!P764</f>
        <v/>
      </c>
      <c r="C764" s="234" t="str">
        <f>'Building Bill of Materials_SLIM'!Q764</f>
        <v/>
      </c>
      <c r="D764" s="234" t="str">
        <f>'Building Bill of Materials_SLIM'!R764</f>
        <v/>
      </c>
      <c r="E764" s="234" t="str">
        <f>'Building Bill of Materials_SLIM'!S764</f>
        <v/>
      </c>
      <c r="F764" s="234"/>
      <c r="G764" s="234"/>
      <c r="H764" s="234" t="str">
        <f>'Building Bill of Materials_SLIM'!T764</f>
        <v/>
      </c>
      <c r="I764" s="234" t="str">
        <f>'Building Bill of Materials_SLIM'!U764</f>
        <v/>
      </c>
      <c r="J764" s="234" t="str">
        <f>'Building Bill of Materials_SLIM'!V764</f>
        <v/>
      </c>
      <c r="K764" s="192"/>
      <c r="L764" s="242"/>
      <c r="M764" s="242"/>
      <c r="N764" s="291"/>
      <c r="O764" s="291"/>
      <c r="P764" s="291"/>
      <c r="Q764" s="291"/>
      <c r="R764" s="291"/>
      <c r="S764" s="291"/>
      <c r="T764" s="291"/>
      <c r="U764" s="291"/>
      <c r="V764" s="291"/>
      <c r="W764" s="291"/>
      <c r="X764" s="291"/>
      <c r="Y764" s="291"/>
      <c r="Z764" s="291"/>
      <c r="AA764" s="291"/>
      <c r="AB764" s="291"/>
      <c r="AC764" s="291"/>
      <c r="AD764" s="291"/>
      <c r="AE764" s="291"/>
      <c r="AF764" s="291"/>
      <c r="AG764" s="291"/>
    </row>
    <row r="765" ht="18.75" customHeight="1">
      <c r="A765" s="283"/>
      <c r="B765" s="234" t="str">
        <f>'Building Bill of Materials_SLIM'!P765</f>
        <v/>
      </c>
      <c r="C765" s="234" t="str">
        <f>'Building Bill of Materials_SLIM'!Q765</f>
        <v/>
      </c>
      <c r="D765" s="234" t="str">
        <f>'Building Bill of Materials_SLIM'!R765</f>
        <v/>
      </c>
      <c r="E765" s="234" t="str">
        <f>'Building Bill of Materials_SLIM'!S765</f>
        <v/>
      </c>
      <c r="F765" s="234"/>
      <c r="G765" s="234"/>
      <c r="H765" s="234" t="str">
        <f>'Building Bill of Materials_SLIM'!T765</f>
        <v/>
      </c>
      <c r="I765" s="234" t="str">
        <f>'Building Bill of Materials_SLIM'!U765</f>
        <v/>
      </c>
      <c r="J765" s="234" t="str">
        <f>'Building Bill of Materials_SLIM'!V765</f>
        <v/>
      </c>
      <c r="K765" s="192"/>
      <c r="L765" s="242"/>
      <c r="M765" s="242"/>
      <c r="N765" s="291"/>
      <c r="O765" s="291"/>
      <c r="P765" s="291"/>
      <c r="Q765" s="291"/>
      <c r="R765" s="291"/>
      <c r="S765" s="291"/>
      <c r="T765" s="291"/>
      <c r="U765" s="291"/>
      <c r="V765" s="291"/>
      <c r="W765" s="291"/>
      <c r="X765" s="291"/>
      <c r="Y765" s="291"/>
      <c r="Z765" s="291"/>
      <c r="AA765" s="291"/>
      <c r="AB765" s="291"/>
      <c r="AC765" s="291"/>
      <c r="AD765" s="291"/>
      <c r="AE765" s="291"/>
      <c r="AF765" s="291"/>
      <c r="AG765" s="291"/>
    </row>
    <row r="766" ht="18.75" customHeight="1">
      <c r="A766" s="283"/>
      <c r="B766" s="234" t="str">
        <f>'Building Bill of Materials_SLIM'!P766</f>
        <v/>
      </c>
      <c r="C766" s="234" t="str">
        <f>'Building Bill of Materials_SLIM'!Q766</f>
        <v/>
      </c>
      <c r="D766" s="234" t="str">
        <f>'Building Bill of Materials_SLIM'!R766</f>
        <v/>
      </c>
      <c r="E766" s="234" t="str">
        <f>'Building Bill of Materials_SLIM'!S766</f>
        <v/>
      </c>
      <c r="F766" s="234"/>
      <c r="G766" s="234"/>
      <c r="H766" s="234" t="str">
        <f>'Building Bill of Materials_SLIM'!T766</f>
        <v/>
      </c>
      <c r="I766" s="234" t="str">
        <f>'Building Bill of Materials_SLIM'!U766</f>
        <v/>
      </c>
      <c r="J766" s="234" t="str">
        <f>'Building Bill of Materials_SLIM'!V766</f>
        <v/>
      </c>
      <c r="K766" s="192"/>
      <c r="L766" s="242"/>
      <c r="M766" s="242"/>
      <c r="N766" s="291"/>
      <c r="O766" s="291"/>
      <c r="P766" s="291"/>
      <c r="Q766" s="291"/>
      <c r="R766" s="291"/>
      <c r="S766" s="291"/>
      <c r="T766" s="291"/>
      <c r="U766" s="291"/>
      <c r="V766" s="291"/>
      <c r="W766" s="291"/>
      <c r="X766" s="291"/>
      <c r="Y766" s="291"/>
      <c r="Z766" s="291"/>
      <c r="AA766" s="291"/>
      <c r="AB766" s="291"/>
      <c r="AC766" s="291"/>
      <c r="AD766" s="291"/>
      <c r="AE766" s="291"/>
      <c r="AF766" s="291"/>
      <c r="AG766" s="291"/>
    </row>
    <row r="767" ht="18.75" customHeight="1">
      <c r="A767" s="283"/>
      <c r="B767" s="234" t="str">
        <f>'Building Bill of Materials_SLIM'!P767</f>
        <v/>
      </c>
      <c r="C767" s="234" t="str">
        <f>'Building Bill of Materials_SLIM'!Q767</f>
        <v/>
      </c>
      <c r="D767" s="234" t="str">
        <f>'Building Bill of Materials_SLIM'!R767</f>
        <v/>
      </c>
      <c r="E767" s="234" t="str">
        <f>'Building Bill of Materials_SLIM'!S767</f>
        <v/>
      </c>
      <c r="F767" s="234"/>
      <c r="G767" s="234"/>
      <c r="H767" s="234" t="str">
        <f>'Building Bill of Materials_SLIM'!T767</f>
        <v/>
      </c>
      <c r="I767" s="234" t="str">
        <f>'Building Bill of Materials_SLIM'!U767</f>
        <v/>
      </c>
      <c r="J767" s="234" t="str">
        <f>'Building Bill of Materials_SLIM'!V767</f>
        <v/>
      </c>
      <c r="K767" s="192"/>
      <c r="L767" s="242"/>
      <c r="M767" s="242"/>
      <c r="N767" s="291"/>
      <c r="O767" s="291"/>
      <c r="P767" s="291"/>
      <c r="Q767" s="291"/>
      <c r="R767" s="291"/>
      <c r="S767" s="291"/>
      <c r="T767" s="291"/>
      <c r="U767" s="291"/>
      <c r="V767" s="291"/>
      <c r="W767" s="291"/>
      <c r="X767" s="291"/>
      <c r="Y767" s="291"/>
      <c r="Z767" s="291"/>
      <c r="AA767" s="291"/>
      <c r="AB767" s="291"/>
      <c r="AC767" s="291"/>
      <c r="AD767" s="291"/>
      <c r="AE767" s="291"/>
      <c r="AF767" s="291"/>
      <c r="AG767" s="291"/>
    </row>
    <row r="768" ht="18.75" customHeight="1">
      <c r="A768" s="283"/>
      <c r="B768" s="234" t="str">
        <f>'Building Bill of Materials_SLIM'!P768</f>
        <v/>
      </c>
      <c r="C768" s="234" t="str">
        <f>'Building Bill of Materials_SLIM'!Q768</f>
        <v/>
      </c>
      <c r="D768" s="234" t="str">
        <f>'Building Bill of Materials_SLIM'!R768</f>
        <v/>
      </c>
      <c r="E768" s="234" t="str">
        <f>'Building Bill of Materials_SLIM'!S768</f>
        <v/>
      </c>
      <c r="F768" s="234"/>
      <c r="G768" s="234"/>
      <c r="H768" s="234" t="str">
        <f>'Building Bill of Materials_SLIM'!T768</f>
        <v/>
      </c>
      <c r="I768" s="234" t="str">
        <f>'Building Bill of Materials_SLIM'!U768</f>
        <v/>
      </c>
      <c r="J768" s="234" t="str">
        <f>'Building Bill of Materials_SLIM'!V768</f>
        <v/>
      </c>
      <c r="K768" s="192"/>
      <c r="L768" s="242"/>
      <c r="M768" s="242"/>
      <c r="N768" s="291"/>
      <c r="O768" s="291"/>
      <c r="P768" s="291"/>
      <c r="Q768" s="291"/>
      <c r="R768" s="291"/>
      <c r="S768" s="291"/>
      <c r="T768" s="291"/>
      <c r="U768" s="291"/>
      <c r="V768" s="291"/>
      <c r="W768" s="291"/>
      <c r="X768" s="291"/>
      <c r="Y768" s="291"/>
      <c r="Z768" s="291"/>
      <c r="AA768" s="291"/>
      <c r="AB768" s="291"/>
      <c r="AC768" s="291"/>
      <c r="AD768" s="291"/>
      <c r="AE768" s="291"/>
      <c r="AF768" s="291"/>
      <c r="AG768" s="291"/>
    </row>
    <row r="769" ht="18.75" customHeight="1">
      <c r="A769" s="283"/>
      <c r="B769" s="234" t="str">
        <f>'Building Bill of Materials_SLIM'!P769</f>
        <v/>
      </c>
      <c r="C769" s="234" t="str">
        <f>'Building Bill of Materials_SLIM'!Q769</f>
        <v/>
      </c>
      <c r="D769" s="234" t="str">
        <f>'Building Bill of Materials_SLIM'!R769</f>
        <v/>
      </c>
      <c r="E769" s="234" t="str">
        <f>'Building Bill of Materials_SLIM'!S769</f>
        <v/>
      </c>
      <c r="F769" s="234"/>
      <c r="G769" s="234"/>
      <c r="H769" s="234" t="str">
        <f>'Building Bill of Materials_SLIM'!T769</f>
        <v/>
      </c>
      <c r="I769" s="234" t="str">
        <f>'Building Bill of Materials_SLIM'!U769</f>
        <v/>
      </c>
      <c r="J769" s="234" t="str">
        <f>'Building Bill of Materials_SLIM'!V769</f>
        <v/>
      </c>
      <c r="K769" s="192"/>
      <c r="L769" s="242"/>
      <c r="M769" s="242"/>
      <c r="N769" s="291"/>
      <c r="O769" s="291"/>
      <c r="P769" s="291"/>
      <c r="Q769" s="291"/>
      <c r="R769" s="291"/>
      <c r="S769" s="291"/>
      <c r="T769" s="291"/>
      <c r="U769" s="291"/>
      <c r="V769" s="291"/>
      <c r="W769" s="291"/>
      <c r="X769" s="291"/>
      <c r="Y769" s="291"/>
      <c r="Z769" s="291"/>
      <c r="AA769" s="291"/>
      <c r="AB769" s="291"/>
      <c r="AC769" s="291"/>
      <c r="AD769" s="291"/>
      <c r="AE769" s="291"/>
      <c r="AF769" s="291"/>
      <c r="AG769" s="291"/>
    </row>
    <row r="770" ht="18.75" customHeight="1">
      <c r="A770" s="283"/>
      <c r="B770" s="234" t="str">
        <f>'Building Bill of Materials_SLIM'!P770</f>
        <v/>
      </c>
      <c r="C770" s="234" t="str">
        <f>'Building Bill of Materials_SLIM'!Q770</f>
        <v/>
      </c>
      <c r="D770" s="234" t="str">
        <f>'Building Bill of Materials_SLIM'!R770</f>
        <v/>
      </c>
      <c r="E770" s="234" t="str">
        <f>'Building Bill of Materials_SLIM'!S770</f>
        <v/>
      </c>
      <c r="F770" s="234"/>
      <c r="G770" s="234"/>
      <c r="H770" s="234" t="str">
        <f>'Building Bill of Materials_SLIM'!T770</f>
        <v/>
      </c>
      <c r="I770" s="234" t="str">
        <f>'Building Bill of Materials_SLIM'!U770</f>
        <v/>
      </c>
      <c r="J770" s="234" t="str">
        <f>'Building Bill of Materials_SLIM'!V770</f>
        <v/>
      </c>
      <c r="K770" s="192"/>
      <c r="L770" s="242"/>
      <c r="M770" s="242"/>
      <c r="N770" s="291"/>
      <c r="O770" s="291"/>
      <c r="P770" s="291"/>
      <c r="Q770" s="291"/>
      <c r="R770" s="291"/>
      <c r="S770" s="291"/>
      <c r="T770" s="291"/>
      <c r="U770" s="291"/>
      <c r="V770" s="291"/>
      <c r="W770" s="291"/>
      <c r="X770" s="291"/>
      <c r="Y770" s="291"/>
      <c r="Z770" s="291"/>
      <c r="AA770" s="291"/>
      <c r="AB770" s="291"/>
      <c r="AC770" s="291"/>
      <c r="AD770" s="291"/>
      <c r="AE770" s="291"/>
      <c r="AF770" s="291"/>
      <c r="AG770" s="291"/>
    </row>
    <row r="771" ht="18.75" customHeight="1">
      <c r="A771" s="283"/>
      <c r="B771" s="234" t="str">
        <f>'Building Bill of Materials_SLIM'!P771</f>
        <v/>
      </c>
      <c r="C771" s="234" t="str">
        <f>'Building Bill of Materials_SLIM'!Q771</f>
        <v/>
      </c>
      <c r="D771" s="234" t="str">
        <f>'Building Bill of Materials_SLIM'!R771</f>
        <v/>
      </c>
      <c r="E771" s="234" t="str">
        <f>'Building Bill of Materials_SLIM'!S771</f>
        <v/>
      </c>
      <c r="F771" s="234"/>
      <c r="G771" s="234"/>
      <c r="H771" s="234" t="str">
        <f>'Building Bill of Materials_SLIM'!T771</f>
        <v/>
      </c>
      <c r="I771" s="234" t="str">
        <f>'Building Bill of Materials_SLIM'!U771</f>
        <v/>
      </c>
      <c r="J771" s="234" t="str">
        <f>'Building Bill of Materials_SLIM'!V771</f>
        <v/>
      </c>
      <c r="K771" s="192"/>
      <c r="L771" s="242"/>
      <c r="M771" s="242"/>
      <c r="N771" s="291"/>
      <c r="O771" s="291"/>
      <c r="P771" s="291"/>
      <c r="Q771" s="291"/>
      <c r="R771" s="291"/>
      <c r="S771" s="291"/>
      <c r="T771" s="291"/>
      <c r="U771" s="291"/>
      <c r="V771" s="291"/>
      <c r="W771" s="291"/>
      <c r="X771" s="291"/>
      <c r="Y771" s="291"/>
      <c r="Z771" s="291"/>
      <c r="AA771" s="291"/>
      <c r="AB771" s="291"/>
      <c r="AC771" s="291"/>
      <c r="AD771" s="291"/>
      <c r="AE771" s="291"/>
      <c r="AF771" s="291"/>
      <c r="AG771" s="291"/>
    </row>
    <row r="772" ht="18.75" customHeight="1">
      <c r="A772" s="283"/>
      <c r="B772" s="234" t="str">
        <f>'Building Bill of Materials_SLIM'!P772</f>
        <v/>
      </c>
      <c r="C772" s="234" t="str">
        <f>'Building Bill of Materials_SLIM'!Q772</f>
        <v/>
      </c>
      <c r="D772" s="234" t="str">
        <f>'Building Bill of Materials_SLIM'!R772</f>
        <v/>
      </c>
      <c r="E772" s="234" t="str">
        <f>'Building Bill of Materials_SLIM'!S772</f>
        <v/>
      </c>
      <c r="F772" s="234"/>
      <c r="G772" s="234"/>
      <c r="H772" s="234" t="str">
        <f>'Building Bill of Materials_SLIM'!T772</f>
        <v/>
      </c>
      <c r="I772" s="234" t="str">
        <f>'Building Bill of Materials_SLIM'!U772</f>
        <v/>
      </c>
      <c r="J772" s="234" t="str">
        <f>'Building Bill of Materials_SLIM'!V772</f>
        <v/>
      </c>
      <c r="K772" s="192"/>
      <c r="L772" s="242"/>
      <c r="M772" s="242"/>
      <c r="N772" s="291"/>
      <c r="O772" s="291"/>
      <c r="P772" s="291"/>
      <c r="Q772" s="291"/>
      <c r="R772" s="291"/>
      <c r="S772" s="291"/>
      <c r="T772" s="291"/>
      <c r="U772" s="291"/>
      <c r="V772" s="291"/>
      <c r="W772" s="291"/>
      <c r="X772" s="291"/>
      <c r="Y772" s="291"/>
      <c r="Z772" s="291"/>
      <c r="AA772" s="291"/>
      <c r="AB772" s="291"/>
      <c r="AC772" s="291"/>
      <c r="AD772" s="291"/>
      <c r="AE772" s="291"/>
      <c r="AF772" s="291"/>
      <c r="AG772" s="291"/>
    </row>
    <row r="773" ht="18.75" customHeight="1">
      <c r="A773" s="283"/>
      <c r="B773" s="234" t="str">
        <f>'Building Bill of Materials_SLIM'!P773</f>
        <v/>
      </c>
      <c r="C773" s="234" t="str">
        <f>'Building Bill of Materials_SLIM'!Q773</f>
        <v/>
      </c>
      <c r="D773" s="234" t="str">
        <f>'Building Bill of Materials_SLIM'!R773</f>
        <v/>
      </c>
      <c r="E773" s="234" t="str">
        <f>'Building Bill of Materials_SLIM'!S773</f>
        <v/>
      </c>
      <c r="F773" s="234"/>
      <c r="G773" s="234"/>
      <c r="H773" s="234" t="str">
        <f>'Building Bill of Materials_SLIM'!T773</f>
        <v/>
      </c>
      <c r="I773" s="234" t="str">
        <f>'Building Bill of Materials_SLIM'!U773</f>
        <v/>
      </c>
      <c r="J773" s="234" t="str">
        <f>'Building Bill of Materials_SLIM'!V773</f>
        <v/>
      </c>
      <c r="K773" s="192"/>
      <c r="L773" s="242"/>
      <c r="M773" s="242"/>
      <c r="N773" s="291"/>
      <c r="O773" s="291"/>
      <c r="P773" s="291"/>
      <c r="Q773" s="291"/>
      <c r="R773" s="291"/>
      <c r="S773" s="291"/>
      <c r="T773" s="291"/>
      <c r="U773" s="291"/>
      <c r="V773" s="291"/>
      <c r="W773" s="291"/>
      <c r="X773" s="291"/>
      <c r="Y773" s="291"/>
      <c r="Z773" s="291"/>
      <c r="AA773" s="291"/>
      <c r="AB773" s="291"/>
      <c r="AC773" s="291"/>
      <c r="AD773" s="291"/>
      <c r="AE773" s="291"/>
      <c r="AF773" s="291"/>
      <c r="AG773" s="291"/>
    </row>
    <row r="774" ht="18.75" customHeight="1">
      <c r="A774" s="283"/>
      <c r="B774" s="234" t="str">
        <f>'Building Bill of Materials_SLIM'!P774</f>
        <v/>
      </c>
      <c r="C774" s="234" t="str">
        <f>'Building Bill of Materials_SLIM'!Q774</f>
        <v/>
      </c>
      <c r="D774" s="234" t="str">
        <f>'Building Bill of Materials_SLIM'!R774</f>
        <v/>
      </c>
      <c r="E774" s="234" t="str">
        <f>'Building Bill of Materials_SLIM'!S774</f>
        <v/>
      </c>
      <c r="F774" s="234"/>
      <c r="G774" s="234"/>
      <c r="H774" s="234" t="str">
        <f>'Building Bill of Materials_SLIM'!T774</f>
        <v/>
      </c>
      <c r="I774" s="234" t="str">
        <f>'Building Bill of Materials_SLIM'!U774</f>
        <v/>
      </c>
      <c r="J774" s="234" t="str">
        <f>'Building Bill of Materials_SLIM'!V774</f>
        <v/>
      </c>
      <c r="K774" s="192"/>
      <c r="L774" s="242"/>
      <c r="M774" s="242"/>
      <c r="N774" s="291"/>
      <c r="O774" s="291"/>
      <c r="P774" s="291"/>
      <c r="Q774" s="291"/>
      <c r="R774" s="291"/>
      <c r="S774" s="291"/>
      <c r="T774" s="291"/>
      <c r="U774" s="291"/>
      <c r="V774" s="291"/>
      <c r="W774" s="291"/>
      <c r="X774" s="291"/>
      <c r="Y774" s="291"/>
      <c r="Z774" s="291"/>
      <c r="AA774" s="291"/>
      <c r="AB774" s="291"/>
      <c r="AC774" s="291"/>
      <c r="AD774" s="291"/>
      <c r="AE774" s="291"/>
      <c r="AF774" s="291"/>
      <c r="AG774" s="291"/>
    </row>
    <row r="775" ht="18.75" customHeight="1">
      <c r="A775" s="283"/>
      <c r="B775" s="234" t="str">
        <f>'Building Bill of Materials_SLIM'!P775</f>
        <v/>
      </c>
      <c r="C775" s="234" t="str">
        <f>'Building Bill of Materials_SLIM'!Q775</f>
        <v/>
      </c>
      <c r="D775" s="234" t="str">
        <f>'Building Bill of Materials_SLIM'!R775</f>
        <v/>
      </c>
      <c r="E775" s="234" t="str">
        <f>'Building Bill of Materials_SLIM'!S775</f>
        <v/>
      </c>
      <c r="F775" s="234"/>
      <c r="G775" s="234"/>
      <c r="H775" s="234" t="str">
        <f>'Building Bill of Materials_SLIM'!T775</f>
        <v/>
      </c>
      <c r="I775" s="234" t="str">
        <f>'Building Bill of Materials_SLIM'!U775</f>
        <v/>
      </c>
      <c r="J775" s="234" t="str">
        <f>'Building Bill of Materials_SLIM'!V775</f>
        <v/>
      </c>
      <c r="K775" s="192"/>
      <c r="L775" s="242"/>
      <c r="M775" s="242"/>
      <c r="N775" s="291"/>
      <c r="O775" s="291"/>
      <c r="P775" s="291"/>
      <c r="Q775" s="291"/>
      <c r="R775" s="291"/>
      <c r="S775" s="291"/>
      <c r="T775" s="291"/>
      <c r="U775" s="291"/>
      <c r="V775" s="291"/>
      <c r="W775" s="291"/>
      <c r="X775" s="291"/>
      <c r="Y775" s="291"/>
      <c r="Z775" s="291"/>
      <c r="AA775" s="291"/>
      <c r="AB775" s="291"/>
      <c r="AC775" s="291"/>
      <c r="AD775" s="291"/>
      <c r="AE775" s="291"/>
      <c r="AF775" s="291"/>
      <c r="AG775" s="291"/>
    </row>
    <row r="776" ht="18.75" customHeight="1">
      <c r="A776" s="283"/>
      <c r="B776" s="234" t="str">
        <f>'Building Bill of Materials_SLIM'!P776</f>
        <v/>
      </c>
      <c r="C776" s="234" t="str">
        <f>'Building Bill of Materials_SLIM'!Q776</f>
        <v/>
      </c>
      <c r="D776" s="234" t="str">
        <f>'Building Bill of Materials_SLIM'!R776</f>
        <v/>
      </c>
      <c r="E776" s="234" t="str">
        <f>'Building Bill of Materials_SLIM'!S776</f>
        <v/>
      </c>
      <c r="F776" s="234"/>
      <c r="G776" s="234"/>
      <c r="H776" s="234" t="str">
        <f>'Building Bill of Materials_SLIM'!T776</f>
        <v/>
      </c>
      <c r="I776" s="234" t="str">
        <f>'Building Bill of Materials_SLIM'!U776</f>
        <v/>
      </c>
      <c r="J776" s="234" t="str">
        <f>'Building Bill of Materials_SLIM'!V776</f>
        <v/>
      </c>
      <c r="K776" s="192"/>
      <c r="L776" s="242"/>
      <c r="M776" s="242"/>
      <c r="N776" s="291"/>
      <c r="O776" s="291"/>
      <c r="P776" s="291"/>
      <c r="Q776" s="291"/>
      <c r="R776" s="291"/>
      <c r="S776" s="291"/>
      <c r="T776" s="291"/>
      <c r="U776" s="291"/>
      <c r="V776" s="291"/>
      <c r="W776" s="291"/>
      <c r="X776" s="291"/>
      <c r="Y776" s="291"/>
      <c r="Z776" s="291"/>
      <c r="AA776" s="291"/>
      <c r="AB776" s="291"/>
      <c r="AC776" s="291"/>
      <c r="AD776" s="291"/>
      <c r="AE776" s="291"/>
      <c r="AF776" s="291"/>
      <c r="AG776" s="291"/>
    </row>
    <row r="777" ht="18.75" customHeight="1">
      <c r="A777" s="283"/>
      <c r="B777" s="234" t="str">
        <f>'Building Bill of Materials_SLIM'!P777</f>
        <v/>
      </c>
      <c r="C777" s="234" t="str">
        <f>'Building Bill of Materials_SLIM'!Q777</f>
        <v/>
      </c>
      <c r="D777" s="234" t="str">
        <f>'Building Bill of Materials_SLIM'!R777</f>
        <v/>
      </c>
      <c r="E777" s="234" t="str">
        <f>'Building Bill of Materials_SLIM'!S777</f>
        <v/>
      </c>
      <c r="F777" s="234"/>
      <c r="G777" s="234"/>
      <c r="H777" s="234" t="str">
        <f>'Building Bill of Materials_SLIM'!T777</f>
        <v/>
      </c>
      <c r="I777" s="234" t="str">
        <f>'Building Bill of Materials_SLIM'!U777</f>
        <v/>
      </c>
      <c r="J777" s="234" t="str">
        <f>'Building Bill of Materials_SLIM'!V777</f>
        <v/>
      </c>
      <c r="K777" s="192"/>
      <c r="L777" s="242"/>
      <c r="M777" s="242"/>
      <c r="N777" s="291"/>
      <c r="O777" s="291"/>
      <c r="P777" s="291"/>
      <c r="Q777" s="291"/>
      <c r="R777" s="291"/>
      <c r="S777" s="291"/>
      <c r="T777" s="291"/>
      <c r="U777" s="291"/>
      <c r="V777" s="291"/>
      <c r="W777" s="291"/>
      <c r="X777" s="291"/>
      <c r="Y777" s="291"/>
      <c r="Z777" s="291"/>
      <c r="AA777" s="291"/>
      <c r="AB777" s="291"/>
      <c r="AC777" s="291"/>
      <c r="AD777" s="291"/>
      <c r="AE777" s="291"/>
      <c r="AF777" s="291"/>
      <c r="AG777" s="291"/>
    </row>
    <row r="778" ht="18.75" customHeight="1">
      <c r="A778" s="283"/>
      <c r="B778" s="234" t="str">
        <f>'Building Bill of Materials_SLIM'!P778</f>
        <v/>
      </c>
      <c r="C778" s="234" t="str">
        <f>'Building Bill of Materials_SLIM'!Q778</f>
        <v/>
      </c>
      <c r="D778" s="234" t="str">
        <f>'Building Bill of Materials_SLIM'!R778</f>
        <v/>
      </c>
      <c r="E778" s="234" t="str">
        <f>'Building Bill of Materials_SLIM'!S778</f>
        <v/>
      </c>
      <c r="F778" s="234"/>
      <c r="G778" s="234"/>
      <c r="H778" s="234" t="str">
        <f>'Building Bill of Materials_SLIM'!T778</f>
        <v/>
      </c>
      <c r="I778" s="234" t="str">
        <f>'Building Bill of Materials_SLIM'!U778</f>
        <v/>
      </c>
      <c r="J778" s="234" t="str">
        <f>'Building Bill of Materials_SLIM'!V778</f>
        <v/>
      </c>
      <c r="K778" s="192"/>
      <c r="L778" s="242"/>
      <c r="M778" s="242"/>
      <c r="N778" s="291"/>
      <c r="O778" s="291"/>
      <c r="P778" s="291"/>
      <c r="Q778" s="291"/>
      <c r="R778" s="291"/>
      <c r="S778" s="291"/>
      <c r="T778" s="291"/>
      <c r="U778" s="291"/>
      <c r="V778" s="291"/>
      <c r="W778" s="291"/>
      <c r="X778" s="291"/>
      <c r="Y778" s="291"/>
      <c r="Z778" s="291"/>
      <c r="AA778" s="291"/>
      <c r="AB778" s="291"/>
      <c r="AC778" s="291"/>
      <c r="AD778" s="291"/>
      <c r="AE778" s="291"/>
      <c r="AF778" s="291"/>
      <c r="AG778" s="291"/>
    </row>
    <row r="779" ht="18.75" customHeight="1">
      <c r="A779" s="283"/>
      <c r="B779" s="234" t="str">
        <f>'Building Bill of Materials_SLIM'!P779</f>
        <v/>
      </c>
      <c r="C779" s="234" t="str">
        <f>'Building Bill of Materials_SLIM'!Q779</f>
        <v/>
      </c>
      <c r="D779" s="234" t="str">
        <f>'Building Bill of Materials_SLIM'!R779</f>
        <v/>
      </c>
      <c r="E779" s="234" t="str">
        <f>'Building Bill of Materials_SLIM'!S779</f>
        <v/>
      </c>
      <c r="F779" s="234"/>
      <c r="G779" s="234"/>
      <c r="H779" s="234" t="str">
        <f>'Building Bill of Materials_SLIM'!T779</f>
        <v/>
      </c>
      <c r="I779" s="234" t="str">
        <f>'Building Bill of Materials_SLIM'!U779</f>
        <v/>
      </c>
      <c r="J779" s="234" t="str">
        <f>'Building Bill of Materials_SLIM'!V779</f>
        <v/>
      </c>
      <c r="K779" s="192"/>
      <c r="L779" s="242"/>
      <c r="M779" s="242"/>
      <c r="N779" s="291"/>
      <c r="O779" s="291"/>
      <c r="P779" s="291"/>
      <c r="Q779" s="291"/>
      <c r="R779" s="291"/>
      <c r="S779" s="291"/>
      <c r="T779" s="291"/>
      <c r="U779" s="291"/>
      <c r="V779" s="291"/>
      <c r="W779" s="291"/>
      <c r="X779" s="291"/>
      <c r="Y779" s="291"/>
      <c r="Z779" s="291"/>
      <c r="AA779" s="291"/>
      <c r="AB779" s="291"/>
      <c r="AC779" s="291"/>
      <c r="AD779" s="291"/>
      <c r="AE779" s="291"/>
      <c r="AF779" s="291"/>
      <c r="AG779" s="291"/>
    </row>
    <row r="780" ht="18.75" customHeight="1">
      <c r="A780" s="283"/>
      <c r="B780" s="234" t="str">
        <f>'Building Bill of Materials_SLIM'!P780</f>
        <v/>
      </c>
      <c r="C780" s="234" t="str">
        <f>'Building Bill of Materials_SLIM'!Q780</f>
        <v/>
      </c>
      <c r="D780" s="234" t="str">
        <f>'Building Bill of Materials_SLIM'!R780</f>
        <v/>
      </c>
      <c r="E780" s="234" t="str">
        <f>'Building Bill of Materials_SLIM'!S780</f>
        <v/>
      </c>
      <c r="F780" s="234"/>
      <c r="G780" s="234"/>
      <c r="H780" s="234" t="str">
        <f>'Building Bill of Materials_SLIM'!T780</f>
        <v/>
      </c>
      <c r="I780" s="234" t="str">
        <f>'Building Bill of Materials_SLIM'!U780</f>
        <v/>
      </c>
      <c r="J780" s="234" t="str">
        <f>'Building Bill of Materials_SLIM'!V780</f>
        <v/>
      </c>
      <c r="K780" s="192"/>
      <c r="L780" s="242"/>
      <c r="M780" s="242"/>
      <c r="N780" s="291"/>
      <c r="O780" s="291"/>
      <c r="P780" s="291"/>
      <c r="Q780" s="291"/>
      <c r="R780" s="291"/>
      <c r="S780" s="291"/>
      <c r="T780" s="291"/>
      <c r="U780" s="291"/>
      <c r="V780" s="291"/>
      <c r="W780" s="291"/>
      <c r="X780" s="291"/>
      <c r="Y780" s="291"/>
      <c r="Z780" s="291"/>
      <c r="AA780" s="291"/>
      <c r="AB780" s="291"/>
      <c r="AC780" s="291"/>
      <c r="AD780" s="291"/>
      <c r="AE780" s="291"/>
      <c r="AF780" s="291"/>
      <c r="AG780" s="291"/>
    </row>
    <row r="781" ht="18.75" customHeight="1">
      <c r="A781" s="283"/>
      <c r="B781" s="234" t="str">
        <f>'Building Bill of Materials_SLIM'!P781</f>
        <v/>
      </c>
      <c r="C781" s="234" t="str">
        <f>'Building Bill of Materials_SLIM'!Q781</f>
        <v/>
      </c>
      <c r="D781" s="234" t="str">
        <f>'Building Bill of Materials_SLIM'!R781</f>
        <v/>
      </c>
      <c r="E781" s="234" t="str">
        <f>'Building Bill of Materials_SLIM'!S781</f>
        <v/>
      </c>
      <c r="F781" s="234"/>
      <c r="G781" s="234"/>
      <c r="H781" s="234" t="str">
        <f>'Building Bill of Materials_SLIM'!T781</f>
        <v/>
      </c>
      <c r="I781" s="234" t="str">
        <f>'Building Bill of Materials_SLIM'!U781</f>
        <v/>
      </c>
      <c r="J781" s="234" t="str">
        <f>'Building Bill of Materials_SLIM'!V781</f>
        <v/>
      </c>
      <c r="K781" s="192"/>
      <c r="L781" s="242"/>
      <c r="M781" s="242"/>
      <c r="N781" s="291"/>
      <c r="O781" s="291"/>
      <c r="P781" s="291"/>
      <c r="Q781" s="291"/>
      <c r="R781" s="291"/>
      <c r="S781" s="291"/>
      <c r="T781" s="291"/>
      <c r="U781" s="291"/>
      <c r="V781" s="291"/>
      <c r="W781" s="291"/>
      <c r="X781" s="291"/>
      <c r="Y781" s="291"/>
      <c r="Z781" s="291"/>
      <c r="AA781" s="291"/>
      <c r="AB781" s="291"/>
      <c r="AC781" s="291"/>
      <c r="AD781" s="291"/>
      <c r="AE781" s="291"/>
      <c r="AF781" s="291"/>
      <c r="AG781" s="291"/>
    </row>
    <row r="782" ht="18.75" customHeight="1">
      <c r="A782" s="283"/>
      <c r="B782" s="234" t="str">
        <f>'Building Bill of Materials_SLIM'!P782</f>
        <v/>
      </c>
      <c r="C782" s="234" t="str">
        <f>'Building Bill of Materials_SLIM'!Q782</f>
        <v/>
      </c>
      <c r="D782" s="234" t="str">
        <f>'Building Bill of Materials_SLIM'!R782</f>
        <v/>
      </c>
      <c r="E782" s="234" t="str">
        <f>'Building Bill of Materials_SLIM'!S782</f>
        <v/>
      </c>
      <c r="F782" s="234"/>
      <c r="G782" s="234"/>
      <c r="H782" s="234" t="str">
        <f>'Building Bill of Materials_SLIM'!T782</f>
        <v/>
      </c>
      <c r="I782" s="234" t="str">
        <f>'Building Bill of Materials_SLIM'!U782</f>
        <v/>
      </c>
      <c r="J782" s="234" t="str">
        <f>'Building Bill of Materials_SLIM'!V782</f>
        <v/>
      </c>
      <c r="K782" s="192"/>
      <c r="L782" s="242"/>
      <c r="M782" s="242"/>
      <c r="N782" s="291"/>
      <c r="O782" s="291"/>
      <c r="P782" s="291"/>
      <c r="Q782" s="291"/>
      <c r="R782" s="291"/>
      <c r="S782" s="291"/>
      <c r="T782" s="291"/>
      <c r="U782" s="291"/>
      <c r="V782" s="291"/>
      <c r="W782" s="291"/>
      <c r="X782" s="291"/>
      <c r="Y782" s="291"/>
      <c r="Z782" s="291"/>
      <c r="AA782" s="291"/>
      <c r="AB782" s="291"/>
      <c r="AC782" s="291"/>
      <c r="AD782" s="291"/>
      <c r="AE782" s="291"/>
      <c r="AF782" s="291"/>
      <c r="AG782" s="291"/>
    </row>
    <row r="783" ht="18.75" customHeight="1">
      <c r="A783" s="283"/>
      <c r="B783" s="234" t="str">
        <f>'Building Bill of Materials_SLIM'!P783</f>
        <v/>
      </c>
      <c r="C783" s="234" t="str">
        <f>'Building Bill of Materials_SLIM'!Q783</f>
        <v/>
      </c>
      <c r="D783" s="234" t="str">
        <f>'Building Bill of Materials_SLIM'!R783</f>
        <v/>
      </c>
      <c r="E783" s="234" t="str">
        <f>'Building Bill of Materials_SLIM'!S783</f>
        <v/>
      </c>
      <c r="F783" s="234"/>
      <c r="G783" s="234"/>
      <c r="H783" s="234" t="str">
        <f>'Building Bill of Materials_SLIM'!T783</f>
        <v/>
      </c>
      <c r="I783" s="234" t="str">
        <f>'Building Bill of Materials_SLIM'!U783</f>
        <v/>
      </c>
      <c r="J783" s="234" t="str">
        <f>'Building Bill of Materials_SLIM'!V783</f>
        <v/>
      </c>
      <c r="K783" s="192"/>
      <c r="L783" s="242"/>
      <c r="M783" s="242"/>
      <c r="N783" s="291"/>
      <c r="O783" s="291"/>
      <c r="P783" s="291"/>
      <c r="Q783" s="291"/>
      <c r="R783" s="291"/>
      <c r="S783" s="291"/>
      <c r="T783" s="291"/>
      <c r="U783" s="291"/>
      <c r="V783" s="291"/>
      <c r="W783" s="291"/>
      <c r="X783" s="291"/>
      <c r="Y783" s="291"/>
      <c r="Z783" s="291"/>
      <c r="AA783" s="291"/>
      <c r="AB783" s="291"/>
      <c r="AC783" s="291"/>
      <c r="AD783" s="291"/>
      <c r="AE783" s="291"/>
      <c r="AF783" s="291"/>
      <c r="AG783" s="291"/>
    </row>
    <row r="784" ht="18.75" customHeight="1">
      <c r="A784" s="283"/>
      <c r="B784" s="234" t="str">
        <f>'Building Bill of Materials_SLIM'!P784</f>
        <v/>
      </c>
      <c r="C784" s="234" t="str">
        <f>'Building Bill of Materials_SLIM'!Q784</f>
        <v/>
      </c>
      <c r="D784" s="234" t="str">
        <f>'Building Bill of Materials_SLIM'!R784</f>
        <v/>
      </c>
      <c r="E784" s="234" t="str">
        <f>'Building Bill of Materials_SLIM'!S784</f>
        <v/>
      </c>
      <c r="F784" s="234"/>
      <c r="G784" s="234"/>
      <c r="H784" s="234" t="str">
        <f>'Building Bill of Materials_SLIM'!T784</f>
        <v/>
      </c>
      <c r="I784" s="234" t="str">
        <f>'Building Bill of Materials_SLIM'!U784</f>
        <v/>
      </c>
      <c r="J784" s="234" t="str">
        <f>'Building Bill of Materials_SLIM'!V784</f>
        <v/>
      </c>
      <c r="K784" s="192"/>
      <c r="L784" s="242"/>
      <c r="M784" s="242"/>
      <c r="N784" s="291"/>
      <c r="O784" s="291"/>
      <c r="P784" s="291"/>
      <c r="Q784" s="291"/>
      <c r="R784" s="291"/>
      <c r="S784" s="291"/>
      <c r="T784" s="291"/>
      <c r="U784" s="291"/>
      <c r="V784" s="291"/>
      <c r="W784" s="291"/>
      <c r="X784" s="291"/>
      <c r="Y784" s="291"/>
      <c r="Z784" s="291"/>
      <c r="AA784" s="291"/>
      <c r="AB784" s="291"/>
      <c r="AC784" s="291"/>
      <c r="AD784" s="291"/>
      <c r="AE784" s="291"/>
      <c r="AF784" s="291"/>
      <c r="AG784" s="291"/>
    </row>
    <row r="785" ht="18.75" customHeight="1">
      <c r="A785" s="283"/>
      <c r="B785" s="234" t="str">
        <f>'Building Bill of Materials_SLIM'!P785</f>
        <v/>
      </c>
      <c r="C785" s="234" t="str">
        <f>'Building Bill of Materials_SLIM'!Q785</f>
        <v/>
      </c>
      <c r="D785" s="234" t="str">
        <f>'Building Bill of Materials_SLIM'!R785</f>
        <v/>
      </c>
      <c r="E785" s="234" t="str">
        <f>'Building Bill of Materials_SLIM'!S785</f>
        <v/>
      </c>
      <c r="F785" s="234"/>
      <c r="G785" s="234"/>
      <c r="H785" s="234" t="str">
        <f>'Building Bill of Materials_SLIM'!T785</f>
        <v/>
      </c>
      <c r="I785" s="234" t="str">
        <f>'Building Bill of Materials_SLIM'!U785</f>
        <v/>
      </c>
      <c r="J785" s="234" t="str">
        <f>'Building Bill of Materials_SLIM'!V785</f>
        <v/>
      </c>
      <c r="K785" s="192"/>
      <c r="L785" s="242"/>
      <c r="M785" s="242"/>
      <c r="N785" s="291"/>
      <c r="O785" s="291"/>
      <c r="P785" s="291"/>
      <c r="Q785" s="291"/>
      <c r="R785" s="291"/>
      <c r="S785" s="291"/>
      <c r="T785" s="291"/>
      <c r="U785" s="291"/>
      <c r="V785" s="291"/>
      <c r="W785" s="291"/>
      <c r="X785" s="291"/>
      <c r="Y785" s="291"/>
      <c r="Z785" s="291"/>
      <c r="AA785" s="291"/>
      <c r="AB785" s="291"/>
      <c r="AC785" s="291"/>
      <c r="AD785" s="291"/>
      <c r="AE785" s="291"/>
      <c r="AF785" s="291"/>
      <c r="AG785" s="291"/>
    </row>
    <row r="786" ht="18.75" customHeight="1">
      <c r="A786" s="283"/>
      <c r="B786" s="234" t="str">
        <f>'Building Bill of Materials_SLIM'!P786</f>
        <v/>
      </c>
      <c r="C786" s="234" t="str">
        <f>'Building Bill of Materials_SLIM'!Q786</f>
        <v/>
      </c>
      <c r="D786" s="234" t="str">
        <f>'Building Bill of Materials_SLIM'!R786</f>
        <v/>
      </c>
      <c r="E786" s="234" t="str">
        <f>'Building Bill of Materials_SLIM'!S786</f>
        <v/>
      </c>
      <c r="F786" s="234"/>
      <c r="G786" s="234"/>
      <c r="H786" s="234" t="str">
        <f>'Building Bill of Materials_SLIM'!T786</f>
        <v/>
      </c>
      <c r="I786" s="234" t="str">
        <f>'Building Bill of Materials_SLIM'!U786</f>
        <v/>
      </c>
      <c r="J786" s="234" t="str">
        <f>'Building Bill of Materials_SLIM'!V786</f>
        <v/>
      </c>
      <c r="K786" s="192"/>
      <c r="L786" s="242"/>
      <c r="M786" s="242"/>
      <c r="N786" s="291"/>
      <c r="O786" s="291"/>
      <c r="P786" s="291"/>
      <c r="Q786" s="291"/>
      <c r="R786" s="291"/>
      <c r="S786" s="291"/>
      <c r="T786" s="291"/>
      <c r="U786" s="291"/>
      <c r="V786" s="291"/>
      <c r="W786" s="291"/>
      <c r="X786" s="291"/>
      <c r="Y786" s="291"/>
      <c r="Z786" s="291"/>
      <c r="AA786" s="291"/>
      <c r="AB786" s="291"/>
      <c r="AC786" s="291"/>
      <c r="AD786" s="291"/>
      <c r="AE786" s="291"/>
      <c r="AF786" s="291"/>
      <c r="AG786" s="291"/>
    </row>
    <row r="787" ht="18.75" customHeight="1">
      <c r="A787" s="283"/>
      <c r="B787" s="234" t="str">
        <f>'Building Bill of Materials_SLIM'!P787</f>
        <v/>
      </c>
      <c r="C787" s="234" t="str">
        <f>'Building Bill of Materials_SLIM'!Q787</f>
        <v/>
      </c>
      <c r="D787" s="234" t="str">
        <f>'Building Bill of Materials_SLIM'!R787</f>
        <v/>
      </c>
      <c r="E787" s="234" t="str">
        <f>'Building Bill of Materials_SLIM'!S787</f>
        <v/>
      </c>
      <c r="F787" s="234"/>
      <c r="G787" s="234"/>
      <c r="H787" s="234" t="str">
        <f>'Building Bill of Materials_SLIM'!T787</f>
        <v/>
      </c>
      <c r="I787" s="234" t="str">
        <f>'Building Bill of Materials_SLIM'!U787</f>
        <v/>
      </c>
      <c r="J787" s="234" t="str">
        <f>'Building Bill of Materials_SLIM'!V787</f>
        <v/>
      </c>
      <c r="K787" s="192"/>
      <c r="L787" s="242"/>
      <c r="M787" s="242"/>
      <c r="N787" s="291"/>
      <c r="O787" s="291"/>
      <c r="P787" s="291"/>
      <c r="Q787" s="291"/>
      <c r="R787" s="291"/>
      <c r="S787" s="291"/>
      <c r="T787" s="291"/>
      <c r="U787" s="291"/>
      <c r="V787" s="291"/>
      <c r="W787" s="291"/>
      <c r="X787" s="291"/>
      <c r="Y787" s="291"/>
      <c r="Z787" s="291"/>
      <c r="AA787" s="291"/>
      <c r="AB787" s="291"/>
      <c r="AC787" s="291"/>
      <c r="AD787" s="291"/>
      <c r="AE787" s="291"/>
      <c r="AF787" s="291"/>
      <c r="AG787" s="291"/>
    </row>
    <row r="788" ht="18.75" customHeight="1">
      <c r="A788" s="283"/>
      <c r="B788" s="234" t="str">
        <f>'Building Bill of Materials_SLIM'!P788</f>
        <v/>
      </c>
      <c r="C788" s="234" t="str">
        <f>'Building Bill of Materials_SLIM'!Q788</f>
        <v/>
      </c>
      <c r="D788" s="234" t="str">
        <f>'Building Bill of Materials_SLIM'!R788</f>
        <v/>
      </c>
      <c r="E788" s="234" t="str">
        <f>'Building Bill of Materials_SLIM'!S788</f>
        <v/>
      </c>
      <c r="F788" s="234"/>
      <c r="G788" s="234"/>
      <c r="H788" s="234" t="str">
        <f>'Building Bill of Materials_SLIM'!T788</f>
        <v/>
      </c>
      <c r="I788" s="234" t="str">
        <f>'Building Bill of Materials_SLIM'!U788</f>
        <v/>
      </c>
      <c r="J788" s="234" t="str">
        <f>'Building Bill of Materials_SLIM'!V788</f>
        <v/>
      </c>
      <c r="K788" s="192"/>
      <c r="L788" s="242"/>
      <c r="M788" s="242"/>
      <c r="N788" s="291"/>
      <c r="O788" s="291"/>
      <c r="P788" s="291"/>
      <c r="Q788" s="291"/>
      <c r="R788" s="291"/>
      <c r="S788" s="291"/>
      <c r="T788" s="291"/>
      <c r="U788" s="291"/>
      <c r="V788" s="291"/>
      <c r="W788" s="291"/>
      <c r="X788" s="291"/>
      <c r="Y788" s="291"/>
      <c r="Z788" s="291"/>
      <c r="AA788" s="291"/>
      <c r="AB788" s="291"/>
      <c r="AC788" s="291"/>
      <c r="AD788" s="291"/>
      <c r="AE788" s="291"/>
      <c r="AF788" s="291"/>
      <c r="AG788" s="291"/>
    </row>
    <row r="789" ht="18.75" customHeight="1">
      <c r="A789" s="283"/>
      <c r="B789" s="234" t="str">
        <f>'Building Bill of Materials_SLIM'!P789</f>
        <v/>
      </c>
      <c r="C789" s="234" t="str">
        <f>'Building Bill of Materials_SLIM'!Q789</f>
        <v/>
      </c>
      <c r="D789" s="234" t="str">
        <f>'Building Bill of Materials_SLIM'!R789</f>
        <v/>
      </c>
      <c r="E789" s="234" t="str">
        <f>'Building Bill of Materials_SLIM'!S789</f>
        <v/>
      </c>
      <c r="F789" s="234"/>
      <c r="G789" s="234"/>
      <c r="H789" s="234" t="str">
        <f>'Building Bill of Materials_SLIM'!T789</f>
        <v/>
      </c>
      <c r="I789" s="234" t="str">
        <f>'Building Bill of Materials_SLIM'!U789</f>
        <v/>
      </c>
      <c r="J789" s="234" t="str">
        <f>'Building Bill of Materials_SLIM'!V789</f>
        <v/>
      </c>
      <c r="K789" s="192"/>
      <c r="L789" s="242"/>
      <c r="M789" s="242"/>
      <c r="N789" s="291"/>
      <c r="O789" s="291"/>
      <c r="P789" s="291"/>
      <c r="Q789" s="291"/>
      <c r="R789" s="291"/>
      <c r="S789" s="291"/>
      <c r="T789" s="291"/>
      <c r="U789" s="291"/>
      <c r="V789" s="291"/>
      <c r="W789" s="291"/>
      <c r="X789" s="291"/>
      <c r="Y789" s="291"/>
      <c r="Z789" s="291"/>
      <c r="AA789" s="291"/>
      <c r="AB789" s="291"/>
      <c r="AC789" s="291"/>
      <c r="AD789" s="291"/>
      <c r="AE789" s="291"/>
      <c r="AF789" s="291"/>
      <c r="AG789" s="291"/>
    </row>
    <row r="790" ht="18.75" customHeight="1">
      <c r="A790" s="283"/>
      <c r="B790" s="234" t="str">
        <f>'Building Bill of Materials_SLIM'!P790</f>
        <v/>
      </c>
      <c r="C790" s="234" t="str">
        <f>'Building Bill of Materials_SLIM'!Q790</f>
        <v/>
      </c>
      <c r="D790" s="234" t="str">
        <f>'Building Bill of Materials_SLIM'!R790</f>
        <v/>
      </c>
      <c r="E790" s="234" t="str">
        <f>'Building Bill of Materials_SLIM'!S790</f>
        <v/>
      </c>
      <c r="F790" s="234"/>
      <c r="G790" s="234"/>
      <c r="H790" s="234" t="str">
        <f>'Building Bill of Materials_SLIM'!T790</f>
        <v/>
      </c>
      <c r="I790" s="234" t="str">
        <f>'Building Bill of Materials_SLIM'!U790</f>
        <v/>
      </c>
      <c r="J790" s="234" t="str">
        <f>'Building Bill of Materials_SLIM'!V790</f>
        <v/>
      </c>
      <c r="K790" s="192"/>
      <c r="L790" s="242"/>
      <c r="M790" s="242"/>
      <c r="N790" s="291"/>
      <c r="O790" s="291"/>
      <c r="P790" s="291"/>
      <c r="Q790" s="291"/>
      <c r="R790" s="291"/>
      <c r="S790" s="291"/>
      <c r="T790" s="291"/>
      <c r="U790" s="291"/>
      <c r="V790" s="291"/>
      <c r="W790" s="291"/>
      <c r="X790" s="291"/>
      <c r="Y790" s="291"/>
      <c r="Z790" s="291"/>
      <c r="AA790" s="291"/>
      <c r="AB790" s="291"/>
      <c r="AC790" s="291"/>
      <c r="AD790" s="291"/>
      <c r="AE790" s="291"/>
      <c r="AF790" s="291"/>
      <c r="AG790" s="291"/>
    </row>
    <row r="791" ht="18.75" customHeight="1">
      <c r="A791" s="283"/>
      <c r="B791" s="234" t="str">
        <f>'Building Bill of Materials_SLIM'!P791</f>
        <v/>
      </c>
      <c r="C791" s="234" t="str">
        <f>'Building Bill of Materials_SLIM'!Q791</f>
        <v/>
      </c>
      <c r="D791" s="234" t="str">
        <f>'Building Bill of Materials_SLIM'!R791</f>
        <v/>
      </c>
      <c r="E791" s="234" t="str">
        <f>'Building Bill of Materials_SLIM'!S791</f>
        <v/>
      </c>
      <c r="F791" s="234"/>
      <c r="G791" s="234"/>
      <c r="H791" s="234" t="str">
        <f>'Building Bill of Materials_SLIM'!T791</f>
        <v/>
      </c>
      <c r="I791" s="234" t="str">
        <f>'Building Bill of Materials_SLIM'!U791</f>
        <v/>
      </c>
      <c r="J791" s="234" t="str">
        <f>'Building Bill of Materials_SLIM'!V791</f>
        <v/>
      </c>
      <c r="K791" s="192"/>
      <c r="L791" s="242"/>
      <c r="M791" s="242"/>
      <c r="N791" s="291"/>
      <c r="O791" s="291"/>
      <c r="P791" s="291"/>
      <c r="Q791" s="291"/>
      <c r="R791" s="291"/>
      <c r="S791" s="291"/>
      <c r="T791" s="291"/>
      <c r="U791" s="291"/>
      <c r="V791" s="291"/>
      <c r="W791" s="291"/>
      <c r="X791" s="291"/>
      <c r="Y791" s="291"/>
      <c r="Z791" s="291"/>
      <c r="AA791" s="291"/>
      <c r="AB791" s="291"/>
      <c r="AC791" s="291"/>
      <c r="AD791" s="291"/>
      <c r="AE791" s="291"/>
      <c r="AF791" s="291"/>
      <c r="AG791" s="291"/>
    </row>
    <row r="792" ht="18.75" customHeight="1">
      <c r="A792" s="283"/>
      <c r="B792" s="234" t="str">
        <f>'Building Bill of Materials_SLIM'!P792</f>
        <v/>
      </c>
      <c r="C792" s="234" t="str">
        <f>'Building Bill of Materials_SLIM'!Q792</f>
        <v/>
      </c>
      <c r="D792" s="234" t="str">
        <f>'Building Bill of Materials_SLIM'!R792</f>
        <v/>
      </c>
      <c r="E792" s="234" t="str">
        <f>'Building Bill of Materials_SLIM'!S792</f>
        <v/>
      </c>
      <c r="F792" s="234"/>
      <c r="G792" s="234"/>
      <c r="H792" s="234" t="str">
        <f>'Building Bill of Materials_SLIM'!T792</f>
        <v/>
      </c>
      <c r="I792" s="234" t="str">
        <f>'Building Bill of Materials_SLIM'!U792</f>
        <v/>
      </c>
      <c r="J792" s="234" t="str">
        <f>'Building Bill of Materials_SLIM'!V792</f>
        <v/>
      </c>
      <c r="K792" s="192"/>
      <c r="L792" s="242"/>
      <c r="M792" s="242"/>
      <c r="N792" s="291"/>
      <c r="O792" s="291"/>
      <c r="P792" s="291"/>
      <c r="Q792" s="291"/>
      <c r="R792" s="291"/>
      <c r="S792" s="291"/>
      <c r="T792" s="291"/>
      <c r="U792" s="291"/>
      <c r="V792" s="291"/>
      <c r="W792" s="291"/>
      <c r="X792" s="291"/>
      <c r="Y792" s="291"/>
      <c r="Z792" s="291"/>
      <c r="AA792" s="291"/>
      <c r="AB792" s="291"/>
      <c r="AC792" s="291"/>
      <c r="AD792" s="291"/>
      <c r="AE792" s="291"/>
      <c r="AF792" s="291"/>
      <c r="AG792" s="291"/>
    </row>
    <row r="793" ht="18.75" customHeight="1">
      <c r="A793" s="283"/>
      <c r="B793" s="234" t="str">
        <f>'Building Bill of Materials_SLIM'!P793</f>
        <v/>
      </c>
      <c r="C793" s="234" t="str">
        <f>'Building Bill of Materials_SLIM'!Q793</f>
        <v/>
      </c>
      <c r="D793" s="234" t="str">
        <f>'Building Bill of Materials_SLIM'!R793</f>
        <v/>
      </c>
      <c r="E793" s="234" t="str">
        <f>'Building Bill of Materials_SLIM'!S793</f>
        <v/>
      </c>
      <c r="F793" s="234"/>
      <c r="G793" s="234"/>
      <c r="H793" s="234" t="str">
        <f>'Building Bill of Materials_SLIM'!T793</f>
        <v/>
      </c>
      <c r="I793" s="234" t="str">
        <f>'Building Bill of Materials_SLIM'!U793</f>
        <v/>
      </c>
      <c r="J793" s="234" t="str">
        <f>'Building Bill of Materials_SLIM'!V793</f>
        <v/>
      </c>
      <c r="K793" s="192"/>
      <c r="L793" s="242"/>
      <c r="M793" s="242"/>
      <c r="N793" s="291"/>
      <c r="O793" s="291"/>
      <c r="P793" s="291"/>
      <c r="Q793" s="291"/>
      <c r="R793" s="291"/>
      <c r="S793" s="291"/>
      <c r="T793" s="291"/>
      <c r="U793" s="291"/>
      <c r="V793" s="291"/>
      <c r="W793" s="291"/>
      <c r="X793" s="291"/>
      <c r="Y793" s="291"/>
      <c r="Z793" s="291"/>
      <c r="AA793" s="291"/>
      <c r="AB793" s="291"/>
      <c r="AC793" s="291"/>
      <c r="AD793" s="291"/>
      <c r="AE793" s="291"/>
      <c r="AF793" s="291"/>
      <c r="AG793" s="291"/>
    </row>
    <row r="794" ht="18.75" customHeight="1">
      <c r="A794" s="283"/>
      <c r="B794" s="234" t="str">
        <f>'Building Bill of Materials_SLIM'!P794</f>
        <v/>
      </c>
      <c r="C794" s="234" t="str">
        <f>'Building Bill of Materials_SLIM'!Q794</f>
        <v/>
      </c>
      <c r="D794" s="234" t="str">
        <f>'Building Bill of Materials_SLIM'!R794</f>
        <v/>
      </c>
      <c r="E794" s="234" t="str">
        <f>'Building Bill of Materials_SLIM'!S794</f>
        <v/>
      </c>
      <c r="F794" s="234"/>
      <c r="G794" s="234"/>
      <c r="H794" s="234" t="str">
        <f>'Building Bill of Materials_SLIM'!T794</f>
        <v/>
      </c>
      <c r="I794" s="234" t="str">
        <f>'Building Bill of Materials_SLIM'!U794</f>
        <v/>
      </c>
      <c r="J794" s="234" t="str">
        <f>'Building Bill of Materials_SLIM'!V794</f>
        <v/>
      </c>
      <c r="K794" s="192"/>
      <c r="L794" s="242"/>
      <c r="M794" s="242"/>
      <c r="N794" s="291"/>
      <c r="O794" s="291"/>
      <c r="P794" s="291"/>
      <c r="Q794" s="291"/>
      <c r="R794" s="291"/>
      <c r="S794" s="291"/>
      <c r="T794" s="291"/>
      <c r="U794" s="291"/>
      <c r="V794" s="291"/>
      <c r="W794" s="291"/>
      <c r="X794" s="291"/>
      <c r="Y794" s="291"/>
      <c r="Z794" s="291"/>
      <c r="AA794" s="291"/>
      <c r="AB794" s="291"/>
      <c r="AC794" s="291"/>
      <c r="AD794" s="291"/>
      <c r="AE794" s="291"/>
      <c r="AF794" s="291"/>
      <c r="AG794" s="291"/>
    </row>
    <row r="795" ht="18.75" customHeight="1">
      <c r="A795" s="283"/>
      <c r="B795" s="234" t="str">
        <f>'Building Bill of Materials_SLIM'!P795</f>
        <v/>
      </c>
      <c r="C795" s="234" t="str">
        <f>'Building Bill of Materials_SLIM'!Q795</f>
        <v/>
      </c>
      <c r="D795" s="234" t="str">
        <f>'Building Bill of Materials_SLIM'!R795</f>
        <v/>
      </c>
      <c r="E795" s="234" t="str">
        <f>'Building Bill of Materials_SLIM'!S795</f>
        <v/>
      </c>
      <c r="F795" s="234"/>
      <c r="G795" s="234"/>
      <c r="H795" s="234" t="str">
        <f>'Building Bill of Materials_SLIM'!T795</f>
        <v/>
      </c>
      <c r="I795" s="234" t="str">
        <f>'Building Bill of Materials_SLIM'!U795</f>
        <v/>
      </c>
      <c r="J795" s="234" t="str">
        <f>'Building Bill of Materials_SLIM'!V795</f>
        <v/>
      </c>
      <c r="K795" s="192"/>
      <c r="L795" s="242"/>
      <c r="M795" s="242"/>
      <c r="N795" s="291"/>
      <c r="O795" s="291"/>
      <c r="P795" s="291"/>
      <c r="Q795" s="291"/>
      <c r="R795" s="291"/>
      <c r="S795" s="291"/>
      <c r="T795" s="291"/>
      <c r="U795" s="291"/>
      <c r="V795" s="291"/>
      <c r="W795" s="291"/>
      <c r="X795" s="291"/>
      <c r="Y795" s="291"/>
      <c r="Z795" s="291"/>
      <c r="AA795" s="291"/>
      <c r="AB795" s="291"/>
      <c r="AC795" s="291"/>
      <c r="AD795" s="291"/>
      <c r="AE795" s="291"/>
      <c r="AF795" s="291"/>
      <c r="AG795" s="291"/>
    </row>
    <row r="796" ht="18.75" customHeight="1">
      <c r="A796" s="283"/>
      <c r="B796" s="234" t="str">
        <f>'Building Bill of Materials_SLIM'!P796</f>
        <v/>
      </c>
      <c r="C796" s="234" t="str">
        <f>'Building Bill of Materials_SLIM'!Q796</f>
        <v/>
      </c>
      <c r="D796" s="234" t="str">
        <f>'Building Bill of Materials_SLIM'!R796</f>
        <v/>
      </c>
      <c r="E796" s="234" t="str">
        <f>'Building Bill of Materials_SLIM'!S796</f>
        <v/>
      </c>
      <c r="F796" s="234"/>
      <c r="G796" s="234"/>
      <c r="H796" s="234" t="str">
        <f>'Building Bill of Materials_SLIM'!T796</f>
        <v/>
      </c>
      <c r="I796" s="234" t="str">
        <f>'Building Bill of Materials_SLIM'!U796</f>
        <v/>
      </c>
      <c r="J796" s="234" t="str">
        <f>'Building Bill of Materials_SLIM'!V796</f>
        <v/>
      </c>
      <c r="K796" s="192"/>
      <c r="L796" s="242"/>
      <c r="M796" s="242"/>
      <c r="N796" s="291"/>
      <c r="O796" s="291"/>
      <c r="P796" s="291"/>
      <c r="Q796" s="291"/>
      <c r="R796" s="291"/>
      <c r="S796" s="291"/>
      <c r="T796" s="291"/>
      <c r="U796" s="291"/>
      <c r="V796" s="291"/>
      <c r="W796" s="291"/>
      <c r="X796" s="291"/>
      <c r="Y796" s="291"/>
      <c r="Z796" s="291"/>
      <c r="AA796" s="291"/>
      <c r="AB796" s="291"/>
      <c r="AC796" s="291"/>
      <c r="AD796" s="291"/>
      <c r="AE796" s="291"/>
      <c r="AF796" s="291"/>
      <c r="AG796" s="291"/>
    </row>
    <row r="797" ht="18.75" customHeight="1">
      <c r="A797" s="283"/>
      <c r="B797" s="234" t="str">
        <f>'Building Bill of Materials_SLIM'!P797</f>
        <v/>
      </c>
      <c r="C797" s="234" t="str">
        <f>'Building Bill of Materials_SLIM'!Q797</f>
        <v/>
      </c>
      <c r="D797" s="234" t="str">
        <f>'Building Bill of Materials_SLIM'!R797</f>
        <v/>
      </c>
      <c r="E797" s="234" t="str">
        <f>'Building Bill of Materials_SLIM'!S797</f>
        <v/>
      </c>
      <c r="F797" s="234"/>
      <c r="G797" s="234"/>
      <c r="H797" s="234" t="str">
        <f>'Building Bill of Materials_SLIM'!T797</f>
        <v/>
      </c>
      <c r="I797" s="234" t="str">
        <f>'Building Bill of Materials_SLIM'!U797</f>
        <v/>
      </c>
      <c r="J797" s="234" t="str">
        <f>'Building Bill of Materials_SLIM'!V797</f>
        <v/>
      </c>
      <c r="K797" s="192"/>
      <c r="L797" s="242"/>
      <c r="M797" s="242"/>
      <c r="N797" s="291"/>
      <c r="O797" s="291"/>
      <c r="P797" s="291"/>
      <c r="Q797" s="291"/>
      <c r="R797" s="291"/>
      <c r="S797" s="291"/>
      <c r="T797" s="291"/>
      <c r="U797" s="291"/>
      <c r="V797" s="291"/>
      <c r="W797" s="291"/>
      <c r="X797" s="291"/>
      <c r="Y797" s="291"/>
      <c r="Z797" s="291"/>
      <c r="AA797" s="291"/>
      <c r="AB797" s="291"/>
      <c r="AC797" s="291"/>
      <c r="AD797" s="291"/>
      <c r="AE797" s="291"/>
      <c r="AF797" s="291"/>
      <c r="AG797" s="291"/>
    </row>
    <row r="798" ht="18.75" customHeight="1">
      <c r="A798" s="283"/>
      <c r="B798" s="234" t="str">
        <f>'Building Bill of Materials_SLIM'!P798</f>
        <v/>
      </c>
      <c r="C798" s="234" t="str">
        <f>'Building Bill of Materials_SLIM'!Q798</f>
        <v/>
      </c>
      <c r="D798" s="234" t="str">
        <f>'Building Bill of Materials_SLIM'!R798</f>
        <v/>
      </c>
      <c r="E798" s="234" t="str">
        <f>'Building Bill of Materials_SLIM'!S798</f>
        <v/>
      </c>
      <c r="F798" s="234"/>
      <c r="G798" s="234"/>
      <c r="H798" s="234" t="str">
        <f>'Building Bill of Materials_SLIM'!T798</f>
        <v/>
      </c>
      <c r="I798" s="234" t="str">
        <f>'Building Bill of Materials_SLIM'!U798</f>
        <v/>
      </c>
      <c r="J798" s="234" t="str">
        <f>'Building Bill of Materials_SLIM'!V798</f>
        <v/>
      </c>
      <c r="K798" s="192"/>
      <c r="L798" s="242"/>
      <c r="M798" s="242"/>
      <c r="N798" s="291"/>
      <c r="O798" s="291"/>
      <c r="P798" s="291"/>
      <c r="Q798" s="291"/>
      <c r="R798" s="291"/>
      <c r="S798" s="291"/>
      <c r="T798" s="291"/>
      <c r="U798" s="291"/>
      <c r="V798" s="291"/>
      <c r="W798" s="291"/>
      <c r="X798" s="291"/>
      <c r="Y798" s="291"/>
      <c r="Z798" s="291"/>
      <c r="AA798" s="291"/>
      <c r="AB798" s="291"/>
      <c r="AC798" s="291"/>
      <c r="AD798" s="291"/>
      <c r="AE798" s="291"/>
      <c r="AF798" s="291"/>
      <c r="AG798" s="291"/>
    </row>
    <row r="799" ht="18.75" customHeight="1">
      <c r="A799" s="283"/>
      <c r="B799" s="234" t="str">
        <f>'Building Bill of Materials_SLIM'!P799</f>
        <v/>
      </c>
      <c r="C799" s="234" t="str">
        <f>'Building Bill of Materials_SLIM'!Q799</f>
        <v/>
      </c>
      <c r="D799" s="234" t="str">
        <f>'Building Bill of Materials_SLIM'!R799</f>
        <v/>
      </c>
      <c r="E799" s="234" t="str">
        <f>'Building Bill of Materials_SLIM'!S799</f>
        <v/>
      </c>
      <c r="F799" s="234"/>
      <c r="G799" s="234"/>
      <c r="H799" s="234" t="str">
        <f>'Building Bill of Materials_SLIM'!T799</f>
        <v/>
      </c>
      <c r="I799" s="234" t="str">
        <f>'Building Bill of Materials_SLIM'!U799</f>
        <v/>
      </c>
      <c r="J799" s="234" t="str">
        <f>'Building Bill of Materials_SLIM'!V799</f>
        <v/>
      </c>
      <c r="K799" s="192"/>
      <c r="L799" s="242"/>
      <c r="M799" s="242"/>
      <c r="N799" s="291"/>
      <c r="O799" s="291"/>
      <c r="P799" s="291"/>
      <c r="Q799" s="291"/>
      <c r="R799" s="291"/>
      <c r="S799" s="291"/>
      <c r="T799" s="291"/>
      <c r="U799" s="291"/>
      <c r="V799" s="291"/>
      <c r="W799" s="291"/>
      <c r="X799" s="291"/>
      <c r="Y799" s="291"/>
      <c r="Z799" s="291"/>
      <c r="AA799" s="291"/>
      <c r="AB799" s="291"/>
      <c r="AC799" s="291"/>
      <c r="AD799" s="291"/>
      <c r="AE799" s="291"/>
      <c r="AF799" s="291"/>
      <c r="AG799" s="291"/>
    </row>
    <row r="800" ht="18.75" customHeight="1">
      <c r="A800" s="283"/>
      <c r="B800" s="234" t="str">
        <f>'Building Bill of Materials_SLIM'!P800</f>
        <v/>
      </c>
      <c r="C800" s="234" t="str">
        <f>'Building Bill of Materials_SLIM'!Q800</f>
        <v/>
      </c>
      <c r="D800" s="234" t="str">
        <f>'Building Bill of Materials_SLIM'!R800</f>
        <v/>
      </c>
      <c r="E800" s="234" t="str">
        <f>'Building Bill of Materials_SLIM'!S800</f>
        <v/>
      </c>
      <c r="F800" s="234"/>
      <c r="G800" s="234"/>
      <c r="H800" s="234" t="str">
        <f>'Building Bill of Materials_SLIM'!T800</f>
        <v/>
      </c>
      <c r="I800" s="234" t="str">
        <f>'Building Bill of Materials_SLIM'!U800</f>
        <v/>
      </c>
      <c r="J800" s="234" t="str">
        <f>'Building Bill of Materials_SLIM'!V800</f>
        <v/>
      </c>
      <c r="K800" s="192"/>
      <c r="L800" s="242"/>
      <c r="M800" s="242"/>
      <c r="N800" s="291"/>
      <c r="O800" s="291"/>
      <c r="P800" s="291"/>
      <c r="Q800" s="291"/>
      <c r="R800" s="291"/>
      <c r="S800" s="291"/>
      <c r="T800" s="291"/>
      <c r="U800" s="291"/>
      <c r="V800" s="291"/>
      <c r="W800" s="291"/>
      <c r="X800" s="291"/>
      <c r="Y800" s="291"/>
      <c r="Z800" s="291"/>
      <c r="AA800" s="291"/>
      <c r="AB800" s="291"/>
      <c r="AC800" s="291"/>
      <c r="AD800" s="291"/>
      <c r="AE800" s="291"/>
      <c r="AF800" s="291"/>
      <c r="AG800" s="291"/>
    </row>
    <row r="801" ht="18.75" customHeight="1">
      <c r="A801" s="283"/>
      <c r="B801" s="234" t="str">
        <f>'Building Bill of Materials_SLIM'!P801</f>
        <v/>
      </c>
      <c r="C801" s="234" t="str">
        <f>'Building Bill of Materials_SLIM'!Q801</f>
        <v/>
      </c>
      <c r="D801" s="234" t="str">
        <f>'Building Bill of Materials_SLIM'!R801</f>
        <v/>
      </c>
      <c r="E801" s="234" t="str">
        <f>'Building Bill of Materials_SLIM'!S801</f>
        <v/>
      </c>
      <c r="F801" s="234"/>
      <c r="G801" s="234"/>
      <c r="H801" s="234" t="str">
        <f>'Building Bill of Materials_SLIM'!T801</f>
        <v/>
      </c>
      <c r="I801" s="234" t="str">
        <f>'Building Bill of Materials_SLIM'!U801</f>
        <v/>
      </c>
      <c r="J801" s="234" t="str">
        <f>'Building Bill of Materials_SLIM'!V801</f>
        <v/>
      </c>
      <c r="K801" s="192"/>
      <c r="L801" s="242"/>
      <c r="M801" s="242"/>
      <c r="N801" s="291"/>
      <c r="O801" s="291"/>
      <c r="P801" s="291"/>
      <c r="Q801" s="291"/>
      <c r="R801" s="291"/>
      <c r="S801" s="291"/>
      <c r="T801" s="291"/>
      <c r="U801" s="291"/>
      <c r="V801" s="291"/>
      <c r="W801" s="291"/>
      <c r="X801" s="291"/>
      <c r="Y801" s="291"/>
      <c r="Z801" s="291"/>
      <c r="AA801" s="291"/>
      <c r="AB801" s="291"/>
      <c r="AC801" s="291"/>
      <c r="AD801" s="291"/>
      <c r="AE801" s="291"/>
      <c r="AF801" s="291"/>
      <c r="AG801" s="291"/>
    </row>
    <row r="802" ht="18.75" customHeight="1">
      <c r="A802" s="283"/>
      <c r="B802" s="234" t="str">
        <f>'Building Bill of Materials_SLIM'!P802</f>
        <v/>
      </c>
      <c r="C802" s="234" t="str">
        <f>'Building Bill of Materials_SLIM'!Q802</f>
        <v/>
      </c>
      <c r="D802" s="234" t="str">
        <f>'Building Bill of Materials_SLIM'!R802</f>
        <v/>
      </c>
      <c r="E802" s="234" t="str">
        <f>'Building Bill of Materials_SLIM'!S802</f>
        <v/>
      </c>
      <c r="F802" s="234"/>
      <c r="G802" s="234"/>
      <c r="H802" s="234" t="str">
        <f>'Building Bill of Materials_SLIM'!T802</f>
        <v/>
      </c>
      <c r="I802" s="234" t="str">
        <f>'Building Bill of Materials_SLIM'!U802</f>
        <v/>
      </c>
      <c r="J802" s="234" t="str">
        <f>'Building Bill of Materials_SLIM'!V802</f>
        <v/>
      </c>
      <c r="K802" s="192"/>
      <c r="L802" s="242"/>
      <c r="M802" s="242"/>
      <c r="N802" s="291"/>
      <c r="O802" s="291"/>
      <c r="P802" s="291"/>
      <c r="Q802" s="291"/>
      <c r="R802" s="291"/>
      <c r="S802" s="291"/>
      <c r="T802" s="291"/>
      <c r="U802" s="291"/>
      <c r="V802" s="291"/>
      <c r="W802" s="291"/>
      <c r="X802" s="291"/>
      <c r="Y802" s="291"/>
      <c r="Z802" s="291"/>
      <c r="AA802" s="291"/>
      <c r="AB802" s="291"/>
      <c r="AC802" s="291"/>
      <c r="AD802" s="291"/>
      <c r="AE802" s="291"/>
      <c r="AF802" s="291"/>
      <c r="AG802" s="291"/>
    </row>
    <row r="803" ht="18.75" customHeight="1">
      <c r="A803" s="283"/>
      <c r="B803" s="234" t="str">
        <f>'Building Bill of Materials_SLIM'!P803</f>
        <v/>
      </c>
      <c r="C803" s="234" t="str">
        <f>'Building Bill of Materials_SLIM'!Q803</f>
        <v/>
      </c>
      <c r="D803" s="234" t="str">
        <f>'Building Bill of Materials_SLIM'!R803</f>
        <v/>
      </c>
      <c r="E803" s="234" t="str">
        <f>'Building Bill of Materials_SLIM'!S803</f>
        <v/>
      </c>
      <c r="F803" s="234"/>
      <c r="G803" s="234"/>
      <c r="H803" s="234" t="str">
        <f>'Building Bill of Materials_SLIM'!T803</f>
        <v/>
      </c>
      <c r="I803" s="234" t="str">
        <f>'Building Bill of Materials_SLIM'!U803</f>
        <v/>
      </c>
      <c r="J803" s="234" t="str">
        <f>'Building Bill of Materials_SLIM'!V803</f>
        <v/>
      </c>
      <c r="K803" s="192"/>
      <c r="L803" s="242"/>
      <c r="M803" s="242"/>
      <c r="N803" s="291"/>
      <c r="O803" s="291"/>
      <c r="P803" s="291"/>
      <c r="Q803" s="291"/>
      <c r="R803" s="291"/>
      <c r="S803" s="291"/>
      <c r="T803" s="291"/>
      <c r="U803" s="291"/>
      <c r="V803" s="291"/>
      <c r="W803" s="291"/>
      <c r="X803" s="291"/>
      <c r="Y803" s="291"/>
      <c r="Z803" s="291"/>
      <c r="AA803" s="291"/>
      <c r="AB803" s="291"/>
      <c r="AC803" s="291"/>
      <c r="AD803" s="291"/>
      <c r="AE803" s="291"/>
      <c r="AF803" s="291"/>
      <c r="AG803" s="291"/>
    </row>
    <row r="804" ht="18.75" customHeight="1">
      <c r="A804" s="283"/>
      <c r="B804" s="234" t="str">
        <f>'Building Bill of Materials_SLIM'!P804</f>
        <v/>
      </c>
      <c r="C804" s="234" t="str">
        <f>'Building Bill of Materials_SLIM'!Q804</f>
        <v/>
      </c>
      <c r="D804" s="234" t="str">
        <f>'Building Bill of Materials_SLIM'!R804</f>
        <v/>
      </c>
      <c r="E804" s="234" t="str">
        <f>'Building Bill of Materials_SLIM'!S804</f>
        <v/>
      </c>
      <c r="F804" s="234"/>
      <c r="G804" s="234"/>
      <c r="H804" s="234" t="str">
        <f>'Building Bill of Materials_SLIM'!T804</f>
        <v/>
      </c>
      <c r="I804" s="234" t="str">
        <f>'Building Bill of Materials_SLIM'!U804</f>
        <v/>
      </c>
      <c r="J804" s="234" t="str">
        <f>'Building Bill of Materials_SLIM'!V804</f>
        <v/>
      </c>
      <c r="K804" s="192"/>
      <c r="L804" s="242"/>
      <c r="M804" s="242"/>
      <c r="N804" s="291"/>
      <c r="O804" s="291"/>
      <c r="P804" s="291"/>
      <c r="Q804" s="291"/>
      <c r="R804" s="291"/>
      <c r="S804" s="291"/>
      <c r="T804" s="291"/>
      <c r="U804" s="291"/>
      <c r="V804" s="291"/>
      <c r="W804" s="291"/>
      <c r="X804" s="291"/>
      <c r="Y804" s="291"/>
      <c r="Z804" s="291"/>
      <c r="AA804" s="291"/>
      <c r="AB804" s="291"/>
      <c r="AC804" s="291"/>
      <c r="AD804" s="291"/>
      <c r="AE804" s="291"/>
      <c r="AF804" s="291"/>
      <c r="AG804" s="291"/>
    </row>
    <row r="805" ht="18.75" customHeight="1">
      <c r="A805" s="283"/>
      <c r="B805" s="234" t="str">
        <f>'Building Bill of Materials_SLIM'!P805</f>
        <v/>
      </c>
      <c r="C805" s="234" t="str">
        <f>'Building Bill of Materials_SLIM'!Q805</f>
        <v/>
      </c>
      <c r="D805" s="234" t="str">
        <f>'Building Bill of Materials_SLIM'!R805</f>
        <v/>
      </c>
      <c r="E805" s="234" t="str">
        <f>'Building Bill of Materials_SLIM'!S805</f>
        <v/>
      </c>
      <c r="F805" s="234"/>
      <c r="G805" s="234"/>
      <c r="H805" s="234" t="str">
        <f>'Building Bill of Materials_SLIM'!T805</f>
        <v/>
      </c>
      <c r="I805" s="234" t="str">
        <f>'Building Bill of Materials_SLIM'!U805</f>
        <v/>
      </c>
      <c r="J805" s="234" t="str">
        <f>'Building Bill of Materials_SLIM'!V805</f>
        <v/>
      </c>
      <c r="K805" s="192"/>
      <c r="L805" s="242"/>
      <c r="M805" s="242"/>
      <c r="N805" s="291"/>
      <c r="O805" s="291"/>
      <c r="P805" s="291"/>
      <c r="Q805" s="291"/>
      <c r="R805" s="291"/>
      <c r="S805" s="291"/>
      <c r="T805" s="291"/>
      <c r="U805" s="291"/>
      <c r="V805" s="291"/>
      <c r="W805" s="291"/>
      <c r="X805" s="291"/>
      <c r="Y805" s="291"/>
      <c r="Z805" s="291"/>
      <c r="AA805" s="291"/>
      <c r="AB805" s="291"/>
      <c r="AC805" s="291"/>
      <c r="AD805" s="291"/>
      <c r="AE805" s="291"/>
      <c r="AF805" s="291"/>
      <c r="AG805" s="291"/>
    </row>
    <row r="806" ht="18.75" customHeight="1">
      <c r="A806" s="283"/>
      <c r="B806" s="234" t="str">
        <f>'Building Bill of Materials_SLIM'!P806</f>
        <v/>
      </c>
      <c r="C806" s="234" t="str">
        <f>'Building Bill of Materials_SLIM'!Q806</f>
        <v/>
      </c>
      <c r="D806" s="234" t="str">
        <f>'Building Bill of Materials_SLIM'!R806</f>
        <v/>
      </c>
      <c r="E806" s="234" t="str">
        <f>'Building Bill of Materials_SLIM'!S806</f>
        <v/>
      </c>
      <c r="F806" s="234"/>
      <c r="G806" s="234"/>
      <c r="H806" s="234" t="str">
        <f>'Building Bill of Materials_SLIM'!T806</f>
        <v/>
      </c>
      <c r="I806" s="234" t="str">
        <f>'Building Bill of Materials_SLIM'!U806</f>
        <v/>
      </c>
      <c r="J806" s="234" t="str">
        <f>'Building Bill of Materials_SLIM'!V806</f>
        <v/>
      </c>
      <c r="K806" s="192"/>
      <c r="L806" s="242"/>
      <c r="M806" s="242"/>
      <c r="N806" s="291"/>
      <c r="O806" s="291"/>
      <c r="P806" s="291"/>
      <c r="Q806" s="291"/>
      <c r="R806" s="291"/>
      <c r="S806" s="291"/>
      <c r="T806" s="291"/>
      <c r="U806" s="291"/>
      <c r="V806" s="291"/>
      <c r="W806" s="291"/>
      <c r="X806" s="291"/>
      <c r="Y806" s="291"/>
      <c r="Z806" s="291"/>
      <c r="AA806" s="291"/>
      <c r="AB806" s="291"/>
      <c r="AC806" s="291"/>
      <c r="AD806" s="291"/>
      <c r="AE806" s="291"/>
      <c r="AF806" s="291"/>
      <c r="AG806" s="291"/>
    </row>
    <row r="807" ht="18.75" customHeight="1">
      <c r="A807" s="283"/>
      <c r="B807" s="234" t="str">
        <f>'Building Bill of Materials_SLIM'!P807</f>
        <v/>
      </c>
      <c r="C807" s="234" t="str">
        <f>'Building Bill of Materials_SLIM'!Q807</f>
        <v/>
      </c>
      <c r="D807" s="234" t="str">
        <f>'Building Bill of Materials_SLIM'!R807</f>
        <v/>
      </c>
      <c r="E807" s="234" t="str">
        <f>'Building Bill of Materials_SLIM'!S807</f>
        <v/>
      </c>
      <c r="F807" s="234"/>
      <c r="G807" s="234"/>
      <c r="H807" s="234" t="str">
        <f>'Building Bill of Materials_SLIM'!T807</f>
        <v/>
      </c>
      <c r="I807" s="234" t="str">
        <f>'Building Bill of Materials_SLIM'!U807</f>
        <v/>
      </c>
      <c r="J807" s="234" t="str">
        <f>'Building Bill of Materials_SLIM'!V807</f>
        <v/>
      </c>
      <c r="K807" s="192"/>
      <c r="L807" s="242"/>
      <c r="M807" s="242"/>
      <c r="N807" s="291"/>
      <c r="O807" s="291"/>
      <c r="P807" s="291"/>
      <c r="Q807" s="291"/>
      <c r="R807" s="291"/>
      <c r="S807" s="291"/>
      <c r="T807" s="291"/>
      <c r="U807" s="291"/>
      <c r="V807" s="291"/>
      <c r="W807" s="291"/>
      <c r="X807" s="291"/>
      <c r="Y807" s="291"/>
      <c r="Z807" s="291"/>
      <c r="AA807" s="291"/>
      <c r="AB807" s="291"/>
      <c r="AC807" s="291"/>
      <c r="AD807" s="291"/>
      <c r="AE807" s="291"/>
      <c r="AF807" s="291"/>
      <c r="AG807" s="291"/>
    </row>
    <row r="808" ht="18.75" customHeight="1">
      <c r="A808" s="283"/>
      <c r="B808" s="234" t="str">
        <f>'Building Bill of Materials_SLIM'!P808</f>
        <v/>
      </c>
      <c r="C808" s="234" t="str">
        <f>'Building Bill of Materials_SLIM'!Q808</f>
        <v/>
      </c>
      <c r="D808" s="234" t="str">
        <f>'Building Bill of Materials_SLIM'!R808</f>
        <v/>
      </c>
      <c r="E808" s="234" t="str">
        <f>'Building Bill of Materials_SLIM'!S808</f>
        <v/>
      </c>
      <c r="F808" s="234"/>
      <c r="G808" s="234"/>
      <c r="H808" s="234" t="str">
        <f>'Building Bill of Materials_SLIM'!T808</f>
        <v/>
      </c>
      <c r="I808" s="234" t="str">
        <f>'Building Bill of Materials_SLIM'!U808</f>
        <v/>
      </c>
      <c r="J808" s="234" t="str">
        <f>'Building Bill of Materials_SLIM'!V808</f>
        <v/>
      </c>
      <c r="K808" s="192"/>
      <c r="L808" s="242"/>
      <c r="M808" s="242"/>
      <c r="N808" s="291"/>
      <c r="O808" s="291"/>
      <c r="P808" s="291"/>
      <c r="Q808" s="291"/>
      <c r="R808" s="291"/>
      <c r="S808" s="291"/>
      <c r="T808" s="291"/>
      <c r="U808" s="291"/>
      <c r="V808" s="291"/>
      <c r="W808" s="291"/>
      <c r="X808" s="291"/>
      <c r="Y808" s="291"/>
      <c r="Z808" s="291"/>
      <c r="AA808" s="291"/>
      <c r="AB808" s="291"/>
      <c r="AC808" s="291"/>
      <c r="AD808" s="291"/>
      <c r="AE808" s="291"/>
      <c r="AF808" s="291"/>
      <c r="AG808" s="291"/>
    </row>
    <row r="809" ht="18.75" customHeight="1">
      <c r="A809" s="283"/>
      <c r="B809" s="234" t="str">
        <f>'Building Bill of Materials_SLIM'!P809</f>
        <v/>
      </c>
      <c r="C809" s="234" t="str">
        <f>'Building Bill of Materials_SLIM'!Q809</f>
        <v/>
      </c>
      <c r="D809" s="234" t="str">
        <f>'Building Bill of Materials_SLIM'!R809</f>
        <v/>
      </c>
      <c r="E809" s="234" t="str">
        <f>'Building Bill of Materials_SLIM'!S809</f>
        <v/>
      </c>
      <c r="F809" s="234"/>
      <c r="G809" s="234"/>
      <c r="H809" s="234" t="str">
        <f>'Building Bill of Materials_SLIM'!T809</f>
        <v/>
      </c>
      <c r="I809" s="234" t="str">
        <f>'Building Bill of Materials_SLIM'!U809</f>
        <v/>
      </c>
      <c r="J809" s="234" t="str">
        <f>'Building Bill of Materials_SLIM'!V809</f>
        <v/>
      </c>
      <c r="K809" s="192"/>
      <c r="L809" s="242"/>
      <c r="M809" s="242"/>
      <c r="N809" s="291"/>
      <c r="O809" s="291"/>
      <c r="P809" s="291"/>
      <c r="Q809" s="291"/>
      <c r="R809" s="291"/>
      <c r="S809" s="291"/>
      <c r="T809" s="291"/>
      <c r="U809" s="291"/>
      <c r="V809" s="291"/>
      <c r="W809" s="291"/>
      <c r="X809" s="291"/>
      <c r="Y809" s="291"/>
      <c r="Z809" s="291"/>
      <c r="AA809" s="291"/>
      <c r="AB809" s="291"/>
      <c r="AC809" s="291"/>
      <c r="AD809" s="291"/>
      <c r="AE809" s="291"/>
      <c r="AF809" s="291"/>
      <c r="AG809" s="291"/>
    </row>
    <row r="810" ht="18.75" customHeight="1">
      <c r="A810" s="283"/>
      <c r="B810" s="234" t="str">
        <f>'Building Bill of Materials_SLIM'!P810</f>
        <v/>
      </c>
      <c r="C810" s="234" t="str">
        <f>'Building Bill of Materials_SLIM'!Q810</f>
        <v/>
      </c>
      <c r="D810" s="234" t="str">
        <f>'Building Bill of Materials_SLIM'!R810</f>
        <v/>
      </c>
      <c r="E810" s="234" t="str">
        <f>'Building Bill of Materials_SLIM'!S810</f>
        <v/>
      </c>
      <c r="F810" s="234"/>
      <c r="G810" s="234"/>
      <c r="H810" s="234" t="str">
        <f>'Building Bill of Materials_SLIM'!T810</f>
        <v/>
      </c>
      <c r="I810" s="234" t="str">
        <f>'Building Bill of Materials_SLIM'!U810</f>
        <v/>
      </c>
      <c r="J810" s="234" t="str">
        <f>'Building Bill of Materials_SLIM'!V810</f>
        <v/>
      </c>
      <c r="K810" s="192"/>
      <c r="L810" s="242"/>
      <c r="M810" s="242"/>
      <c r="N810" s="291"/>
      <c r="O810" s="291"/>
      <c r="P810" s="291"/>
      <c r="Q810" s="291"/>
      <c r="R810" s="291"/>
      <c r="S810" s="291"/>
      <c r="T810" s="291"/>
      <c r="U810" s="291"/>
      <c r="V810" s="291"/>
      <c r="W810" s="291"/>
      <c r="X810" s="291"/>
      <c r="Y810" s="291"/>
      <c r="Z810" s="291"/>
      <c r="AA810" s="291"/>
      <c r="AB810" s="291"/>
      <c r="AC810" s="291"/>
      <c r="AD810" s="291"/>
      <c r="AE810" s="291"/>
      <c r="AF810" s="291"/>
      <c r="AG810" s="291"/>
    </row>
    <row r="811" ht="18.75" customHeight="1">
      <c r="A811" s="283"/>
      <c r="B811" s="234" t="str">
        <f>'Building Bill of Materials_SLIM'!P811</f>
        <v/>
      </c>
      <c r="C811" s="234" t="str">
        <f>'Building Bill of Materials_SLIM'!Q811</f>
        <v/>
      </c>
      <c r="D811" s="234" t="str">
        <f>'Building Bill of Materials_SLIM'!R811</f>
        <v/>
      </c>
      <c r="E811" s="234" t="str">
        <f>'Building Bill of Materials_SLIM'!S811</f>
        <v/>
      </c>
      <c r="F811" s="234"/>
      <c r="G811" s="234"/>
      <c r="H811" s="234" t="str">
        <f>'Building Bill of Materials_SLIM'!T811</f>
        <v/>
      </c>
      <c r="I811" s="234" t="str">
        <f>'Building Bill of Materials_SLIM'!U811</f>
        <v/>
      </c>
      <c r="J811" s="234" t="str">
        <f>'Building Bill of Materials_SLIM'!V811</f>
        <v/>
      </c>
      <c r="K811" s="192"/>
      <c r="L811" s="242"/>
      <c r="M811" s="242"/>
      <c r="N811" s="291"/>
      <c r="O811" s="291"/>
      <c r="P811" s="291"/>
      <c r="Q811" s="291"/>
      <c r="R811" s="291"/>
      <c r="S811" s="291"/>
      <c r="T811" s="291"/>
      <c r="U811" s="291"/>
      <c r="V811" s="291"/>
      <c r="W811" s="291"/>
      <c r="X811" s="291"/>
      <c r="Y811" s="291"/>
      <c r="Z811" s="291"/>
      <c r="AA811" s="291"/>
      <c r="AB811" s="291"/>
      <c r="AC811" s="291"/>
      <c r="AD811" s="291"/>
      <c r="AE811" s="291"/>
      <c r="AF811" s="291"/>
      <c r="AG811" s="291"/>
    </row>
    <row r="812" ht="18.75" customHeight="1">
      <c r="A812" s="283"/>
      <c r="B812" s="234" t="str">
        <f>'Building Bill of Materials_SLIM'!P812</f>
        <v/>
      </c>
      <c r="C812" s="234" t="str">
        <f>'Building Bill of Materials_SLIM'!Q812</f>
        <v/>
      </c>
      <c r="D812" s="234" t="str">
        <f>'Building Bill of Materials_SLIM'!R812</f>
        <v/>
      </c>
      <c r="E812" s="234" t="str">
        <f>'Building Bill of Materials_SLIM'!S812</f>
        <v/>
      </c>
      <c r="F812" s="234"/>
      <c r="G812" s="234"/>
      <c r="H812" s="234" t="str">
        <f>'Building Bill of Materials_SLIM'!T812</f>
        <v/>
      </c>
      <c r="I812" s="234" t="str">
        <f>'Building Bill of Materials_SLIM'!U812</f>
        <v/>
      </c>
      <c r="J812" s="234" t="str">
        <f>'Building Bill of Materials_SLIM'!V812</f>
        <v/>
      </c>
      <c r="K812" s="192"/>
      <c r="L812" s="242"/>
      <c r="M812" s="242"/>
      <c r="N812" s="291"/>
      <c r="O812" s="291"/>
      <c r="P812" s="291"/>
      <c r="Q812" s="291"/>
      <c r="R812" s="291"/>
      <c r="S812" s="291"/>
      <c r="T812" s="291"/>
      <c r="U812" s="291"/>
      <c r="V812" s="291"/>
      <c r="W812" s="291"/>
      <c r="X812" s="291"/>
      <c r="Y812" s="291"/>
      <c r="Z812" s="291"/>
      <c r="AA812" s="291"/>
      <c r="AB812" s="291"/>
      <c r="AC812" s="291"/>
      <c r="AD812" s="291"/>
      <c r="AE812" s="291"/>
      <c r="AF812" s="291"/>
      <c r="AG812" s="291"/>
    </row>
    <row r="813" ht="18.75" customHeight="1">
      <c r="A813" s="283"/>
      <c r="B813" s="234" t="str">
        <f>'Building Bill of Materials_SLIM'!P813</f>
        <v/>
      </c>
      <c r="C813" s="234" t="str">
        <f>'Building Bill of Materials_SLIM'!Q813</f>
        <v/>
      </c>
      <c r="D813" s="234" t="str">
        <f>'Building Bill of Materials_SLIM'!R813</f>
        <v/>
      </c>
      <c r="E813" s="234" t="str">
        <f>'Building Bill of Materials_SLIM'!S813</f>
        <v/>
      </c>
      <c r="F813" s="234"/>
      <c r="G813" s="234"/>
      <c r="H813" s="234" t="str">
        <f>'Building Bill of Materials_SLIM'!T813</f>
        <v/>
      </c>
      <c r="I813" s="234" t="str">
        <f>'Building Bill of Materials_SLIM'!U813</f>
        <v/>
      </c>
      <c r="J813" s="234" t="str">
        <f>'Building Bill of Materials_SLIM'!V813</f>
        <v/>
      </c>
      <c r="K813" s="192"/>
      <c r="L813" s="242"/>
      <c r="M813" s="242"/>
      <c r="N813" s="291"/>
      <c r="O813" s="291"/>
      <c r="P813" s="291"/>
      <c r="Q813" s="291"/>
      <c r="R813" s="291"/>
      <c r="S813" s="291"/>
      <c r="T813" s="291"/>
      <c r="U813" s="291"/>
      <c r="V813" s="291"/>
      <c r="W813" s="291"/>
      <c r="X813" s="291"/>
      <c r="Y813" s="291"/>
      <c r="Z813" s="291"/>
      <c r="AA813" s="291"/>
      <c r="AB813" s="291"/>
      <c r="AC813" s="291"/>
      <c r="AD813" s="291"/>
      <c r="AE813" s="291"/>
      <c r="AF813" s="291"/>
      <c r="AG813" s="291"/>
    </row>
    <row r="814" ht="18.75" customHeight="1">
      <c r="A814" s="283"/>
      <c r="B814" s="234" t="str">
        <f>'Building Bill of Materials_SLIM'!P814</f>
        <v/>
      </c>
      <c r="C814" s="234" t="str">
        <f>'Building Bill of Materials_SLIM'!Q814</f>
        <v/>
      </c>
      <c r="D814" s="234" t="str">
        <f>'Building Bill of Materials_SLIM'!R814</f>
        <v/>
      </c>
      <c r="E814" s="234" t="str">
        <f>'Building Bill of Materials_SLIM'!S814</f>
        <v/>
      </c>
      <c r="F814" s="234"/>
      <c r="G814" s="234"/>
      <c r="H814" s="234" t="str">
        <f>'Building Bill of Materials_SLIM'!T814</f>
        <v/>
      </c>
      <c r="I814" s="234" t="str">
        <f>'Building Bill of Materials_SLIM'!U814</f>
        <v/>
      </c>
      <c r="J814" s="234" t="str">
        <f>'Building Bill of Materials_SLIM'!V814</f>
        <v/>
      </c>
      <c r="K814" s="192"/>
      <c r="L814" s="242"/>
      <c r="M814" s="242"/>
      <c r="N814" s="291"/>
      <c r="O814" s="291"/>
      <c r="P814" s="291"/>
      <c r="Q814" s="291"/>
      <c r="R814" s="291"/>
      <c r="S814" s="291"/>
      <c r="T814" s="291"/>
      <c r="U814" s="291"/>
      <c r="V814" s="291"/>
      <c r="W814" s="291"/>
      <c r="X814" s="291"/>
      <c r="Y814" s="291"/>
      <c r="Z814" s="291"/>
      <c r="AA814" s="291"/>
      <c r="AB814" s="291"/>
      <c r="AC814" s="291"/>
      <c r="AD814" s="291"/>
      <c r="AE814" s="291"/>
      <c r="AF814" s="291"/>
      <c r="AG814" s="291"/>
    </row>
    <row r="815" ht="18.75" customHeight="1">
      <c r="A815" s="283"/>
      <c r="B815" s="234" t="str">
        <f>'Building Bill of Materials_SLIM'!P815</f>
        <v/>
      </c>
      <c r="C815" s="234" t="str">
        <f>'Building Bill of Materials_SLIM'!Q815</f>
        <v/>
      </c>
      <c r="D815" s="234" t="str">
        <f>'Building Bill of Materials_SLIM'!R815</f>
        <v/>
      </c>
      <c r="E815" s="234" t="str">
        <f>'Building Bill of Materials_SLIM'!S815</f>
        <v/>
      </c>
      <c r="F815" s="234"/>
      <c r="G815" s="234"/>
      <c r="H815" s="234" t="str">
        <f>'Building Bill of Materials_SLIM'!T815</f>
        <v/>
      </c>
      <c r="I815" s="234" t="str">
        <f>'Building Bill of Materials_SLIM'!U815</f>
        <v/>
      </c>
      <c r="J815" s="234" t="str">
        <f>'Building Bill of Materials_SLIM'!V815</f>
        <v/>
      </c>
      <c r="K815" s="192"/>
      <c r="L815" s="242"/>
      <c r="M815" s="242"/>
      <c r="N815" s="291"/>
      <c r="O815" s="291"/>
      <c r="P815" s="291"/>
      <c r="Q815" s="291"/>
      <c r="R815" s="291"/>
      <c r="S815" s="291"/>
      <c r="T815" s="291"/>
      <c r="U815" s="291"/>
      <c r="V815" s="291"/>
      <c r="W815" s="291"/>
      <c r="X815" s="291"/>
      <c r="Y815" s="291"/>
      <c r="Z815" s="291"/>
      <c r="AA815" s="291"/>
      <c r="AB815" s="291"/>
      <c r="AC815" s="291"/>
      <c r="AD815" s="291"/>
      <c r="AE815" s="291"/>
      <c r="AF815" s="291"/>
      <c r="AG815" s="291"/>
    </row>
    <row r="816" ht="18.75" customHeight="1">
      <c r="A816" s="283"/>
      <c r="B816" s="234" t="str">
        <f>'Building Bill of Materials_SLIM'!P816</f>
        <v/>
      </c>
      <c r="C816" s="234" t="str">
        <f>'Building Bill of Materials_SLIM'!Q816</f>
        <v/>
      </c>
      <c r="D816" s="234" t="str">
        <f>'Building Bill of Materials_SLIM'!R816</f>
        <v/>
      </c>
      <c r="E816" s="234" t="str">
        <f>'Building Bill of Materials_SLIM'!S816</f>
        <v/>
      </c>
      <c r="F816" s="234"/>
      <c r="G816" s="234"/>
      <c r="H816" s="234" t="str">
        <f>'Building Bill of Materials_SLIM'!T816</f>
        <v/>
      </c>
      <c r="I816" s="234" t="str">
        <f>'Building Bill of Materials_SLIM'!U816</f>
        <v/>
      </c>
      <c r="J816" s="234" t="str">
        <f>'Building Bill of Materials_SLIM'!V816</f>
        <v/>
      </c>
      <c r="K816" s="192"/>
      <c r="L816" s="242"/>
      <c r="M816" s="242"/>
      <c r="N816" s="291"/>
      <c r="O816" s="291"/>
      <c r="P816" s="291"/>
      <c r="Q816" s="291"/>
      <c r="R816" s="291"/>
      <c r="S816" s="291"/>
      <c r="T816" s="291"/>
      <c r="U816" s="291"/>
      <c r="V816" s="291"/>
      <c r="W816" s="291"/>
      <c r="X816" s="291"/>
      <c r="Y816" s="291"/>
      <c r="Z816" s="291"/>
      <c r="AA816" s="291"/>
      <c r="AB816" s="291"/>
      <c r="AC816" s="291"/>
      <c r="AD816" s="291"/>
      <c r="AE816" s="291"/>
      <c r="AF816" s="291"/>
      <c r="AG816" s="291"/>
    </row>
    <row r="817" ht="18.75" customHeight="1">
      <c r="A817" s="283"/>
      <c r="B817" s="234" t="str">
        <f>'Building Bill of Materials_SLIM'!P817</f>
        <v/>
      </c>
      <c r="C817" s="234" t="str">
        <f>'Building Bill of Materials_SLIM'!Q817</f>
        <v/>
      </c>
      <c r="D817" s="234" t="str">
        <f>'Building Bill of Materials_SLIM'!R817</f>
        <v/>
      </c>
      <c r="E817" s="234" t="str">
        <f>'Building Bill of Materials_SLIM'!S817</f>
        <v/>
      </c>
      <c r="F817" s="234"/>
      <c r="G817" s="234"/>
      <c r="H817" s="234" t="str">
        <f>'Building Bill of Materials_SLIM'!T817</f>
        <v/>
      </c>
      <c r="I817" s="234" t="str">
        <f>'Building Bill of Materials_SLIM'!U817</f>
        <v/>
      </c>
      <c r="J817" s="234" t="str">
        <f>'Building Bill of Materials_SLIM'!V817</f>
        <v/>
      </c>
      <c r="K817" s="192"/>
      <c r="L817" s="242"/>
      <c r="M817" s="242"/>
      <c r="N817" s="291"/>
      <c r="O817" s="291"/>
      <c r="P817" s="291"/>
      <c r="Q817" s="291"/>
      <c r="R817" s="291"/>
      <c r="S817" s="291"/>
      <c r="T817" s="291"/>
      <c r="U817" s="291"/>
      <c r="V817" s="291"/>
      <c r="W817" s="291"/>
      <c r="X817" s="291"/>
      <c r="Y817" s="291"/>
      <c r="Z817" s="291"/>
      <c r="AA817" s="291"/>
      <c r="AB817" s="291"/>
      <c r="AC817" s="291"/>
      <c r="AD817" s="291"/>
      <c r="AE817" s="291"/>
      <c r="AF817" s="291"/>
      <c r="AG817" s="291"/>
    </row>
    <row r="818" ht="18.75" customHeight="1">
      <c r="A818" s="283"/>
      <c r="B818" s="234" t="str">
        <f>'Building Bill of Materials_SLIM'!P818</f>
        <v/>
      </c>
      <c r="C818" s="234" t="str">
        <f>'Building Bill of Materials_SLIM'!Q818</f>
        <v/>
      </c>
      <c r="D818" s="234" t="str">
        <f>'Building Bill of Materials_SLIM'!R818</f>
        <v/>
      </c>
      <c r="E818" s="234" t="str">
        <f>'Building Bill of Materials_SLIM'!S818</f>
        <v/>
      </c>
      <c r="F818" s="234"/>
      <c r="G818" s="234"/>
      <c r="H818" s="234" t="str">
        <f>'Building Bill of Materials_SLIM'!T818</f>
        <v/>
      </c>
      <c r="I818" s="234" t="str">
        <f>'Building Bill of Materials_SLIM'!U818</f>
        <v/>
      </c>
      <c r="J818" s="234" t="str">
        <f>'Building Bill of Materials_SLIM'!V818</f>
        <v/>
      </c>
      <c r="K818" s="192"/>
      <c r="L818" s="242"/>
      <c r="M818" s="242"/>
      <c r="N818" s="291"/>
      <c r="O818" s="291"/>
      <c r="P818" s="291"/>
      <c r="Q818" s="291"/>
      <c r="R818" s="291"/>
      <c r="S818" s="291"/>
      <c r="T818" s="291"/>
      <c r="U818" s="291"/>
      <c r="V818" s="291"/>
      <c r="W818" s="291"/>
      <c r="X818" s="291"/>
      <c r="Y818" s="291"/>
      <c r="Z818" s="291"/>
      <c r="AA818" s="291"/>
      <c r="AB818" s="291"/>
      <c r="AC818" s="291"/>
      <c r="AD818" s="291"/>
      <c r="AE818" s="291"/>
      <c r="AF818" s="291"/>
      <c r="AG818" s="291"/>
    </row>
    <row r="819" ht="18.75" customHeight="1">
      <c r="A819" s="283"/>
      <c r="B819" s="234" t="str">
        <f>'Building Bill of Materials_SLIM'!P819</f>
        <v/>
      </c>
      <c r="C819" s="234" t="str">
        <f>'Building Bill of Materials_SLIM'!Q819</f>
        <v/>
      </c>
      <c r="D819" s="234" t="str">
        <f>'Building Bill of Materials_SLIM'!R819</f>
        <v/>
      </c>
      <c r="E819" s="234" t="str">
        <f>'Building Bill of Materials_SLIM'!S819</f>
        <v/>
      </c>
      <c r="F819" s="234"/>
      <c r="G819" s="234"/>
      <c r="H819" s="234" t="str">
        <f>'Building Bill of Materials_SLIM'!T819</f>
        <v/>
      </c>
      <c r="I819" s="234" t="str">
        <f>'Building Bill of Materials_SLIM'!U819</f>
        <v/>
      </c>
      <c r="J819" s="234" t="str">
        <f>'Building Bill of Materials_SLIM'!V819</f>
        <v/>
      </c>
      <c r="K819" s="192"/>
      <c r="L819" s="242"/>
      <c r="M819" s="242"/>
      <c r="N819" s="291"/>
      <c r="O819" s="291"/>
      <c r="P819" s="291"/>
      <c r="Q819" s="291"/>
      <c r="R819" s="291"/>
      <c r="S819" s="291"/>
      <c r="T819" s="291"/>
      <c r="U819" s="291"/>
      <c r="V819" s="291"/>
      <c r="W819" s="291"/>
      <c r="X819" s="291"/>
      <c r="Y819" s="291"/>
      <c r="Z819" s="291"/>
      <c r="AA819" s="291"/>
      <c r="AB819" s="291"/>
      <c r="AC819" s="291"/>
      <c r="AD819" s="291"/>
      <c r="AE819" s="291"/>
      <c r="AF819" s="291"/>
      <c r="AG819" s="291"/>
    </row>
    <row r="820" ht="18.75" customHeight="1">
      <c r="A820" s="283"/>
      <c r="B820" s="234" t="str">
        <f>'Building Bill of Materials_SLIM'!P820</f>
        <v/>
      </c>
      <c r="C820" s="234" t="str">
        <f>'Building Bill of Materials_SLIM'!Q820</f>
        <v/>
      </c>
      <c r="D820" s="234" t="str">
        <f>'Building Bill of Materials_SLIM'!R820</f>
        <v/>
      </c>
      <c r="E820" s="234" t="str">
        <f>'Building Bill of Materials_SLIM'!S820</f>
        <v/>
      </c>
      <c r="F820" s="234"/>
      <c r="G820" s="234"/>
      <c r="H820" s="234" t="str">
        <f>'Building Bill of Materials_SLIM'!T820</f>
        <v/>
      </c>
      <c r="I820" s="234" t="str">
        <f>'Building Bill of Materials_SLIM'!U820</f>
        <v/>
      </c>
      <c r="J820" s="234" t="str">
        <f>'Building Bill of Materials_SLIM'!V820</f>
        <v/>
      </c>
      <c r="K820" s="192"/>
      <c r="L820" s="242"/>
      <c r="M820" s="242"/>
      <c r="N820" s="291"/>
      <c r="O820" s="291"/>
      <c r="P820" s="291"/>
      <c r="Q820" s="291"/>
      <c r="R820" s="291"/>
      <c r="S820" s="291"/>
      <c r="T820" s="291"/>
      <c r="U820" s="291"/>
      <c r="V820" s="291"/>
      <c r="W820" s="291"/>
      <c r="X820" s="291"/>
      <c r="Y820" s="291"/>
      <c r="Z820" s="291"/>
      <c r="AA820" s="291"/>
      <c r="AB820" s="291"/>
      <c r="AC820" s="291"/>
      <c r="AD820" s="291"/>
      <c r="AE820" s="291"/>
      <c r="AF820" s="291"/>
      <c r="AG820" s="291"/>
    </row>
    <row r="821" ht="18.75" customHeight="1">
      <c r="A821" s="283"/>
      <c r="B821" s="234" t="str">
        <f>'Building Bill of Materials_SLIM'!P821</f>
        <v/>
      </c>
      <c r="C821" s="234" t="str">
        <f>'Building Bill of Materials_SLIM'!Q821</f>
        <v/>
      </c>
      <c r="D821" s="234" t="str">
        <f>'Building Bill of Materials_SLIM'!R821</f>
        <v/>
      </c>
      <c r="E821" s="234" t="str">
        <f>'Building Bill of Materials_SLIM'!S821</f>
        <v/>
      </c>
      <c r="F821" s="234"/>
      <c r="G821" s="234"/>
      <c r="H821" s="234" t="str">
        <f>'Building Bill of Materials_SLIM'!T821</f>
        <v/>
      </c>
      <c r="I821" s="234" t="str">
        <f>'Building Bill of Materials_SLIM'!U821</f>
        <v/>
      </c>
      <c r="J821" s="234" t="str">
        <f>'Building Bill of Materials_SLIM'!V821</f>
        <v/>
      </c>
      <c r="K821" s="192"/>
      <c r="L821" s="242"/>
      <c r="M821" s="242"/>
      <c r="N821" s="291"/>
      <c r="O821" s="291"/>
      <c r="P821" s="291"/>
      <c r="Q821" s="291"/>
      <c r="R821" s="291"/>
      <c r="S821" s="291"/>
      <c r="T821" s="291"/>
      <c r="U821" s="291"/>
      <c r="V821" s="291"/>
      <c r="W821" s="291"/>
      <c r="X821" s="291"/>
      <c r="Y821" s="291"/>
      <c r="Z821" s="291"/>
      <c r="AA821" s="291"/>
      <c r="AB821" s="291"/>
      <c r="AC821" s="291"/>
      <c r="AD821" s="291"/>
      <c r="AE821" s="291"/>
      <c r="AF821" s="291"/>
      <c r="AG821" s="291"/>
    </row>
    <row r="822" ht="18.75" customHeight="1">
      <c r="A822" s="283"/>
      <c r="B822" s="234" t="str">
        <f>'Building Bill of Materials_SLIM'!P822</f>
        <v/>
      </c>
      <c r="C822" s="234" t="str">
        <f>'Building Bill of Materials_SLIM'!Q822</f>
        <v/>
      </c>
      <c r="D822" s="234" t="str">
        <f>'Building Bill of Materials_SLIM'!R822</f>
        <v/>
      </c>
      <c r="E822" s="234" t="str">
        <f>'Building Bill of Materials_SLIM'!S822</f>
        <v/>
      </c>
      <c r="F822" s="234"/>
      <c r="G822" s="234"/>
      <c r="H822" s="234" t="str">
        <f>'Building Bill of Materials_SLIM'!T822</f>
        <v/>
      </c>
      <c r="I822" s="234" t="str">
        <f>'Building Bill of Materials_SLIM'!U822</f>
        <v/>
      </c>
      <c r="J822" s="234" t="str">
        <f>'Building Bill of Materials_SLIM'!V822</f>
        <v/>
      </c>
      <c r="K822" s="192"/>
      <c r="L822" s="242"/>
      <c r="M822" s="242"/>
      <c r="N822" s="291"/>
      <c r="O822" s="291"/>
      <c r="P822" s="291"/>
      <c r="Q822" s="291"/>
      <c r="R822" s="291"/>
      <c r="S822" s="291"/>
      <c r="T822" s="291"/>
      <c r="U822" s="291"/>
      <c r="V822" s="291"/>
      <c r="W822" s="291"/>
      <c r="X822" s="291"/>
      <c r="Y822" s="291"/>
      <c r="Z822" s="291"/>
      <c r="AA822" s="291"/>
      <c r="AB822" s="291"/>
      <c r="AC822" s="291"/>
      <c r="AD822" s="291"/>
      <c r="AE822" s="291"/>
      <c r="AF822" s="291"/>
      <c r="AG822" s="291"/>
    </row>
    <row r="823" ht="18.75" customHeight="1">
      <c r="A823" s="283"/>
      <c r="B823" s="234" t="str">
        <f>'Building Bill of Materials_SLIM'!P823</f>
        <v/>
      </c>
      <c r="C823" s="234" t="str">
        <f>'Building Bill of Materials_SLIM'!Q823</f>
        <v/>
      </c>
      <c r="D823" s="234" t="str">
        <f>'Building Bill of Materials_SLIM'!R823</f>
        <v/>
      </c>
      <c r="E823" s="234" t="str">
        <f>'Building Bill of Materials_SLIM'!S823</f>
        <v/>
      </c>
      <c r="F823" s="234"/>
      <c r="G823" s="234"/>
      <c r="H823" s="234" t="str">
        <f>'Building Bill of Materials_SLIM'!T823</f>
        <v/>
      </c>
      <c r="I823" s="234" t="str">
        <f>'Building Bill of Materials_SLIM'!U823</f>
        <v/>
      </c>
      <c r="J823" s="234" t="str">
        <f>'Building Bill of Materials_SLIM'!V823</f>
        <v/>
      </c>
      <c r="K823" s="192"/>
      <c r="L823" s="242"/>
      <c r="M823" s="242"/>
      <c r="N823" s="291"/>
      <c r="O823" s="291"/>
      <c r="P823" s="291"/>
      <c r="Q823" s="291"/>
      <c r="R823" s="291"/>
      <c r="S823" s="291"/>
      <c r="T823" s="291"/>
      <c r="U823" s="291"/>
      <c r="V823" s="291"/>
      <c r="W823" s="291"/>
      <c r="X823" s="291"/>
      <c r="Y823" s="291"/>
      <c r="Z823" s="291"/>
      <c r="AA823" s="291"/>
      <c r="AB823" s="291"/>
      <c r="AC823" s="291"/>
      <c r="AD823" s="291"/>
      <c r="AE823" s="291"/>
      <c r="AF823" s="291"/>
      <c r="AG823" s="291"/>
    </row>
    <row r="824" ht="18.75" customHeight="1">
      <c r="A824" s="283"/>
      <c r="B824" s="234" t="str">
        <f>'Building Bill of Materials_SLIM'!P824</f>
        <v/>
      </c>
      <c r="C824" s="234" t="str">
        <f>'Building Bill of Materials_SLIM'!Q824</f>
        <v/>
      </c>
      <c r="D824" s="234" t="str">
        <f>'Building Bill of Materials_SLIM'!R824</f>
        <v/>
      </c>
      <c r="E824" s="234" t="str">
        <f>'Building Bill of Materials_SLIM'!S824</f>
        <v/>
      </c>
      <c r="F824" s="234"/>
      <c r="G824" s="234"/>
      <c r="H824" s="234" t="str">
        <f>'Building Bill of Materials_SLIM'!T824</f>
        <v/>
      </c>
      <c r="I824" s="234" t="str">
        <f>'Building Bill of Materials_SLIM'!U824</f>
        <v/>
      </c>
      <c r="J824" s="234" t="str">
        <f>'Building Bill of Materials_SLIM'!V824</f>
        <v/>
      </c>
      <c r="K824" s="192"/>
      <c r="L824" s="242"/>
      <c r="M824" s="242"/>
      <c r="N824" s="291"/>
      <c r="O824" s="291"/>
      <c r="P824" s="291"/>
      <c r="Q824" s="291"/>
      <c r="R824" s="291"/>
      <c r="S824" s="291"/>
      <c r="T824" s="291"/>
      <c r="U824" s="291"/>
      <c r="V824" s="291"/>
      <c r="W824" s="291"/>
      <c r="X824" s="291"/>
      <c r="Y824" s="291"/>
      <c r="Z824" s="291"/>
      <c r="AA824" s="291"/>
      <c r="AB824" s="291"/>
      <c r="AC824" s="291"/>
      <c r="AD824" s="291"/>
      <c r="AE824" s="291"/>
      <c r="AF824" s="291"/>
      <c r="AG824" s="291"/>
    </row>
    <row r="825" ht="18.75" customHeight="1">
      <c r="A825" s="283"/>
      <c r="B825" s="234" t="str">
        <f>'Building Bill of Materials_SLIM'!P825</f>
        <v/>
      </c>
      <c r="C825" s="234" t="str">
        <f>'Building Bill of Materials_SLIM'!Q825</f>
        <v/>
      </c>
      <c r="D825" s="234" t="str">
        <f>'Building Bill of Materials_SLIM'!R825</f>
        <v/>
      </c>
      <c r="E825" s="234" t="str">
        <f>'Building Bill of Materials_SLIM'!S825</f>
        <v/>
      </c>
      <c r="F825" s="234"/>
      <c r="G825" s="234"/>
      <c r="H825" s="234" t="str">
        <f>'Building Bill of Materials_SLIM'!T825</f>
        <v/>
      </c>
      <c r="I825" s="234" t="str">
        <f>'Building Bill of Materials_SLIM'!U825</f>
        <v/>
      </c>
      <c r="J825" s="234" t="str">
        <f>'Building Bill of Materials_SLIM'!V825</f>
        <v/>
      </c>
      <c r="K825" s="192"/>
      <c r="L825" s="242"/>
      <c r="M825" s="242"/>
      <c r="N825" s="291"/>
      <c r="O825" s="291"/>
      <c r="P825" s="291"/>
      <c r="Q825" s="291"/>
      <c r="R825" s="291"/>
      <c r="S825" s="291"/>
      <c r="T825" s="291"/>
      <c r="U825" s="291"/>
      <c r="V825" s="291"/>
      <c r="W825" s="291"/>
      <c r="X825" s="291"/>
      <c r="Y825" s="291"/>
      <c r="Z825" s="291"/>
      <c r="AA825" s="291"/>
      <c r="AB825" s="291"/>
      <c r="AC825" s="291"/>
      <c r="AD825" s="291"/>
      <c r="AE825" s="291"/>
      <c r="AF825" s="291"/>
      <c r="AG825" s="291"/>
    </row>
    <row r="826" ht="18.75" customHeight="1">
      <c r="A826" s="283"/>
      <c r="B826" s="234" t="str">
        <f>'Building Bill of Materials_SLIM'!P826</f>
        <v/>
      </c>
      <c r="C826" s="234" t="str">
        <f>'Building Bill of Materials_SLIM'!Q826</f>
        <v/>
      </c>
      <c r="D826" s="234" t="str">
        <f>'Building Bill of Materials_SLIM'!R826</f>
        <v/>
      </c>
      <c r="E826" s="234" t="str">
        <f>'Building Bill of Materials_SLIM'!S826</f>
        <v/>
      </c>
      <c r="F826" s="234"/>
      <c r="G826" s="234"/>
      <c r="H826" s="234" t="str">
        <f>'Building Bill of Materials_SLIM'!T826</f>
        <v/>
      </c>
      <c r="I826" s="234" t="str">
        <f>'Building Bill of Materials_SLIM'!U826</f>
        <v/>
      </c>
      <c r="J826" s="234" t="str">
        <f>'Building Bill of Materials_SLIM'!V826</f>
        <v/>
      </c>
      <c r="K826" s="192"/>
      <c r="L826" s="242"/>
      <c r="M826" s="242"/>
      <c r="N826" s="291"/>
      <c r="O826" s="291"/>
      <c r="P826" s="291"/>
      <c r="Q826" s="291"/>
      <c r="R826" s="291"/>
      <c r="S826" s="291"/>
      <c r="T826" s="291"/>
      <c r="U826" s="291"/>
      <c r="V826" s="291"/>
      <c r="W826" s="291"/>
      <c r="X826" s="291"/>
      <c r="Y826" s="291"/>
      <c r="Z826" s="291"/>
      <c r="AA826" s="291"/>
      <c r="AB826" s="291"/>
      <c r="AC826" s="291"/>
      <c r="AD826" s="291"/>
      <c r="AE826" s="291"/>
      <c r="AF826" s="291"/>
      <c r="AG826" s="291"/>
    </row>
    <row r="827" ht="18.75" customHeight="1">
      <c r="A827" s="283"/>
      <c r="B827" s="234" t="str">
        <f>'Building Bill of Materials_SLIM'!P827</f>
        <v/>
      </c>
      <c r="C827" s="234" t="str">
        <f>'Building Bill of Materials_SLIM'!Q827</f>
        <v/>
      </c>
      <c r="D827" s="234" t="str">
        <f>'Building Bill of Materials_SLIM'!R827</f>
        <v/>
      </c>
      <c r="E827" s="234" t="str">
        <f>'Building Bill of Materials_SLIM'!S827</f>
        <v/>
      </c>
      <c r="F827" s="234"/>
      <c r="G827" s="234"/>
      <c r="H827" s="234" t="str">
        <f>'Building Bill of Materials_SLIM'!T827</f>
        <v/>
      </c>
      <c r="I827" s="234" t="str">
        <f>'Building Bill of Materials_SLIM'!U827</f>
        <v/>
      </c>
      <c r="J827" s="234" t="str">
        <f>'Building Bill of Materials_SLIM'!V827</f>
        <v/>
      </c>
      <c r="K827" s="192"/>
      <c r="L827" s="242"/>
      <c r="M827" s="242"/>
      <c r="N827" s="291"/>
      <c r="O827" s="291"/>
      <c r="P827" s="291"/>
      <c r="Q827" s="291"/>
      <c r="R827" s="291"/>
      <c r="S827" s="291"/>
      <c r="T827" s="291"/>
      <c r="U827" s="291"/>
      <c r="V827" s="291"/>
      <c r="W827" s="291"/>
      <c r="X827" s="291"/>
      <c r="Y827" s="291"/>
      <c r="Z827" s="291"/>
      <c r="AA827" s="291"/>
      <c r="AB827" s="291"/>
      <c r="AC827" s="291"/>
      <c r="AD827" s="291"/>
      <c r="AE827" s="291"/>
      <c r="AF827" s="291"/>
      <c r="AG827" s="291"/>
    </row>
    <row r="828" ht="18.75" customHeight="1">
      <c r="A828" s="283"/>
      <c r="B828" s="234" t="str">
        <f>'Building Bill of Materials_SLIM'!P828</f>
        <v/>
      </c>
      <c r="C828" s="234" t="str">
        <f>'Building Bill of Materials_SLIM'!Q828</f>
        <v/>
      </c>
      <c r="D828" s="234" t="str">
        <f>'Building Bill of Materials_SLIM'!R828</f>
        <v/>
      </c>
      <c r="E828" s="234" t="str">
        <f>'Building Bill of Materials_SLIM'!S828</f>
        <v/>
      </c>
      <c r="F828" s="234"/>
      <c r="G828" s="234"/>
      <c r="H828" s="234" t="str">
        <f>'Building Bill of Materials_SLIM'!T828</f>
        <v/>
      </c>
      <c r="I828" s="234" t="str">
        <f>'Building Bill of Materials_SLIM'!U828</f>
        <v/>
      </c>
      <c r="J828" s="234" t="str">
        <f>'Building Bill of Materials_SLIM'!V828</f>
        <v/>
      </c>
      <c r="K828" s="192"/>
      <c r="L828" s="242"/>
      <c r="M828" s="242"/>
      <c r="N828" s="291"/>
      <c r="O828" s="291"/>
      <c r="P828" s="291"/>
      <c r="Q828" s="291"/>
      <c r="R828" s="291"/>
      <c r="S828" s="291"/>
      <c r="T828" s="291"/>
      <c r="U828" s="291"/>
      <c r="V828" s="291"/>
      <c r="W828" s="291"/>
      <c r="X828" s="291"/>
      <c r="Y828" s="291"/>
      <c r="Z828" s="291"/>
      <c r="AA828" s="291"/>
      <c r="AB828" s="291"/>
      <c r="AC828" s="291"/>
      <c r="AD828" s="291"/>
      <c r="AE828" s="291"/>
      <c r="AF828" s="291"/>
      <c r="AG828" s="291"/>
    </row>
    <row r="829" ht="18.75" customHeight="1">
      <c r="A829" s="283"/>
      <c r="B829" s="234" t="str">
        <f>'Building Bill of Materials_SLIM'!P829</f>
        <v/>
      </c>
      <c r="C829" s="234" t="str">
        <f>'Building Bill of Materials_SLIM'!Q829</f>
        <v/>
      </c>
      <c r="D829" s="234" t="str">
        <f>'Building Bill of Materials_SLIM'!R829</f>
        <v/>
      </c>
      <c r="E829" s="234" t="str">
        <f>'Building Bill of Materials_SLIM'!S829</f>
        <v/>
      </c>
      <c r="F829" s="234"/>
      <c r="G829" s="234"/>
      <c r="H829" s="234" t="str">
        <f>'Building Bill of Materials_SLIM'!T829</f>
        <v/>
      </c>
      <c r="I829" s="234" t="str">
        <f>'Building Bill of Materials_SLIM'!U829</f>
        <v/>
      </c>
      <c r="J829" s="234" t="str">
        <f>'Building Bill of Materials_SLIM'!V829</f>
        <v/>
      </c>
      <c r="K829" s="192"/>
      <c r="L829" s="242"/>
      <c r="M829" s="242"/>
      <c r="N829" s="291"/>
      <c r="O829" s="291"/>
      <c r="P829" s="291"/>
      <c r="Q829" s="291"/>
      <c r="R829" s="291"/>
      <c r="S829" s="291"/>
      <c r="T829" s="291"/>
      <c r="U829" s="291"/>
      <c r="V829" s="291"/>
      <c r="W829" s="291"/>
      <c r="X829" s="291"/>
      <c r="Y829" s="291"/>
      <c r="Z829" s="291"/>
      <c r="AA829" s="291"/>
      <c r="AB829" s="291"/>
      <c r="AC829" s="291"/>
      <c r="AD829" s="291"/>
      <c r="AE829" s="291"/>
      <c r="AF829" s="291"/>
      <c r="AG829" s="291"/>
    </row>
    <row r="830" ht="18.75" customHeight="1">
      <c r="A830" s="283"/>
      <c r="B830" s="234" t="str">
        <f>'Building Bill of Materials_SLIM'!P830</f>
        <v/>
      </c>
      <c r="C830" s="234" t="str">
        <f>'Building Bill of Materials_SLIM'!Q830</f>
        <v/>
      </c>
      <c r="D830" s="234" t="str">
        <f>'Building Bill of Materials_SLIM'!R830</f>
        <v/>
      </c>
      <c r="E830" s="234" t="str">
        <f>'Building Bill of Materials_SLIM'!S830</f>
        <v/>
      </c>
      <c r="F830" s="234"/>
      <c r="G830" s="234"/>
      <c r="H830" s="234" t="str">
        <f>'Building Bill of Materials_SLIM'!T830</f>
        <v/>
      </c>
      <c r="I830" s="234" t="str">
        <f>'Building Bill of Materials_SLIM'!U830</f>
        <v/>
      </c>
      <c r="J830" s="234" t="str">
        <f>'Building Bill of Materials_SLIM'!V830</f>
        <v/>
      </c>
      <c r="K830" s="192"/>
      <c r="L830" s="242"/>
      <c r="M830" s="242"/>
      <c r="N830" s="291"/>
      <c r="O830" s="291"/>
      <c r="P830" s="291"/>
      <c r="Q830" s="291"/>
      <c r="R830" s="291"/>
      <c r="S830" s="291"/>
      <c r="T830" s="291"/>
      <c r="U830" s="291"/>
      <c r="V830" s="291"/>
      <c r="W830" s="291"/>
      <c r="X830" s="291"/>
      <c r="Y830" s="291"/>
      <c r="Z830" s="291"/>
      <c r="AA830" s="291"/>
      <c r="AB830" s="291"/>
      <c r="AC830" s="291"/>
      <c r="AD830" s="291"/>
      <c r="AE830" s="291"/>
      <c r="AF830" s="291"/>
      <c r="AG830" s="291"/>
    </row>
    <row r="831" ht="18.75" customHeight="1">
      <c r="A831" s="283"/>
      <c r="B831" s="234" t="str">
        <f>'Building Bill of Materials_SLIM'!P831</f>
        <v/>
      </c>
      <c r="C831" s="234" t="str">
        <f>'Building Bill of Materials_SLIM'!Q831</f>
        <v/>
      </c>
      <c r="D831" s="234" t="str">
        <f>'Building Bill of Materials_SLIM'!R831</f>
        <v/>
      </c>
      <c r="E831" s="234" t="str">
        <f>'Building Bill of Materials_SLIM'!S831</f>
        <v/>
      </c>
      <c r="F831" s="234"/>
      <c r="G831" s="234"/>
      <c r="H831" s="234" t="str">
        <f>'Building Bill of Materials_SLIM'!T831</f>
        <v/>
      </c>
      <c r="I831" s="234" t="str">
        <f>'Building Bill of Materials_SLIM'!U831</f>
        <v/>
      </c>
      <c r="J831" s="234" t="str">
        <f>'Building Bill of Materials_SLIM'!V831</f>
        <v/>
      </c>
      <c r="K831" s="192"/>
      <c r="L831" s="242"/>
      <c r="M831" s="242"/>
      <c r="N831" s="291"/>
      <c r="O831" s="291"/>
      <c r="P831" s="291"/>
      <c r="Q831" s="291"/>
      <c r="R831" s="291"/>
      <c r="S831" s="291"/>
      <c r="T831" s="291"/>
      <c r="U831" s="291"/>
      <c r="V831" s="291"/>
      <c r="W831" s="291"/>
      <c r="X831" s="291"/>
      <c r="Y831" s="291"/>
      <c r="Z831" s="291"/>
      <c r="AA831" s="291"/>
      <c r="AB831" s="291"/>
      <c r="AC831" s="291"/>
      <c r="AD831" s="291"/>
      <c r="AE831" s="291"/>
      <c r="AF831" s="291"/>
      <c r="AG831" s="291"/>
    </row>
    <row r="832" ht="18.75" customHeight="1">
      <c r="A832" s="283"/>
      <c r="B832" s="234" t="str">
        <f>'Building Bill of Materials_SLIM'!P832</f>
        <v/>
      </c>
      <c r="C832" s="234" t="str">
        <f>'Building Bill of Materials_SLIM'!Q832</f>
        <v/>
      </c>
      <c r="D832" s="234" t="str">
        <f>'Building Bill of Materials_SLIM'!R832</f>
        <v/>
      </c>
      <c r="E832" s="234" t="str">
        <f>'Building Bill of Materials_SLIM'!S832</f>
        <v/>
      </c>
      <c r="F832" s="234"/>
      <c r="G832" s="234"/>
      <c r="H832" s="234" t="str">
        <f>'Building Bill of Materials_SLIM'!T832</f>
        <v/>
      </c>
      <c r="I832" s="234" t="str">
        <f>'Building Bill of Materials_SLIM'!U832</f>
        <v/>
      </c>
      <c r="J832" s="234" t="str">
        <f>'Building Bill of Materials_SLIM'!V832</f>
        <v/>
      </c>
      <c r="K832" s="192"/>
      <c r="L832" s="242"/>
      <c r="M832" s="242"/>
      <c r="N832" s="291"/>
      <c r="O832" s="291"/>
      <c r="P832" s="291"/>
      <c r="Q832" s="291"/>
      <c r="R832" s="291"/>
      <c r="S832" s="291"/>
      <c r="T832" s="291"/>
      <c r="U832" s="291"/>
      <c r="V832" s="291"/>
      <c r="W832" s="291"/>
      <c r="X832" s="291"/>
      <c r="Y832" s="291"/>
      <c r="Z832" s="291"/>
      <c r="AA832" s="291"/>
      <c r="AB832" s="291"/>
      <c r="AC832" s="291"/>
      <c r="AD832" s="291"/>
      <c r="AE832" s="291"/>
      <c r="AF832" s="291"/>
      <c r="AG832" s="291"/>
    </row>
    <row r="833" ht="18.75" customHeight="1">
      <c r="A833" s="283"/>
      <c r="B833" s="234" t="str">
        <f>'Building Bill of Materials_SLIM'!P833</f>
        <v/>
      </c>
      <c r="C833" s="234" t="str">
        <f>'Building Bill of Materials_SLIM'!Q833</f>
        <v/>
      </c>
      <c r="D833" s="234" t="str">
        <f>'Building Bill of Materials_SLIM'!R833</f>
        <v/>
      </c>
      <c r="E833" s="234" t="str">
        <f>'Building Bill of Materials_SLIM'!S833</f>
        <v/>
      </c>
      <c r="F833" s="234"/>
      <c r="G833" s="234"/>
      <c r="H833" s="234" t="str">
        <f>'Building Bill of Materials_SLIM'!T833</f>
        <v/>
      </c>
      <c r="I833" s="234" t="str">
        <f>'Building Bill of Materials_SLIM'!U833</f>
        <v/>
      </c>
      <c r="J833" s="234" t="str">
        <f>'Building Bill of Materials_SLIM'!V833</f>
        <v/>
      </c>
      <c r="K833" s="192"/>
      <c r="L833" s="242"/>
      <c r="M833" s="242"/>
      <c r="N833" s="291"/>
      <c r="O833" s="291"/>
      <c r="P833" s="291"/>
      <c r="Q833" s="291"/>
      <c r="R833" s="291"/>
      <c r="S833" s="291"/>
      <c r="T833" s="291"/>
      <c r="U833" s="291"/>
      <c r="V833" s="291"/>
      <c r="W833" s="291"/>
      <c r="X833" s="291"/>
      <c r="Y833" s="291"/>
      <c r="Z833" s="291"/>
      <c r="AA833" s="291"/>
      <c r="AB833" s="291"/>
      <c r="AC833" s="291"/>
      <c r="AD833" s="291"/>
      <c r="AE833" s="291"/>
      <c r="AF833" s="291"/>
      <c r="AG833" s="291"/>
    </row>
    <row r="834" ht="18.75" customHeight="1">
      <c r="A834" s="283"/>
      <c r="B834" s="234" t="str">
        <f>'Building Bill of Materials_SLIM'!P834</f>
        <v/>
      </c>
      <c r="C834" s="234" t="str">
        <f>'Building Bill of Materials_SLIM'!Q834</f>
        <v/>
      </c>
      <c r="D834" s="234" t="str">
        <f>'Building Bill of Materials_SLIM'!R834</f>
        <v/>
      </c>
      <c r="E834" s="234" t="str">
        <f>'Building Bill of Materials_SLIM'!S834</f>
        <v/>
      </c>
      <c r="F834" s="234"/>
      <c r="G834" s="234"/>
      <c r="H834" s="234" t="str">
        <f>'Building Bill of Materials_SLIM'!T834</f>
        <v/>
      </c>
      <c r="I834" s="234" t="str">
        <f>'Building Bill of Materials_SLIM'!U834</f>
        <v/>
      </c>
      <c r="J834" s="234" t="str">
        <f>'Building Bill of Materials_SLIM'!V834</f>
        <v/>
      </c>
      <c r="K834" s="192"/>
      <c r="L834" s="242"/>
      <c r="M834" s="242"/>
      <c r="N834" s="291"/>
      <c r="O834" s="291"/>
      <c r="P834" s="291"/>
      <c r="Q834" s="291"/>
      <c r="R834" s="291"/>
      <c r="S834" s="291"/>
      <c r="T834" s="291"/>
      <c r="U834" s="291"/>
      <c r="V834" s="291"/>
      <c r="W834" s="291"/>
      <c r="X834" s="291"/>
      <c r="Y834" s="291"/>
      <c r="Z834" s="291"/>
      <c r="AA834" s="291"/>
      <c r="AB834" s="291"/>
      <c r="AC834" s="291"/>
      <c r="AD834" s="291"/>
      <c r="AE834" s="291"/>
      <c r="AF834" s="291"/>
      <c r="AG834" s="291"/>
    </row>
    <row r="835" ht="18.75" customHeight="1">
      <c r="A835" s="283"/>
      <c r="B835" s="234" t="str">
        <f>'Building Bill of Materials_SLIM'!P835</f>
        <v/>
      </c>
      <c r="C835" s="234" t="str">
        <f>'Building Bill of Materials_SLIM'!Q835</f>
        <v/>
      </c>
      <c r="D835" s="234" t="str">
        <f>'Building Bill of Materials_SLIM'!R835</f>
        <v/>
      </c>
      <c r="E835" s="234" t="str">
        <f>'Building Bill of Materials_SLIM'!S835</f>
        <v/>
      </c>
      <c r="F835" s="234"/>
      <c r="G835" s="234"/>
      <c r="H835" s="234" t="str">
        <f>'Building Bill of Materials_SLIM'!T835</f>
        <v/>
      </c>
      <c r="I835" s="234" t="str">
        <f>'Building Bill of Materials_SLIM'!U835</f>
        <v/>
      </c>
      <c r="J835" s="234" t="str">
        <f>'Building Bill of Materials_SLIM'!V835</f>
        <v/>
      </c>
      <c r="K835" s="192"/>
      <c r="L835" s="242"/>
      <c r="M835" s="242"/>
      <c r="N835" s="291"/>
      <c r="O835" s="291"/>
      <c r="P835" s="291"/>
      <c r="Q835" s="291"/>
      <c r="R835" s="291"/>
      <c r="S835" s="291"/>
      <c r="T835" s="291"/>
      <c r="U835" s="291"/>
      <c r="V835" s="291"/>
      <c r="W835" s="291"/>
      <c r="X835" s="291"/>
      <c r="Y835" s="291"/>
      <c r="Z835" s="291"/>
      <c r="AA835" s="291"/>
      <c r="AB835" s="291"/>
      <c r="AC835" s="291"/>
      <c r="AD835" s="291"/>
      <c r="AE835" s="291"/>
      <c r="AF835" s="291"/>
      <c r="AG835" s="291"/>
    </row>
    <row r="836" ht="18.75" customHeight="1">
      <c r="A836" s="283"/>
      <c r="B836" s="234" t="str">
        <f>'Building Bill of Materials_SLIM'!P836</f>
        <v/>
      </c>
      <c r="C836" s="234" t="str">
        <f>'Building Bill of Materials_SLIM'!Q836</f>
        <v/>
      </c>
      <c r="D836" s="234" t="str">
        <f>'Building Bill of Materials_SLIM'!R836</f>
        <v/>
      </c>
      <c r="E836" s="234" t="str">
        <f>'Building Bill of Materials_SLIM'!S836</f>
        <v/>
      </c>
      <c r="F836" s="234"/>
      <c r="G836" s="234"/>
      <c r="H836" s="234" t="str">
        <f>'Building Bill of Materials_SLIM'!T836</f>
        <v/>
      </c>
      <c r="I836" s="234" t="str">
        <f>'Building Bill of Materials_SLIM'!U836</f>
        <v/>
      </c>
      <c r="J836" s="234" t="str">
        <f>'Building Bill of Materials_SLIM'!V836</f>
        <v/>
      </c>
      <c r="K836" s="192"/>
      <c r="L836" s="242"/>
      <c r="M836" s="242"/>
      <c r="N836" s="291"/>
      <c r="O836" s="291"/>
      <c r="P836" s="291"/>
      <c r="Q836" s="291"/>
      <c r="R836" s="291"/>
      <c r="S836" s="291"/>
      <c r="T836" s="291"/>
      <c r="U836" s="291"/>
      <c r="V836" s="291"/>
      <c r="W836" s="291"/>
      <c r="X836" s="291"/>
      <c r="Y836" s="291"/>
      <c r="Z836" s="291"/>
      <c r="AA836" s="291"/>
      <c r="AB836" s="291"/>
      <c r="AC836" s="291"/>
      <c r="AD836" s="291"/>
      <c r="AE836" s="291"/>
      <c r="AF836" s="291"/>
      <c r="AG836" s="291"/>
    </row>
    <row r="837" ht="18.75" customHeight="1">
      <c r="A837" s="283"/>
      <c r="B837" s="234" t="str">
        <f>'Building Bill of Materials_SLIM'!P837</f>
        <v/>
      </c>
      <c r="C837" s="234" t="str">
        <f>'Building Bill of Materials_SLIM'!Q837</f>
        <v/>
      </c>
      <c r="D837" s="234" t="str">
        <f>'Building Bill of Materials_SLIM'!R837</f>
        <v/>
      </c>
      <c r="E837" s="234" t="str">
        <f>'Building Bill of Materials_SLIM'!S837</f>
        <v/>
      </c>
      <c r="F837" s="234"/>
      <c r="G837" s="234"/>
      <c r="H837" s="234" t="str">
        <f>'Building Bill of Materials_SLIM'!T837</f>
        <v/>
      </c>
      <c r="I837" s="234" t="str">
        <f>'Building Bill of Materials_SLIM'!U837</f>
        <v/>
      </c>
      <c r="J837" s="234" t="str">
        <f>'Building Bill of Materials_SLIM'!V837</f>
        <v/>
      </c>
      <c r="K837" s="192"/>
      <c r="L837" s="242"/>
      <c r="M837" s="242"/>
      <c r="N837" s="291"/>
      <c r="O837" s="291"/>
      <c r="P837" s="291"/>
      <c r="Q837" s="291"/>
      <c r="R837" s="291"/>
      <c r="S837" s="291"/>
      <c r="T837" s="291"/>
      <c r="U837" s="291"/>
      <c r="V837" s="291"/>
      <c r="W837" s="291"/>
      <c r="X837" s="291"/>
      <c r="Y837" s="291"/>
      <c r="Z837" s="291"/>
      <c r="AA837" s="291"/>
      <c r="AB837" s="291"/>
      <c r="AC837" s="291"/>
      <c r="AD837" s="291"/>
      <c r="AE837" s="291"/>
      <c r="AF837" s="291"/>
      <c r="AG837" s="291"/>
    </row>
    <row r="838" ht="18.75" customHeight="1">
      <c r="A838" s="283"/>
      <c r="B838" s="234" t="str">
        <f>'Building Bill of Materials_SLIM'!P838</f>
        <v/>
      </c>
      <c r="C838" s="234" t="str">
        <f>'Building Bill of Materials_SLIM'!Q838</f>
        <v/>
      </c>
      <c r="D838" s="234" t="str">
        <f>'Building Bill of Materials_SLIM'!R838</f>
        <v/>
      </c>
      <c r="E838" s="234" t="str">
        <f>'Building Bill of Materials_SLIM'!S838</f>
        <v/>
      </c>
      <c r="F838" s="234"/>
      <c r="G838" s="234"/>
      <c r="H838" s="234" t="str">
        <f>'Building Bill of Materials_SLIM'!T838</f>
        <v/>
      </c>
      <c r="I838" s="234" t="str">
        <f>'Building Bill of Materials_SLIM'!U838</f>
        <v/>
      </c>
      <c r="J838" s="234" t="str">
        <f>'Building Bill of Materials_SLIM'!V838</f>
        <v/>
      </c>
      <c r="K838" s="192"/>
      <c r="L838" s="242"/>
      <c r="M838" s="242"/>
      <c r="N838" s="291"/>
      <c r="O838" s="291"/>
      <c r="P838" s="291"/>
      <c r="Q838" s="291"/>
      <c r="R838" s="291"/>
      <c r="S838" s="291"/>
      <c r="T838" s="291"/>
      <c r="U838" s="291"/>
      <c r="V838" s="291"/>
      <c r="W838" s="291"/>
      <c r="X838" s="291"/>
      <c r="Y838" s="291"/>
      <c r="Z838" s="291"/>
      <c r="AA838" s="291"/>
      <c r="AB838" s="291"/>
      <c r="AC838" s="291"/>
      <c r="AD838" s="291"/>
      <c r="AE838" s="291"/>
      <c r="AF838" s="291"/>
      <c r="AG838" s="291"/>
    </row>
    <row r="839" ht="18.75" customHeight="1">
      <c r="A839" s="283"/>
      <c r="B839" s="234" t="str">
        <f>'Building Bill of Materials_SLIM'!P839</f>
        <v/>
      </c>
      <c r="C839" s="234" t="str">
        <f>'Building Bill of Materials_SLIM'!Q839</f>
        <v/>
      </c>
      <c r="D839" s="234" t="str">
        <f>'Building Bill of Materials_SLIM'!R839</f>
        <v/>
      </c>
      <c r="E839" s="234" t="str">
        <f>'Building Bill of Materials_SLIM'!S839</f>
        <v/>
      </c>
      <c r="F839" s="234"/>
      <c r="G839" s="234"/>
      <c r="H839" s="234" t="str">
        <f>'Building Bill of Materials_SLIM'!T839</f>
        <v/>
      </c>
      <c r="I839" s="234" t="str">
        <f>'Building Bill of Materials_SLIM'!U839</f>
        <v/>
      </c>
      <c r="J839" s="234" t="str">
        <f>'Building Bill of Materials_SLIM'!V839</f>
        <v/>
      </c>
      <c r="K839" s="192"/>
      <c r="L839" s="242"/>
      <c r="M839" s="242"/>
      <c r="N839" s="291"/>
      <c r="O839" s="291"/>
      <c r="P839" s="291"/>
      <c r="Q839" s="291"/>
      <c r="R839" s="291"/>
      <c r="S839" s="291"/>
      <c r="T839" s="291"/>
      <c r="U839" s="291"/>
      <c r="V839" s="291"/>
      <c r="W839" s="291"/>
      <c r="X839" s="291"/>
      <c r="Y839" s="291"/>
      <c r="Z839" s="291"/>
      <c r="AA839" s="291"/>
      <c r="AB839" s="291"/>
      <c r="AC839" s="291"/>
      <c r="AD839" s="291"/>
      <c r="AE839" s="291"/>
      <c r="AF839" s="291"/>
      <c r="AG839" s="291"/>
    </row>
    <row r="840" ht="18.75" customHeight="1">
      <c r="A840" s="283"/>
      <c r="B840" s="234" t="str">
        <f>'Building Bill of Materials_SLIM'!P840</f>
        <v/>
      </c>
      <c r="C840" s="234" t="str">
        <f>'Building Bill of Materials_SLIM'!Q840</f>
        <v/>
      </c>
      <c r="D840" s="234" t="str">
        <f>'Building Bill of Materials_SLIM'!R840</f>
        <v/>
      </c>
      <c r="E840" s="234" t="str">
        <f>'Building Bill of Materials_SLIM'!S840</f>
        <v/>
      </c>
      <c r="F840" s="234"/>
      <c r="G840" s="234"/>
      <c r="H840" s="234" t="str">
        <f>'Building Bill of Materials_SLIM'!T840</f>
        <v/>
      </c>
      <c r="I840" s="234" t="str">
        <f>'Building Bill of Materials_SLIM'!U840</f>
        <v/>
      </c>
      <c r="J840" s="234" t="str">
        <f>'Building Bill of Materials_SLIM'!V840</f>
        <v/>
      </c>
      <c r="K840" s="192"/>
      <c r="L840" s="242"/>
      <c r="M840" s="242"/>
      <c r="N840" s="291"/>
      <c r="O840" s="291"/>
      <c r="P840" s="291"/>
      <c r="Q840" s="291"/>
      <c r="R840" s="291"/>
      <c r="S840" s="291"/>
      <c r="T840" s="291"/>
      <c r="U840" s="291"/>
      <c r="V840" s="291"/>
      <c r="W840" s="291"/>
      <c r="X840" s="291"/>
      <c r="Y840" s="291"/>
      <c r="Z840" s="291"/>
      <c r="AA840" s="291"/>
      <c r="AB840" s="291"/>
      <c r="AC840" s="291"/>
      <c r="AD840" s="291"/>
      <c r="AE840" s="291"/>
      <c r="AF840" s="291"/>
      <c r="AG840" s="291"/>
    </row>
    <row r="841" ht="18.75" customHeight="1">
      <c r="A841" s="283"/>
      <c r="B841" s="234" t="str">
        <f>'Building Bill of Materials_SLIM'!P841</f>
        <v/>
      </c>
      <c r="C841" s="234" t="str">
        <f>'Building Bill of Materials_SLIM'!Q841</f>
        <v/>
      </c>
      <c r="D841" s="234" t="str">
        <f>'Building Bill of Materials_SLIM'!R841</f>
        <v/>
      </c>
      <c r="E841" s="234" t="str">
        <f>'Building Bill of Materials_SLIM'!S841</f>
        <v/>
      </c>
      <c r="F841" s="234"/>
      <c r="G841" s="234"/>
      <c r="H841" s="234" t="str">
        <f>'Building Bill of Materials_SLIM'!T841</f>
        <v/>
      </c>
      <c r="I841" s="234" t="str">
        <f>'Building Bill of Materials_SLIM'!U841</f>
        <v/>
      </c>
      <c r="J841" s="234" t="str">
        <f>'Building Bill of Materials_SLIM'!V841</f>
        <v/>
      </c>
      <c r="K841" s="192"/>
      <c r="L841" s="242"/>
      <c r="M841" s="242"/>
      <c r="N841" s="291"/>
      <c r="O841" s="291"/>
      <c r="P841" s="291"/>
      <c r="Q841" s="291"/>
      <c r="R841" s="291"/>
      <c r="S841" s="291"/>
      <c r="T841" s="291"/>
      <c r="U841" s="291"/>
      <c r="V841" s="291"/>
      <c r="W841" s="291"/>
      <c r="X841" s="291"/>
      <c r="Y841" s="291"/>
      <c r="Z841" s="291"/>
      <c r="AA841" s="291"/>
      <c r="AB841" s="291"/>
      <c r="AC841" s="291"/>
      <c r="AD841" s="291"/>
      <c r="AE841" s="291"/>
      <c r="AF841" s="291"/>
      <c r="AG841" s="291"/>
    </row>
    <row r="842" ht="18.75" customHeight="1">
      <c r="A842" s="283"/>
      <c r="B842" s="234" t="str">
        <f>'Building Bill of Materials_SLIM'!P842</f>
        <v/>
      </c>
      <c r="C842" s="234" t="str">
        <f>'Building Bill of Materials_SLIM'!Q842</f>
        <v/>
      </c>
      <c r="D842" s="234" t="str">
        <f>'Building Bill of Materials_SLIM'!R842</f>
        <v/>
      </c>
      <c r="E842" s="234" t="str">
        <f>'Building Bill of Materials_SLIM'!S842</f>
        <v/>
      </c>
      <c r="F842" s="234"/>
      <c r="G842" s="234"/>
      <c r="H842" s="234" t="str">
        <f>'Building Bill of Materials_SLIM'!T842</f>
        <v/>
      </c>
      <c r="I842" s="234" t="str">
        <f>'Building Bill of Materials_SLIM'!U842</f>
        <v/>
      </c>
      <c r="J842" s="234" t="str">
        <f>'Building Bill of Materials_SLIM'!V842</f>
        <v/>
      </c>
      <c r="K842" s="192"/>
      <c r="L842" s="242"/>
      <c r="M842" s="242"/>
      <c r="N842" s="291"/>
      <c r="O842" s="291"/>
      <c r="P842" s="291"/>
      <c r="Q842" s="291"/>
      <c r="R842" s="291"/>
      <c r="S842" s="291"/>
      <c r="T842" s="291"/>
      <c r="U842" s="291"/>
      <c r="V842" s="291"/>
      <c r="W842" s="291"/>
      <c r="X842" s="291"/>
      <c r="Y842" s="291"/>
      <c r="Z842" s="291"/>
      <c r="AA842" s="291"/>
      <c r="AB842" s="291"/>
      <c r="AC842" s="291"/>
      <c r="AD842" s="291"/>
      <c r="AE842" s="291"/>
      <c r="AF842" s="291"/>
      <c r="AG842" s="291"/>
    </row>
    <row r="843" ht="18.75" customHeight="1">
      <c r="A843" s="283"/>
      <c r="B843" s="234" t="str">
        <f>'Building Bill of Materials_SLIM'!P843</f>
        <v/>
      </c>
      <c r="C843" s="234" t="str">
        <f>'Building Bill of Materials_SLIM'!Q843</f>
        <v/>
      </c>
      <c r="D843" s="234" t="str">
        <f>'Building Bill of Materials_SLIM'!R843</f>
        <v/>
      </c>
      <c r="E843" s="234" t="str">
        <f>'Building Bill of Materials_SLIM'!S843</f>
        <v/>
      </c>
      <c r="F843" s="234"/>
      <c r="G843" s="234"/>
      <c r="H843" s="234" t="str">
        <f>'Building Bill of Materials_SLIM'!T843</f>
        <v/>
      </c>
      <c r="I843" s="234" t="str">
        <f>'Building Bill of Materials_SLIM'!U843</f>
        <v/>
      </c>
      <c r="J843" s="234" t="str">
        <f>'Building Bill of Materials_SLIM'!V843</f>
        <v/>
      </c>
      <c r="K843" s="192"/>
      <c r="L843" s="242"/>
      <c r="M843" s="242"/>
      <c r="N843" s="291"/>
      <c r="O843" s="291"/>
      <c r="P843" s="291"/>
      <c r="Q843" s="291"/>
      <c r="R843" s="291"/>
      <c r="S843" s="291"/>
      <c r="T843" s="291"/>
      <c r="U843" s="291"/>
      <c r="V843" s="291"/>
      <c r="W843" s="291"/>
      <c r="X843" s="291"/>
      <c r="Y843" s="291"/>
      <c r="Z843" s="291"/>
      <c r="AA843" s="291"/>
      <c r="AB843" s="291"/>
      <c r="AC843" s="291"/>
      <c r="AD843" s="291"/>
      <c r="AE843" s="291"/>
      <c r="AF843" s="291"/>
      <c r="AG843" s="291"/>
    </row>
    <row r="844" ht="18.75" customHeight="1">
      <c r="A844" s="283"/>
      <c r="B844" s="234" t="str">
        <f>'Building Bill of Materials_SLIM'!P844</f>
        <v/>
      </c>
      <c r="C844" s="234" t="str">
        <f>'Building Bill of Materials_SLIM'!Q844</f>
        <v/>
      </c>
      <c r="D844" s="234" t="str">
        <f>'Building Bill of Materials_SLIM'!R844</f>
        <v/>
      </c>
      <c r="E844" s="234" t="str">
        <f>'Building Bill of Materials_SLIM'!S844</f>
        <v/>
      </c>
      <c r="F844" s="234"/>
      <c r="G844" s="234"/>
      <c r="H844" s="234" t="str">
        <f>'Building Bill of Materials_SLIM'!T844</f>
        <v/>
      </c>
      <c r="I844" s="234" t="str">
        <f>'Building Bill of Materials_SLIM'!U844</f>
        <v/>
      </c>
      <c r="J844" s="234" t="str">
        <f>'Building Bill of Materials_SLIM'!V844</f>
        <v/>
      </c>
      <c r="K844" s="192"/>
      <c r="L844" s="242"/>
      <c r="M844" s="242"/>
      <c r="N844" s="291"/>
      <c r="O844" s="291"/>
      <c r="P844" s="291"/>
      <c r="Q844" s="291"/>
      <c r="R844" s="291"/>
      <c r="S844" s="291"/>
      <c r="T844" s="291"/>
      <c r="U844" s="291"/>
      <c r="V844" s="291"/>
      <c r="W844" s="291"/>
      <c r="X844" s="291"/>
      <c r="Y844" s="291"/>
      <c r="Z844" s="291"/>
      <c r="AA844" s="291"/>
      <c r="AB844" s="291"/>
      <c r="AC844" s="291"/>
      <c r="AD844" s="291"/>
      <c r="AE844" s="291"/>
      <c r="AF844" s="291"/>
      <c r="AG844" s="291"/>
    </row>
    <row r="845" ht="18.75" customHeight="1">
      <c r="A845" s="283"/>
      <c r="B845" s="234" t="str">
        <f>'Building Bill of Materials_SLIM'!P845</f>
        <v/>
      </c>
      <c r="C845" s="234" t="str">
        <f>'Building Bill of Materials_SLIM'!Q845</f>
        <v/>
      </c>
      <c r="D845" s="234" t="str">
        <f>'Building Bill of Materials_SLIM'!R845</f>
        <v/>
      </c>
      <c r="E845" s="234" t="str">
        <f>'Building Bill of Materials_SLIM'!S845</f>
        <v/>
      </c>
      <c r="F845" s="234"/>
      <c r="G845" s="234"/>
      <c r="H845" s="234" t="str">
        <f>'Building Bill of Materials_SLIM'!T845</f>
        <v/>
      </c>
      <c r="I845" s="234" t="str">
        <f>'Building Bill of Materials_SLIM'!U845</f>
        <v/>
      </c>
      <c r="J845" s="234" t="str">
        <f>'Building Bill of Materials_SLIM'!V845</f>
        <v/>
      </c>
      <c r="K845" s="192"/>
      <c r="L845" s="242"/>
      <c r="M845" s="242"/>
      <c r="N845" s="291"/>
      <c r="O845" s="291"/>
      <c r="P845" s="291"/>
      <c r="Q845" s="291"/>
      <c r="R845" s="291"/>
      <c r="S845" s="291"/>
      <c r="T845" s="291"/>
      <c r="U845" s="291"/>
      <c r="V845" s="291"/>
      <c r="W845" s="291"/>
      <c r="X845" s="291"/>
      <c r="Y845" s="291"/>
      <c r="Z845" s="291"/>
      <c r="AA845" s="291"/>
      <c r="AB845" s="291"/>
      <c r="AC845" s="291"/>
      <c r="AD845" s="291"/>
      <c r="AE845" s="291"/>
      <c r="AF845" s="291"/>
      <c r="AG845" s="291"/>
    </row>
    <row r="846" ht="18.75" customHeight="1">
      <c r="A846" s="283"/>
      <c r="B846" s="234" t="str">
        <f>'Building Bill of Materials_SLIM'!P846</f>
        <v/>
      </c>
      <c r="C846" s="234" t="str">
        <f>'Building Bill of Materials_SLIM'!Q846</f>
        <v/>
      </c>
      <c r="D846" s="234" t="str">
        <f>'Building Bill of Materials_SLIM'!R846</f>
        <v/>
      </c>
      <c r="E846" s="234" t="str">
        <f>'Building Bill of Materials_SLIM'!S846</f>
        <v/>
      </c>
      <c r="F846" s="234"/>
      <c r="G846" s="234"/>
      <c r="H846" s="234" t="str">
        <f>'Building Bill of Materials_SLIM'!T846</f>
        <v/>
      </c>
      <c r="I846" s="234" t="str">
        <f>'Building Bill of Materials_SLIM'!U846</f>
        <v/>
      </c>
      <c r="J846" s="234" t="str">
        <f>'Building Bill of Materials_SLIM'!V846</f>
        <v/>
      </c>
      <c r="K846" s="192"/>
      <c r="L846" s="242"/>
      <c r="M846" s="242"/>
      <c r="N846" s="291"/>
      <c r="O846" s="291"/>
      <c r="P846" s="291"/>
      <c r="Q846" s="291"/>
      <c r="R846" s="291"/>
      <c r="S846" s="291"/>
      <c r="T846" s="291"/>
      <c r="U846" s="291"/>
      <c r="V846" s="291"/>
      <c r="W846" s="291"/>
      <c r="X846" s="291"/>
      <c r="Y846" s="291"/>
      <c r="Z846" s="291"/>
      <c r="AA846" s="291"/>
      <c r="AB846" s="291"/>
      <c r="AC846" s="291"/>
      <c r="AD846" s="291"/>
      <c r="AE846" s="291"/>
      <c r="AF846" s="291"/>
      <c r="AG846" s="291"/>
    </row>
    <row r="847" ht="18.75" customHeight="1">
      <c r="A847" s="283"/>
      <c r="B847" s="234" t="str">
        <f>'Building Bill of Materials_SLIM'!P847</f>
        <v/>
      </c>
      <c r="C847" s="234" t="str">
        <f>'Building Bill of Materials_SLIM'!Q847</f>
        <v/>
      </c>
      <c r="D847" s="234" t="str">
        <f>'Building Bill of Materials_SLIM'!R847</f>
        <v/>
      </c>
      <c r="E847" s="234" t="str">
        <f>'Building Bill of Materials_SLIM'!S847</f>
        <v/>
      </c>
      <c r="F847" s="234"/>
      <c r="G847" s="234"/>
      <c r="H847" s="234" t="str">
        <f>'Building Bill of Materials_SLIM'!T847</f>
        <v/>
      </c>
      <c r="I847" s="234" t="str">
        <f>'Building Bill of Materials_SLIM'!U847</f>
        <v/>
      </c>
      <c r="J847" s="234" t="str">
        <f>'Building Bill of Materials_SLIM'!V847</f>
        <v/>
      </c>
      <c r="K847" s="192"/>
      <c r="L847" s="242"/>
      <c r="M847" s="242"/>
      <c r="N847" s="291"/>
      <c r="O847" s="291"/>
      <c r="P847" s="291"/>
      <c r="Q847" s="291"/>
      <c r="R847" s="291"/>
      <c r="S847" s="291"/>
      <c r="T847" s="291"/>
      <c r="U847" s="291"/>
      <c r="V847" s="291"/>
      <c r="W847" s="291"/>
      <c r="X847" s="291"/>
      <c r="Y847" s="291"/>
      <c r="Z847" s="291"/>
      <c r="AA847" s="291"/>
      <c r="AB847" s="291"/>
      <c r="AC847" s="291"/>
      <c r="AD847" s="291"/>
      <c r="AE847" s="291"/>
      <c r="AF847" s="291"/>
      <c r="AG847" s="291"/>
    </row>
    <row r="848" ht="18.75" customHeight="1">
      <c r="A848" s="283"/>
      <c r="B848" s="234" t="str">
        <f>'Building Bill of Materials_SLIM'!P848</f>
        <v/>
      </c>
      <c r="C848" s="234" t="str">
        <f>'Building Bill of Materials_SLIM'!Q848</f>
        <v/>
      </c>
      <c r="D848" s="234" t="str">
        <f>'Building Bill of Materials_SLIM'!R848</f>
        <v/>
      </c>
      <c r="E848" s="234" t="str">
        <f>'Building Bill of Materials_SLIM'!S848</f>
        <v/>
      </c>
      <c r="F848" s="234"/>
      <c r="G848" s="234"/>
      <c r="H848" s="234" t="str">
        <f>'Building Bill of Materials_SLIM'!T848</f>
        <v/>
      </c>
      <c r="I848" s="234" t="str">
        <f>'Building Bill of Materials_SLIM'!U848</f>
        <v/>
      </c>
      <c r="J848" s="234" t="str">
        <f>'Building Bill of Materials_SLIM'!V848</f>
        <v/>
      </c>
      <c r="K848" s="192"/>
      <c r="L848" s="242"/>
      <c r="M848" s="242"/>
      <c r="N848" s="291"/>
      <c r="O848" s="291"/>
      <c r="P848" s="291"/>
      <c r="Q848" s="291"/>
      <c r="R848" s="291"/>
      <c r="S848" s="291"/>
      <c r="T848" s="291"/>
      <c r="U848" s="291"/>
      <c r="V848" s="291"/>
      <c r="W848" s="291"/>
      <c r="X848" s="291"/>
      <c r="Y848" s="291"/>
      <c r="Z848" s="291"/>
      <c r="AA848" s="291"/>
      <c r="AB848" s="291"/>
      <c r="AC848" s="291"/>
      <c r="AD848" s="291"/>
      <c r="AE848" s="291"/>
      <c r="AF848" s="291"/>
      <c r="AG848" s="291"/>
    </row>
    <row r="849" ht="18.75" customHeight="1">
      <c r="A849" s="283"/>
      <c r="B849" s="234" t="str">
        <f>'Building Bill of Materials_SLIM'!P849</f>
        <v/>
      </c>
      <c r="C849" s="234" t="str">
        <f>'Building Bill of Materials_SLIM'!Q849</f>
        <v/>
      </c>
      <c r="D849" s="234" t="str">
        <f>'Building Bill of Materials_SLIM'!R849</f>
        <v/>
      </c>
      <c r="E849" s="234" t="str">
        <f>'Building Bill of Materials_SLIM'!S849</f>
        <v/>
      </c>
      <c r="F849" s="234"/>
      <c r="G849" s="234"/>
      <c r="H849" s="234" t="str">
        <f>'Building Bill of Materials_SLIM'!T849</f>
        <v/>
      </c>
      <c r="I849" s="234" t="str">
        <f>'Building Bill of Materials_SLIM'!U849</f>
        <v/>
      </c>
      <c r="J849" s="234" t="str">
        <f>'Building Bill of Materials_SLIM'!V849</f>
        <v/>
      </c>
      <c r="K849" s="192"/>
      <c r="L849" s="242"/>
      <c r="M849" s="242"/>
      <c r="N849" s="291"/>
      <c r="O849" s="291"/>
      <c r="P849" s="291"/>
      <c r="Q849" s="291"/>
      <c r="R849" s="291"/>
      <c r="S849" s="291"/>
      <c r="T849" s="291"/>
      <c r="U849" s="291"/>
      <c r="V849" s="291"/>
      <c r="W849" s="291"/>
      <c r="X849" s="291"/>
      <c r="Y849" s="291"/>
      <c r="Z849" s="291"/>
      <c r="AA849" s="291"/>
      <c r="AB849" s="291"/>
      <c r="AC849" s="291"/>
      <c r="AD849" s="291"/>
      <c r="AE849" s="291"/>
      <c r="AF849" s="291"/>
      <c r="AG849" s="291"/>
    </row>
    <row r="850" ht="18.75" customHeight="1">
      <c r="A850" s="283"/>
      <c r="B850" s="234" t="str">
        <f>'Building Bill of Materials_SLIM'!P850</f>
        <v/>
      </c>
      <c r="C850" s="234" t="str">
        <f>'Building Bill of Materials_SLIM'!Q850</f>
        <v/>
      </c>
      <c r="D850" s="234" t="str">
        <f>'Building Bill of Materials_SLIM'!R850</f>
        <v/>
      </c>
      <c r="E850" s="234" t="str">
        <f>'Building Bill of Materials_SLIM'!S850</f>
        <v/>
      </c>
      <c r="F850" s="234"/>
      <c r="G850" s="234"/>
      <c r="H850" s="234" t="str">
        <f>'Building Bill of Materials_SLIM'!T850</f>
        <v/>
      </c>
      <c r="I850" s="234" t="str">
        <f>'Building Bill of Materials_SLIM'!U850</f>
        <v/>
      </c>
      <c r="J850" s="234" t="str">
        <f>'Building Bill of Materials_SLIM'!V850</f>
        <v/>
      </c>
      <c r="K850" s="192"/>
      <c r="L850" s="242"/>
      <c r="M850" s="242"/>
      <c r="N850" s="291"/>
      <c r="O850" s="291"/>
      <c r="P850" s="291"/>
      <c r="Q850" s="291"/>
      <c r="R850" s="291"/>
      <c r="S850" s="291"/>
      <c r="T850" s="291"/>
      <c r="U850" s="291"/>
      <c r="V850" s="291"/>
      <c r="W850" s="291"/>
      <c r="X850" s="291"/>
      <c r="Y850" s="291"/>
      <c r="Z850" s="291"/>
      <c r="AA850" s="291"/>
      <c r="AB850" s="291"/>
      <c r="AC850" s="291"/>
      <c r="AD850" s="291"/>
      <c r="AE850" s="291"/>
      <c r="AF850" s="291"/>
      <c r="AG850" s="291"/>
    </row>
    <row r="851" ht="18.75" customHeight="1">
      <c r="A851" s="283"/>
      <c r="B851" s="234" t="str">
        <f>'Building Bill of Materials_SLIM'!P851</f>
        <v/>
      </c>
      <c r="C851" s="234" t="str">
        <f>'Building Bill of Materials_SLIM'!Q851</f>
        <v/>
      </c>
      <c r="D851" s="234" t="str">
        <f>'Building Bill of Materials_SLIM'!R851</f>
        <v/>
      </c>
      <c r="E851" s="234" t="str">
        <f>'Building Bill of Materials_SLIM'!S851</f>
        <v/>
      </c>
      <c r="F851" s="234"/>
      <c r="G851" s="234"/>
      <c r="H851" s="234" t="str">
        <f>'Building Bill of Materials_SLIM'!T851</f>
        <v/>
      </c>
      <c r="I851" s="234" t="str">
        <f>'Building Bill of Materials_SLIM'!U851</f>
        <v/>
      </c>
      <c r="J851" s="234" t="str">
        <f>'Building Bill of Materials_SLIM'!V851</f>
        <v/>
      </c>
      <c r="K851" s="192"/>
      <c r="L851" s="242"/>
      <c r="M851" s="242"/>
      <c r="N851" s="291"/>
      <c r="O851" s="291"/>
      <c r="P851" s="291"/>
      <c r="Q851" s="291"/>
      <c r="R851" s="291"/>
      <c r="S851" s="291"/>
      <c r="T851" s="291"/>
      <c r="U851" s="291"/>
      <c r="V851" s="291"/>
      <c r="W851" s="291"/>
      <c r="X851" s="291"/>
      <c r="Y851" s="291"/>
      <c r="Z851" s="291"/>
      <c r="AA851" s="291"/>
      <c r="AB851" s="291"/>
      <c r="AC851" s="291"/>
      <c r="AD851" s="291"/>
      <c r="AE851" s="291"/>
      <c r="AF851" s="291"/>
      <c r="AG851" s="291"/>
    </row>
    <row r="852" ht="18.75" customHeight="1">
      <c r="A852" s="283"/>
      <c r="B852" s="234" t="str">
        <f>'Building Bill of Materials_SLIM'!P852</f>
        <v/>
      </c>
      <c r="C852" s="234" t="str">
        <f>'Building Bill of Materials_SLIM'!Q852</f>
        <v/>
      </c>
      <c r="D852" s="234" t="str">
        <f>'Building Bill of Materials_SLIM'!R852</f>
        <v/>
      </c>
      <c r="E852" s="234" t="str">
        <f>'Building Bill of Materials_SLIM'!S852</f>
        <v/>
      </c>
      <c r="F852" s="234"/>
      <c r="G852" s="234"/>
      <c r="H852" s="234" t="str">
        <f>'Building Bill of Materials_SLIM'!T852</f>
        <v/>
      </c>
      <c r="I852" s="234" t="str">
        <f>'Building Bill of Materials_SLIM'!U852</f>
        <v/>
      </c>
      <c r="J852" s="234" t="str">
        <f>'Building Bill of Materials_SLIM'!V852</f>
        <v/>
      </c>
      <c r="K852" s="192"/>
      <c r="L852" s="242"/>
      <c r="M852" s="242"/>
      <c r="N852" s="291"/>
      <c r="O852" s="291"/>
      <c r="P852" s="291"/>
      <c r="Q852" s="291"/>
      <c r="R852" s="291"/>
      <c r="S852" s="291"/>
      <c r="T852" s="291"/>
      <c r="U852" s="291"/>
      <c r="V852" s="291"/>
      <c r="W852" s="291"/>
      <c r="X852" s="291"/>
      <c r="Y852" s="291"/>
      <c r="Z852" s="291"/>
      <c r="AA852" s="291"/>
      <c r="AB852" s="291"/>
      <c r="AC852" s="291"/>
      <c r="AD852" s="291"/>
      <c r="AE852" s="291"/>
      <c r="AF852" s="291"/>
      <c r="AG852" s="291"/>
    </row>
    <row r="853" ht="18.75" customHeight="1">
      <c r="A853" s="283"/>
      <c r="B853" s="234" t="str">
        <f>'Building Bill of Materials_SLIM'!P853</f>
        <v/>
      </c>
      <c r="C853" s="234" t="str">
        <f>'Building Bill of Materials_SLIM'!Q853</f>
        <v/>
      </c>
      <c r="D853" s="234" t="str">
        <f>'Building Bill of Materials_SLIM'!R853</f>
        <v/>
      </c>
      <c r="E853" s="234" t="str">
        <f>'Building Bill of Materials_SLIM'!S853</f>
        <v/>
      </c>
      <c r="F853" s="234"/>
      <c r="G853" s="234"/>
      <c r="H853" s="234" t="str">
        <f>'Building Bill of Materials_SLIM'!T853</f>
        <v/>
      </c>
      <c r="I853" s="234" t="str">
        <f>'Building Bill of Materials_SLIM'!U853</f>
        <v/>
      </c>
      <c r="J853" s="234" t="str">
        <f>'Building Bill of Materials_SLIM'!V853</f>
        <v/>
      </c>
      <c r="K853" s="192"/>
      <c r="L853" s="242"/>
      <c r="M853" s="242"/>
      <c r="N853" s="291"/>
      <c r="O853" s="291"/>
      <c r="P853" s="291"/>
      <c r="Q853" s="291"/>
      <c r="R853" s="291"/>
      <c r="S853" s="291"/>
      <c r="T853" s="291"/>
      <c r="U853" s="291"/>
      <c r="V853" s="291"/>
      <c r="W853" s="291"/>
      <c r="X853" s="291"/>
      <c r="Y853" s="291"/>
      <c r="Z853" s="291"/>
      <c r="AA853" s="291"/>
      <c r="AB853" s="291"/>
      <c r="AC853" s="291"/>
      <c r="AD853" s="291"/>
      <c r="AE853" s="291"/>
      <c r="AF853" s="291"/>
      <c r="AG853" s="291"/>
    </row>
    <row r="854" ht="18.75" customHeight="1">
      <c r="A854" s="283"/>
      <c r="B854" s="234" t="str">
        <f>'Building Bill of Materials_SLIM'!P854</f>
        <v/>
      </c>
      <c r="C854" s="234" t="str">
        <f>'Building Bill of Materials_SLIM'!Q854</f>
        <v/>
      </c>
      <c r="D854" s="234" t="str">
        <f>'Building Bill of Materials_SLIM'!R854</f>
        <v/>
      </c>
      <c r="E854" s="234" t="str">
        <f>'Building Bill of Materials_SLIM'!S854</f>
        <v/>
      </c>
      <c r="F854" s="234"/>
      <c r="G854" s="234"/>
      <c r="H854" s="234" t="str">
        <f>'Building Bill of Materials_SLIM'!T854</f>
        <v/>
      </c>
      <c r="I854" s="234" t="str">
        <f>'Building Bill of Materials_SLIM'!U854</f>
        <v/>
      </c>
      <c r="J854" s="234" t="str">
        <f>'Building Bill of Materials_SLIM'!V854</f>
        <v/>
      </c>
      <c r="K854" s="192"/>
      <c r="L854" s="242"/>
      <c r="M854" s="242"/>
      <c r="N854" s="291"/>
      <c r="O854" s="291"/>
      <c r="P854" s="291"/>
      <c r="Q854" s="291"/>
      <c r="R854" s="291"/>
      <c r="S854" s="291"/>
      <c r="T854" s="291"/>
      <c r="U854" s="291"/>
      <c r="V854" s="291"/>
      <c r="W854" s="291"/>
      <c r="X854" s="291"/>
      <c r="Y854" s="291"/>
      <c r="Z854" s="291"/>
      <c r="AA854" s="291"/>
      <c r="AB854" s="291"/>
      <c r="AC854" s="291"/>
      <c r="AD854" s="291"/>
      <c r="AE854" s="291"/>
      <c r="AF854" s="291"/>
      <c r="AG854" s="291"/>
    </row>
    <row r="855" ht="18.75" customHeight="1">
      <c r="A855" s="283"/>
      <c r="B855" s="234" t="str">
        <f>'Building Bill of Materials_SLIM'!P855</f>
        <v/>
      </c>
      <c r="C855" s="234" t="str">
        <f>'Building Bill of Materials_SLIM'!Q855</f>
        <v/>
      </c>
      <c r="D855" s="234" t="str">
        <f>'Building Bill of Materials_SLIM'!R855</f>
        <v/>
      </c>
      <c r="E855" s="234" t="str">
        <f>'Building Bill of Materials_SLIM'!S855</f>
        <v/>
      </c>
      <c r="F855" s="234"/>
      <c r="G855" s="234"/>
      <c r="H855" s="234" t="str">
        <f>'Building Bill of Materials_SLIM'!T855</f>
        <v/>
      </c>
      <c r="I855" s="234" t="str">
        <f>'Building Bill of Materials_SLIM'!U855</f>
        <v/>
      </c>
      <c r="J855" s="234" t="str">
        <f>'Building Bill of Materials_SLIM'!V855</f>
        <v/>
      </c>
      <c r="K855" s="192"/>
      <c r="L855" s="242"/>
      <c r="M855" s="242"/>
      <c r="N855" s="291"/>
      <c r="O855" s="291"/>
      <c r="P855" s="291"/>
      <c r="Q855" s="291"/>
      <c r="R855" s="291"/>
      <c r="S855" s="291"/>
      <c r="T855" s="291"/>
      <c r="U855" s="291"/>
      <c r="V855" s="291"/>
      <c r="W855" s="291"/>
      <c r="X855" s="291"/>
      <c r="Y855" s="291"/>
      <c r="Z855" s="291"/>
      <c r="AA855" s="291"/>
      <c r="AB855" s="291"/>
      <c r="AC855" s="291"/>
      <c r="AD855" s="291"/>
      <c r="AE855" s="291"/>
      <c r="AF855" s="291"/>
      <c r="AG855" s="291"/>
    </row>
    <row r="856" ht="18.75" customHeight="1">
      <c r="A856" s="283"/>
      <c r="B856" s="234" t="str">
        <f>'Building Bill of Materials_SLIM'!P856</f>
        <v/>
      </c>
      <c r="C856" s="234" t="str">
        <f>'Building Bill of Materials_SLIM'!Q856</f>
        <v/>
      </c>
      <c r="D856" s="234" t="str">
        <f>'Building Bill of Materials_SLIM'!R856</f>
        <v/>
      </c>
      <c r="E856" s="234" t="str">
        <f>'Building Bill of Materials_SLIM'!S856</f>
        <v/>
      </c>
      <c r="F856" s="234"/>
      <c r="G856" s="234"/>
      <c r="H856" s="234" t="str">
        <f>'Building Bill of Materials_SLIM'!T856</f>
        <v/>
      </c>
      <c r="I856" s="234" t="str">
        <f>'Building Bill of Materials_SLIM'!U856</f>
        <v/>
      </c>
      <c r="J856" s="234" t="str">
        <f>'Building Bill of Materials_SLIM'!V856</f>
        <v/>
      </c>
      <c r="K856" s="192"/>
      <c r="L856" s="242"/>
      <c r="M856" s="242"/>
      <c r="N856" s="291"/>
      <c r="O856" s="291"/>
      <c r="P856" s="291"/>
      <c r="Q856" s="291"/>
      <c r="R856" s="291"/>
      <c r="S856" s="291"/>
      <c r="T856" s="291"/>
      <c r="U856" s="291"/>
      <c r="V856" s="291"/>
      <c r="W856" s="291"/>
      <c r="X856" s="291"/>
      <c r="Y856" s="291"/>
      <c r="Z856" s="291"/>
      <c r="AA856" s="291"/>
      <c r="AB856" s="291"/>
      <c r="AC856" s="291"/>
      <c r="AD856" s="291"/>
      <c r="AE856" s="291"/>
      <c r="AF856" s="291"/>
      <c r="AG856" s="291"/>
    </row>
    <row r="857" ht="18.75" customHeight="1">
      <c r="A857" s="283"/>
      <c r="B857" s="234" t="str">
        <f>'Building Bill of Materials_SLIM'!P857</f>
        <v/>
      </c>
      <c r="C857" s="234" t="str">
        <f>'Building Bill of Materials_SLIM'!Q857</f>
        <v/>
      </c>
      <c r="D857" s="234" t="str">
        <f>'Building Bill of Materials_SLIM'!R857</f>
        <v/>
      </c>
      <c r="E857" s="234" t="str">
        <f>'Building Bill of Materials_SLIM'!S857</f>
        <v/>
      </c>
      <c r="F857" s="234"/>
      <c r="G857" s="234"/>
      <c r="H857" s="234" t="str">
        <f>'Building Bill of Materials_SLIM'!T857</f>
        <v/>
      </c>
      <c r="I857" s="234" t="str">
        <f>'Building Bill of Materials_SLIM'!U857</f>
        <v/>
      </c>
      <c r="J857" s="234" t="str">
        <f>'Building Bill of Materials_SLIM'!V857</f>
        <v/>
      </c>
      <c r="K857" s="192"/>
      <c r="L857" s="242"/>
      <c r="M857" s="242"/>
      <c r="N857" s="291"/>
      <c r="O857" s="291"/>
      <c r="P857" s="291"/>
      <c r="Q857" s="291"/>
      <c r="R857" s="291"/>
      <c r="S857" s="291"/>
      <c r="T857" s="291"/>
      <c r="U857" s="291"/>
      <c r="V857" s="291"/>
      <c r="W857" s="291"/>
      <c r="X857" s="291"/>
      <c r="Y857" s="291"/>
      <c r="Z857" s="291"/>
      <c r="AA857" s="291"/>
      <c r="AB857" s="291"/>
      <c r="AC857" s="291"/>
      <c r="AD857" s="291"/>
      <c r="AE857" s="291"/>
      <c r="AF857" s="291"/>
      <c r="AG857" s="291"/>
    </row>
    <row r="858" ht="18.75" customHeight="1">
      <c r="A858" s="283"/>
      <c r="B858" s="234" t="str">
        <f>'Building Bill of Materials_SLIM'!P858</f>
        <v/>
      </c>
      <c r="C858" s="234" t="str">
        <f>'Building Bill of Materials_SLIM'!Q858</f>
        <v/>
      </c>
      <c r="D858" s="234" t="str">
        <f>'Building Bill of Materials_SLIM'!R858</f>
        <v/>
      </c>
      <c r="E858" s="234" t="str">
        <f>'Building Bill of Materials_SLIM'!S858</f>
        <v/>
      </c>
      <c r="F858" s="234"/>
      <c r="G858" s="234"/>
      <c r="H858" s="234" t="str">
        <f>'Building Bill of Materials_SLIM'!T858</f>
        <v/>
      </c>
      <c r="I858" s="234" t="str">
        <f>'Building Bill of Materials_SLIM'!U858</f>
        <v/>
      </c>
      <c r="J858" s="234" t="str">
        <f>'Building Bill of Materials_SLIM'!V858</f>
        <v/>
      </c>
      <c r="K858" s="192"/>
      <c r="L858" s="242"/>
      <c r="M858" s="242"/>
      <c r="N858" s="291"/>
      <c r="O858" s="291"/>
      <c r="P858" s="291"/>
      <c r="Q858" s="291"/>
      <c r="R858" s="291"/>
      <c r="S858" s="291"/>
      <c r="T858" s="291"/>
      <c r="U858" s="291"/>
      <c r="V858" s="291"/>
      <c r="W858" s="291"/>
      <c r="X858" s="291"/>
      <c r="Y858" s="291"/>
      <c r="Z858" s="291"/>
      <c r="AA858" s="291"/>
      <c r="AB858" s="291"/>
      <c r="AC858" s="291"/>
      <c r="AD858" s="291"/>
      <c r="AE858" s="291"/>
      <c r="AF858" s="291"/>
      <c r="AG858" s="291"/>
    </row>
    <row r="859" ht="18.75" customHeight="1">
      <c r="A859" s="283"/>
      <c r="B859" s="234" t="str">
        <f>'Building Bill of Materials_SLIM'!P859</f>
        <v/>
      </c>
      <c r="C859" s="234" t="str">
        <f>'Building Bill of Materials_SLIM'!Q859</f>
        <v/>
      </c>
      <c r="D859" s="234" t="str">
        <f>'Building Bill of Materials_SLIM'!R859</f>
        <v/>
      </c>
      <c r="E859" s="234" t="str">
        <f>'Building Bill of Materials_SLIM'!S859</f>
        <v/>
      </c>
      <c r="F859" s="234"/>
      <c r="G859" s="234"/>
      <c r="H859" s="234" t="str">
        <f>'Building Bill of Materials_SLIM'!T859</f>
        <v/>
      </c>
      <c r="I859" s="234" t="str">
        <f>'Building Bill of Materials_SLIM'!U859</f>
        <v/>
      </c>
      <c r="J859" s="234" t="str">
        <f>'Building Bill of Materials_SLIM'!V859</f>
        <v/>
      </c>
      <c r="K859" s="192"/>
      <c r="L859" s="242"/>
      <c r="M859" s="242"/>
      <c r="N859" s="291"/>
      <c r="O859" s="291"/>
      <c r="P859" s="291"/>
      <c r="Q859" s="291"/>
      <c r="R859" s="291"/>
      <c r="S859" s="291"/>
      <c r="T859" s="291"/>
      <c r="U859" s="291"/>
      <c r="V859" s="291"/>
      <c r="W859" s="291"/>
      <c r="X859" s="291"/>
      <c r="Y859" s="291"/>
      <c r="Z859" s="291"/>
      <c r="AA859" s="291"/>
      <c r="AB859" s="291"/>
      <c r="AC859" s="291"/>
      <c r="AD859" s="291"/>
      <c r="AE859" s="291"/>
      <c r="AF859" s="291"/>
      <c r="AG859" s="291"/>
    </row>
    <row r="860" ht="18.75" customHeight="1">
      <c r="A860" s="283"/>
      <c r="B860" s="234" t="str">
        <f>'Building Bill of Materials_SLIM'!P860</f>
        <v/>
      </c>
      <c r="C860" s="234" t="str">
        <f>'Building Bill of Materials_SLIM'!Q860</f>
        <v/>
      </c>
      <c r="D860" s="234" t="str">
        <f>'Building Bill of Materials_SLIM'!R860</f>
        <v/>
      </c>
      <c r="E860" s="234" t="str">
        <f>'Building Bill of Materials_SLIM'!S860</f>
        <v/>
      </c>
      <c r="F860" s="234"/>
      <c r="G860" s="234"/>
      <c r="H860" s="234" t="str">
        <f>'Building Bill of Materials_SLIM'!T860</f>
        <v/>
      </c>
      <c r="I860" s="234" t="str">
        <f>'Building Bill of Materials_SLIM'!U860</f>
        <v/>
      </c>
      <c r="J860" s="234" t="str">
        <f>'Building Bill of Materials_SLIM'!V860</f>
        <v/>
      </c>
      <c r="K860" s="192"/>
      <c r="L860" s="242"/>
      <c r="M860" s="242"/>
      <c r="N860" s="291"/>
      <c r="O860" s="291"/>
      <c r="P860" s="291"/>
      <c r="Q860" s="291"/>
      <c r="R860" s="291"/>
      <c r="S860" s="291"/>
      <c r="T860" s="291"/>
      <c r="U860" s="291"/>
      <c r="V860" s="291"/>
      <c r="W860" s="291"/>
      <c r="X860" s="291"/>
      <c r="Y860" s="291"/>
      <c r="Z860" s="291"/>
      <c r="AA860" s="291"/>
      <c r="AB860" s="291"/>
      <c r="AC860" s="291"/>
      <c r="AD860" s="291"/>
      <c r="AE860" s="291"/>
      <c r="AF860" s="291"/>
      <c r="AG860" s="291"/>
    </row>
    <row r="861" ht="18.75" customHeight="1">
      <c r="A861" s="283"/>
      <c r="B861" s="234" t="str">
        <f>'Building Bill of Materials_SLIM'!P861</f>
        <v/>
      </c>
      <c r="C861" s="234" t="str">
        <f>'Building Bill of Materials_SLIM'!Q861</f>
        <v/>
      </c>
      <c r="D861" s="234" t="str">
        <f>'Building Bill of Materials_SLIM'!R861</f>
        <v/>
      </c>
      <c r="E861" s="234" t="str">
        <f>'Building Bill of Materials_SLIM'!S861</f>
        <v/>
      </c>
      <c r="F861" s="234"/>
      <c r="G861" s="234"/>
      <c r="H861" s="234" t="str">
        <f>'Building Bill of Materials_SLIM'!T861</f>
        <v/>
      </c>
      <c r="I861" s="234" t="str">
        <f>'Building Bill of Materials_SLIM'!U861</f>
        <v/>
      </c>
      <c r="J861" s="234" t="str">
        <f>'Building Bill of Materials_SLIM'!V861</f>
        <v/>
      </c>
      <c r="K861" s="192"/>
      <c r="L861" s="242"/>
      <c r="M861" s="242"/>
      <c r="N861" s="291"/>
      <c r="O861" s="291"/>
      <c r="P861" s="291"/>
      <c r="Q861" s="291"/>
      <c r="R861" s="291"/>
      <c r="S861" s="291"/>
      <c r="T861" s="291"/>
      <c r="U861" s="291"/>
      <c r="V861" s="291"/>
      <c r="W861" s="291"/>
      <c r="X861" s="291"/>
      <c r="Y861" s="291"/>
      <c r="Z861" s="291"/>
      <c r="AA861" s="291"/>
      <c r="AB861" s="291"/>
      <c r="AC861" s="291"/>
      <c r="AD861" s="291"/>
      <c r="AE861" s="291"/>
      <c r="AF861" s="291"/>
      <c r="AG861" s="291"/>
    </row>
    <row r="862" ht="18.75" customHeight="1">
      <c r="A862" s="283"/>
      <c r="B862" s="234" t="str">
        <f>'Building Bill of Materials_SLIM'!P862</f>
        <v/>
      </c>
      <c r="C862" s="234" t="str">
        <f>'Building Bill of Materials_SLIM'!Q862</f>
        <v/>
      </c>
      <c r="D862" s="234" t="str">
        <f>'Building Bill of Materials_SLIM'!R862</f>
        <v/>
      </c>
      <c r="E862" s="234" t="str">
        <f>'Building Bill of Materials_SLIM'!S862</f>
        <v/>
      </c>
      <c r="F862" s="234"/>
      <c r="G862" s="234"/>
      <c r="H862" s="234" t="str">
        <f>'Building Bill of Materials_SLIM'!T862</f>
        <v/>
      </c>
      <c r="I862" s="234" t="str">
        <f>'Building Bill of Materials_SLIM'!U862</f>
        <v/>
      </c>
      <c r="J862" s="234" t="str">
        <f>'Building Bill of Materials_SLIM'!V862</f>
        <v/>
      </c>
      <c r="K862" s="192"/>
      <c r="L862" s="242"/>
      <c r="M862" s="242"/>
      <c r="N862" s="291"/>
      <c r="O862" s="291"/>
      <c r="P862" s="291"/>
      <c r="Q862" s="291"/>
      <c r="R862" s="291"/>
      <c r="S862" s="291"/>
      <c r="T862" s="291"/>
      <c r="U862" s="291"/>
      <c r="V862" s="291"/>
      <c r="W862" s="291"/>
      <c r="X862" s="291"/>
      <c r="Y862" s="291"/>
      <c r="Z862" s="291"/>
      <c r="AA862" s="291"/>
      <c r="AB862" s="291"/>
      <c r="AC862" s="291"/>
      <c r="AD862" s="291"/>
      <c r="AE862" s="291"/>
      <c r="AF862" s="291"/>
      <c r="AG862" s="291"/>
    </row>
    <row r="863" ht="18.75" customHeight="1">
      <c r="A863" s="283"/>
      <c r="B863" s="234" t="str">
        <f>'Building Bill of Materials_SLIM'!P863</f>
        <v/>
      </c>
      <c r="C863" s="234" t="str">
        <f>'Building Bill of Materials_SLIM'!Q863</f>
        <v/>
      </c>
      <c r="D863" s="234" t="str">
        <f>'Building Bill of Materials_SLIM'!R863</f>
        <v/>
      </c>
      <c r="E863" s="234" t="str">
        <f>'Building Bill of Materials_SLIM'!S863</f>
        <v/>
      </c>
      <c r="F863" s="234"/>
      <c r="G863" s="234"/>
      <c r="H863" s="234" t="str">
        <f>'Building Bill of Materials_SLIM'!T863</f>
        <v/>
      </c>
      <c r="I863" s="234" t="str">
        <f>'Building Bill of Materials_SLIM'!U863</f>
        <v/>
      </c>
      <c r="J863" s="234" t="str">
        <f>'Building Bill of Materials_SLIM'!V863</f>
        <v/>
      </c>
      <c r="K863" s="192"/>
      <c r="L863" s="242"/>
      <c r="M863" s="242"/>
      <c r="N863" s="291"/>
      <c r="O863" s="291"/>
      <c r="P863" s="291"/>
      <c r="Q863" s="291"/>
      <c r="R863" s="291"/>
      <c r="S863" s="291"/>
      <c r="T863" s="291"/>
      <c r="U863" s="291"/>
      <c r="V863" s="291"/>
      <c r="W863" s="291"/>
      <c r="X863" s="291"/>
      <c r="Y863" s="291"/>
      <c r="Z863" s="291"/>
      <c r="AA863" s="291"/>
      <c r="AB863" s="291"/>
      <c r="AC863" s="291"/>
      <c r="AD863" s="291"/>
      <c r="AE863" s="291"/>
      <c r="AF863" s="291"/>
      <c r="AG863" s="291"/>
    </row>
    <row r="864" ht="18.75" customHeight="1">
      <c r="A864" s="283"/>
      <c r="B864" s="234" t="str">
        <f>'Building Bill of Materials_SLIM'!P864</f>
        <v/>
      </c>
      <c r="C864" s="234" t="str">
        <f>'Building Bill of Materials_SLIM'!Q864</f>
        <v/>
      </c>
      <c r="D864" s="234" t="str">
        <f>'Building Bill of Materials_SLIM'!R864</f>
        <v/>
      </c>
      <c r="E864" s="234" t="str">
        <f>'Building Bill of Materials_SLIM'!S864</f>
        <v/>
      </c>
      <c r="F864" s="234"/>
      <c r="G864" s="234"/>
      <c r="H864" s="234" t="str">
        <f>'Building Bill of Materials_SLIM'!T864</f>
        <v/>
      </c>
      <c r="I864" s="234" t="str">
        <f>'Building Bill of Materials_SLIM'!U864</f>
        <v/>
      </c>
      <c r="J864" s="234" t="str">
        <f>'Building Bill of Materials_SLIM'!V864</f>
        <v/>
      </c>
      <c r="K864" s="192"/>
      <c r="L864" s="242"/>
      <c r="M864" s="242"/>
      <c r="N864" s="291"/>
      <c r="O864" s="291"/>
      <c r="P864" s="291"/>
      <c r="Q864" s="291"/>
      <c r="R864" s="291"/>
      <c r="S864" s="291"/>
      <c r="T864" s="291"/>
      <c r="U864" s="291"/>
      <c r="V864" s="291"/>
      <c r="W864" s="291"/>
      <c r="X864" s="291"/>
      <c r="Y864" s="291"/>
      <c r="Z864" s="291"/>
      <c r="AA864" s="291"/>
      <c r="AB864" s="291"/>
      <c r="AC864" s="291"/>
      <c r="AD864" s="291"/>
      <c r="AE864" s="291"/>
      <c r="AF864" s="291"/>
      <c r="AG864" s="291"/>
    </row>
    <row r="865" ht="18.75" customHeight="1">
      <c r="A865" s="283"/>
      <c r="B865" s="234" t="str">
        <f>'Building Bill of Materials_SLIM'!P865</f>
        <v/>
      </c>
      <c r="C865" s="234" t="str">
        <f>'Building Bill of Materials_SLIM'!Q865</f>
        <v/>
      </c>
      <c r="D865" s="234" t="str">
        <f>'Building Bill of Materials_SLIM'!R865</f>
        <v/>
      </c>
      <c r="E865" s="234" t="str">
        <f>'Building Bill of Materials_SLIM'!S865</f>
        <v/>
      </c>
      <c r="F865" s="234"/>
      <c r="G865" s="234"/>
      <c r="H865" s="234" t="str">
        <f>'Building Bill of Materials_SLIM'!T865</f>
        <v/>
      </c>
      <c r="I865" s="234" t="str">
        <f>'Building Bill of Materials_SLIM'!U865</f>
        <v/>
      </c>
      <c r="J865" s="234" t="str">
        <f>'Building Bill of Materials_SLIM'!V865</f>
        <v/>
      </c>
      <c r="K865" s="192"/>
      <c r="L865" s="242"/>
      <c r="M865" s="242"/>
      <c r="N865" s="291"/>
      <c r="O865" s="291"/>
      <c r="P865" s="291"/>
      <c r="Q865" s="291"/>
      <c r="R865" s="291"/>
      <c r="S865" s="291"/>
      <c r="T865" s="291"/>
      <c r="U865" s="291"/>
      <c r="V865" s="291"/>
      <c r="W865" s="291"/>
      <c r="X865" s="291"/>
      <c r="Y865" s="291"/>
      <c r="Z865" s="291"/>
      <c r="AA865" s="291"/>
      <c r="AB865" s="291"/>
      <c r="AC865" s="291"/>
      <c r="AD865" s="291"/>
      <c r="AE865" s="291"/>
      <c r="AF865" s="291"/>
      <c r="AG865" s="291"/>
    </row>
    <row r="866" ht="18.75" customHeight="1">
      <c r="A866" s="283"/>
      <c r="B866" s="234" t="str">
        <f>'Building Bill of Materials_SLIM'!P866</f>
        <v/>
      </c>
      <c r="C866" s="234" t="str">
        <f>'Building Bill of Materials_SLIM'!Q866</f>
        <v/>
      </c>
      <c r="D866" s="234" t="str">
        <f>'Building Bill of Materials_SLIM'!R866</f>
        <v/>
      </c>
      <c r="E866" s="234" t="str">
        <f>'Building Bill of Materials_SLIM'!S866</f>
        <v/>
      </c>
      <c r="F866" s="234"/>
      <c r="G866" s="234"/>
      <c r="H866" s="234" t="str">
        <f>'Building Bill of Materials_SLIM'!T866</f>
        <v/>
      </c>
      <c r="I866" s="234" t="str">
        <f>'Building Bill of Materials_SLIM'!U866</f>
        <v/>
      </c>
      <c r="J866" s="234" t="str">
        <f>'Building Bill of Materials_SLIM'!V866</f>
        <v/>
      </c>
      <c r="K866" s="192"/>
      <c r="L866" s="242"/>
      <c r="M866" s="242"/>
      <c r="N866" s="291"/>
      <c r="O866" s="291"/>
      <c r="P866" s="291"/>
      <c r="Q866" s="291"/>
      <c r="R866" s="291"/>
      <c r="S866" s="291"/>
      <c r="T866" s="291"/>
      <c r="U866" s="291"/>
      <c r="V866" s="291"/>
      <c r="W866" s="291"/>
      <c r="X866" s="291"/>
      <c r="Y866" s="291"/>
      <c r="Z866" s="291"/>
      <c r="AA866" s="291"/>
      <c r="AB866" s="291"/>
      <c r="AC866" s="291"/>
      <c r="AD866" s="291"/>
      <c r="AE866" s="291"/>
      <c r="AF866" s="291"/>
      <c r="AG866" s="291"/>
    </row>
    <row r="867" ht="18.75" customHeight="1">
      <c r="A867" s="283"/>
      <c r="B867" s="234" t="str">
        <f>'Building Bill of Materials_SLIM'!P867</f>
        <v/>
      </c>
      <c r="C867" s="234" t="str">
        <f>'Building Bill of Materials_SLIM'!Q867</f>
        <v/>
      </c>
      <c r="D867" s="234" t="str">
        <f>'Building Bill of Materials_SLIM'!R867</f>
        <v/>
      </c>
      <c r="E867" s="234" t="str">
        <f>'Building Bill of Materials_SLIM'!S867</f>
        <v/>
      </c>
      <c r="F867" s="234"/>
      <c r="G867" s="234"/>
      <c r="H867" s="234" t="str">
        <f>'Building Bill of Materials_SLIM'!T867</f>
        <v/>
      </c>
      <c r="I867" s="234" t="str">
        <f>'Building Bill of Materials_SLIM'!U867</f>
        <v/>
      </c>
      <c r="J867" s="234" t="str">
        <f>'Building Bill of Materials_SLIM'!V867</f>
        <v/>
      </c>
      <c r="K867" s="192"/>
      <c r="L867" s="242"/>
      <c r="M867" s="242"/>
      <c r="N867" s="291"/>
      <c r="O867" s="291"/>
      <c r="P867" s="291"/>
      <c r="Q867" s="291"/>
      <c r="R867" s="291"/>
      <c r="S867" s="291"/>
      <c r="T867" s="291"/>
      <c r="U867" s="291"/>
      <c r="V867" s="291"/>
      <c r="W867" s="291"/>
      <c r="X867" s="291"/>
      <c r="Y867" s="291"/>
      <c r="Z867" s="291"/>
      <c r="AA867" s="291"/>
      <c r="AB867" s="291"/>
      <c r="AC867" s="291"/>
      <c r="AD867" s="291"/>
      <c r="AE867" s="291"/>
      <c r="AF867" s="291"/>
      <c r="AG867" s="291"/>
    </row>
    <row r="868" ht="18.75" customHeight="1">
      <c r="A868" s="283"/>
      <c r="B868" s="234" t="str">
        <f>'Building Bill of Materials_SLIM'!P868</f>
        <v/>
      </c>
      <c r="C868" s="234" t="str">
        <f>'Building Bill of Materials_SLIM'!Q868</f>
        <v/>
      </c>
      <c r="D868" s="234" t="str">
        <f>'Building Bill of Materials_SLIM'!R868</f>
        <v/>
      </c>
      <c r="E868" s="234" t="str">
        <f>'Building Bill of Materials_SLIM'!S868</f>
        <v/>
      </c>
      <c r="F868" s="234"/>
      <c r="G868" s="234"/>
      <c r="H868" s="234" t="str">
        <f>'Building Bill of Materials_SLIM'!T868</f>
        <v/>
      </c>
      <c r="I868" s="234" t="str">
        <f>'Building Bill of Materials_SLIM'!U868</f>
        <v/>
      </c>
      <c r="J868" s="234" t="str">
        <f>'Building Bill of Materials_SLIM'!V868</f>
        <v/>
      </c>
      <c r="K868" s="192"/>
      <c r="L868" s="242"/>
      <c r="M868" s="242"/>
      <c r="N868" s="291"/>
      <c r="O868" s="291"/>
      <c r="P868" s="291"/>
      <c r="Q868" s="291"/>
      <c r="R868" s="291"/>
      <c r="S868" s="291"/>
      <c r="T868" s="291"/>
      <c r="U868" s="291"/>
      <c r="V868" s="291"/>
      <c r="W868" s="291"/>
      <c r="X868" s="291"/>
      <c r="Y868" s="291"/>
      <c r="Z868" s="291"/>
      <c r="AA868" s="291"/>
      <c r="AB868" s="291"/>
      <c r="AC868" s="291"/>
      <c r="AD868" s="291"/>
      <c r="AE868" s="291"/>
      <c r="AF868" s="291"/>
      <c r="AG868" s="291"/>
    </row>
    <row r="869" ht="18.75" customHeight="1">
      <c r="A869" s="283"/>
      <c r="B869" s="234" t="str">
        <f>'Building Bill of Materials_SLIM'!P869</f>
        <v/>
      </c>
      <c r="C869" s="234" t="str">
        <f>'Building Bill of Materials_SLIM'!Q869</f>
        <v/>
      </c>
      <c r="D869" s="234" t="str">
        <f>'Building Bill of Materials_SLIM'!R869</f>
        <v/>
      </c>
      <c r="E869" s="234" t="str">
        <f>'Building Bill of Materials_SLIM'!S869</f>
        <v/>
      </c>
      <c r="F869" s="234"/>
      <c r="G869" s="234"/>
      <c r="H869" s="234" t="str">
        <f>'Building Bill of Materials_SLIM'!T869</f>
        <v/>
      </c>
      <c r="I869" s="234" t="str">
        <f>'Building Bill of Materials_SLIM'!U869</f>
        <v/>
      </c>
      <c r="J869" s="234" t="str">
        <f>'Building Bill of Materials_SLIM'!V869</f>
        <v/>
      </c>
      <c r="K869" s="192"/>
      <c r="L869" s="242"/>
      <c r="M869" s="242"/>
      <c r="N869" s="291"/>
      <c r="O869" s="291"/>
      <c r="P869" s="291"/>
      <c r="Q869" s="291"/>
      <c r="R869" s="291"/>
      <c r="S869" s="291"/>
      <c r="T869" s="291"/>
      <c r="U869" s="291"/>
      <c r="V869" s="291"/>
      <c r="W869" s="291"/>
      <c r="X869" s="291"/>
      <c r="Y869" s="291"/>
      <c r="Z869" s="291"/>
      <c r="AA869" s="291"/>
      <c r="AB869" s="291"/>
      <c r="AC869" s="291"/>
      <c r="AD869" s="291"/>
      <c r="AE869" s="291"/>
      <c r="AF869" s="291"/>
      <c r="AG869" s="291"/>
    </row>
    <row r="870" ht="18.75" customHeight="1">
      <c r="A870" s="283"/>
      <c r="B870" s="234" t="str">
        <f>'Building Bill of Materials_SLIM'!P870</f>
        <v/>
      </c>
      <c r="C870" s="234" t="str">
        <f>'Building Bill of Materials_SLIM'!Q870</f>
        <v/>
      </c>
      <c r="D870" s="234" t="str">
        <f>'Building Bill of Materials_SLIM'!R870</f>
        <v/>
      </c>
      <c r="E870" s="234" t="str">
        <f>'Building Bill of Materials_SLIM'!S870</f>
        <v/>
      </c>
      <c r="F870" s="234"/>
      <c r="G870" s="234"/>
      <c r="H870" s="234" t="str">
        <f>'Building Bill of Materials_SLIM'!T870</f>
        <v/>
      </c>
      <c r="I870" s="234" t="str">
        <f>'Building Bill of Materials_SLIM'!U870</f>
        <v/>
      </c>
      <c r="J870" s="234" t="str">
        <f>'Building Bill of Materials_SLIM'!V870</f>
        <v/>
      </c>
      <c r="K870" s="192"/>
      <c r="L870" s="242"/>
      <c r="M870" s="242"/>
      <c r="N870" s="291"/>
      <c r="O870" s="291"/>
      <c r="P870" s="291"/>
      <c r="Q870" s="291"/>
      <c r="R870" s="291"/>
      <c r="S870" s="291"/>
      <c r="T870" s="291"/>
      <c r="U870" s="291"/>
      <c r="V870" s="291"/>
      <c r="W870" s="291"/>
      <c r="X870" s="291"/>
      <c r="Y870" s="291"/>
      <c r="Z870" s="291"/>
      <c r="AA870" s="291"/>
      <c r="AB870" s="291"/>
      <c r="AC870" s="291"/>
      <c r="AD870" s="291"/>
      <c r="AE870" s="291"/>
      <c r="AF870" s="291"/>
      <c r="AG870" s="291"/>
    </row>
    <row r="871" ht="18.75" customHeight="1">
      <c r="A871" s="283"/>
      <c r="B871" s="234" t="str">
        <f>'Building Bill of Materials_SLIM'!P871</f>
        <v/>
      </c>
      <c r="C871" s="234" t="str">
        <f>'Building Bill of Materials_SLIM'!Q871</f>
        <v/>
      </c>
      <c r="D871" s="234" t="str">
        <f>'Building Bill of Materials_SLIM'!R871</f>
        <v/>
      </c>
      <c r="E871" s="234" t="str">
        <f>'Building Bill of Materials_SLIM'!S871</f>
        <v/>
      </c>
      <c r="F871" s="234"/>
      <c r="G871" s="234"/>
      <c r="H871" s="234" t="str">
        <f>'Building Bill of Materials_SLIM'!T871</f>
        <v/>
      </c>
      <c r="I871" s="234" t="str">
        <f>'Building Bill of Materials_SLIM'!U871</f>
        <v/>
      </c>
      <c r="J871" s="234" t="str">
        <f>'Building Bill of Materials_SLIM'!V871</f>
        <v/>
      </c>
      <c r="K871" s="192"/>
      <c r="L871" s="242"/>
      <c r="M871" s="242"/>
      <c r="N871" s="291"/>
      <c r="O871" s="291"/>
      <c r="P871" s="291"/>
      <c r="Q871" s="291"/>
      <c r="R871" s="291"/>
      <c r="S871" s="291"/>
      <c r="T871" s="291"/>
      <c r="U871" s="291"/>
      <c r="V871" s="291"/>
      <c r="W871" s="291"/>
      <c r="X871" s="291"/>
      <c r="Y871" s="291"/>
      <c r="Z871" s="291"/>
      <c r="AA871" s="291"/>
      <c r="AB871" s="291"/>
      <c r="AC871" s="291"/>
      <c r="AD871" s="291"/>
      <c r="AE871" s="291"/>
      <c r="AF871" s="291"/>
      <c r="AG871" s="291"/>
    </row>
    <row r="872" ht="18.75" customHeight="1">
      <c r="A872" s="283"/>
      <c r="B872" s="234" t="str">
        <f>'Building Bill of Materials_SLIM'!P872</f>
        <v/>
      </c>
      <c r="C872" s="234" t="str">
        <f>'Building Bill of Materials_SLIM'!Q872</f>
        <v/>
      </c>
      <c r="D872" s="234" t="str">
        <f>'Building Bill of Materials_SLIM'!R872</f>
        <v/>
      </c>
      <c r="E872" s="234" t="str">
        <f>'Building Bill of Materials_SLIM'!S872</f>
        <v/>
      </c>
      <c r="F872" s="234"/>
      <c r="G872" s="234"/>
      <c r="H872" s="234" t="str">
        <f>'Building Bill of Materials_SLIM'!T872</f>
        <v/>
      </c>
      <c r="I872" s="234" t="str">
        <f>'Building Bill of Materials_SLIM'!U872</f>
        <v/>
      </c>
      <c r="J872" s="234" t="str">
        <f>'Building Bill of Materials_SLIM'!V872</f>
        <v/>
      </c>
      <c r="K872" s="192"/>
      <c r="L872" s="242"/>
      <c r="M872" s="242"/>
      <c r="N872" s="291"/>
      <c r="O872" s="291"/>
      <c r="P872" s="291"/>
      <c r="Q872" s="291"/>
      <c r="R872" s="291"/>
      <c r="S872" s="291"/>
      <c r="T872" s="291"/>
      <c r="U872" s="291"/>
      <c r="V872" s="291"/>
      <c r="W872" s="291"/>
      <c r="X872" s="291"/>
      <c r="Y872" s="291"/>
      <c r="Z872" s="291"/>
      <c r="AA872" s="291"/>
      <c r="AB872" s="291"/>
      <c r="AC872" s="291"/>
      <c r="AD872" s="291"/>
      <c r="AE872" s="291"/>
      <c r="AF872" s="291"/>
      <c r="AG872" s="291"/>
    </row>
    <row r="873" ht="18.75" customHeight="1">
      <c r="A873" s="283"/>
      <c r="B873" s="234" t="str">
        <f>'Building Bill of Materials_SLIM'!P873</f>
        <v/>
      </c>
      <c r="C873" s="234" t="str">
        <f>'Building Bill of Materials_SLIM'!Q873</f>
        <v/>
      </c>
      <c r="D873" s="234" t="str">
        <f>'Building Bill of Materials_SLIM'!R873</f>
        <v/>
      </c>
      <c r="E873" s="234" t="str">
        <f>'Building Bill of Materials_SLIM'!S873</f>
        <v/>
      </c>
      <c r="F873" s="234"/>
      <c r="G873" s="234"/>
      <c r="H873" s="234" t="str">
        <f>'Building Bill of Materials_SLIM'!T873</f>
        <v/>
      </c>
      <c r="I873" s="234" t="str">
        <f>'Building Bill of Materials_SLIM'!U873</f>
        <v/>
      </c>
      <c r="J873" s="234" t="str">
        <f>'Building Bill of Materials_SLIM'!V873</f>
        <v/>
      </c>
      <c r="K873" s="192"/>
      <c r="L873" s="242"/>
      <c r="M873" s="242"/>
      <c r="N873" s="291"/>
      <c r="O873" s="291"/>
      <c r="P873" s="291"/>
      <c r="Q873" s="291"/>
      <c r="R873" s="291"/>
      <c r="S873" s="291"/>
      <c r="T873" s="291"/>
      <c r="U873" s="291"/>
      <c r="V873" s="291"/>
      <c r="W873" s="291"/>
      <c r="X873" s="291"/>
      <c r="Y873" s="291"/>
      <c r="Z873" s="291"/>
      <c r="AA873" s="291"/>
      <c r="AB873" s="291"/>
      <c r="AC873" s="291"/>
      <c r="AD873" s="291"/>
      <c r="AE873" s="291"/>
      <c r="AF873" s="291"/>
      <c r="AG873" s="291"/>
    </row>
    <row r="874" ht="18.75" customHeight="1">
      <c r="A874" s="283"/>
      <c r="B874" s="234" t="str">
        <f>'Building Bill of Materials_SLIM'!P874</f>
        <v/>
      </c>
      <c r="C874" s="234" t="str">
        <f>'Building Bill of Materials_SLIM'!Q874</f>
        <v/>
      </c>
      <c r="D874" s="234" t="str">
        <f>'Building Bill of Materials_SLIM'!R874</f>
        <v/>
      </c>
      <c r="E874" s="234" t="str">
        <f>'Building Bill of Materials_SLIM'!S874</f>
        <v/>
      </c>
      <c r="F874" s="234"/>
      <c r="G874" s="234"/>
      <c r="H874" s="234" t="str">
        <f>'Building Bill of Materials_SLIM'!T874</f>
        <v/>
      </c>
      <c r="I874" s="234" t="str">
        <f>'Building Bill of Materials_SLIM'!U874</f>
        <v/>
      </c>
      <c r="J874" s="234" t="str">
        <f>'Building Bill of Materials_SLIM'!V874</f>
        <v/>
      </c>
      <c r="K874" s="192"/>
      <c r="L874" s="242"/>
      <c r="M874" s="242"/>
      <c r="N874" s="291"/>
      <c r="O874" s="291"/>
      <c r="P874" s="291"/>
      <c r="Q874" s="291"/>
      <c r="R874" s="291"/>
      <c r="S874" s="291"/>
      <c r="T874" s="291"/>
      <c r="U874" s="291"/>
      <c r="V874" s="291"/>
      <c r="W874" s="291"/>
      <c r="X874" s="291"/>
      <c r="Y874" s="291"/>
      <c r="Z874" s="291"/>
      <c r="AA874" s="291"/>
      <c r="AB874" s="291"/>
      <c r="AC874" s="291"/>
      <c r="AD874" s="291"/>
      <c r="AE874" s="291"/>
      <c r="AF874" s="291"/>
      <c r="AG874" s="291"/>
    </row>
    <row r="875" ht="18.75" customHeight="1">
      <c r="A875" s="283"/>
      <c r="B875" s="234" t="str">
        <f>'Building Bill of Materials_SLIM'!P875</f>
        <v/>
      </c>
      <c r="C875" s="234" t="str">
        <f>'Building Bill of Materials_SLIM'!Q875</f>
        <v/>
      </c>
      <c r="D875" s="234" t="str">
        <f>'Building Bill of Materials_SLIM'!R875</f>
        <v/>
      </c>
      <c r="E875" s="234" t="str">
        <f>'Building Bill of Materials_SLIM'!S875</f>
        <v/>
      </c>
      <c r="F875" s="234"/>
      <c r="G875" s="234"/>
      <c r="H875" s="234" t="str">
        <f>'Building Bill of Materials_SLIM'!T875</f>
        <v/>
      </c>
      <c r="I875" s="234" t="str">
        <f>'Building Bill of Materials_SLIM'!U875</f>
        <v/>
      </c>
      <c r="J875" s="234" t="str">
        <f>'Building Bill of Materials_SLIM'!V875</f>
        <v/>
      </c>
      <c r="K875" s="192"/>
      <c r="L875" s="242"/>
      <c r="M875" s="242"/>
      <c r="N875" s="291"/>
      <c r="O875" s="291"/>
      <c r="P875" s="291"/>
      <c r="Q875" s="291"/>
      <c r="R875" s="291"/>
      <c r="S875" s="291"/>
      <c r="T875" s="291"/>
      <c r="U875" s="291"/>
      <c r="V875" s="291"/>
      <c r="W875" s="291"/>
      <c r="X875" s="291"/>
      <c r="Y875" s="291"/>
      <c r="Z875" s="291"/>
      <c r="AA875" s="291"/>
      <c r="AB875" s="291"/>
      <c r="AC875" s="291"/>
      <c r="AD875" s="291"/>
      <c r="AE875" s="291"/>
      <c r="AF875" s="291"/>
      <c r="AG875" s="291"/>
    </row>
    <row r="876" ht="18.75" customHeight="1">
      <c r="A876" s="283"/>
      <c r="B876" s="234" t="str">
        <f>'Building Bill of Materials_SLIM'!P876</f>
        <v/>
      </c>
      <c r="C876" s="234" t="str">
        <f>'Building Bill of Materials_SLIM'!Q876</f>
        <v/>
      </c>
      <c r="D876" s="234" t="str">
        <f>'Building Bill of Materials_SLIM'!R876</f>
        <v/>
      </c>
      <c r="E876" s="234" t="str">
        <f>'Building Bill of Materials_SLIM'!S876</f>
        <v/>
      </c>
      <c r="F876" s="234"/>
      <c r="G876" s="234"/>
      <c r="H876" s="234" t="str">
        <f>'Building Bill of Materials_SLIM'!T876</f>
        <v/>
      </c>
      <c r="I876" s="234" t="str">
        <f>'Building Bill of Materials_SLIM'!U876</f>
        <v/>
      </c>
      <c r="J876" s="234" t="str">
        <f>'Building Bill of Materials_SLIM'!V876</f>
        <v/>
      </c>
      <c r="K876" s="192"/>
      <c r="L876" s="242"/>
      <c r="M876" s="242"/>
      <c r="N876" s="291"/>
      <c r="O876" s="291"/>
      <c r="P876" s="291"/>
      <c r="Q876" s="291"/>
      <c r="R876" s="291"/>
      <c r="S876" s="291"/>
      <c r="T876" s="291"/>
      <c r="U876" s="291"/>
      <c r="V876" s="291"/>
      <c r="W876" s="291"/>
      <c r="X876" s="291"/>
      <c r="Y876" s="291"/>
      <c r="Z876" s="291"/>
      <c r="AA876" s="291"/>
      <c r="AB876" s="291"/>
      <c r="AC876" s="291"/>
      <c r="AD876" s="291"/>
      <c r="AE876" s="291"/>
      <c r="AF876" s="291"/>
      <c r="AG876" s="291"/>
    </row>
    <row r="877" ht="18.75" customHeight="1">
      <c r="A877" s="283"/>
      <c r="B877" s="234" t="str">
        <f>'Building Bill of Materials_SLIM'!P877</f>
        <v/>
      </c>
      <c r="C877" s="234" t="str">
        <f>'Building Bill of Materials_SLIM'!Q877</f>
        <v/>
      </c>
      <c r="D877" s="234" t="str">
        <f>'Building Bill of Materials_SLIM'!R877</f>
        <v/>
      </c>
      <c r="E877" s="234" t="str">
        <f>'Building Bill of Materials_SLIM'!S877</f>
        <v/>
      </c>
      <c r="F877" s="234"/>
      <c r="G877" s="234"/>
      <c r="H877" s="234" t="str">
        <f>'Building Bill of Materials_SLIM'!T877</f>
        <v/>
      </c>
      <c r="I877" s="234" t="str">
        <f>'Building Bill of Materials_SLIM'!U877</f>
        <v/>
      </c>
      <c r="J877" s="234" t="str">
        <f>'Building Bill of Materials_SLIM'!V877</f>
        <v/>
      </c>
      <c r="K877" s="192"/>
      <c r="L877" s="242"/>
      <c r="M877" s="242"/>
      <c r="N877" s="291"/>
      <c r="O877" s="291"/>
      <c r="P877" s="291"/>
      <c r="Q877" s="291"/>
      <c r="R877" s="291"/>
      <c r="S877" s="291"/>
      <c r="T877" s="291"/>
      <c r="U877" s="291"/>
      <c r="V877" s="291"/>
      <c r="W877" s="291"/>
      <c r="X877" s="291"/>
      <c r="Y877" s="291"/>
      <c r="Z877" s="291"/>
      <c r="AA877" s="291"/>
      <c r="AB877" s="291"/>
      <c r="AC877" s="291"/>
      <c r="AD877" s="291"/>
      <c r="AE877" s="291"/>
      <c r="AF877" s="291"/>
      <c r="AG877" s="291"/>
    </row>
    <row r="878" ht="18.75" customHeight="1">
      <c r="A878" s="283"/>
      <c r="B878" s="234" t="str">
        <f>'Building Bill of Materials_SLIM'!P878</f>
        <v/>
      </c>
      <c r="C878" s="234" t="str">
        <f>'Building Bill of Materials_SLIM'!Q878</f>
        <v/>
      </c>
      <c r="D878" s="234" t="str">
        <f>'Building Bill of Materials_SLIM'!R878</f>
        <v/>
      </c>
      <c r="E878" s="234" t="str">
        <f>'Building Bill of Materials_SLIM'!S878</f>
        <v/>
      </c>
      <c r="F878" s="234"/>
      <c r="G878" s="234"/>
      <c r="H878" s="234" t="str">
        <f>'Building Bill of Materials_SLIM'!T878</f>
        <v/>
      </c>
      <c r="I878" s="234" t="str">
        <f>'Building Bill of Materials_SLIM'!U878</f>
        <v/>
      </c>
      <c r="J878" s="234" t="str">
        <f>'Building Bill of Materials_SLIM'!V878</f>
        <v/>
      </c>
      <c r="K878" s="192"/>
      <c r="L878" s="242"/>
      <c r="M878" s="242"/>
      <c r="N878" s="291"/>
      <c r="O878" s="291"/>
      <c r="P878" s="291"/>
      <c r="Q878" s="291"/>
      <c r="R878" s="291"/>
      <c r="S878" s="291"/>
      <c r="T878" s="291"/>
      <c r="U878" s="291"/>
      <c r="V878" s="291"/>
      <c r="W878" s="291"/>
      <c r="X878" s="291"/>
      <c r="Y878" s="291"/>
      <c r="Z878" s="291"/>
      <c r="AA878" s="291"/>
      <c r="AB878" s="291"/>
      <c r="AC878" s="291"/>
      <c r="AD878" s="291"/>
      <c r="AE878" s="291"/>
      <c r="AF878" s="291"/>
      <c r="AG878" s="291"/>
    </row>
    <row r="879" ht="18.75" customHeight="1">
      <c r="A879" s="283"/>
      <c r="B879" s="234" t="str">
        <f>'Building Bill of Materials_SLIM'!P879</f>
        <v/>
      </c>
      <c r="C879" s="234" t="str">
        <f>'Building Bill of Materials_SLIM'!Q879</f>
        <v/>
      </c>
      <c r="D879" s="234" t="str">
        <f>'Building Bill of Materials_SLIM'!R879</f>
        <v/>
      </c>
      <c r="E879" s="234" t="str">
        <f>'Building Bill of Materials_SLIM'!S879</f>
        <v/>
      </c>
      <c r="F879" s="234"/>
      <c r="G879" s="234"/>
      <c r="H879" s="234" t="str">
        <f>'Building Bill of Materials_SLIM'!T879</f>
        <v/>
      </c>
      <c r="I879" s="234" t="str">
        <f>'Building Bill of Materials_SLIM'!U879</f>
        <v/>
      </c>
      <c r="J879" s="234" t="str">
        <f>'Building Bill of Materials_SLIM'!V879</f>
        <v/>
      </c>
      <c r="K879" s="192"/>
      <c r="L879" s="242"/>
      <c r="M879" s="242"/>
      <c r="N879" s="291"/>
      <c r="O879" s="291"/>
      <c r="P879" s="291"/>
      <c r="Q879" s="291"/>
      <c r="R879" s="291"/>
      <c r="S879" s="291"/>
      <c r="T879" s="291"/>
      <c r="U879" s="291"/>
      <c r="V879" s="291"/>
      <c r="W879" s="291"/>
      <c r="X879" s="291"/>
      <c r="Y879" s="291"/>
      <c r="Z879" s="291"/>
      <c r="AA879" s="291"/>
      <c r="AB879" s="291"/>
      <c r="AC879" s="291"/>
      <c r="AD879" s="291"/>
      <c r="AE879" s="291"/>
      <c r="AF879" s="291"/>
      <c r="AG879" s="291"/>
    </row>
    <row r="880" ht="18.75" customHeight="1">
      <c r="A880" s="283"/>
      <c r="B880" s="234" t="str">
        <f>'Building Bill of Materials_SLIM'!P880</f>
        <v/>
      </c>
      <c r="C880" s="234" t="str">
        <f>'Building Bill of Materials_SLIM'!Q880</f>
        <v/>
      </c>
      <c r="D880" s="234" t="str">
        <f>'Building Bill of Materials_SLIM'!R880</f>
        <v/>
      </c>
      <c r="E880" s="234" t="str">
        <f>'Building Bill of Materials_SLIM'!S880</f>
        <v/>
      </c>
      <c r="F880" s="234"/>
      <c r="G880" s="234"/>
      <c r="H880" s="234" t="str">
        <f>'Building Bill of Materials_SLIM'!T880</f>
        <v/>
      </c>
      <c r="I880" s="234" t="str">
        <f>'Building Bill of Materials_SLIM'!U880</f>
        <v/>
      </c>
      <c r="J880" s="234" t="str">
        <f>'Building Bill of Materials_SLIM'!V880</f>
        <v/>
      </c>
      <c r="K880" s="192"/>
      <c r="L880" s="242"/>
      <c r="M880" s="242"/>
      <c r="N880" s="291"/>
      <c r="O880" s="291"/>
      <c r="P880" s="291"/>
      <c r="Q880" s="291"/>
      <c r="R880" s="291"/>
      <c r="S880" s="291"/>
      <c r="T880" s="291"/>
      <c r="U880" s="291"/>
      <c r="V880" s="291"/>
      <c r="W880" s="291"/>
      <c r="X880" s="291"/>
      <c r="Y880" s="291"/>
      <c r="Z880" s="291"/>
      <c r="AA880" s="291"/>
      <c r="AB880" s="291"/>
      <c r="AC880" s="291"/>
      <c r="AD880" s="291"/>
      <c r="AE880" s="291"/>
      <c r="AF880" s="291"/>
      <c r="AG880" s="291"/>
    </row>
    <row r="881" ht="18.75" customHeight="1">
      <c r="A881" s="283"/>
      <c r="B881" s="234" t="str">
        <f>'Building Bill of Materials_SLIM'!P881</f>
        <v/>
      </c>
      <c r="C881" s="234" t="str">
        <f>'Building Bill of Materials_SLIM'!Q881</f>
        <v/>
      </c>
      <c r="D881" s="234" t="str">
        <f>'Building Bill of Materials_SLIM'!R881</f>
        <v/>
      </c>
      <c r="E881" s="234" t="str">
        <f>'Building Bill of Materials_SLIM'!S881</f>
        <v/>
      </c>
      <c r="F881" s="234"/>
      <c r="G881" s="234"/>
      <c r="H881" s="234" t="str">
        <f>'Building Bill of Materials_SLIM'!T881</f>
        <v/>
      </c>
      <c r="I881" s="234" t="str">
        <f>'Building Bill of Materials_SLIM'!U881</f>
        <v/>
      </c>
      <c r="J881" s="234" t="str">
        <f>'Building Bill of Materials_SLIM'!V881</f>
        <v/>
      </c>
      <c r="K881" s="192"/>
      <c r="L881" s="242"/>
      <c r="M881" s="242"/>
      <c r="N881" s="291"/>
      <c r="O881" s="291"/>
      <c r="P881" s="291"/>
      <c r="Q881" s="291"/>
      <c r="R881" s="291"/>
      <c r="S881" s="291"/>
      <c r="T881" s="291"/>
      <c r="U881" s="291"/>
      <c r="V881" s="291"/>
      <c r="W881" s="291"/>
      <c r="X881" s="291"/>
      <c r="Y881" s="291"/>
      <c r="Z881" s="291"/>
      <c r="AA881" s="291"/>
      <c r="AB881" s="291"/>
      <c r="AC881" s="291"/>
      <c r="AD881" s="291"/>
      <c r="AE881" s="291"/>
      <c r="AF881" s="291"/>
      <c r="AG881" s="291"/>
    </row>
    <row r="882" ht="18.75" customHeight="1">
      <c r="A882" s="283"/>
      <c r="B882" s="234" t="str">
        <f>'Building Bill of Materials_SLIM'!P882</f>
        <v/>
      </c>
      <c r="C882" s="234" t="str">
        <f>'Building Bill of Materials_SLIM'!Q882</f>
        <v/>
      </c>
      <c r="D882" s="234" t="str">
        <f>'Building Bill of Materials_SLIM'!R882</f>
        <v/>
      </c>
      <c r="E882" s="234" t="str">
        <f>'Building Bill of Materials_SLIM'!S882</f>
        <v/>
      </c>
      <c r="F882" s="234"/>
      <c r="G882" s="234"/>
      <c r="H882" s="234" t="str">
        <f>'Building Bill of Materials_SLIM'!T882</f>
        <v/>
      </c>
      <c r="I882" s="234" t="str">
        <f>'Building Bill of Materials_SLIM'!U882</f>
        <v/>
      </c>
      <c r="J882" s="234" t="str">
        <f>'Building Bill of Materials_SLIM'!V882</f>
        <v/>
      </c>
      <c r="K882" s="192"/>
      <c r="L882" s="242"/>
      <c r="M882" s="242"/>
      <c r="N882" s="291"/>
      <c r="O882" s="291"/>
      <c r="P882" s="291"/>
      <c r="Q882" s="291"/>
      <c r="R882" s="291"/>
      <c r="S882" s="291"/>
      <c r="T882" s="291"/>
      <c r="U882" s="291"/>
      <c r="V882" s="291"/>
      <c r="W882" s="291"/>
      <c r="X882" s="291"/>
      <c r="Y882" s="291"/>
      <c r="Z882" s="291"/>
      <c r="AA882" s="291"/>
      <c r="AB882" s="291"/>
      <c r="AC882" s="291"/>
      <c r="AD882" s="291"/>
      <c r="AE882" s="291"/>
      <c r="AF882" s="291"/>
      <c r="AG882" s="291"/>
    </row>
    <row r="883" ht="18.75" customHeight="1">
      <c r="A883" s="283"/>
      <c r="B883" s="234" t="str">
        <f>'Building Bill of Materials_SLIM'!P883</f>
        <v/>
      </c>
      <c r="C883" s="234" t="str">
        <f>'Building Bill of Materials_SLIM'!Q883</f>
        <v/>
      </c>
      <c r="D883" s="234" t="str">
        <f>'Building Bill of Materials_SLIM'!R883</f>
        <v/>
      </c>
      <c r="E883" s="234" t="str">
        <f>'Building Bill of Materials_SLIM'!S883</f>
        <v/>
      </c>
      <c r="F883" s="234"/>
      <c r="G883" s="234"/>
      <c r="H883" s="234" t="str">
        <f>'Building Bill of Materials_SLIM'!T883</f>
        <v/>
      </c>
      <c r="I883" s="234" t="str">
        <f>'Building Bill of Materials_SLIM'!U883</f>
        <v/>
      </c>
      <c r="J883" s="234" t="str">
        <f>'Building Bill of Materials_SLIM'!V883</f>
        <v/>
      </c>
      <c r="K883" s="192"/>
      <c r="L883" s="242"/>
      <c r="M883" s="242"/>
      <c r="N883" s="291"/>
      <c r="O883" s="291"/>
      <c r="P883" s="291"/>
      <c r="Q883" s="291"/>
      <c r="R883" s="291"/>
      <c r="S883" s="291"/>
      <c r="T883" s="291"/>
      <c r="U883" s="291"/>
      <c r="V883" s="291"/>
      <c r="W883" s="291"/>
      <c r="X883" s="291"/>
      <c r="Y883" s="291"/>
      <c r="Z883" s="291"/>
      <c r="AA883" s="291"/>
      <c r="AB883" s="291"/>
      <c r="AC883" s="291"/>
      <c r="AD883" s="291"/>
      <c r="AE883" s="291"/>
      <c r="AF883" s="291"/>
      <c r="AG883" s="291"/>
    </row>
    <row r="884" ht="18.75" customHeight="1">
      <c r="A884" s="283"/>
      <c r="B884" s="234" t="str">
        <f>'Building Bill of Materials_SLIM'!P884</f>
        <v/>
      </c>
      <c r="C884" s="234" t="str">
        <f>'Building Bill of Materials_SLIM'!Q884</f>
        <v/>
      </c>
      <c r="D884" s="234" t="str">
        <f>'Building Bill of Materials_SLIM'!R884</f>
        <v/>
      </c>
      <c r="E884" s="234" t="str">
        <f>'Building Bill of Materials_SLIM'!S884</f>
        <v/>
      </c>
      <c r="F884" s="234"/>
      <c r="G884" s="234"/>
      <c r="H884" s="234" t="str">
        <f>'Building Bill of Materials_SLIM'!T884</f>
        <v/>
      </c>
      <c r="I884" s="234" t="str">
        <f>'Building Bill of Materials_SLIM'!U884</f>
        <v/>
      </c>
      <c r="J884" s="234" t="str">
        <f>'Building Bill of Materials_SLIM'!V884</f>
        <v/>
      </c>
      <c r="K884" s="192"/>
      <c r="L884" s="242"/>
      <c r="M884" s="242"/>
      <c r="N884" s="291"/>
      <c r="O884" s="291"/>
      <c r="P884" s="291"/>
      <c r="Q884" s="291"/>
      <c r="R884" s="291"/>
      <c r="S884" s="291"/>
      <c r="T884" s="291"/>
      <c r="U884" s="291"/>
      <c r="V884" s="291"/>
      <c r="W884" s="291"/>
      <c r="X884" s="291"/>
      <c r="Y884" s="291"/>
      <c r="Z884" s="291"/>
      <c r="AA884" s="291"/>
      <c r="AB884" s="291"/>
      <c r="AC884" s="291"/>
      <c r="AD884" s="291"/>
      <c r="AE884" s="291"/>
      <c r="AF884" s="291"/>
      <c r="AG884" s="291"/>
    </row>
    <row r="885" ht="18.75" customHeight="1">
      <c r="A885" s="283"/>
      <c r="B885" s="234" t="str">
        <f>'Building Bill of Materials_SLIM'!P885</f>
        <v/>
      </c>
      <c r="C885" s="234" t="str">
        <f>'Building Bill of Materials_SLIM'!Q885</f>
        <v/>
      </c>
      <c r="D885" s="234" t="str">
        <f>'Building Bill of Materials_SLIM'!R885</f>
        <v/>
      </c>
      <c r="E885" s="234" t="str">
        <f>'Building Bill of Materials_SLIM'!S885</f>
        <v/>
      </c>
      <c r="F885" s="234"/>
      <c r="G885" s="234"/>
      <c r="H885" s="234" t="str">
        <f>'Building Bill of Materials_SLIM'!T885</f>
        <v/>
      </c>
      <c r="I885" s="234" t="str">
        <f>'Building Bill of Materials_SLIM'!U885</f>
        <v/>
      </c>
      <c r="J885" s="234" t="str">
        <f>'Building Bill of Materials_SLIM'!V885</f>
        <v/>
      </c>
      <c r="K885" s="192"/>
      <c r="L885" s="242"/>
      <c r="M885" s="242"/>
      <c r="N885" s="291"/>
      <c r="O885" s="291"/>
      <c r="P885" s="291"/>
      <c r="Q885" s="291"/>
      <c r="R885" s="291"/>
      <c r="S885" s="291"/>
      <c r="T885" s="291"/>
      <c r="U885" s="291"/>
      <c r="V885" s="291"/>
      <c r="W885" s="291"/>
      <c r="X885" s="291"/>
      <c r="Y885" s="291"/>
      <c r="Z885" s="291"/>
      <c r="AA885" s="291"/>
      <c r="AB885" s="291"/>
      <c r="AC885" s="291"/>
      <c r="AD885" s="291"/>
      <c r="AE885" s="291"/>
      <c r="AF885" s="291"/>
      <c r="AG885" s="291"/>
    </row>
    <row r="886" ht="18.75" customHeight="1">
      <c r="A886" s="283"/>
      <c r="B886" s="234" t="str">
        <f>'Building Bill of Materials_SLIM'!P886</f>
        <v/>
      </c>
      <c r="C886" s="234" t="str">
        <f>'Building Bill of Materials_SLIM'!Q886</f>
        <v/>
      </c>
      <c r="D886" s="234" t="str">
        <f>'Building Bill of Materials_SLIM'!R886</f>
        <v/>
      </c>
      <c r="E886" s="234" t="str">
        <f>'Building Bill of Materials_SLIM'!S886</f>
        <v/>
      </c>
      <c r="F886" s="234"/>
      <c r="G886" s="234"/>
      <c r="H886" s="234" t="str">
        <f>'Building Bill of Materials_SLIM'!T886</f>
        <v/>
      </c>
      <c r="I886" s="234" t="str">
        <f>'Building Bill of Materials_SLIM'!U886</f>
        <v/>
      </c>
      <c r="J886" s="234" t="str">
        <f>'Building Bill of Materials_SLIM'!V886</f>
        <v/>
      </c>
      <c r="K886" s="192"/>
      <c r="L886" s="242"/>
      <c r="M886" s="242"/>
      <c r="N886" s="291"/>
      <c r="O886" s="291"/>
      <c r="P886" s="291"/>
      <c r="Q886" s="291"/>
      <c r="R886" s="291"/>
      <c r="S886" s="291"/>
      <c r="T886" s="291"/>
      <c r="U886" s="291"/>
      <c r="V886" s="291"/>
      <c r="W886" s="291"/>
      <c r="X886" s="291"/>
      <c r="Y886" s="291"/>
      <c r="Z886" s="291"/>
      <c r="AA886" s="291"/>
      <c r="AB886" s="291"/>
      <c r="AC886" s="291"/>
      <c r="AD886" s="291"/>
      <c r="AE886" s="291"/>
      <c r="AF886" s="291"/>
      <c r="AG886" s="291"/>
    </row>
    <row r="887" ht="18.75" customHeight="1">
      <c r="A887" s="283"/>
      <c r="B887" s="234" t="str">
        <f>'Building Bill of Materials_SLIM'!P887</f>
        <v/>
      </c>
      <c r="C887" s="234" t="str">
        <f>'Building Bill of Materials_SLIM'!Q887</f>
        <v/>
      </c>
      <c r="D887" s="234" t="str">
        <f>'Building Bill of Materials_SLIM'!R887</f>
        <v/>
      </c>
      <c r="E887" s="234" t="str">
        <f>'Building Bill of Materials_SLIM'!S887</f>
        <v/>
      </c>
      <c r="F887" s="234"/>
      <c r="G887" s="234"/>
      <c r="H887" s="234" t="str">
        <f>'Building Bill of Materials_SLIM'!T887</f>
        <v/>
      </c>
      <c r="I887" s="234" t="str">
        <f>'Building Bill of Materials_SLIM'!U887</f>
        <v/>
      </c>
      <c r="J887" s="234" t="str">
        <f>'Building Bill of Materials_SLIM'!V887</f>
        <v/>
      </c>
      <c r="K887" s="192"/>
      <c r="L887" s="242"/>
      <c r="M887" s="242"/>
      <c r="N887" s="291"/>
      <c r="O887" s="291"/>
      <c r="P887" s="291"/>
      <c r="Q887" s="291"/>
      <c r="R887" s="291"/>
      <c r="S887" s="291"/>
      <c r="T887" s="291"/>
      <c r="U887" s="291"/>
      <c r="V887" s="291"/>
      <c r="W887" s="291"/>
      <c r="X887" s="291"/>
      <c r="Y887" s="291"/>
      <c r="Z887" s="291"/>
      <c r="AA887" s="291"/>
      <c r="AB887" s="291"/>
      <c r="AC887" s="291"/>
      <c r="AD887" s="291"/>
      <c r="AE887" s="291"/>
      <c r="AF887" s="291"/>
      <c r="AG887" s="291"/>
    </row>
    <row r="888" ht="18.75" customHeight="1">
      <c r="A888" s="283"/>
      <c r="B888" s="234" t="str">
        <f>'Building Bill of Materials_SLIM'!P888</f>
        <v/>
      </c>
      <c r="C888" s="234" t="str">
        <f>'Building Bill of Materials_SLIM'!Q888</f>
        <v/>
      </c>
      <c r="D888" s="234" t="str">
        <f>'Building Bill of Materials_SLIM'!R888</f>
        <v/>
      </c>
      <c r="E888" s="234" t="str">
        <f>'Building Bill of Materials_SLIM'!S888</f>
        <v/>
      </c>
      <c r="F888" s="234"/>
      <c r="G888" s="234"/>
      <c r="H888" s="234" t="str">
        <f>'Building Bill of Materials_SLIM'!T888</f>
        <v/>
      </c>
      <c r="I888" s="234" t="str">
        <f>'Building Bill of Materials_SLIM'!U888</f>
        <v/>
      </c>
      <c r="J888" s="234" t="str">
        <f>'Building Bill of Materials_SLIM'!V888</f>
        <v/>
      </c>
      <c r="K888" s="192"/>
      <c r="L888" s="242"/>
      <c r="M888" s="242"/>
      <c r="N888" s="291"/>
      <c r="O888" s="291"/>
      <c r="P888" s="291"/>
      <c r="Q888" s="291"/>
      <c r="R888" s="291"/>
      <c r="S888" s="291"/>
      <c r="T888" s="291"/>
      <c r="U888" s="291"/>
      <c r="V888" s="291"/>
      <c r="W888" s="291"/>
      <c r="X888" s="291"/>
      <c r="Y888" s="291"/>
      <c r="Z888" s="291"/>
      <c r="AA888" s="291"/>
      <c r="AB888" s="291"/>
      <c r="AC888" s="291"/>
      <c r="AD888" s="291"/>
      <c r="AE888" s="291"/>
      <c r="AF888" s="291"/>
      <c r="AG888" s="291"/>
    </row>
    <row r="889" ht="18.75" customHeight="1">
      <c r="A889" s="283"/>
      <c r="B889" s="234" t="str">
        <f>'Building Bill of Materials_SLIM'!P889</f>
        <v/>
      </c>
      <c r="C889" s="234" t="str">
        <f>'Building Bill of Materials_SLIM'!Q889</f>
        <v/>
      </c>
      <c r="D889" s="234" t="str">
        <f>'Building Bill of Materials_SLIM'!R889</f>
        <v/>
      </c>
      <c r="E889" s="234" t="str">
        <f>'Building Bill of Materials_SLIM'!S889</f>
        <v/>
      </c>
      <c r="F889" s="234"/>
      <c r="G889" s="234"/>
      <c r="H889" s="234" t="str">
        <f>'Building Bill of Materials_SLIM'!T889</f>
        <v/>
      </c>
      <c r="I889" s="234" t="str">
        <f>'Building Bill of Materials_SLIM'!U889</f>
        <v/>
      </c>
      <c r="J889" s="234" t="str">
        <f>'Building Bill of Materials_SLIM'!V889</f>
        <v/>
      </c>
      <c r="K889" s="192"/>
      <c r="L889" s="242"/>
      <c r="M889" s="242"/>
      <c r="N889" s="291"/>
      <c r="O889" s="291"/>
      <c r="P889" s="291"/>
      <c r="Q889" s="291"/>
      <c r="R889" s="291"/>
      <c r="S889" s="291"/>
      <c r="T889" s="291"/>
      <c r="U889" s="291"/>
      <c r="V889" s="291"/>
      <c r="W889" s="291"/>
      <c r="X889" s="291"/>
      <c r="Y889" s="291"/>
      <c r="Z889" s="291"/>
      <c r="AA889" s="291"/>
      <c r="AB889" s="291"/>
      <c r="AC889" s="291"/>
      <c r="AD889" s="291"/>
      <c r="AE889" s="291"/>
      <c r="AF889" s="291"/>
      <c r="AG889" s="291"/>
    </row>
    <row r="890" ht="18.75" customHeight="1">
      <c r="A890" s="283"/>
      <c r="B890" s="234" t="str">
        <f>'Building Bill of Materials_SLIM'!P890</f>
        <v/>
      </c>
      <c r="C890" s="234" t="str">
        <f>'Building Bill of Materials_SLIM'!Q890</f>
        <v/>
      </c>
      <c r="D890" s="234" t="str">
        <f>'Building Bill of Materials_SLIM'!R890</f>
        <v/>
      </c>
      <c r="E890" s="234" t="str">
        <f>'Building Bill of Materials_SLIM'!S890</f>
        <v/>
      </c>
      <c r="F890" s="234"/>
      <c r="G890" s="234"/>
      <c r="H890" s="234" t="str">
        <f>'Building Bill of Materials_SLIM'!T890</f>
        <v/>
      </c>
      <c r="I890" s="234" t="str">
        <f>'Building Bill of Materials_SLIM'!U890</f>
        <v/>
      </c>
      <c r="J890" s="234" t="str">
        <f>'Building Bill of Materials_SLIM'!V890</f>
        <v/>
      </c>
      <c r="K890" s="192"/>
      <c r="L890" s="242"/>
      <c r="M890" s="242"/>
      <c r="N890" s="291"/>
      <c r="O890" s="291"/>
      <c r="P890" s="291"/>
      <c r="Q890" s="291"/>
      <c r="R890" s="291"/>
      <c r="S890" s="291"/>
      <c r="T890" s="291"/>
      <c r="U890" s="291"/>
      <c r="V890" s="291"/>
      <c r="W890" s="291"/>
      <c r="X890" s="291"/>
      <c r="Y890" s="291"/>
      <c r="Z890" s="291"/>
      <c r="AA890" s="291"/>
      <c r="AB890" s="291"/>
      <c r="AC890" s="291"/>
      <c r="AD890" s="291"/>
      <c r="AE890" s="291"/>
      <c r="AF890" s="291"/>
      <c r="AG890" s="291"/>
    </row>
    <row r="891" ht="18.75" customHeight="1">
      <c r="A891" s="283"/>
      <c r="B891" s="234" t="str">
        <f>'Building Bill of Materials_SLIM'!P891</f>
        <v/>
      </c>
      <c r="C891" s="234" t="str">
        <f>'Building Bill of Materials_SLIM'!Q891</f>
        <v/>
      </c>
      <c r="D891" s="234" t="str">
        <f>'Building Bill of Materials_SLIM'!R891</f>
        <v/>
      </c>
      <c r="E891" s="234" t="str">
        <f>'Building Bill of Materials_SLIM'!S891</f>
        <v/>
      </c>
      <c r="F891" s="234"/>
      <c r="G891" s="234"/>
      <c r="H891" s="234" t="str">
        <f>'Building Bill of Materials_SLIM'!T891</f>
        <v/>
      </c>
      <c r="I891" s="234" t="str">
        <f>'Building Bill of Materials_SLIM'!U891</f>
        <v/>
      </c>
      <c r="J891" s="234" t="str">
        <f>'Building Bill of Materials_SLIM'!V891</f>
        <v/>
      </c>
      <c r="K891" s="192"/>
      <c r="L891" s="242"/>
      <c r="M891" s="242"/>
      <c r="N891" s="291"/>
      <c r="O891" s="291"/>
      <c r="P891" s="291"/>
      <c r="Q891" s="291"/>
      <c r="R891" s="291"/>
      <c r="S891" s="291"/>
      <c r="T891" s="291"/>
      <c r="U891" s="291"/>
      <c r="V891" s="291"/>
      <c r="W891" s="291"/>
      <c r="X891" s="291"/>
      <c r="Y891" s="291"/>
      <c r="Z891" s="291"/>
      <c r="AA891" s="291"/>
      <c r="AB891" s="291"/>
      <c r="AC891" s="291"/>
      <c r="AD891" s="291"/>
      <c r="AE891" s="291"/>
      <c r="AF891" s="291"/>
      <c r="AG891" s="291"/>
    </row>
    <row r="892" ht="18.75" customHeight="1">
      <c r="A892" s="283"/>
      <c r="B892" s="234" t="str">
        <f>'Building Bill of Materials_SLIM'!P892</f>
        <v/>
      </c>
      <c r="C892" s="234" t="str">
        <f>'Building Bill of Materials_SLIM'!Q892</f>
        <v/>
      </c>
      <c r="D892" s="234" t="str">
        <f>'Building Bill of Materials_SLIM'!R892</f>
        <v/>
      </c>
      <c r="E892" s="234" t="str">
        <f>'Building Bill of Materials_SLIM'!S892</f>
        <v/>
      </c>
      <c r="F892" s="234"/>
      <c r="G892" s="234"/>
      <c r="H892" s="234" t="str">
        <f>'Building Bill of Materials_SLIM'!T892</f>
        <v/>
      </c>
      <c r="I892" s="234" t="str">
        <f>'Building Bill of Materials_SLIM'!U892</f>
        <v/>
      </c>
      <c r="J892" s="234" t="str">
        <f>'Building Bill of Materials_SLIM'!V892</f>
        <v/>
      </c>
      <c r="K892" s="192"/>
      <c r="L892" s="242"/>
      <c r="M892" s="242"/>
      <c r="N892" s="291"/>
      <c r="O892" s="291"/>
      <c r="P892" s="291"/>
      <c r="Q892" s="291"/>
      <c r="R892" s="291"/>
      <c r="S892" s="291"/>
      <c r="T892" s="291"/>
      <c r="U892" s="291"/>
      <c r="V892" s="291"/>
      <c r="W892" s="291"/>
      <c r="X892" s="291"/>
      <c r="Y892" s="291"/>
      <c r="Z892" s="291"/>
      <c r="AA892" s="291"/>
      <c r="AB892" s="291"/>
      <c r="AC892" s="291"/>
      <c r="AD892" s="291"/>
      <c r="AE892" s="291"/>
      <c r="AF892" s="291"/>
      <c r="AG892" s="291"/>
    </row>
    <row r="893" ht="18.75" customHeight="1">
      <c r="A893" s="283"/>
      <c r="B893" s="234" t="str">
        <f>'Building Bill of Materials_SLIM'!P893</f>
        <v/>
      </c>
      <c r="C893" s="234" t="str">
        <f>'Building Bill of Materials_SLIM'!Q893</f>
        <v/>
      </c>
      <c r="D893" s="234" t="str">
        <f>'Building Bill of Materials_SLIM'!R893</f>
        <v/>
      </c>
      <c r="E893" s="234" t="str">
        <f>'Building Bill of Materials_SLIM'!S893</f>
        <v/>
      </c>
      <c r="F893" s="234"/>
      <c r="G893" s="234"/>
      <c r="H893" s="234" t="str">
        <f>'Building Bill of Materials_SLIM'!T893</f>
        <v/>
      </c>
      <c r="I893" s="234" t="str">
        <f>'Building Bill of Materials_SLIM'!U893</f>
        <v/>
      </c>
      <c r="J893" s="234" t="str">
        <f>'Building Bill of Materials_SLIM'!V893</f>
        <v/>
      </c>
      <c r="K893" s="192"/>
      <c r="L893" s="242"/>
      <c r="M893" s="242"/>
      <c r="N893" s="291"/>
      <c r="O893" s="291"/>
      <c r="P893" s="291"/>
      <c r="Q893" s="291"/>
      <c r="R893" s="291"/>
      <c r="S893" s="291"/>
      <c r="T893" s="291"/>
      <c r="U893" s="291"/>
      <c r="V893" s="291"/>
      <c r="W893" s="291"/>
      <c r="X893" s="291"/>
      <c r="Y893" s="291"/>
      <c r="Z893" s="291"/>
      <c r="AA893" s="291"/>
      <c r="AB893" s="291"/>
      <c r="AC893" s="291"/>
      <c r="AD893" s="291"/>
      <c r="AE893" s="291"/>
      <c r="AF893" s="291"/>
      <c r="AG893" s="291"/>
    </row>
    <row r="894" ht="18.75" customHeight="1">
      <c r="A894" s="283"/>
      <c r="B894" s="234" t="str">
        <f>'Building Bill of Materials_SLIM'!P894</f>
        <v/>
      </c>
      <c r="C894" s="234" t="str">
        <f>'Building Bill of Materials_SLIM'!Q894</f>
        <v/>
      </c>
      <c r="D894" s="234" t="str">
        <f>'Building Bill of Materials_SLIM'!R894</f>
        <v/>
      </c>
      <c r="E894" s="234" t="str">
        <f>'Building Bill of Materials_SLIM'!S894</f>
        <v/>
      </c>
      <c r="F894" s="234"/>
      <c r="G894" s="234"/>
      <c r="H894" s="234" t="str">
        <f>'Building Bill of Materials_SLIM'!T894</f>
        <v/>
      </c>
      <c r="I894" s="234" t="str">
        <f>'Building Bill of Materials_SLIM'!U894</f>
        <v/>
      </c>
      <c r="J894" s="234" t="str">
        <f>'Building Bill of Materials_SLIM'!V894</f>
        <v/>
      </c>
      <c r="K894" s="192"/>
      <c r="L894" s="242"/>
      <c r="M894" s="242"/>
      <c r="N894" s="291"/>
      <c r="O894" s="291"/>
      <c r="P894" s="291"/>
      <c r="Q894" s="291"/>
      <c r="R894" s="291"/>
      <c r="S894" s="291"/>
      <c r="T894" s="291"/>
      <c r="U894" s="291"/>
      <c r="V894" s="291"/>
      <c r="W894" s="291"/>
      <c r="X894" s="291"/>
      <c r="Y894" s="291"/>
      <c r="Z894" s="291"/>
      <c r="AA894" s="291"/>
      <c r="AB894" s="291"/>
      <c r="AC894" s="291"/>
      <c r="AD894" s="291"/>
      <c r="AE894" s="291"/>
      <c r="AF894" s="291"/>
      <c r="AG894" s="291"/>
    </row>
    <row r="895" ht="18.75" customHeight="1">
      <c r="A895" s="283"/>
      <c r="B895" s="234" t="str">
        <f>'Building Bill of Materials_SLIM'!P895</f>
        <v/>
      </c>
      <c r="C895" s="234" t="str">
        <f>'Building Bill of Materials_SLIM'!Q895</f>
        <v/>
      </c>
      <c r="D895" s="234" t="str">
        <f>'Building Bill of Materials_SLIM'!R895</f>
        <v/>
      </c>
      <c r="E895" s="234" t="str">
        <f>'Building Bill of Materials_SLIM'!S895</f>
        <v/>
      </c>
      <c r="F895" s="234"/>
      <c r="G895" s="234"/>
      <c r="H895" s="234" t="str">
        <f>'Building Bill of Materials_SLIM'!T895</f>
        <v/>
      </c>
      <c r="I895" s="234" t="str">
        <f>'Building Bill of Materials_SLIM'!U895</f>
        <v/>
      </c>
      <c r="J895" s="234" t="str">
        <f>'Building Bill of Materials_SLIM'!V895</f>
        <v/>
      </c>
      <c r="K895" s="192"/>
      <c r="L895" s="242"/>
      <c r="M895" s="242"/>
      <c r="N895" s="291"/>
      <c r="O895" s="291"/>
      <c r="P895" s="291"/>
      <c r="Q895" s="291"/>
      <c r="R895" s="291"/>
      <c r="S895" s="291"/>
      <c r="T895" s="291"/>
      <c r="U895" s="291"/>
      <c r="V895" s="291"/>
      <c r="W895" s="291"/>
      <c r="X895" s="291"/>
      <c r="Y895" s="291"/>
      <c r="Z895" s="291"/>
      <c r="AA895" s="291"/>
      <c r="AB895" s="291"/>
      <c r="AC895" s="291"/>
      <c r="AD895" s="291"/>
      <c r="AE895" s="291"/>
      <c r="AF895" s="291"/>
      <c r="AG895" s="291"/>
    </row>
    <row r="896" ht="18.75" customHeight="1">
      <c r="A896" s="283"/>
      <c r="B896" s="234" t="str">
        <f>'Building Bill of Materials_SLIM'!P896</f>
        <v/>
      </c>
      <c r="C896" s="234" t="str">
        <f>'Building Bill of Materials_SLIM'!Q896</f>
        <v/>
      </c>
      <c r="D896" s="234" t="str">
        <f>'Building Bill of Materials_SLIM'!R896</f>
        <v/>
      </c>
      <c r="E896" s="234" t="str">
        <f>'Building Bill of Materials_SLIM'!S896</f>
        <v/>
      </c>
      <c r="F896" s="234"/>
      <c r="G896" s="234"/>
      <c r="H896" s="234" t="str">
        <f>'Building Bill of Materials_SLIM'!T896</f>
        <v/>
      </c>
      <c r="I896" s="234" t="str">
        <f>'Building Bill of Materials_SLIM'!U896</f>
        <v/>
      </c>
      <c r="J896" s="234" t="str">
        <f>'Building Bill of Materials_SLIM'!V896</f>
        <v/>
      </c>
      <c r="K896" s="192"/>
      <c r="L896" s="242"/>
      <c r="M896" s="242"/>
      <c r="N896" s="291"/>
      <c r="O896" s="291"/>
      <c r="P896" s="291"/>
      <c r="Q896" s="291"/>
      <c r="R896" s="291"/>
      <c r="S896" s="291"/>
      <c r="T896" s="291"/>
      <c r="U896" s="291"/>
      <c r="V896" s="291"/>
      <c r="W896" s="291"/>
      <c r="X896" s="291"/>
      <c r="Y896" s="291"/>
      <c r="Z896" s="291"/>
      <c r="AA896" s="291"/>
      <c r="AB896" s="291"/>
      <c r="AC896" s="291"/>
      <c r="AD896" s="291"/>
      <c r="AE896" s="291"/>
      <c r="AF896" s="291"/>
      <c r="AG896" s="291"/>
    </row>
    <row r="897" ht="18.75" customHeight="1">
      <c r="A897" s="283"/>
      <c r="B897" s="234" t="str">
        <f>'Building Bill of Materials_SLIM'!P897</f>
        <v/>
      </c>
      <c r="C897" s="234" t="str">
        <f>'Building Bill of Materials_SLIM'!Q897</f>
        <v/>
      </c>
      <c r="D897" s="234" t="str">
        <f>'Building Bill of Materials_SLIM'!R897</f>
        <v/>
      </c>
      <c r="E897" s="234" t="str">
        <f>'Building Bill of Materials_SLIM'!S897</f>
        <v/>
      </c>
      <c r="F897" s="234"/>
      <c r="G897" s="234"/>
      <c r="H897" s="234" t="str">
        <f>'Building Bill of Materials_SLIM'!T897</f>
        <v/>
      </c>
      <c r="I897" s="234" t="str">
        <f>'Building Bill of Materials_SLIM'!U897</f>
        <v/>
      </c>
      <c r="J897" s="234" t="str">
        <f>'Building Bill of Materials_SLIM'!V897</f>
        <v/>
      </c>
      <c r="K897" s="192"/>
      <c r="L897" s="242"/>
      <c r="M897" s="242"/>
      <c r="N897" s="291"/>
      <c r="O897" s="291"/>
      <c r="P897" s="291"/>
      <c r="Q897" s="291"/>
      <c r="R897" s="291"/>
      <c r="S897" s="291"/>
      <c r="T897" s="291"/>
      <c r="U897" s="291"/>
      <c r="V897" s="291"/>
      <c r="W897" s="291"/>
      <c r="X897" s="291"/>
      <c r="Y897" s="291"/>
      <c r="Z897" s="291"/>
      <c r="AA897" s="291"/>
      <c r="AB897" s="291"/>
      <c r="AC897" s="291"/>
      <c r="AD897" s="291"/>
      <c r="AE897" s="291"/>
      <c r="AF897" s="291"/>
      <c r="AG897" s="291"/>
    </row>
    <row r="898" ht="18.75" customHeight="1">
      <c r="A898" s="283"/>
      <c r="B898" s="234" t="str">
        <f>'Building Bill of Materials_SLIM'!P898</f>
        <v/>
      </c>
      <c r="C898" s="234" t="str">
        <f>'Building Bill of Materials_SLIM'!Q898</f>
        <v/>
      </c>
      <c r="D898" s="234" t="str">
        <f>'Building Bill of Materials_SLIM'!R898</f>
        <v/>
      </c>
      <c r="E898" s="234" t="str">
        <f>'Building Bill of Materials_SLIM'!S898</f>
        <v/>
      </c>
      <c r="F898" s="234"/>
      <c r="G898" s="234"/>
      <c r="H898" s="234" t="str">
        <f>'Building Bill of Materials_SLIM'!T898</f>
        <v/>
      </c>
      <c r="I898" s="234" t="str">
        <f>'Building Bill of Materials_SLIM'!U898</f>
        <v/>
      </c>
      <c r="J898" s="234" t="str">
        <f>'Building Bill of Materials_SLIM'!V898</f>
        <v/>
      </c>
      <c r="K898" s="192"/>
      <c r="L898" s="242"/>
      <c r="M898" s="242"/>
      <c r="N898" s="291"/>
      <c r="O898" s="291"/>
      <c r="P898" s="291"/>
      <c r="Q898" s="291"/>
      <c r="R898" s="291"/>
      <c r="S898" s="291"/>
      <c r="T898" s="291"/>
      <c r="U898" s="291"/>
      <c r="V898" s="291"/>
      <c r="W898" s="291"/>
      <c r="X898" s="291"/>
      <c r="Y898" s="291"/>
      <c r="Z898" s="291"/>
      <c r="AA898" s="291"/>
      <c r="AB898" s="291"/>
      <c r="AC898" s="291"/>
      <c r="AD898" s="291"/>
      <c r="AE898" s="291"/>
      <c r="AF898" s="291"/>
      <c r="AG898" s="291"/>
    </row>
    <row r="899" ht="18.75" customHeight="1">
      <c r="A899" s="283"/>
      <c r="B899" s="234" t="str">
        <f>'Building Bill of Materials_SLIM'!P899</f>
        <v/>
      </c>
      <c r="C899" s="234" t="str">
        <f>'Building Bill of Materials_SLIM'!Q899</f>
        <v/>
      </c>
      <c r="D899" s="234" t="str">
        <f>'Building Bill of Materials_SLIM'!R899</f>
        <v/>
      </c>
      <c r="E899" s="234" t="str">
        <f>'Building Bill of Materials_SLIM'!S899</f>
        <v/>
      </c>
      <c r="F899" s="234"/>
      <c r="G899" s="234"/>
      <c r="H899" s="234" t="str">
        <f>'Building Bill of Materials_SLIM'!T899</f>
        <v/>
      </c>
      <c r="I899" s="234" t="str">
        <f>'Building Bill of Materials_SLIM'!U899</f>
        <v/>
      </c>
      <c r="J899" s="234" t="str">
        <f>'Building Bill of Materials_SLIM'!V899</f>
        <v/>
      </c>
      <c r="K899" s="192"/>
      <c r="L899" s="242"/>
      <c r="M899" s="242"/>
      <c r="N899" s="291"/>
      <c r="O899" s="291"/>
      <c r="P899" s="291"/>
      <c r="Q899" s="291"/>
      <c r="R899" s="291"/>
      <c r="S899" s="291"/>
      <c r="T899" s="291"/>
      <c r="U899" s="291"/>
      <c r="V899" s="291"/>
      <c r="W899" s="291"/>
      <c r="X899" s="291"/>
      <c r="Y899" s="291"/>
      <c r="Z899" s="291"/>
      <c r="AA899" s="291"/>
      <c r="AB899" s="291"/>
      <c r="AC899" s="291"/>
      <c r="AD899" s="291"/>
      <c r="AE899" s="291"/>
      <c r="AF899" s="291"/>
      <c r="AG899" s="291"/>
    </row>
    <row r="900" ht="18.75" customHeight="1">
      <c r="A900" s="283"/>
      <c r="B900" s="234" t="str">
        <f>'Building Bill of Materials_SLIM'!P900</f>
        <v/>
      </c>
      <c r="C900" s="234" t="str">
        <f>'Building Bill of Materials_SLIM'!Q900</f>
        <v/>
      </c>
      <c r="D900" s="234" t="str">
        <f>'Building Bill of Materials_SLIM'!R900</f>
        <v/>
      </c>
      <c r="E900" s="234" t="str">
        <f>'Building Bill of Materials_SLIM'!S900</f>
        <v/>
      </c>
      <c r="F900" s="234"/>
      <c r="G900" s="234"/>
      <c r="H900" s="234" t="str">
        <f>'Building Bill of Materials_SLIM'!T900</f>
        <v/>
      </c>
      <c r="I900" s="234" t="str">
        <f>'Building Bill of Materials_SLIM'!U900</f>
        <v/>
      </c>
      <c r="J900" s="234" t="str">
        <f>'Building Bill of Materials_SLIM'!V900</f>
        <v/>
      </c>
      <c r="K900" s="192"/>
      <c r="L900" s="242"/>
      <c r="M900" s="242"/>
      <c r="N900" s="291"/>
      <c r="O900" s="291"/>
      <c r="P900" s="291"/>
      <c r="Q900" s="291"/>
      <c r="R900" s="291"/>
      <c r="S900" s="291"/>
      <c r="T900" s="291"/>
      <c r="U900" s="291"/>
      <c r="V900" s="291"/>
      <c r="W900" s="291"/>
      <c r="X900" s="291"/>
      <c r="Y900" s="291"/>
      <c r="Z900" s="291"/>
      <c r="AA900" s="291"/>
      <c r="AB900" s="291"/>
      <c r="AC900" s="291"/>
      <c r="AD900" s="291"/>
      <c r="AE900" s="291"/>
      <c r="AF900" s="291"/>
      <c r="AG900" s="291"/>
    </row>
    <row r="901" ht="18.75" customHeight="1">
      <c r="A901" s="283"/>
      <c r="B901" s="234" t="str">
        <f>'Building Bill of Materials_SLIM'!P901</f>
        <v/>
      </c>
      <c r="C901" s="234" t="str">
        <f>'Building Bill of Materials_SLIM'!Q901</f>
        <v/>
      </c>
      <c r="D901" s="234" t="str">
        <f>'Building Bill of Materials_SLIM'!R901</f>
        <v/>
      </c>
      <c r="E901" s="234" t="str">
        <f>'Building Bill of Materials_SLIM'!S901</f>
        <v/>
      </c>
      <c r="F901" s="234"/>
      <c r="G901" s="234"/>
      <c r="H901" s="234" t="str">
        <f>'Building Bill of Materials_SLIM'!T901</f>
        <v/>
      </c>
      <c r="I901" s="234" t="str">
        <f>'Building Bill of Materials_SLIM'!U901</f>
        <v/>
      </c>
      <c r="J901" s="234" t="str">
        <f>'Building Bill of Materials_SLIM'!V901</f>
        <v/>
      </c>
      <c r="K901" s="192"/>
      <c r="L901" s="242"/>
      <c r="M901" s="242"/>
      <c r="N901" s="291"/>
      <c r="O901" s="291"/>
      <c r="P901" s="291"/>
      <c r="Q901" s="291"/>
      <c r="R901" s="291"/>
      <c r="S901" s="291"/>
      <c r="T901" s="291"/>
      <c r="U901" s="291"/>
      <c r="V901" s="291"/>
      <c r="W901" s="291"/>
      <c r="X901" s="291"/>
      <c r="Y901" s="291"/>
      <c r="Z901" s="291"/>
      <c r="AA901" s="291"/>
      <c r="AB901" s="291"/>
      <c r="AC901" s="291"/>
      <c r="AD901" s="291"/>
      <c r="AE901" s="291"/>
      <c r="AF901" s="291"/>
      <c r="AG901" s="291"/>
    </row>
    <row r="902" ht="18.75" customHeight="1">
      <c r="A902" s="283"/>
      <c r="B902" s="234" t="str">
        <f>'Building Bill of Materials_SLIM'!P902</f>
        <v/>
      </c>
      <c r="C902" s="234" t="str">
        <f>'Building Bill of Materials_SLIM'!Q902</f>
        <v/>
      </c>
      <c r="D902" s="234" t="str">
        <f>'Building Bill of Materials_SLIM'!R902</f>
        <v/>
      </c>
      <c r="E902" s="234" t="str">
        <f>'Building Bill of Materials_SLIM'!S902</f>
        <v/>
      </c>
      <c r="F902" s="234"/>
      <c r="G902" s="234"/>
      <c r="H902" s="234" t="str">
        <f>'Building Bill of Materials_SLIM'!T902</f>
        <v/>
      </c>
      <c r="I902" s="234" t="str">
        <f>'Building Bill of Materials_SLIM'!U902</f>
        <v/>
      </c>
      <c r="J902" s="234" t="str">
        <f>'Building Bill of Materials_SLIM'!V902</f>
        <v/>
      </c>
      <c r="K902" s="192"/>
      <c r="L902" s="242"/>
      <c r="M902" s="242"/>
      <c r="N902" s="291"/>
      <c r="O902" s="291"/>
      <c r="P902" s="291"/>
      <c r="Q902" s="291"/>
      <c r="R902" s="291"/>
      <c r="S902" s="291"/>
      <c r="T902" s="291"/>
      <c r="U902" s="291"/>
      <c r="V902" s="291"/>
      <c r="W902" s="291"/>
      <c r="X902" s="291"/>
      <c r="Y902" s="291"/>
      <c r="Z902" s="291"/>
      <c r="AA902" s="291"/>
      <c r="AB902" s="291"/>
      <c r="AC902" s="291"/>
      <c r="AD902" s="291"/>
      <c r="AE902" s="291"/>
      <c r="AF902" s="291"/>
      <c r="AG902" s="291"/>
    </row>
    <row r="903" ht="18.75" customHeight="1">
      <c r="A903" s="283"/>
      <c r="B903" s="234" t="str">
        <f>'Building Bill of Materials_SLIM'!P903</f>
        <v/>
      </c>
      <c r="C903" s="234" t="str">
        <f>'Building Bill of Materials_SLIM'!Q903</f>
        <v/>
      </c>
      <c r="D903" s="234" t="str">
        <f>'Building Bill of Materials_SLIM'!R903</f>
        <v/>
      </c>
      <c r="E903" s="234" t="str">
        <f>'Building Bill of Materials_SLIM'!S903</f>
        <v/>
      </c>
      <c r="F903" s="234"/>
      <c r="G903" s="234"/>
      <c r="H903" s="234" t="str">
        <f>'Building Bill of Materials_SLIM'!T903</f>
        <v/>
      </c>
      <c r="I903" s="234" t="str">
        <f>'Building Bill of Materials_SLIM'!U903</f>
        <v/>
      </c>
      <c r="J903" s="234" t="str">
        <f>'Building Bill of Materials_SLIM'!V903</f>
        <v/>
      </c>
      <c r="K903" s="192"/>
      <c r="L903" s="242"/>
      <c r="M903" s="242"/>
      <c r="N903" s="291"/>
      <c r="O903" s="291"/>
      <c r="P903" s="291"/>
      <c r="Q903" s="291"/>
      <c r="R903" s="291"/>
      <c r="S903" s="291"/>
      <c r="T903" s="291"/>
      <c r="U903" s="291"/>
      <c r="V903" s="291"/>
      <c r="W903" s="291"/>
      <c r="X903" s="291"/>
      <c r="Y903" s="291"/>
      <c r="Z903" s="291"/>
      <c r="AA903" s="291"/>
      <c r="AB903" s="291"/>
      <c r="AC903" s="291"/>
      <c r="AD903" s="291"/>
      <c r="AE903" s="291"/>
      <c r="AF903" s="291"/>
      <c r="AG903" s="291"/>
    </row>
    <row r="904" ht="18.75" customHeight="1">
      <c r="A904" s="283"/>
      <c r="B904" s="234" t="str">
        <f>'Building Bill of Materials_SLIM'!P904</f>
        <v/>
      </c>
      <c r="C904" s="234" t="str">
        <f>'Building Bill of Materials_SLIM'!Q904</f>
        <v/>
      </c>
      <c r="D904" s="234" t="str">
        <f>'Building Bill of Materials_SLIM'!R904</f>
        <v/>
      </c>
      <c r="E904" s="234" t="str">
        <f>'Building Bill of Materials_SLIM'!S904</f>
        <v/>
      </c>
      <c r="F904" s="234"/>
      <c r="G904" s="234"/>
      <c r="H904" s="234" t="str">
        <f>'Building Bill of Materials_SLIM'!T904</f>
        <v/>
      </c>
      <c r="I904" s="234" t="str">
        <f>'Building Bill of Materials_SLIM'!U904</f>
        <v/>
      </c>
      <c r="J904" s="234" t="str">
        <f>'Building Bill of Materials_SLIM'!V904</f>
        <v/>
      </c>
      <c r="K904" s="192"/>
      <c r="L904" s="242"/>
      <c r="M904" s="242"/>
      <c r="N904" s="291"/>
      <c r="O904" s="291"/>
      <c r="P904" s="291"/>
      <c r="Q904" s="291"/>
      <c r="R904" s="291"/>
      <c r="S904" s="291"/>
      <c r="T904" s="291"/>
      <c r="U904" s="291"/>
      <c r="V904" s="291"/>
      <c r="W904" s="291"/>
      <c r="X904" s="291"/>
      <c r="Y904" s="291"/>
      <c r="Z904" s="291"/>
      <c r="AA904" s="291"/>
      <c r="AB904" s="291"/>
      <c r="AC904" s="291"/>
      <c r="AD904" s="291"/>
      <c r="AE904" s="291"/>
      <c r="AF904" s="291"/>
      <c r="AG904" s="291"/>
    </row>
    <row r="905" ht="18.75" customHeight="1">
      <c r="A905" s="283"/>
      <c r="B905" s="234" t="str">
        <f>'Building Bill of Materials_SLIM'!P905</f>
        <v/>
      </c>
      <c r="C905" s="234" t="str">
        <f>'Building Bill of Materials_SLIM'!Q905</f>
        <v/>
      </c>
      <c r="D905" s="234" t="str">
        <f>'Building Bill of Materials_SLIM'!R905</f>
        <v/>
      </c>
      <c r="E905" s="234" t="str">
        <f>'Building Bill of Materials_SLIM'!S905</f>
        <v/>
      </c>
      <c r="F905" s="234"/>
      <c r="G905" s="234"/>
      <c r="H905" s="234" t="str">
        <f>'Building Bill of Materials_SLIM'!T905</f>
        <v/>
      </c>
      <c r="I905" s="234" t="str">
        <f>'Building Bill of Materials_SLIM'!U905</f>
        <v/>
      </c>
      <c r="J905" s="234" t="str">
        <f>'Building Bill of Materials_SLIM'!V905</f>
        <v/>
      </c>
      <c r="K905" s="192"/>
      <c r="L905" s="242"/>
      <c r="M905" s="242"/>
      <c r="N905" s="291"/>
      <c r="O905" s="291"/>
      <c r="P905" s="291"/>
      <c r="Q905" s="291"/>
      <c r="R905" s="291"/>
      <c r="S905" s="291"/>
      <c r="T905" s="291"/>
      <c r="U905" s="291"/>
      <c r="V905" s="291"/>
      <c r="W905" s="291"/>
      <c r="X905" s="291"/>
      <c r="Y905" s="291"/>
      <c r="Z905" s="291"/>
      <c r="AA905" s="291"/>
      <c r="AB905" s="291"/>
      <c r="AC905" s="291"/>
      <c r="AD905" s="291"/>
      <c r="AE905" s="291"/>
      <c r="AF905" s="291"/>
      <c r="AG905" s="291"/>
    </row>
    <row r="906" ht="18.75" customHeight="1">
      <c r="A906" s="283"/>
      <c r="B906" s="234" t="str">
        <f>'Building Bill of Materials_SLIM'!P906</f>
        <v/>
      </c>
      <c r="C906" s="234" t="str">
        <f>'Building Bill of Materials_SLIM'!Q906</f>
        <v/>
      </c>
      <c r="D906" s="234" t="str">
        <f>'Building Bill of Materials_SLIM'!R906</f>
        <v/>
      </c>
      <c r="E906" s="234" t="str">
        <f>'Building Bill of Materials_SLIM'!S906</f>
        <v/>
      </c>
      <c r="F906" s="234"/>
      <c r="G906" s="234"/>
      <c r="H906" s="234" t="str">
        <f>'Building Bill of Materials_SLIM'!T906</f>
        <v/>
      </c>
      <c r="I906" s="234" t="str">
        <f>'Building Bill of Materials_SLIM'!U906</f>
        <v/>
      </c>
      <c r="J906" s="234" t="str">
        <f>'Building Bill of Materials_SLIM'!V906</f>
        <v/>
      </c>
      <c r="K906" s="192"/>
      <c r="L906" s="242"/>
      <c r="M906" s="242"/>
      <c r="N906" s="291"/>
      <c r="O906" s="291"/>
      <c r="P906" s="291"/>
      <c r="Q906" s="291"/>
      <c r="R906" s="291"/>
      <c r="S906" s="291"/>
      <c r="T906" s="291"/>
      <c r="U906" s="291"/>
      <c r="V906" s="291"/>
      <c r="W906" s="291"/>
      <c r="X906" s="291"/>
      <c r="Y906" s="291"/>
      <c r="Z906" s="291"/>
      <c r="AA906" s="291"/>
      <c r="AB906" s="291"/>
      <c r="AC906" s="291"/>
      <c r="AD906" s="291"/>
      <c r="AE906" s="291"/>
      <c r="AF906" s="291"/>
      <c r="AG906" s="291"/>
    </row>
    <row r="907" ht="18.75" customHeight="1">
      <c r="A907" s="283"/>
      <c r="B907" s="234" t="str">
        <f>'Building Bill of Materials_SLIM'!P907</f>
        <v/>
      </c>
      <c r="C907" s="234" t="str">
        <f>'Building Bill of Materials_SLIM'!Q907</f>
        <v/>
      </c>
      <c r="D907" s="234" t="str">
        <f>'Building Bill of Materials_SLIM'!R907</f>
        <v/>
      </c>
      <c r="E907" s="234" t="str">
        <f>'Building Bill of Materials_SLIM'!S907</f>
        <v/>
      </c>
      <c r="F907" s="234"/>
      <c r="G907" s="234"/>
      <c r="H907" s="234" t="str">
        <f>'Building Bill of Materials_SLIM'!T907</f>
        <v/>
      </c>
      <c r="I907" s="234" t="str">
        <f>'Building Bill of Materials_SLIM'!U907</f>
        <v/>
      </c>
      <c r="J907" s="234" t="str">
        <f>'Building Bill of Materials_SLIM'!V907</f>
        <v/>
      </c>
      <c r="K907" s="192"/>
      <c r="L907" s="242"/>
      <c r="M907" s="242"/>
      <c r="N907" s="291"/>
      <c r="O907" s="291"/>
      <c r="P907" s="291"/>
      <c r="Q907" s="291"/>
      <c r="R907" s="291"/>
      <c r="S907" s="291"/>
      <c r="T907" s="291"/>
      <c r="U907" s="291"/>
      <c r="V907" s="291"/>
      <c r="W907" s="291"/>
      <c r="X907" s="291"/>
      <c r="Y907" s="291"/>
      <c r="Z907" s="291"/>
      <c r="AA907" s="291"/>
      <c r="AB907" s="291"/>
      <c r="AC907" s="291"/>
      <c r="AD907" s="291"/>
      <c r="AE907" s="291"/>
      <c r="AF907" s="291"/>
      <c r="AG907" s="291"/>
    </row>
    <row r="908" ht="18.75" customHeight="1">
      <c r="A908" s="283"/>
      <c r="B908" s="234" t="str">
        <f>'Building Bill of Materials_SLIM'!P908</f>
        <v/>
      </c>
      <c r="C908" s="234" t="str">
        <f>'Building Bill of Materials_SLIM'!Q908</f>
        <v/>
      </c>
      <c r="D908" s="234" t="str">
        <f>'Building Bill of Materials_SLIM'!R908</f>
        <v/>
      </c>
      <c r="E908" s="234" t="str">
        <f>'Building Bill of Materials_SLIM'!S908</f>
        <v/>
      </c>
      <c r="F908" s="234"/>
      <c r="G908" s="234"/>
      <c r="H908" s="234" t="str">
        <f>'Building Bill of Materials_SLIM'!T908</f>
        <v/>
      </c>
      <c r="I908" s="234" t="str">
        <f>'Building Bill of Materials_SLIM'!U908</f>
        <v/>
      </c>
      <c r="J908" s="234" t="str">
        <f>'Building Bill of Materials_SLIM'!V908</f>
        <v/>
      </c>
      <c r="K908" s="192"/>
      <c r="L908" s="242"/>
      <c r="M908" s="242"/>
      <c r="N908" s="291"/>
      <c r="O908" s="291"/>
      <c r="P908" s="291"/>
      <c r="Q908" s="291"/>
      <c r="R908" s="291"/>
      <c r="S908" s="291"/>
      <c r="T908" s="291"/>
      <c r="U908" s="291"/>
      <c r="V908" s="291"/>
      <c r="W908" s="291"/>
      <c r="X908" s="291"/>
      <c r="Y908" s="291"/>
      <c r="Z908" s="291"/>
      <c r="AA908" s="291"/>
      <c r="AB908" s="291"/>
      <c r="AC908" s="291"/>
      <c r="AD908" s="291"/>
      <c r="AE908" s="291"/>
      <c r="AF908" s="291"/>
      <c r="AG908" s="291"/>
    </row>
    <row r="909" ht="18.75" customHeight="1">
      <c r="A909" s="283"/>
      <c r="B909" s="234" t="str">
        <f>'Building Bill of Materials_SLIM'!P909</f>
        <v/>
      </c>
      <c r="C909" s="234" t="str">
        <f>'Building Bill of Materials_SLIM'!Q909</f>
        <v/>
      </c>
      <c r="D909" s="234" t="str">
        <f>'Building Bill of Materials_SLIM'!R909</f>
        <v/>
      </c>
      <c r="E909" s="234" t="str">
        <f>'Building Bill of Materials_SLIM'!S909</f>
        <v/>
      </c>
      <c r="F909" s="234"/>
      <c r="G909" s="234"/>
      <c r="H909" s="234" t="str">
        <f>'Building Bill of Materials_SLIM'!T909</f>
        <v/>
      </c>
      <c r="I909" s="234" t="str">
        <f>'Building Bill of Materials_SLIM'!U909</f>
        <v/>
      </c>
      <c r="J909" s="234" t="str">
        <f>'Building Bill of Materials_SLIM'!V909</f>
        <v/>
      </c>
      <c r="K909" s="192"/>
      <c r="L909" s="242"/>
      <c r="M909" s="242"/>
      <c r="N909" s="291"/>
      <c r="O909" s="291"/>
      <c r="P909" s="291"/>
      <c r="Q909" s="291"/>
      <c r="R909" s="291"/>
      <c r="S909" s="291"/>
      <c r="T909" s="291"/>
      <c r="U909" s="291"/>
      <c r="V909" s="291"/>
      <c r="W909" s="291"/>
      <c r="X909" s="291"/>
      <c r="Y909" s="291"/>
      <c r="Z909" s="291"/>
      <c r="AA909" s="291"/>
      <c r="AB909" s="291"/>
      <c r="AC909" s="291"/>
      <c r="AD909" s="291"/>
      <c r="AE909" s="291"/>
      <c r="AF909" s="291"/>
      <c r="AG909" s="291"/>
    </row>
    <row r="910" ht="18.75" customHeight="1">
      <c r="A910" s="283"/>
      <c r="B910" s="234" t="str">
        <f>'Building Bill of Materials_SLIM'!P910</f>
        <v/>
      </c>
      <c r="C910" s="234" t="str">
        <f>'Building Bill of Materials_SLIM'!Q910</f>
        <v/>
      </c>
      <c r="D910" s="234" t="str">
        <f>'Building Bill of Materials_SLIM'!R910</f>
        <v/>
      </c>
      <c r="E910" s="234" t="str">
        <f>'Building Bill of Materials_SLIM'!S910</f>
        <v/>
      </c>
      <c r="F910" s="234"/>
      <c r="G910" s="234"/>
      <c r="H910" s="234" t="str">
        <f>'Building Bill of Materials_SLIM'!T910</f>
        <v/>
      </c>
      <c r="I910" s="234" t="str">
        <f>'Building Bill of Materials_SLIM'!U910</f>
        <v/>
      </c>
      <c r="J910" s="234" t="str">
        <f>'Building Bill of Materials_SLIM'!V910</f>
        <v/>
      </c>
      <c r="K910" s="192"/>
      <c r="L910" s="242"/>
      <c r="M910" s="242"/>
      <c r="N910" s="291"/>
      <c r="O910" s="291"/>
      <c r="P910" s="291"/>
      <c r="Q910" s="291"/>
      <c r="R910" s="291"/>
      <c r="S910" s="291"/>
      <c r="T910" s="291"/>
      <c r="U910" s="291"/>
      <c r="V910" s="291"/>
      <c r="W910" s="291"/>
      <c r="X910" s="291"/>
      <c r="Y910" s="291"/>
      <c r="Z910" s="291"/>
      <c r="AA910" s="291"/>
      <c r="AB910" s="291"/>
      <c r="AC910" s="291"/>
      <c r="AD910" s="291"/>
      <c r="AE910" s="291"/>
      <c r="AF910" s="291"/>
      <c r="AG910" s="291"/>
    </row>
    <row r="911" ht="18.75" customHeight="1">
      <c r="A911" s="283"/>
      <c r="B911" s="234" t="str">
        <f>'Building Bill of Materials_SLIM'!P911</f>
        <v/>
      </c>
      <c r="C911" s="234" t="str">
        <f>'Building Bill of Materials_SLIM'!Q911</f>
        <v/>
      </c>
      <c r="D911" s="234" t="str">
        <f>'Building Bill of Materials_SLIM'!R911</f>
        <v/>
      </c>
      <c r="E911" s="234" t="str">
        <f>'Building Bill of Materials_SLIM'!S911</f>
        <v/>
      </c>
      <c r="F911" s="234"/>
      <c r="G911" s="234"/>
      <c r="H911" s="234" t="str">
        <f>'Building Bill of Materials_SLIM'!T911</f>
        <v/>
      </c>
      <c r="I911" s="234" t="str">
        <f>'Building Bill of Materials_SLIM'!U911</f>
        <v/>
      </c>
      <c r="J911" s="234" t="str">
        <f>'Building Bill of Materials_SLIM'!V911</f>
        <v/>
      </c>
      <c r="K911" s="192"/>
      <c r="L911" s="242"/>
      <c r="M911" s="242"/>
      <c r="N911" s="291"/>
      <c r="O911" s="291"/>
      <c r="P911" s="291"/>
      <c r="Q911" s="291"/>
      <c r="R911" s="291"/>
      <c r="S911" s="291"/>
      <c r="T911" s="291"/>
      <c r="U911" s="291"/>
      <c r="V911" s="291"/>
      <c r="W911" s="291"/>
      <c r="X911" s="291"/>
      <c r="Y911" s="291"/>
      <c r="Z911" s="291"/>
      <c r="AA911" s="291"/>
      <c r="AB911" s="291"/>
      <c r="AC911" s="291"/>
      <c r="AD911" s="291"/>
      <c r="AE911" s="291"/>
      <c r="AF911" s="291"/>
      <c r="AG911" s="291"/>
    </row>
    <row r="912" ht="18.75" customHeight="1">
      <c r="A912" s="283"/>
      <c r="B912" s="234" t="str">
        <f>'Building Bill of Materials_SLIM'!P912</f>
        <v/>
      </c>
      <c r="C912" s="234" t="str">
        <f>'Building Bill of Materials_SLIM'!Q912</f>
        <v/>
      </c>
      <c r="D912" s="234" t="str">
        <f>'Building Bill of Materials_SLIM'!R912</f>
        <v/>
      </c>
      <c r="E912" s="234" t="str">
        <f>'Building Bill of Materials_SLIM'!S912</f>
        <v/>
      </c>
      <c r="F912" s="234"/>
      <c r="G912" s="234"/>
      <c r="H912" s="234" t="str">
        <f>'Building Bill of Materials_SLIM'!T912</f>
        <v/>
      </c>
      <c r="I912" s="234" t="str">
        <f>'Building Bill of Materials_SLIM'!U912</f>
        <v/>
      </c>
      <c r="J912" s="234" t="str">
        <f>'Building Bill of Materials_SLIM'!V912</f>
        <v/>
      </c>
      <c r="K912" s="192"/>
      <c r="L912" s="242"/>
      <c r="M912" s="242"/>
      <c r="N912" s="291"/>
      <c r="O912" s="291"/>
      <c r="P912" s="291"/>
      <c r="Q912" s="291"/>
      <c r="R912" s="291"/>
      <c r="S912" s="291"/>
      <c r="T912" s="291"/>
      <c r="U912" s="291"/>
      <c r="V912" s="291"/>
      <c r="W912" s="291"/>
      <c r="X912" s="291"/>
      <c r="Y912" s="291"/>
      <c r="Z912" s="291"/>
      <c r="AA912" s="291"/>
      <c r="AB912" s="291"/>
      <c r="AC912" s="291"/>
      <c r="AD912" s="291"/>
      <c r="AE912" s="291"/>
      <c r="AF912" s="291"/>
      <c r="AG912" s="291"/>
    </row>
    <row r="913" ht="18.75" customHeight="1">
      <c r="A913" s="283"/>
      <c r="B913" s="234" t="str">
        <f>'Building Bill of Materials_SLIM'!P913</f>
        <v/>
      </c>
      <c r="C913" s="234" t="str">
        <f>'Building Bill of Materials_SLIM'!Q913</f>
        <v/>
      </c>
      <c r="D913" s="234" t="str">
        <f>'Building Bill of Materials_SLIM'!R913</f>
        <v/>
      </c>
      <c r="E913" s="234" t="str">
        <f>'Building Bill of Materials_SLIM'!S913</f>
        <v/>
      </c>
      <c r="F913" s="234"/>
      <c r="G913" s="234"/>
      <c r="H913" s="234" t="str">
        <f>'Building Bill of Materials_SLIM'!T913</f>
        <v/>
      </c>
      <c r="I913" s="234" t="str">
        <f>'Building Bill of Materials_SLIM'!U913</f>
        <v/>
      </c>
      <c r="J913" s="234" t="str">
        <f>'Building Bill of Materials_SLIM'!V913</f>
        <v/>
      </c>
      <c r="K913" s="192"/>
      <c r="L913" s="242"/>
      <c r="M913" s="242"/>
      <c r="N913" s="291"/>
      <c r="O913" s="291"/>
      <c r="P913" s="291"/>
      <c r="Q913" s="291"/>
      <c r="R913" s="291"/>
      <c r="S913" s="291"/>
      <c r="T913" s="291"/>
      <c r="U913" s="291"/>
      <c r="V913" s="291"/>
      <c r="W913" s="291"/>
      <c r="X913" s="291"/>
      <c r="Y913" s="291"/>
      <c r="Z913" s="291"/>
      <c r="AA913" s="291"/>
      <c r="AB913" s="291"/>
      <c r="AC913" s="291"/>
      <c r="AD913" s="291"/>
      <c r="AE913" s="291"/>
      <c r="AF913" s="291"/>
      <c r="AG913" s="291"/>
    </row>
    <row r="914" ht="18.75" customHeight="1">
      <c r="A914" s="283"/>
      <c r="B914" s="234" t="str">
        <f>'Building Bill of Materials_SLIM'!P914</f>
        <v/>
      </c>
      <c r="C914" s="234" t="str">
        <f>'Building Bill of Materials_SLIM'!Q914</f>
        <v/>
      </c>
      <c r="D914" s="234" t="str">
        <f>'Building Bill of Materials_SLIM'!R914</f>
        <v/>
      </c>
      <c r="E914" s="234" t="str">
        <f>'Building Bill of Materials_SLIM'!S914</f>
        <v/>
      </c>
      <c r="F914" s="234"/>
      <c r="G914" s="234"/>
      <c r="H914" s="234" t="str">
        <f>'Building Bill of Materials_SLIM'!T914</f>
        <v/>
      </c>
      <c r="I914" s="234" t="str">
        <f>'Building Bill of Materials_SLIM'!U914</f>
        <v/>
      </c>
      <c r="J914" s="234" t="str">
        <f>'Building Bill of Materials_SLIM'!V914</f>
        <v/>
      </c>
      <c r="K914" s="192"/>
      <c r="L914" s="242"/>
      <c r="M914" s="242"/>
      <c r="N914" s="291"/>
      <c r="O914" s="291"/>
      <c r="P914" s="291"/>
      <c r="Q914" s="291"/>
      <c r="R914" s="291"/>
      <c r="S914" s="291"/>
      <c r="T914" s="291"/>
      <c r="U914" s="291"/>
      <c r="V914" s="291"/>
      <c r="W914" s="291"/>
      <c r="X914" s="291"/>
      <c r="Y914" s="291"/>
      <c r="Z914" s="291"/>
      <c r="AA914" s="291"/>
      <c r="AB914" s="291"/>
      <c r="AC914" s="291"/>
      <c r="AD914" s="291"/>
      <c r="AE914" s="291"/>
      <c r="AF914" s="291"/>
      <c r="AG914" s="291"/>
    </row>
    <row r="915" ht="18.75" customHeight="1">
      <c r="A915" s="232"/>
      <c r="B915" s="207"/>
      <c r="C915" s="207"/>
      <c r="D915" s="207"/>
      <c r="E915" s="207"/>
      <c r="F915" s="207"/>
      <c r="G915" s="207"/>
      <c r="H915" s="207"/>
      <c r="I915" s="207"/>
      <c r="J915" s="207"/>
      <c r="K915" s="292"/>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row>
  </sheetData>
  <autoFilter ref="$A$1:$W$915"/>
  <conditionalFormatting sqref="B6:AG6">
    <cfRule type="expression" dxfId="9" priority="1">
      <formula>B$6="Automatic"</formula>
    </cfRule>
  </conditionalFormatting>
  <conditionalFormatting sqref="B2:AG2 B6:AG6">
    <cfRule type="expression" dxfId="8" priority="2">
      <formula>B$6="Minimum Required"</formula>
    </cfRule>
  </conditionalFormatting>
  <conditionalFormatting sqref="B6:AG6">
    <cfRule type="expression" dxfId="10" priority="3">
      <formula>B$6="Recommended"</formula>
    </cfRule>
  </conditionalFormatting>
  <conditionalFormatting sqref="B6:AG6">
    <cfRule type="expression" dxfId="12" priority="4">
      <formula>B$6="Optional"</formula>
    </cfRule>
  </conditionalFormatting>
  <dataValidations>
    <dataValidation type="list" allowBlank="1" showInputMessage="1" prompt="SFDSFSAGSASG" sqref="B3:D3 I3:J3 L3:AG3">
      <formula1>Dropdowns!$AJ$4:$AJ$8</formula1>
    </dataValidation>
    <dataValidation type="list" allowBlank="1" showErrorMessage="1" sqref="E3:H3 K3">
      <formula1>Dropdowns!$AJ$4:$AJ$8</formula1>
    </dataValidation>
    <dataValidation type="list" allowBlank="1" showInputMessage="1" prompt="Select..." sqref="M9:M914">
      <formula1>Dropdowns!$AE$4:$AE$21</formula1>
    </dataValidation>
    <dataValidation type="list" allowBlank="1" showInputMessage="1" prompt="Select..." sqref="L9:L914">
      <formula1>Dropdowns!$AD$3:$AD$30</formula1>
    </dataValidation>
  </dataValidation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sheetViews>
  <sheetFormatPr customHeight="1" defaultColWidth="12.63" defaultRowHeight="15.0"/>
  <cols>
    <col customWidth="1" min="1" max="1" width="9.38"/>
    <col customWidth="1" min="2" max="2" width="26.25"/>
    <col customWidth="1" min="3" max="3" width="24.63"/>
    <col customWidth="1" min="4" max="4" width="39.88"/>
    <col customWidth="1" min="5" max="6" width="6.5"/>
    <col customWidth="1" min="7" max="7" width="7.0"/>
    <col customWidth="1" min="8" max="8" width="21.88"/>
    <col customWidth="1" min="9" max="9" width="15.63"/>
    <col customWidth="1" min="10" max="10" width="85.5"/>
    <col customWidth="1" min="11" max="11" width="27.0"/>
    <col customWidth="1" min="12" max="12" width="14.88"/>
    <col customWidth="1" min="13" max="13" width="45.88"/>
    <col customWidth="1" min="14" max="14" width="61.13"/>
    <col customWidth="1" min="15" max="15" width="38.5"/>
    <col customWidth="1" min="16" max="16" width="89.5"/>
    <col customWidth="1" min="17" max="17" width="19.63"/>
    <col customWidth="1" min="18" max="18" width="8.25"/>
    <col customWidth="1" min="19" max="19" width="11.0"/>
    <col customWidth="1" min="20" max="20" width="8.88"/>
    <col customWidth="1" min="21" max="21" width="45.38"/>
    <col customWidth="1" min="22" max="22" width="28.13"/>
    <col customWidth="1" min="23" max="23" width="16.63"/>
    <col customWidth="1" min="24" max="24" width="53.25"/>
    <col customWidth="1" min="25" max="25" width="29.25"/>
    <col customWidth="1" min="26" max="26" width="60.13"/>
    <col customWidth="1" min="27" max="27" width="70.63"/>
    <col customWidth="1" min="28" max="28" width="30.25"/>
    <col customWidth="1" min="29" max="29" width="31.25"/>
    <col customWidth="1" min="30" max="30" width="75.38"/>
    <col customWidth="1" min="31" max="31" width="89.88"/>
    <col customWidth="1" min="32" max="32" width="14.63"/>
    <col customWidth="1" min="33" max="33" width="35.38"/>
    <col customWidth="1" min="34" max="34" width="5.5"/>
    <col customWidth="1" min="35" max="35" width="42.63"/>
    <col customWidth="1" min="36" max="36" width="19.0"/>
    <col customWidth="1" min="37" max="37" width="18.63"/>
    <col customWidth="1" min="38" max="38" width="17.63"/>
    <col customWidth="1" min="39" max="39" width="13.75"/>
    <col customWidth="1" min="40" max="40" width="13.88"/>
    <col customWidth="1" min="41" max="41" width="13.75"/>
    <col customWidth="1" min="42" max="42" width="15.38"/>
    <col customWidth="1" min="43" max="43" width="14.63"/>
    <col customWidth="1" min="44" max="44" width="41.5"/>
    <col customWidth="1" min="45" max="45" width="18.88"/>
    <col customWidth="1" min="46" max="47" width="14.63"/>
  </cols>
  <sheetData>
    <row r="1" ht="33.75" customHeight="1">
      <c r="A1" s="293" t="s">
        <v>1583</v>
      </c>
      <c r="C1" s="294"/>
      <c r="E1" s="294"/>
      <c r="F1" s="294"/>
      <c r="G1" s="294"/>
      <c r="H1" s="295"/>
      <c r="I1" s="294"/>
      <c r="J1" s="294"/>
      <c r="K1" s="294"/>
      <c r="L1" s="294"/>
      <c r="M1" s="294"/>
      <c r="N1" s="294"/>
      <c r="O1" s="294"/>
      <c r="P1" s="294"/>
      <c r="Q1" s="294"/>
      <c r="R1" s="294"/>
      <c r="S1" s="294"/>
      <c r="T1" s="294"/>
      <c r="U1" s="295"/>
      <c r="V1" s="294"/>
      <c r="W1" s="294"/>
      <c r="X1" s="295"/>
      <c r="Y1" s="294"/>
      <c r="Z1" s="294"/>
      <c r="AA1" s="294"/>
      <c r="AB1" s="294"/>
      <c r="AC1" s="294"/>
      <c r="AD1" s="294"/>
      <c r="AE1" s="294"/>
      <c r="AF1" s="294"/>
      <c r="AG1" s="294"/>
      <c r="AH1" s="295"/>
      <c r="AI1" s="295"/>
      <c r="AJ1" s="295"/>
      <c r="AK1" s="295"/>
      <c r="AL1" s="295"/>
      <c r="AM1" s="295"/>
      <c r="AN1" s="295"/>
      <c r="AO1" s="295"/>
      <c r="AP1" s="295"/>
      <c r="AQ1" s="295"/>
      <c r="AR1" s="295"/>
      <c r="AS1" s="295"/>
      <c r="AT1" s="295"/>
      <c r="AU1" s="295"/>
    </row>
    <row r="2" ht="66.75" customHeight="1">
      <c r="A2" s="296" t="s">
        <v>1584</v>
      </c>
      <c r="B2" s="297" t="s">
        <v>1585</v>
      </c>
      <c r="C2" s="297" t="s">
        <v>1586</v>
      </c>
      <c r="D2" s="297" t="s">
        <v>129</v>
      </c>
      <c r="E2" s="297" t="s">
        <v>1587</v>
      </c>
      <c r="F2" s="297" t="s">
        <v>1588</v>
      </c>
      <c r="G2" s="297" t="s">
        <v>1589</v>
      </c>
      <c r="H2" s="297" t="s">
        <v>1590</v>
      </c>
      <c r="I2" s="296" t="s">
        <v>1591</v>
      </c>
      <c r="J2" s="296" t="s">
        <v>1592</v>
      </c>
      <c r="K2" s="296" t="s">
        <v>262</v>
      </c>
      <c r="L2" s="297"/>
      <c r="M2" s="297"/>
      <c r="N2" s="296" t="s">
        <v>1593</v>
      </c>
      <c r="O2" s="298" t="s">
        <v>1594</v>
      </c>
      <c r="P2" s="296" t="s">
        <v>1595</v>
      </c>
      <c r="Q2" s="296" t="s">
        <v>1596</v>
      </c>
      <c r="R2" s="297" t="s">
        <v>1597</v>
      </c>
      <c r="S2" s="297" t="s">
        <v>1598</v>
      </c>
      <c r="T2" s="297" t="s">
        <v>1599</v>
      </c>
      <c r="U2" s="296" t="s">
        <v>1600</v>
      </c>
      <c r="V2" s="299" t="s">
        <v>1601</v>
      </c>
      <c r="W2" s="297" t="s">
        <v>1602</v>
      </c>
      <c r="X2" s="296" t="s">
        <v>1603</v>
      </c>
      <c r="Y2" s="296" t="s">
        <v>474</v>
      </c>
      <c r="Z2" s="296" t="s">
        <v>488</v>
      </c>
      <c r="AA2" s="296" t="s">
        <v>1604</v>
      </c>
      <c r="AB2" s="296" t="s">
        <v>1605</v>
      </c>
      <c r="AC2" s="296" t="s">
        <v>1606</v>
      </c>
      <c r="AD2" s="296" t="s">
        <v>1607</v>
      </c>
      <c r="AE2" s="296" t="s">
        <v>1608</v>
      </c>
      <c r="AF2" s="297" t="s">
        <v>1609</v>
      </c>
      <c r="AG2" s="296" t="s">
        <v>1610</v>
      </c>
      <c r="AH2" s="297"/>
      <c r="AI2" s="296" t="s">
        <v>1611</v>
      </c>
      <c r="AJ2" s="297" t="s">
        <v>1612</v>
      </c>
      <c r="AK2" s="297"/>
      <c r="AL2" s="297" t="s">
        <v>1613</v>
      </c>
      <c r="AM2" s="296" t="s">
        <v>1614</v>
      </c>
      <c r="AN2" s="300" t="s">
        <v>1615</v>
      </c>
      <c r="AO2" s="296" t="s">
        <v>1614</v>
      </c>
      <c r="AP2" s="298" t="s">
        <v>679</v>
      </c>
      <c r="AQ2" s="298" t="s">
        <v>1616</v>
      </c>
      <c r="AR2" s="298" t="s">
        <v>1617</v>
      </c>
      <c r="AS2" s="298"/>
      <c r="AT2" s="298"/>
      <c r="AU2" s="298"/>
    </row>
    <row r="3" ht="12.0" customHeight="1">
      <c r="A3" s="301"/>
      <c r="B3" s="301"/>
      <c r="C3" s="301"/>
      <c r="H3" s="302"/>
      <c r="I3" s="301"/>
      <c r="J3" s="301"/>
      <c r="K3" s="303"/>
      <c r="L3" s="303"/>
      <c r="M3" s="303"/>
      <c r="N3" s="301"/>
      <c r="O3" s="304"/>
      <c r="P3" s="302"/>
      <c r="Q3" s="302"/>
      <c r="R3" s="302"/>
      <c r="S3" s="302"/>
      <c r="T3" s="301"/>
      <c r="U3" s="305"/>
      <c r="V3" s="306"/>
      <c r="W3" s="301"/>
      <c r="X3" s="302"/>
      <c r="Y3" s="301"/>
      <c r="Z3" s="301"/>
      <c r="AA3" s="301"/>
      <c r="AB3" s="301"/>
      <c r="AC3" s="301"/>
      <c r="AD3" s="301"/>
      <c r="AE3" s="301"/>
      <c r="AF3" s="301"/>
      <c r="AG3" s="301"/>
      <c r="AH3" s="307"/>
      <c r="AI3" s="307"/>
      <c r="AJ3" s="302"/>
      <c r="AK3" s="302"/>
      <c r="AL3" s="302"/>
      <c r="AM3" s="304"/>
      <c r="AO3" s="304"/>
      <c r="AP3" s="304"/>
      <c r="AQ3" s="304"/>
      <c r="AR3" s="304"/>
      <c r="AT3" s="304"/>
      <c r="AU3" s="304"/>
    </row>
    <row r="4" ht="12.0" customHeight="1">
      <c r="A4" s="308" t="s">
        <v>161</v>
      </c>
      <c r="B4" s="308" t="s">
        <v>1618</v>
      </c>
      <c r="C4" s="308" t="s">
        <v>1619</v>
      </c>
      <c r="D4" s="309" t="s">
        <v>133</v>
      </c>
      <c r="E4" s="309" t="s">
        <v>1620</v>
      </c>
      <c r="F4" s="309" t="s">
        <v>1621</v>
      </c>
      <c r="G4" s="309">
        <v>4.0</v>
      </c>
      <c r="H4" s="301" t="s">
        <v>1622</v>
      </c>
      <c r="I4" s="308" t="s">
        <v>1623</v>
      </c>
      <c r="J4" s="308" t="s">
        <v>261</v>
      </c>
      <c r="K4" s="303" t="s">
        <v>1624</v>
      </c>
      <c r="L4" s="303"/>
      <c r="M4" s="303"/>
      <c r="N4" s="308" t="s">
        <v>277</v>
      </c>
      <c r="O4" s="308" t="s">
        <v>1625</v>
      </c>
      <c r="P4" s="308" t="s">
        <v>1626</v>
      </c>
      <c r="Q4" s="301" t="s">
        <v>324</v>
      </c>
      <c r="R4" s="301" t="s">
        <v>1627</v>
      </c>
      <c r="S4" s="301" t="s">
        <v>1628</v>
      </c>
      <c r="T4" s="301"/>
      <c r="U4" s="308" t="s">
        <v>1629</v>
      </c>
      <c r="V4" s="310" t="s">
        <v>1630</v>
      </c>
      <c r="W4" s="301" t="s">
        <v>1631</v>
      </c>
      <c r="X4" s="301" t="s">
        <v>370</v>
      </c>
      <c r="Y4" s="308" t="s">
        <v>1632</v>
      </c>
      <c r="Z4" s="308" t="s">
        <v>491</v>
      </c>
      <c r="AA4" s="311" t="s">
        <v>1633</v>
      </c>
      <c r="AB4" s="301" t="s">
        <v>1634</v>
      </c>
      <c r="AC4" s="308" t="s">
        <v>644</v>
      </c>
      <c r="AD4" s="308" t="s">
        <v>645</v>
      </c>
      <c r="AE4" s="312" t="s">
        <v>1581</v>
      </c>
      <c r="AF4" s="301" t="s">
        <v>1635</v>
      </c>
      <c r="AG4" s="308" t="s">
        <v>1636</v>
      </c>
      <c r="AH4" s="307"/>
      <c r="AI4" s="301" t="s">
        <v>1637</v>
      </c>
      <c r="AJ4" s="301" t="s">
        <v>107</v>
      </c>
      <c r="AK4" s="301" t="s">
        <v>1638</v>
      </c>
      <c r="AL4" s="301" t="s">
        <v>1639</v>
      </c>
      <c r="AM4" s="301" t="s">
        <v>1640</v>
      </c>
      <c r="AN4" s="301" t="s">
        <v>1641</v>
      </c>
      <c r="AO4" s="301" t="s">
        <v>256</v>
      </c>
      <c r="AP4" s="308" t="s">
        <v>1642</v>
      </c>
      <c r="AQ4" s="308" t="s">
        <v>678</v>
      </c>
      <c r="AR4" s="308" t="s">
        <v>642</v>
      </c>
      <c r="AT4" s="308"/>
      <c r="AU4" s="308"/>
    </row>
    <row r="5" ht="12.0" customHeight="1">
      <c r="A5" s="308" t="s">
        <v>519</v>
      </c>
      <c r="B5" s="308" t="s">
        <v>115</v>
      </c>
      <c r="C5" s="308" t="s">
        <v>1643</v>
      </c>
      <c r="D5" s="309" t="s">
        <v>1644</v>
      </c>
      <c r="E5" s="309" t="s">
        <v>1645</v>
      </c>
      <c r="F5" s="309" t="s">
        <v>1646</v>
      </c>
      <c r="G5" s="309">
        <v>8.0</v>
      </c>
      <c r="H5" s="301" t="s">
        <v>201</v>
      </c>
      <c r="I5" s="308" t="s">
        <v>252</v>
      </c>
      <c r="J5" s="308" t="s">
        <v>1647</v>
      </c>
      <c r="K5" s="303" t="s">
        <v>1648</v>
      </c>
      <c r="L5" s="303"/>
      <c r="M5" s="303"/>
      <c r="N5" s="308" t="s">
        <v>1649</v>
      </c>
      <c r="O5" s="308" t="s">
        <v>1650</v>
      </c>
      <c r="P5" s="308" t="s">
        <v>1651</v>
      </c>
      <c r="Q5" s="301" t="s">
        <v>1652</v>
      </c>
      <c r="R5" s="301" t="s">
        <v>1627</v>
      </c>
      <c r="S5" s="301" t="s">
        <v>1653</v>
      </c>
      <c r="T5" s="301"/>
      <c r="U5" s="308" t="s">
        <v>336</v>
      </c>
      <c r="V5" s="310" t="s">
        <v>358</v>
      </c>
      <c r="W5" s="301" t="s">
        <v>1654</v>
      </c>
      <c r="X5" s="301" t="s">
        <v>1655</v>
      </c>
      <c r="Y5" s="308" t="s">
        <v>477</v>
      </c>
      <c r="Z5" s="308" t="s">
        <v>1656</v>
      </c>
      <c r="AA5" s="311" t="s">
        <v>1657</v>
      </c>
      <c r="AB5" s="301" t="s">
        <v>499</v>
      </c>
      <c r="AC5" s="308" t="s">
        <v>487</v>
      </c>
      <c r="AE5" s="312" t="s">
        <v>1582</v>
      </c>
      <c r="AF5" s="301" t="s">
        <v>1658</v>
      </c>
      <c r="AG5" s="308" t="s">
        <v>1659</v>
      </c>
      <c r="AH5" s="307"/>
      <c r="AI5" s="301" t="s">
        <v>1660</v>
      </c>
      <c r="AJ5" s="301" t="s">
        <v>619</v>
      </c>
      <c r="AK5" s="301" t="s">
        <v>1661</v>
      </c>
      <c r="AL5" s="301" t="s">
        <v>332</v>
      </c>
      <c r="AM5" s="301" t="s">
        <v>1662</v>
      </c>
      <c r="AN5" s="301" t="s">
        <v>1663</v>
      </c>
      <c r="AO5" s="301" t="s">
        <v>622</v>
      </c>
      <c r="AP5" s="308" t="s">
        <v>1664</v>
      </c>
      <c r="AQ5" s="308" t="s">
        <v>758</v>
      </c>
      <c r="AR5" s="308" t="s">
        <v>1665</v>
      </c>
      <c r="AT5" s="308"/>
      <c r="AU5" s="308"/>
    </row>
    <row r="6" ht="12.0" customHeight="1">
      <c r="A6" s="308" t="s">
        <v>1666</v>
      </c>
      <c r="B6" s="301"/>
      <c r="C6" s="308" t="s">
        <v>1667</v>
      </c>
      <c r="D6" s="309" t="s">
        <v>1668</v>
      </c>
      <c r="E6" s="309" t="s">
        <v>1669</v>
      </c>
      <c r="F6" s="309" t="s">
        <v>1670</v>
      </c>
      <c r="G6" s="309">
        <v>12.0</v>
      </c>
      <c r="H6" s="301" t="s">
        <v>1671</v>
      </c>
      <c r="I6" s="308" t="s">
        <v>1672</v>
      </c>
      <c r="J6" s="308" t="s">
        <v>1673</v>
      </c>
      <c r="K6" s="303" t="s">
        <v>1674</v>
      </c>
      <c r="L6" s="303"/>
      <c r="M6" s="303"/>
      <c r="N6" s="308" t="s">
        <v>1675</v>
      </c>
      <c r="O6" s="308" t="s">
        <v>1676</v>
      </c>
      <c r="P6" s="308" t="s">
        <v>319</v>
      </c>
      <c r="Q6" s="301" t="s">
        <v>1677</v>
      </c>
      <c r="R6" s="301" t="s">
        <v>1627</v>
      </c>
      <c r="S6" s="301" t="s">
        <v>1678</v>
      </c>
      <c r="T6" s="301"/>
      <c r="U6" s="308" t="s">
        <v>1679</v>
      </c>
      <c r="V6" s="310" t="s">
        <v>1680</v>
      </c>
      <c r="W6" s="301" t="s">
        <v>366</v>
      </c>
      <c r="X6" s="301" t="s">
        <v>1681</v>
      </c>
      <c r="Y6" s="308" t="s">
        <v>1682</v>
      </c>
      <c r="Z6" s="308" t="s">
        <v>1683</v>
      </c>
      <c r="AA6" s="311" t="s">
        <v>482</v>
      </c>
      <c r="AB6" s="301" t="s">
        <v>1684</v>
      </c>
      <c r="AC6" s="308" t="s">
        <v>1685</v>
      </c>
      <c r="AE6" s="312" t="s">
        <v>1579</v>
      </c>
      <c r="AF6" s="301" t="s">
        <v>1686</v>
      </c>
      <c r="AG6" s="308" t="s">
        <v>1687</v>
      </c>
      <c r="AH6" s="307"/>
      <c r="AI6" s="301" t="s">
        <v>503</v>
      </c>
      <c r="AJ6" s="301" t="s">
        <v>153</v>
      </c>
      <c r="AK6" s="301" t="s">
        <v>1688</v>
      </c>
      <c r="AL6" s="301" t="s">
        <v>1689</v>
      </c>
      <c r="AM6" s="301" t="s">
        <v>1690</v>
      </c>
      <c r="AN6" s="301" t="s">
        <v>1691</v>
      </c>
      <c r="AO6" s="301" t="s">
        <v>192</v>
      </c>
      <c r="AP6" s="308" t="s">
        <v>1692</v>
      </c>
      <c r="AQ6" s="301"/>
      <c r="AR6" s="308" t="s">
        <v>1693</v>
      </c>
      <c r="AT6" s="308"/>
      <c r="AU6" s="308"/>
    </row>
    <row r="7" ht="12.0" customHeight="1">
      <c r="A7" s="301"/>
      <c r="B7" s="301"/>
      <c r="C7" s="308" t="s">
        <v>1694</v>
      </c>
      <c r="D7" s="309" t="s">
        <v>1695</v>
      </c>
      <c r="E7" s="309" t="s">
        <v>1696</v>
      </c>
      <c r="F7" s="309" t="s">
        <v>1697</v>
      </c>
      <c r="G7" s="309">
        <v>16.0</v>
      </c>
      <c r="H7" s="301" t="s">
        <v>1698</v>
      </c>
      <c r="I7" s="308" t="s">
        <v>1699</v>
      </c>
      <c r="J7" s="308" t="s">
        <v>1700</v>
      </c>
      <c r="K7" s="303" t="s">
        <v>1701</v>
      </c>
      <c r="L7" s="303"/>
      <c r="M7" s="303"/>
      <c r="N7" s="308" t="s">
        <v>1702</v>
      </c>
      <c r="O7" s="308" t="s">
        <v>1703</v>
      </c>
      <c r="P7" s="308" t="s">
        <v>1704</v>
      </c>
      <c r="Q7" s="301" t="s">
        <v>1705</v>
      </c>
      <c r="R7" s="301" t="s">
        <v>1627</v>
      </c>
      <c r="S7" s="301" t="s">
        <v>1706</v>
      </c>
      <c r="U7" s="308" t="s">
        <v>1707</v>
      </c>
      <c r="V7" s="310" t="s">
        <v>1708</v>
      </c>
      <c r="W7" s="301" t="s">
        <v>1709</v>
      </c>
      <c r="X7" s="301" t="s">
        <v>1710</v>
      </c>
      <c r="Y7" s="308" t="s">
        <v>1711</v>
      </c>
      <c r="Z7" s="308" t="s">
        <v>1712</v>
      </c>
      <c r="AA7" s="311" t="s">
        <v>1713</v>
      </c>
      <c r="AB7" s="301" t="s">
        <v>1714</v>
      </c>
      <c r="AC7" s="308" t="s">
        <v>1715</v>
      </c>
      <c r="AD7" s="308" t="s">
        <v>1580</v>
      </c>
      <c r="AE7" s="312" t="s">
        <v>1716</v>
      </c>
      <c r="AF7" s="301" t="s">
        <v>1717</v>
      </c>
      <c r="AG7" s="308" t="s">
        <v>1718</v>
      </c>
      <c r="AH7" s="307"/>
      <c r="AI7" s="301" t="s">
        <v>1719</v>
      </c>
      <c r="AJ7" s="301" t="s">
        <v>190</v>
      </c>
      <c r="AK7" s="301" t="s">
        <v>1720</v>
      </c>
      <c r="AL7" s="301" t="s">
        <v>1721</v>
      </c>
      <c r="AM7" s="301" t="s">
        <v>1662</v>
      </c>
      <c r="AN7" s="301" t="s">
        <v>1722</v>
      </c>
      <c r="AO7" s="301" t="s">
        <v>622</v>
      </c>
      <c r="AP7" s="308" t="s">
        <v>1723</v>
      </c>
      <c r="AQ7" s="301"/>
      <c r="AR7" s="308" t="s">
        <v>1724</v>
      </c>
      <c r="AT7" s="308"/>
      <c r="AU7" s="308"/>
    </row>
    <row r="8" ht="12.0" customHeight="1">
      <c r="A8" s="301"/>
      <c r="B8" s="301"/>
      <c r="C8" s="301"/>
      <c r="D8" s="309" t="s">
        <v>1725</v>
      </c>
      <c r="E8" s="309" t="s">
        <v>1726</v>
      </c>
      <c r="F8" s="309" t="s">
        <v>1727</v>
      </c>
      <c r="G8" s="309">
        <v>20.0</v>
      </c>
      <c r="H8" s="301" t="s">
        <v>1728</v>
      </c>
      <c r="I8" s="308" t="s">
        <v>1729</v>
      </c>
      <c r="J8" s="308" t="s">
        <v>1730</v>
      </c>
      <c r="K8" s="303" t="s">
        <v>1731</v>
      </c>
      <c r="L8" s="303"/>
      <c r="M8" s="303"/>
      <c r="N8" s="308" t="s">
        <v>1732</v>
      </c>
      <c r="O8" s="308" t="s">
        <v>1733</v>
      </c>
      <c r="P8" s="301"/>
      <c r="Q8" s="301" t="s">
        <v>1734</v>
      </c>
      <c r="R8" s="301" t="s">
        <v>1627</v>
      </c>
      <c r="S8" s="308" t="s">
        <v>1628</v>
      </c>
      <c r="T8" s="308" t="s">
        <v>1735</v>
      </c>
      <c r="U8" s="308" t="s">
        <v>1736</v>
      </c>
      <c r="V8" s="310" t="s">
        <v>1737</v>
      </c>
      <c r="W8" s="301" t="s">
        <v>1738</v>
      </c>
      <c r="X8" s="301" t="s">
        <v>1739</v>
      </c>
      <c r="Y8" s="308"/>
      <c r="Z8" s="308" t="s">
        <v>1740</v>
      </c>
      <c r="AB8" s="301" t="s">
        <v>1713</v>
      </c>
      <c r="AC8" s="308" t="s">
        <v>1741</v>
      </c>
      <c r="AE8" s="312" t="s">
        <v>557</v>
      </c>
      <c r="AF8" s="301"/>
      <c r="AG8" s="308" t="s">
        <v>1742</v>
      </c>
      <c r="AH8" s="307"/>
      <c r="AI8" s="301" t="s">
        <v>1743</v>
      </c>
      <c r="AJ8" s="301" t="s">
        <v>159</v>
      </c>
      <c r="AK8" s="301" t="s">
        <v>1744</v>
      </c>
      <c r="AL8" s="301" t="s">
        <v>1745</v>
      </c>
      <c r="AM8" s="301" t="s">
        <v>1746</v>
      </c>
      <c r="AN8" s="301" t="s">
        <v>1747</v>
      </c>
      <c r="AO8" s="301" t="s">
        <v>1746</v>
      </c>
      <c r="AP8" s="308" t="s">
        <v>1748</v>
      </c>
      <c r="AQ8" s="301"/>
      <c r="AR8" s="308" t="s">
        <v>1749</v>
      </c>
      <c r="AT8" s="313"/>
    </row>
    <row r="9" ht="12.0" customHeight="1">
      <c r="A9" s="301"/>
      <c r="B9" s="301"/>
      <c r="C9" s="301"/>
      <c r="D9" s="309" t="s">
        <v>1750</v>
      </c>
      <c r="E9" s="309" t="s">
        <v>1751</v>
      </c>
      <c r="F9" s="309" t="s">
        <v>1752</v>
      </c>
      <c r="G9" s="309">
        <v>24.0</v>
      </c>
      <c r="H9" s="301" t="s">
        <v>1753</v>
      </c>
      <c r="I9" s="308" t="s">
        <v>1754</v>
      </c>
      <c r="J9" s="308" t="s">
        <v>1755</v>
      </c>
      <c r="K9" s="303" t="s">
        <v>1756</v>
      </c>
      <c r="L9" s="303"/>
      <c r="M9" s="303"/>
      <c r="N9" s="308" t="s">
        <v>1757</v>
      </c>
      <c r="O9" s="308" t="s">
        <v>1758</v>
      </c>
      <c r="P9" s="301"/>
      <c r="Q9" s="301" t="s">
        <v>1759</v>
      </c>
      <c r="R9" s="301" t="s">
        <v>1627</v>
      </c>
      <c r="S9" s="301" t="s">
        <v>1760</v>
      </c>
      <c r="T9" s="301"/>
      <c r="U9" s="308" t="s">
        <v>1761</v>
      </c>
      <c r="V9" s="310" t="s">
        <v>1762</v>
      </c>
      <c r="W9" s="301" t="s">
        <v>1763</v>
      </c>
      <c r="X9" s="301" t="s">
        <v>1764</v>
      </c>
      <c r="Y9" s="308"/>
      <c r="Z9" s="308" t="s">
        <v>1713</v>
      </c>
      <c r="AA9" s="301"/>
      <c r="AB9" s="301"/>
      <c r="AC9" s="308"/>
      <c r="AD9" s="308" t="s">
        <v>1765</v>
      </c>
      <c r="AE9" s="312" t="s">
        <v>559</v>
      </c>
      <c r="AF9" s="301"/>
      <c r="AG9" s="308" t="s">
        <v>1766</v>
      </c>
      <c r="AH9" s="307"/>
      <c r="AI9" s="301" t="s">
        <v>1767</v>
      </c>
      <c r="AJ9" s="301"/>
      <c r="AK9" s="301" t="s">
        <v>1768</v>
      </c>
      <c r="AL9" s="301" t="s">
        <v>1769</v>
      </c>
      <c r="AM9" s="301" t="s">
        <v>1770</v>
      </c>
      <c r="AN9" s="301" t="s">
        <v>1771</v>
      </c>
      <c r="AO9" s="301" t="s">
        <v>424</v>
      </c>
      <c r="AP9" s="308" t="s">
        <v>1772</v>
      </c>
      <c r="AQ9" s="301"/>
      <c r="AR9" s="308" t="s">
        <v>1773</v>
      </c>
      <c r="AT9" s="313"/>
    </row>
    <row r="10" ht="12.0" customHeight="1">
      <c r="A10" s="301"/>
      <c r="B10" s="301"/>
      <c r="C10" s="301"/>
      <c r="D10" s="309" t="s">
        <v>1774</v>
      </c>
      <c r="E10" s="309" t="s">
        <v>1775</v>
      </c>
      <c r="F10" s="309" t="s">
        <v>1776</v>
      </c>
      <c r="G10" s="309">
        <v>660.0</v>
      </c>
      <c r="H10" s="301" t="s">
        <v>1777</v>
      </c>
      <c r="I10" s="308" t="s">
        <v>1778</v>
      </c>
      <c r="J10" s="301"/>
      <c r="K10" s="303" t="s">
        <v>1779</v>
      </c>
      <c r="L10" s="303"/>
      <c r="M10" s="303"/>
      <c r="N10" s="308" t="s">
        <v>1780</v>
      </c>
      <c r="O10" s="308" t="s">
        <v>1781</v>
      </c>
      <c r="P10" s="301"/>
      <c r="Q10" s="301" t="s">
        <v>1782</v>
      </c>
      <c r="R10" s="301" t="s">
        <v>1783</v>
      </c>
      <c r="S10" s="301" t="s">
        <v>1706</v>
      </c>
      <c r="T10" s="301" t="s">
        <v>1784</v>
      </c>
      <c r="U10" s="308" t="s">
        <v>1785</v>
      </c>
      <c r="V10" s="310" t="s">
        <v>1786</v>
      </c>
      <c r="W10" s="301" t="s">
        <v>1787</v>
      </c>
      <c r="X10" s="301" t="s">
        <v>1788</v>
      </c>
      <c r="Y10" s="308"/>
      <c r="AB10" s="301"/>
      <c r="AE10" s="312" t="s">
        <v>561</v>
      </c>
      <c r="AF10" s="301"/>
      <c r="AG10" s="308" t="s">
        <v>1789</v>
      </c>
      <c r="AH10" s="307"/>
      <c r="AI10" s="301" t="s">
        <v>1790</v>
      </c>
      <c r="AJ10" s="301"/>
      <c r="AK10" s="301" t="s">
        <v>1791</v>
      </c>
      <c r="AL10" s="301"/>
      <c r="AM10" s="301"/>
      <c r="AN10" s="301" t="s">
        <v>1792</v>
      </c>
      <c r="AO10" s="301"/>
      <c r="AP10" s="308" t="s">
        <v>1793</v>
      </c>
      <c r="AQ10" s="301"/>
      <c r="AR10" s="308" t="s">
        <v>1794</v>
      </c>
      <c r="AT10" s="313"/>
    </row>
    <row r="11" ht="12.0" customHeight="1">
      <c r="A11" s="301"/>
      <c r="B11" s="301"/>
      <c r="C11" s="301"/>
      <c r="D11" s="309" t="s">
        <v>1795</v>
      </c>
      <c r="E11" s="309" t="s">
        <v>1796</v>
      </c>
      <c r="F11" s="309" t="s">
        <v>1797</v>
      </c>
      <c r="G11" s="309">
        <v>10.0</v>
      </c>
      <c r="H11" s="301" t="s">
        <v>1798</v>
      </c>
      <c r="I11" s="308" t="s">
        <v>1799</v>
      </c>
      <c r="J11" s="301"/>
      <c r="K11" s="303" t="s">
        <v>1800</v>
      </c>
      <c r="L11" s="303"/>
      <c r="M11" s="303"/>
      <c r="N11" s="308" t="s">
        <v>1801</v>
      </c>
      <c r="O11" s="308" t="s">
        <v>1802</v>
      </c>
      <c r="P11" s="301"/>
      <c r="Q11" s="301" t="s">
        <v>1803</v>
      </c>
      <c r="R11" s="301" t="s">
        <v>1783</v>
      </c>
      <c r="S11" s="301" t="s">
        <v>1706</v>
      </c>
      <c r="T11" s="301" t="s">
        <v>1713</v>
      </c>
      <c r="U11" s="308" t="s">
        <v>1804</v>
      </c>
      <c r="V11" s="310" t="s">
        <v>1805</v>
      </c>
      <c r="W11" s="301" t="s">
        <v>1806</v>
      </c>
      <c r="X11" s="301" t="s">
        <v>1807</v>
      </c>
      <c r="Y11" s="308"/>
      <c r="Z11" s="308"/>
      <c r="AA11" s="301"/>
      <c r="AB11" s="301"/>
      <c r="AE11" s="312" t="s">
        <v>563</v>
      </c>
      <c r="AF11" s="301"/>
      <c r="AG11" s="308" t="s">
        <v>1808</v>
      </c>
      <c r="AH11" s="307"/>
      <c r="AI11" s="301"/>
      <c r="AJ11" s="301"/>
      <c r="AK11" s="301" t="s">
        <v>1809</v>
      </c>
      <c r="AL11" s="301"/>
      <c r="AM11" s="301" t="s">
        <v>1810</v>
      </c>
      <c r="AN11" s="301" t="s">
        <v>1811</v>
      </c>
      <c r="AO11" s="301" t="s">
        <v>342</v>
      </c>
      <c r="AP11" s="308" t="s">
        <v>1812</v>
      </c>
      <c r="AQ11" s="301"/>
      <c r="AR11" s="308" t="s">
        <v>1813</v>
      </c>
      <c r="AT11" s="313"/>
    </row>
    <row r="12" ht="12.0" customHeight="1">
      <c r="A12" s="301"/>
      <c r="B12" s="301"/>
      <c r="C12" s="301"/>
      <c r="D12" s="309" t="s">
        <v>1814</v>
      </c>
      <c r="E12" s="309" t="s">
        <v>1815</v>
      </c>
      <c r="F12" s="309" t="s">
        <v>1816</v>
      </c>
      <c r="G12" s="309">
        <v>28.0</v>
      </c>
      <c r="H12" s="301" t="s">
        <v>1817</v>
      </c>
      <c r="I12" s="308" t="s">
        <v>1818</v>
      </c>
      <c r="J12" s="302"/>
      <c r="K12" s="303" t="s">
        <v>1819</v>
      </c>
      <c r="L12" s="303"/>
      <c r="M12" s="303"/>
      <c r="N12" s="308" t="s">
        <v>1820</v>
      </c>
      <c r="O12" s="308" t="s">
        <v>1821</v>
      </c>
      <c r="P12" s="301"/>
      <c r="Q12" s="301" t="s">
        <v>1822</v>
      </c>
      <c r="R12" s="301" t="s">
        <v>1783</v>
      </c>
      <c r="S12" s="301" t="s">
        <v>1706</v>
      </c>
      <c r="T12" s="301" t="s">
        <v>1653</v>
      </c>
      <c r="U12" s="308" t="s">
        <v>1823</v>
      </c>
      <c r="V12" s="310" t="s">
        <v>1824</v>
      </c>
      <c r="W12" s="301"/>
      <c r="X12" s="301" t="s">
        <v>1825</v>
      </c>
      <c r="Y12" s="308"/>
      <c r="AA12" s="301"/>
      <c r="AB12" s="301"/>
      <c r="AE12" s="312" t="s">
        <v>565</v>
      </c>
      <c r="AF12" s="301"/>
      <c r="AG12" s="308" t="s">
        <v>1713</v>
      </c>
      <c r="AH12" s="307"/>
      <c r="AI12" s="301"/>
      <c r="AJ12" s="301"/>
      <c r="AK12" s="301" t="s">
        <v>1826</v>
      </c>
      <c r="AL12" s="301"/>
      <c r="AM12" s="301"/>
      <c r="AN12" s="301" t="s">
        <v>1827</v>
      </c>
      <c r="AO12" s="301"/>
      <c r="AP12" s="308" t="s">
        <v>1828</v>
      </c>
      <c r="AQ12" s="301"/>
      <c r="AR12" s="308" t="s">
        <v>1829</v>
      </c>
      <c r="AT12" s="313"/>
    </row>
    <row r="13" ht="12.0" customHeight="1">
      <c r="A13" s="301"/>
      <c r="B13" s="301"/>
      <c r="C13" s="301"/>
      <c r="D13" s="309" t="s">
        <v>132</v>
      </c>
      <c r="E13" s="309" t="s">
        <v>1830</v>
      </c>
      <c r="F13" s="309" t="s">
        <v>1831</v>
      </c>
      <c r="G13" s="309">
        <v>32.0</v>
      </c>
      <c r="H13" s="301"/>
      <c r="I13" s="308" t="s">
        <v>1832</v>
      </c>
      <c r="J13" s="301"/>
      <c r="K13" s="303"/>
      <c r="L13" s="303"/>
      <c r="M13" s="303"/>
      <c r="N13" s="308" t="s">
        <v>1833</v>
      </c>
      <c r="O13" s="308" t="s">
        <v>1834</v>
      </c>
      <c r="P13" s="301"/>
      <c r="Q13" s="301" t="s">
        <v>1835</v>
      </c>
      <c r="R13" s="301" t="s">
        <v>1783</v>
      </c>
      <c r="S13" s="301" t="s">
        <v>1706</v>
      </c>
      <c r="T13" s="301" t="s">
        <v>1836</v>
      </c>
      <c r="U13" s="308" t="s">
        <v>1837</v>
      </c>
      <c r="V13" s="310" t="s">
        <v>1838</v>
      </c>
      <c r="W13" s="301"/>
      <c r="X13" s="301" t="s">
        <v>1839</v>
      </c>
      <c r="Y13" s="308"/>
      <c r="Z13" s="308"/>
      <c r="AB13" s="301"/>
      <c r="AC13" s="308"/>
      <c r="AD13" s="308" t="s">
        <v>1840</v>
      </c>
      <c r="AE13" s="312" t="s">
        <v>567</v>
      </c>
      <c r="AF13" s="301"/>
      <c r="AH13" s="307"/>
      <c r="AI13" s="301"/>
      <c r="AJ13" s="301"/>
      <c r="AK13" s="301" t="s">
        <v>1841</v>
      </c>
      <c r="AL13" s="301"/>
      <c r="AM13" s="301"/>
      <c r="AN13" s="301" t="s">
        <v>1842</v>
      </c>
      <c r="AO13" s="301"/>
      <c r="AP13" s="308" t="s">
        <v>1843</v>
      </c>
      <c r="AQ13" s="301"/>
      <c r="AR13" s="308" t="s">
        <v>1844</v>
      </c>
      <c r="AT13" s="313"/>
    </row>
    <row r="14" ht="12.0" customHeight="1">
      <c r="A14" s="301"/>
      <c r="B14" s="301"/>
      <c r="C14" s="301"/>
      <c r="D14" s="309" t="s">
        <v>1845</v>
      </c>
      <c r="E14" s="309" t="s">
        <v>1846</v>
      </c>
      <c r="F14" s="309" t="s">
        <v>1847</v>
      </c>
      <c r="G14" s="309">
        <v>51.0</v>
      </c>
      <c r="H14" s="301"/>
      <c r="I14" s="308" t="s">
        <v>1848</v>
      </c>
      <c r="J14" s="302"/>
      <c r="K14" s="314" t="s">
        <v>1849</v>
      </c>
      <c r="L14" s="303"/>
      <c r="M14" s="303"/>
      <c r="N14" s="308" t="s">
        <v>1850</v>
      </c>
      <c r="O14" s="308" t="s">
        <v>1851</v>
      </c>
      <c r="P14" s="301"/>
      <c r="Q14" s="301" t="s">
        <v>1852</v>
      </c>
      <c r="R14" s="301" t="s">
        <v>1783</v>
      </c>
      <c r="S14" s="301" t="s">
        <v>1706</v>
      </c>
      <c r="T14" s="301"/>
      <c r="U14" s="308" t="s">
        <v>1853</v>
      </c>
      <c r="V14" s="310" t="s">
        <v>1854</v>
      </c>
      <c r="W14" s="301"/>
      <c r="X14" s="301" t="s">
        <v>1855</v>
      </c>
      <c r="Y14" s="308"/>
      <c r="AB14" s="301"/>
      <c r="AC14" s="308"/>
      <c r="AD14" s="308" t="s">
        <v>1856</v>
      </c>
      <c r="AE14" s="312" t="s">
        <v>569</v>
      </c>
      <c r="AF14" s="301"/>
      <c r="AH14" s="307"/>
      <c r="AI14" s="301"/>
      <c r="AJ14" s="301"/>
      <c r="AK14" s="301" t="s">
        <v>1857</v>
      </c>
      <c r="AL14" s="301"/>
      <c r="AM14" s="301"/>
      <c r="AN14" s="301" t="s">
        <v>1858</v>
      </c>
      <c r="AO14" s="301"/>
      <c r="AP14" s="308" t="s">
        <v>1859</v>
      </c>
      <c r="AQ14" s="301"/>
      <c r="AR14" s="308" t="s">
        <v>1860</v>
      </c>
      <c r="AT14" s="313"/>
    </row>
    <row r="15" ht="12.0" customHeight="1">
      <c r="A15" s="301"/>
      <c r="B15" s="301"/>
      <c r="C15" s="301"/>
      <c r="D15" s="309" t="s">
        <v>1861</v>
      </c>
      <c r="E15" s="309" t="s">
        <v>1862</v>
      </c>
      <c r="F15" s="309" t="s">
        <v>1863</v>
      </c>
      <c r="G15" s="309">
        <v>533.0</v>
      </c>
      <c r="H15" s="301"/>
      <c r="I15" s="308" t="s">
        <v>1864</v>
      </c>
      <c r="J15" s="301"/>
      <c r="K15" s="315" t="s">
        <v>81</v>
      </c>
      <c r="L15" s="315" t="s">
        <v>1865</v>
      </c>
      <c r="M15" s="315" t="s">
        <v>85</v>
      </c>
      <c r="N15" s="308" t="s">
        <v>1866</v>
      </c>
      <c r="O15" s="308" t="s">
        <v>309</v>
      </c>
      <c r="P15" s="301"/>
      <c r="Q15" s="301" t="s">
        <v>1867</v>
      </c>
      <c r="R15" s="301" t="s">
        <v>1836</v>
      </c>
      <c r="S15" s="301" t="s">
        <v>1706</v>
      </c>
      <c r="T15" s="301"/>
      <c r="U15" s="308" t="s">
        <v>1868</v>
      </c>
      <c r="V15" s="301"/>
      <c r="W15" s="301"/>
      <c r="X15" s="301" t="s">
        <v>1869</v>
      </c>
      <c r="Y15" s="308"/>
      <c r="Z15" s="308"/>
      <c r="AB15" s="301"/>
      <c r="AC15" s="308"/>
      <c r="AD15" s="308" t="s">
        <v>1870</v>
      </c>
      <c r="AE15" s="312" t="s">
        <v>571</v>
      </c>
      <c r="AF15" s="301"/>
      <c r="AH15" s="307"/>
      <c r="AI15" s="301"/>
      <c r="AJ15" s="301"/>
      <c r="AK15" s="301" t="s">
        <v>1871</v>
      </c>
      <c r="AL15" s="301"/>
      <c r="AM15" s="301"/>
      <c r="AN15" s="301" t="s">
        <v>1872</v>
      </c>
      <c r="AO15" s="301"/>
      <c r="AP15" s="308" t="s">
        <v>1873</v>
      </c>
      <c r="AQ15" s="301"/>
      <c r="AR15" s="308" t="s">
        <v>1874</v>
      </c>
      <c r="AT15" s="313"/>
    </row>
    <row r="16" ht="12.0" customHeight="1">
      <c r="A16" s="301"/>
      <c r="B16" s="301"/>
      <c r="C16" s="301"/>
      <c r="D16" s="309" t="s">
        <v>1875</v>
      </c>
      <c r="E16" s="309" t="s">
        <v>1876</v>
      </c>
      <c r="F16" s="309" t="s">
        <v>1877</v>
      </c>
      <c r="G16" s="309">
        <v>36.0</v>
      </c>
      <c r="H16" s="301"/>
      <c r="I16" s="308" t="s">
        <v>1878</v>
      </c>
      <c r="J16" s="302"/>
      <c r="K16" s="303" t="s">
        <v>1879</v>
      </c>
      <c r="L16" s="303" t="s">
        <v>1624</v>
      </c>
      <c r="M16" s="303" t="s">
        <v>1880</v>
      </c>
      <c r="N16" s="308" t="s">
        <v>1713</v>
      </c>
      <c r="O16" s="308" t="s">
        <v>1881</v>
      </c>
      <c r="P16" s="301"/>
      <c r="Q16" s="301" t="s">
        <v>1882</v>
      </c>
      <c r="R16" s="301" t="s">
        <v>1836</v>
      </c>
      <c r="S16" s="301" t="s">
        <v>1760</v>
      </c>
      <c r="T16" s="301"/>
      <c r="U16" s="308" t="s">
        <v>1883</v>
      </c>
      <c r="V16" s="302"/>
      <c r="W16" s="301"/>
      <c r="X16" s="301" t="s">
        <v>1884</v>
      </c>
      <c r="Y16" s="308"/>
      <c r="Z16" s="308"/>
      <c r="AB16" s="301"/>
      <c r="AC16" s="308"/>
      <c r="AD16" s="308" t="s">
        <v>1885</v>
      </c>
      <c r="AE16" s="312" t="s">
        <v>573</v>
      </c>
      <c r="AF16" s="301"/>
      <c r="AH16" s="307"/>
      <c r="AI16" s="301"/>
      <c r="AJ16" s="301"/>
      <c r="AK16" s="301"/>
      <c r="AL16" s="301"/>
      <c r="AM16" s="301"/>
      <c r="AN16" s="301" t="s">
        <v>1886</v>
      </c>
      <c r="AO16" s="301"/>
      <c r="AP16" s="308" t="s">
        <v>1887</v>
      </c>
      <c r="AQ16" s="301"/>
      <c r="AR16" s="308" t="s">
        <v>1888</v>
      </c>
      <c r="AT16" s="313"/>
    </row>
    <row r="17" ht="12.0" customHeight="1">
      <c r="A17" s="301"/>
      <c r="B17" s="301"/>
      <c r="C17" s="301"/>
      <c r="D17" s="309" t="s">
        <v>1889</v>
      </c>
      <c r="E17" s="309" t="s">
        <v>1890</v>
      </c>
      <c r="F17" s="309" t="s">
        <v>1891</v>
      </c>
      <c r="G17" s="309">
        <v>40.0</v>
      </c>
      <c r="H17" s="301"/>
      <c r="I17" s="308" t="s">
        <v>1892</v>
      </c>
      <c r="J17" s="301"/>
      <c r="K17" s="303" t="s">
        <v>1879</v>
      </c>
      <c r="L17" s="316" t="s">
        <v>1648</v>
      </c>
      <c r="M17" s="303" t="s">
        <v>1893</v>
      </c>
      <c r="N17" s="308" t="s">
        <v>1894</v>
      </c>
      <c r="O17" s="308" t="s">
        <v>1895</v>
      </c>
      <c r="P17" s="301"/>
      <c r="Q17" s="301" t="s">
        <v>1896</v>
      </c>
      <c r="R17" s="301" t="s">
        <v>1897</v>
      </c>
      <c r="S17" s="301" t="s">
        <v>1896</v>
      </c>
      <c r="T17" s="301" t="s">
        <v>1898</v>
      </c>
      <c r="U17" s="308" t="s">
        <v>1899</v>
      </c>
      <c r="V17" s="301"/>
      <c r="W17" s="301"/>
      <c r="X17" s="301" t="s">
        <v>1900</v>
      </c>
      <c r="Y17" s="308"/>
      <c r="Z17" s="308"/>
      <c r="AA17" s="301"/>
      <c r="AB17" s="301"/>
      <c r="AE17" s="312" t="s">
        <v>575</v>
      </c>
      <c r="AF17" s="301"/>
      <c r="AH17" s="307"/>
      <c r="AI17" s="301"/>
      <c r="AJ17" s="301"/>
      <c r="AK17" s="301"/>
      <c r="AL17" s="301"/>
      <c r="AM17" s="301"/>
      <c r="AN17" s="301" t="s">
        <v>1901</v>
      </c>
      <c r="AO17" s="301"/>
      <c r="AP17" s="308" t="s">
        <v>1902</v>
      </c>
      <c r="AQ17" s="301"/>
      <c r="AR17" s="308" t="s">
        <v>1903</v>
      </c>
      <c r="AT17" s="313"/>
    </row>
    <row r="18" ht="12.0" customHeight="1">
      <c r="A18" s="301"/>
      <c r="B18" s="301"/>
      <c r="C18" s="301"/>
      <c r="D18" s="309" t="s">
        <v>1904</v>
      </c>
      <c r="E18" s="309" t="s">
        <v>1905</v>
      </c>
      <c r="F18" s="309" t="s">
        <v>1906</v>
      </c>
      <c r="G18" s="309">
        <v>31.0</v>
      </c>
      <c r="H18" s="301"/>
      <c r="J18" s="302"/>
      <c r="K18" s="303" t="s">
        <v>1879</v>
      </c>
      <c r="L18" s="303" t="s">
        <v>1907</v>
      </c>
      <c r="M18" s="303" t="s">
        <v>1908</v>
      </c>
      <c r="O18" s="308" t="s">
        <v>1909</v>
      </c>
      <c r="P18" s="301"/>
      <c r="Q18" s="301" t="s">
        <v>1910</v>
      </c>
      <c r="R18" s="301" t="s">
        <v>1897</v>
      </c>
      <c r="S18" s="301" t="s">
        <v>1836</v>
      </c>
      <c r="T18" s="301" t="s">
        <v>1898</v>
      </c>
      <c r="U18" s="308" t="s">
        <v>1911</v>
      </c>
      <c r="V18" s="302"/>
      <c r="W18" s="301"/>
      <c r="X18" s="301" t="s">
        <v>1912</v>
      </c>
      <c r="Y18" s="308"/>
      <c r="Z18" s="308"/>
      <c r="AA18" s="301"/>
      <c r="AB18" s="301"/>
      <c r="AC18" s="308"/>
      <c r="AE18" s="312" t="s">
        <v>577</v>
      </c>
      <c r="AF18" s="301"/>
      <c r="AH18" s="307"/>
      <c r="AI18" s="301"/>
      <c r="AJ18" s="301"/>
      <c r="AK18" s="301"/>
      <c r="AL18" s="301"/>
      <c r="AM18" s="301"/>
      <c r="AN18" s="301" t="s">
        <v>1913</v>
      </c>
      <c r="AO18" s="301"/>
      <c r="AP18" s="308" t="s">
        <v>1914</v>
      </c>
      <c r="AQ18" s="301"/>
      <c r="AR18" s="308" t="s">
        <v>1915</v>
      </c>
      <c r="AT18" s="313"/>
    </row>
    <row r="19" ht="12.0" customHeight="1">
      <c r="A19" s="301"/>
      <c r="B19" s="301"/>
      <c r="C19" s="301"/>
      <c r="D19" s="309" t="s">
        <v>1916</v>
      </c>
      <c r="E19" s="309" t="s">
        <v>1917</v>
      </c>
      <c r="F19" s="309" t="s">
        <v>1918</v>
      </c>
      <c r="G19" s="309">
        <v>44.0</v>
      </c>
      <c r="H19" s="301"/>
      <c r="I19" s="302"/>
      <c r="J19" s="301"/>
      <c r="K19" s="303" t="s">
        <v>1919</v>
      </c>
      <c r="L19" s="303" t="s">
        <v>1701</v>
      </c>
      <c r="M19" s="303" t="s">
        <v>1920</v>
      </c>
      <c r="N19" s="302"/>
      <c r="O19" s="308" t="s">
        <v>1921</v>
      </c>
      <c r="P19" s="301"/>
      <c r="Q19" s="301" t="s">
        <v>1922</v>
      </c>
      <c r="R19" s="301" t="s">
        <v>1897</v>
      </c>
      <c r="S19" s="301" t="s">
        <v>1627</v>
      </c>
      <c r="T19" s="301" t="s">
        <v>1898</v>
      </c>
      <c r="U19" s="308" t="s">
        <v>1923</v>
      </c>
      <c r="V19" s="301"/>
      <c r="W19" s="301"/>
      <c r="X19" s="301" t="s">
        <v>1924</v>
      </c>
      <c r="Y19" s="308"/>
      <c r="Z19" s="308"/>
      <c r="AA19" s="301"/>
      <c r="AB19" s="301"/>
      <c r="AE19" s="312" t="s">
        <v>579</v>
      </c>
      <c r="AF19" s="301"/>
      <c r="AH19" s="307"/>
      <c r="AI19" s="301"/>
      <c r="AJ19" s="301"/>
      <c r="AK19" s="301"/>
      <c r="AL19" s="301"/>
      <c r="AM19" s="301"/>
      <c r="AN19" s="301" t="s">
        <v>1925</v>
      </c>
      <c r="AO19" s="301"/>
      <c r="AP19" s="308" t="s">
        <v>1926</v>
      </c>
      <c r="AQ19" s="301"/>
      <c r="AR19" s="308" t="s">
        <v>1927</v>
      </c>
      <c r="AT19" s="313"/>
    </row>
    <row r="20" ht="12.0" customHeight="1">
      <c r="A20" s="301"/>
      <c r="B20" s="301"/>
      <c r="C20" s="301"/>
      <c r="D20" s="309" t="s">
        <v>1928</v>
      </c>
      <c r="E20" s="309" t="s">
        <v>1929</v>
      </c>
      <c r="F20" s="309" t="s">
        <v>1930</v>
      </c>
      <c r="G20" s="309">
        <v>48.0</v>
      </c>
      <c r="H20" s="301"/>
      <c r="I20" s="301"/>
      <c r="J20" s="302"/>
      <c r="K20" s="303" t="s">
        <v>1919</v>
      </c>
      <c r="L20" s="303" t="s">
        <v>1931</v>
      </c>
      <c r="M20" s="303" t="s">
        <v>1932</v>
      </c>
      <c r="N20" s="301"/>
      <c r="O20" s="308" t="s">
        <v>1933</v>
      </c>
      <c r="P20" s="301"/>
      <c r="Q20" s="301" t="s">
        <v>1934</v>
      </c>
      <c r="R20" s="301" t="s">
        <v>1897</v>
      </c>
      <c r="S20" s="301" t="s">
        <v>1836</v>
      </c>
      <c r="T20" s="301" t="s">
        <v>1935</v>
      </c>
      <c r="U20" s="308" t="s">
        <v>1936</v>
      </c>
      <c r="V20" s="302"/>
      <c r="W20" s="301"/>
      <c r="X20" s="301" t="s">
        <v>1937</v>
      </c>
      <c r="Y20" s="308"/>
      <c r="Z20" s="308"/>
      <c r="AA20" s="301"/>
      <c r="AB20" s="301"/>
      <c r="AC20" s="308"/>
      <c r="AD20" s="308" t="s">
        <v>1938</v>
      </c>
      <c r="AE20" s="312" t="s">
        <v>583</v>
      </c>
      <c r="AF20" s="301"/>
      <c r="AH20" s="307"/>
      <c r="AI20" s="301"/>
      <c r="AJ20" s="301"/>
      <c r="AK20" s="301"/>
      <c r="AL20" s="301"/>
      <c r="AM20" s="301"/>
      <c r="AN20" s="301" t="s">
        <v>1939</v>
      </c>
      <c r="AO20" s="301"/>
      <c r="AP20" s="308" t="s">
        <v>1940</v>
      </c>
      <c r="AQ20" s="301"/>
      <c r="AR20" s="308" t="str">
        <f t="shared" ref="AR20:AR24" si="1">CONCAT(AR45, AS45)</f>
        <v/>
      </c>
      <c r="AT20" s="313"/>
    </row>
    <row r="21" ht="12.0" customHeight="1">
      <c r="A21" s="301"/>
      <c r="B21" s="301"/>
      <c r="C21" s="301"/>
      <c r="D21" s="309" t="s">
        <v>1941</v>
      </c>
      <c r="E21" s="309" t="s">
        <v>1942</v>
      </c>
      <c r="F21" s="309" t="s">
        <v>1943</v>
      </c>
      <c r="G21" s="309">
        <v>50.0</v>
      </c>
      <c r="H21" s="301"/>
      <c r="I21" s="302"/>
      <c r="J21" s="301"/>
      <c r="K21" s="303" t="s">
        <v>1919</v>
      </c>
      <c r="L21" s="303" t="s">
        <v>1944</v>
      </c>
      <c r="M21" s="303" t="s">
        <v>1945</v>
      </c>
      <c r="N21" s="302"/>
      <c r="O21" s="308" t="s">
        <v>1946</v>
      </c>
      <c r="P21" s="301"/>
      <c r="Q21" s="301" t="s">
        <v>1947</v>
      </c>
      <c r="R21" s="301" t="s">
        <v>1836</v>
      </c>
      <c r="S21" s="301" t="s">
        <v>1948</v>
      </c>
      <c r="T21" s="301" t="s">
        <v>1949</v>
      </c>
      <c r="U21" s="308" t="s">
        <v>1950</v>
      </c>
      <c r="V21" s="301"/>
      <c r="W21" s="301"/>
      <c r="X21" s="301" t="s">
        <v>1951</v>
      </c>
      <c r="Y21" s="308"/>
      <c r="Z21" s="308"/>
      <c r="AA21" s="301"/>
      <c r="AB21" s="301"/>
      <c r="AC21" s="301"/>
      <c r="AD21" s="301"/>
      <c r="AE21" s="312" t="s">
        <v>585</v>
      </c>
      <c r="AF21" s="301"/>
      <c r="AH21" s="307"/>
      <c r="AI21" s="301"/>
      <c r="AJ21" s="301"/>
      <c r="AK21" s="301"/>
      <c r="AL21" s="301"/>
      <c r="AM21" s="301"/>
      <c r="AN21" s="301" t="s">
        <v>1952</v>
      </c>
      <c r="AO21" s="301"/>
      <c r="AP21" s="308" t="s">
        <v>1953</v>
      </c>
      <c r="AQ21" s="301"/>
      <c r="AR21" s="308" t="str">
        <f t="shared" si="1"/>
        <v/>
      </c>
      <c r="AT21" s="308"/>
      <c r="AU21" s="301"/>
    </row>
    <row r="22" ht="12.0" customHeight="1">
      <c r="A22" s="301"/>
      <c r="B22" s="301"/>
      <c r="C22" s="301"/>
      <c r="D22" s="309" t="s">
        <v>1954</v>
      </c>
      <c r="E22" s="309" t="s">
        <v>1955</v>
      </c>
      <c r="F22" s="309" t="s">
        <v>1956</v>
      </c>
      <c r="G22" s="309">
        <v>52.0</v>
      </c>
      <c r="H22" s="301"/>
      <c r="I22" s="301"/>
      <c r="J22" s="302"/>
      <c r="K22" s="303" t="s">
        <v>1919</v>
      </c>
      <c r="L22" s="303" t="s">
        <v>1957</v>
      </c>
      <c r="M22" s="303" t="s">
        <v>1958</v>
      </c>
      <c r="N22" s="301"/>
      <c r="O22" s="308" t="s">
        <v>1959</v>
      </c>
      <c r="P22" s="301"/>
      <c r="Q22" s="301" t="s">
        <v>1960</v>
      </c>
      <c r="R22" s="301" t="s">
        <v>1836</v>
      </c>
      <c r="S22" s="301" t="s">
        <v>1948</v>
      </c>
      <c r="T22" s="301"/>
      <c r="U22" s="308"/>
      <c r="V22" s="302"/>
      <c r="W22" s="301"/>
      <c r="X22" s="301" t="s">
        <v>1961</v>
      </c>
      <c r="Y22" s="308"/>
      <c r="Z22" s="308"/>
      <c r="AA22" s="301"/>
      <c r="AB22" s="301"/>
      <c r="AF22" s="301"/>
      <c r="AH22" s="307"/>
      <c r="AI22" s="301"/>
      <c r="AJ22" s="301"/>
      <c r="AK22" s="301"/>
      <c r="AL22" s="301"/>
      <c r="AM22" s="301"/>
      <c r="AN22" s="301" t="s">
        <v>1962</v>
      </c>
      <c r="AO22" s="301"/>
      <c r="AP22" s="308" t="s">
        <v>1963</v>
      </c>
      <c r="AQ22" s="301"/>
      <c r="AR22" s="308" t="str">
        <f t="shared" si="1"/>
        <v/>
      </c>
      <c r="AT22" s="313"/>
    </row>
    <row r="23" ht="12.0" customHeight="1">
      <c r="A23" s="301"/>
      <c r="B23" s="301"/>
      <c r="C23" s="301"/>
      <c r="D23" s="309" t="s">
        <v>1964</v>
      </c>
      <c r="E23" s="309" t="s">
        <v>1965</v>
      </c>
      <c r="F23" s="309" t="s">
        <v>1966</v>
      </c>
      <c r="G23" s="309">
        <v>112.0</v>
      </c>
      <c r="H23" s="301"/>
      <c r="I23" s="302"/>
      <c r="J23" s="301"/>
      <c r="K23" s="303" t="s">
        <v>1967</v>
      </c>
      <c r="L23" s="303" t="s">
        <v>1756</v>
      </c>
      <c r="M23" s="303" t="s">
        <v>1968</v>
      </c>
      <c r="N23" s="302"/>
      <c r="O23" s="308"/>
      <c r="P23" s="301"/>
      <c r="Q23" s="301"/>
      <c r="R23" s="301" t="s">
        <v>1713</v>
      </c>
      <c r="S23" s="301" t="s">
        <v>1969</v>
      </c>
      <c r="T23" s="301"/>
      <c r="U23" s="308"/>
      <c r="V23" s="301"/>
      <c r="W23" s="301"/>
      <c r="X23" s="301" t="s">
        <v>1970</v>
      </c>
      <c r="Y23" s="301"/>
      <c r="Z23" s="301"/>
      <c r="AA23" s="301"/>
      <c r="AB23" s="301"/>
      <c r="AC23" s="301"/>
      <c r="AD23" s="301"/>
      <c r="AF23" s="301"/>
      <c r="AG23" s="301"/>
      <c r="AH23" s="307"/>
      <c r="AI23" s="301"/>
      <c r="AJ23" s="301"/>
      <c r="AK23" s="301"/>
      <c r="AL23" s="301"/>
      <c r="AM23" s="301"/>
      <c r="AN23" s="301" t="s">
        <v>1971</v>
      </c>
      <c r="AO23" s="301"/>
      <c r="AP23" s="308" t="s">
        <v>1972</v>
      </c>
      <c r="AQ23" s="301"/>
      <c r="AR23" s="308" t="str">
        <f t="shared" si="1"/>
        <v/>
      </c>
    </row>
    <row r="24" ht="12.0" customHeight="1">
      <c r="A24" s="301"/>
      <c r="B24" s="301"/>
      <c r="C24" s="301"/>
      <c r="D24" s="309" t="s">
        <v>1973</v>
      </c>
      <c r="E24" s="309" t="s">
        <v>1974</v>
      </c>
      <c r="F24" s="309" t="s">
        <v>1975</v>
      </c>
      <c r="G24" s="309">
        <v>56.0</v>
      </c>
      <c r="H24" s="301"/>
      <c r="I24" s="301"/>
      <c r="J24" s="301"/>
      <c r="K24" s="303" t="s">
        <v>1967</v>
      </c>
      <c r="L24" s="303" t="s">
        <v>1779</v>
      </c>
      <c r="M24" s="303" t="s">
        <v>1976</v>
      </c>
      <c r="N24" s="301"/>
      <c r="O24" s="301"/>
      <c r="P24" s="301"/>
      <c r="Q24" s="301"/>
      <c r="R24" s="301" t="s">
        <v>1713</v>
      </c>
      <c r="S24" s="301" t="s">
        <v>1977</v>
      </c>
      <c r="T24" s="301"/>
      <c r="U24" s="308"/>
      <c r="V24" s="302"/>
      <c r="W24" s="301"/>
      <c r="X24" s="301" t="s">
        <v>1978</v>
      </c>
      <c r="Y24" s="301"/>
      <c r="Z24" s="301"/>
      <c r="AA24" s="301"/>
      <c r="AB24" s="301"/>
      <c r="AD24" s="301"/>
      <c r="AE24" s="301"/>
      <c r="AF24" s="301"/>
      <c r="AG24" s="301"/>
      <c r="AH24" s="307"/>
      <c r="AI24" s="301"/>
      <c r="AJ24" s="301"/>
      <c r="AK24" s="301"/>
      <c r="AL24" s="301"/>
      <c r="AM24" s="301"/>
      <c r="AN24" s="301"/>
      <c r="AO24" s="301"/>
      <c r="AP24" s="308" t="s">
        <v>1979</v>
      </c>
      <c r="AQ24" s="301"/>
      <c r="AR24" s="308" t="str">
        <f t="shared" si="1"/>
        <v/>
      </c>
    </row>
    <row r="25" ht="12.0" customHeight="1">
      <c r="A25" s="301"/>
      <c r="B25" s="301"/>
      <c r="C25" s="301"/>
      <c r="D25" s="309" t="s">
        <v>1980</v>
      </c>
      <c r="E25" s="309" t="s">
        <v>1981</v>
      </c>
      <c r="F25" s="309" t="s">
        <v>1982</v>
      </c>
      <c r="G25" s="309">
        <v>84.0</v>
      </c>
      <c r="H25" s="307"/>
      <c r="I25" s="302"/>
      <c r="J25" s="301"/>
      <c r="K25" s="303" t="s">
        <v>1967</v>
      </c>
      <c r="L25" s="303" t="s">
        <v>1983</v>
      </c>
      <c r="M25" s="303" t="s">
        <v>1984</v>
      </c>
      <c r="N25" s="302"/>
      <c r="O25" s="301"/>
      <c r="P25" s="301"/>
      <c r="Q25" s="301"/>
      <c r="R25" s="301" t="s">
        <v>1985</v>
      </c>
      <c r="S25" s="301" t="s">
        <v>1985</v>
      </c>
      <c r="T25" s="301"/>
      <c r="U25" s="308"/>
      <c r="V25" s="301"/>
      <c r="W25" s="301"/>
      <c r="X25" s="301" t="s">
        <v>371</v>
      </c>
      <c r="Y25" s="301"/>
      <c r="Z25" s="301"/>
      <c r="AA25" s="301"/>
      <c r="AB25" s="301"/>
      <c r="AC25" s="301"/>
      <c r="AD25" s="301"/>
      <c r="AF25" s="301"/>
      <c r="AH25" s="307"/>
      <c r="AI25" s="301"/>
      <c r="AJ25" s="307"/>
      <c r="AK25" s="307"/>
      <c r="AL25" s="307"/>
      <c r="AM25" s="307"/>
      <c r="AN25" s="307"/>
      <c r="AO25" s="307"/>
      <c r="AP25" s="308" t="s">
        <v>1986</v>
      </c>
      <c r="AQ25" s="307"/>
      <c r="AR25" s="308"/>
      <c r="AS25" s="308"/>
      <c r="AT25" s="308"/>
      <c r="AU25" s="308"/>
    </row>
    <row r="26" ht="12.0" customHeight="1">
      <c r="A26" s="301"/>
      <c r="B26" s="301"/>
      <c r="C26" s="301"/>
      <c r="D26" s="309" t="s">
        <v>1987</v>
      </c>
      <c r="E26" s="309" t="s">
        <v>1988</v>
      </c>
      <c r="F26" s="309" t="s">
        <v>1989</v>
      </c>
      <c r="G26" s="309">
        <v>204.0</v>
      </c>
      <c r="H26" s="307"/>
      <c r="I26" s="301"/>
      <c r="J26" s="301"/>
      <c r="K26" s="303" t="s">
        <v>1990</v>
      </c>
      <c r="L26" s="303" t="s">
        <v>1991</v>
      </c>
      <c r="M26" s="303" t="s">
        <v>1992</v>
      </c>
      <c r="N26" s="301"/>
      <c r="O26" s="301"/>
      <c r="P26" s="301"/>
      <c r="Q26" s="301"/>
      <c r="R26" s="301"/>
      <c r="S26" s="301"/>
      <c r="T26" s="301"/>
      <c r="U26" s="307"/>
      <c r="V26" s="301"/>
      <c r="W26" s="301"/>
      <c r="X26" s="301" t="s">
        <v>1993</v>
      </c>
      <c r="Y26" s="301"/>
      <c r="Z26" s="301"/>
      <c r="AA26" s="301"/>
      <c r="AB26" s="301"/>
      <c r="AC26" s="308"/>
      <c r="AD26" s="301"/>
      <c r="AE26" s="301"/>
      <c r="AF26" s="301"/>
      <c r="AH26" s="307"/>
      <c r="AI26" s="301"/>
      <c r="AJ26" s="307"/>
      <c r="AK26" s="307"/>
      <c r="AL26" s="307"/>
      <c r="AM26" s="307"/>
      <c r="AN26" s="307"/>
      <c r="AO26" s="307"/>
      <c r="AP26" s="308" t="s">
        <v>1994</v>
      </c>
      <c r="AQ26" s="307"/>
      <c r="AR26" s="301"/>
      <c r="AS26" s="308"/>
      <c r="AT26" s="308"/>
      <c r="AU26" s="308"/>
    </row>
    <row r="27" ht="12.0" customHeight="1">
      <c r="A27" s="301"/>
      <c r="B27" s="301"/>
      <c r="C27" s="301"/>
      <c r="D27" s="309" t="s">
        <v>1995</v>
      </c>
      <c r="E27" s="309" t="s">
        <v>1996</v>
      </c>
      <c r="F27" s="309" t="s">
        <v>1997</v>
      </c>
      <c r="G27" s="309">
        <v>60.0</v>
      </c>
      <c r="H27" s="307"/>
      <c r="I27" s="302"/>
      <c r="J27" s="301"/>
      <c r="K27" s="301"/>
      <c r="L27" s="301"/>
      <c r="M27" s="301"/>
      <c r="N27" s="302"/>
      <c r="O27" s="301"/>
      <c r="P27" s="301"/>
      <c r="Q27" s="301"/>
      <c r="R27" s="301"/>
      <c r="S27" s="301"/>
      <c r="T27" s="301"/>
      <c r="U27" s="307"/>
      <c r="V27" s="301"/>
      <c r="W27" s="301"/>
      <c r="X27" s="301" t="s">
        <v>1998</v>
      </c>
      <c r="Y27" s="301"/>
      <c r="Z27" s="301"/>
      <c r="AA27" s="301"/>
      <c r="AB27" s="301"/>
      <c r="AC27" s="301"/>
      <c r="AD27" s="301"/>
      <c r="AF27" s="301"/>
      <c r="AH27" s="307"/>
      <c r="AI27" s="301"/>
      <c r="AJ27" s="307"/>
      <c r="AK27" s="307"/>
      <c r="AL27" s="307"/>
      <c r="AM27" s="307"/>
      <c r="AN27" s="307"/>
      <c r="AO27" s="307"/>
      <c r="AP27" s="308" t="s">
        <v>1999</v>
      </c>
      <c r="AQ27" s="307"/>
      <c r="AR27" s="301"/>
      <c r="AS27" s="308"/>
      <c r="AT27" s="308"/>
      <c r="AU27" s="308"/>
    </row>
    <row r="28" ht="12.0" customHeight="1">
      <c r="A28" s="301"/>
      <c r="B28" s="301"/>
      <c r="C28" s="301"/>
      <c r="D28" s="309" t="s">
        <v>2000</v>
      </c>
      <c r="E28" s="309" t="s">
        <v>2001</v>
      </c>
      <c r="F28" s="309" t="s">
        <v>2002</v>
      </c>
      <c r="G28" s="309">
        <v>64.0</v>
      </c>
      <c r="H28" s="317"/>
      <c r="I28" s="301"/>
      <c r="J28" s="301"/>
      <c r="K28" s="301"/>
      <c r="L28" s="301"/>
      <c r="M28" s="301"/>
      <c r="N28" s="301"/>
      <c r="O28" s="301"/>
      <c r="P28" s="301"/>
      <c r="Q28" s="301"/>
      <c r="R28" s="301"/>
      <c r="S28" s="301"/>
      <c r="T28" s="301"/>
      <c r="U28" s="318"/>
      <c r="V28" s="301"/>
      <c r="W28" s="301"/>
      <c r="X28" s="301" t="s">
        <v>2003</v>
      </c>
      <c r="Y28" s="301"/>
      <c r="Z28" s="301"/>
      <c r="AA28" s="301"/>
      <c r="AB28" s="301"/>
      <c r="AC28" s="308"/>
      <c r="AD28" s="301"/>
      <c r="AE28" s="301"/>
      <c r="AF28" s="301"/>
      <c r="AH28" s="307"/>
      <c r="AI28" s="301"/>
      <c r="AJ28" s="307"/>
      <c r="AK28" s="307"/>
      <c r="AL28" s="318"/>
      <c r="AM28" s="307"/>
      <c r="AN28" s="307"/>
      <c r="AO28" s="307"/>
      <c r="AP28" s="308" t="s">
        <v>2004</v>
      </c>
      <c r="AQ28" s="307"/>
      <c r="AR28" s="301"/>
      <c r="AS28" s="308"/>
      <c r="AT28" s="308"/>
      <c r="AU28" s="308"/>
    </row>
    <row r="29" ht="12.0" customHeight="1">
      <c r="A29" s="301"/>
      <c r="B29" s="301"/>
      <c r="C29" s="301"/>
      <c r="D29" s="309" t="s">
        <v>2005</v>
      </c>
      <c r="E29" s="309" t="s">
        <v>2006</v>
      </c>
      <c r="F29" s="309" t="s">
        <v>2007</v>
      </c>
      <c r="G29" s="309">
        <v>68.0</v>
      </c>
      <c r="H29" s="317"/>
      <c r="I29" s="302"/>
      <c r="J29" s="301"/>
      <c r="K29" s="301"/>
      <c r="L29" s="301"/>
      <c r="M29" s="301"/>
      <c r="N29" s="302"/>
      <c r="O29" s="301"/>
      <c r="P29" s="301"/>
      <c r="Q29" s="301"/>
      <c r="R29" s="301"/>
      <c r="S29" s="301"/>
      <c r="T29" s="301"/>
      <c r="U29" s="318"/>
      <c r="V29" s="301"/>
      <c r="W29" s="301"/>
      <c r="X29" s="301" t="s">
        <v>2008</v>
      </c>
      <c r="Y29" s="301"/>
      <c r="Z29" s="301"/>
      <c r="AA29" s="301"/>
      <c r="AB29" s="301"/>
      <c r="AC29" s="301"/>
      <c r="AD29" s="301"/>
      <c r="AF29" s="301"/>
      <c r="AH29" s="307"/>
      <c r="AI29" s="301"/>
      <c r="AJ29" s="307"/>
      <c r="AK29" s="307"/>
      <c r="AL29" s="318"/>
      <c r="AM29" s="307"/>
      <c r="AN29" s="307"/>
      <c r="AO29" s="307"/>
      <c r="AP29" s="308" t="s">
        <v>2009</v>
      </c>
      <c r="AQ29" s="307"/>
      <c r="AR29" s="301"/>
      <c r="AS29" s="301"/>
      <c r="AT29" s="301"/>
      <c r="AU29" s="301"/>
    </row>
    <row r="30" ht="12.0" customHeight="1">
      <c r="A30" s="301"/>
      <c r="B30" s="301"/>
      <c r="C30" s="301"/>
      <c r="D30" s="309" t="s">
        <v>2010</v>
      </c>
      <c r="E30" s="309" t="s">
        <v>2011</v>
      </c>
      <c r="F30" s="309" t="s">
        <v>2012</v>
      </c>
      <c r="G30" s="309">
        <v>535.0</v>
      </c>
      <c r="H30" s="317"/>
      <c r="I30" s="301"/>
      <c r="J30" s="301"/>
      <c r="K30" s="301"/>
      <c r="L30" s="301"/>
      <c r="M30" s="301"/>
      <c r="N30" s="301"/>
      <c r="O30" s="301"/>
      <c r="P30" s="301"/>
      <c r="Q30" s="301"/>
      <c r="R30" s="301"/>
      <c r="S30" s="301"/>
      <c r="T30" s="301"/>
      <c r="U30" s="318"/>
      <c r="V30" s="301"/>
      <c r="W30" s="301"/>
      <c r="X30" s="301" t="s">
        <v>2013</v>
      </c>
      <c r="Y30" s="301"/>
      <c r="Z30" s="301"/>
      <c r="AA30" s="301"/>
      <c r="AB30" s="301"/>
      <c r="AC30" s="308"/>
      <c r="AD30" s="301"/>
      <c r="AE30" s="301"/>
      <c r="AF30" s="301"/>
      <c r="AH30" s="307"/>
      <c r="AI30" s="301"/>
      <c r="AJ30" s="307"/>
      <c r="AK30" s="307"/>
      <c r="AL30" s="318"/>
      <c r="AM30" s="307"/>
      <c r="AN30" s="307"/>
      <c r="AO30" s="307"/>
      <c r="AP30" s="308" t="s">
        <v>2014</v>
      </c>
      <c r="AQ30" s="307"/>
      <c r="AR30" s="301"/>
      <c r="AS30" s="301"/>
      <c r="AT30" s="301"/>
      <c r="AU30" s="301"/>
    </row>
    <row r="31" ht="12.0" customHeight="1">
      <c r="A31" s="301"/>
      <c r="B31" s="301"/>
      <c r="C31" s="301"/>
      <c r="D31" s="309" t="s">
        <v>2015</v>
      </c>
      <c r="E31" s="309" t="s">
        <v>2016</v>
      </c>
      <c r="F31" s="309" t="s">
        <v>2017</v>
      </c>
      <c r="G31" s="309">
        <v>70.0</v>
      </c>
      <c r="H31" s="317"/>
      <c r="I31" s="302"/>
      <c r="J31" s="301"/>
      <c r="K31" s="301"/>
      <c r="L31" s="301"/>
      <c r="M31" s="301"/>
      <c r="N31" s="302"/>
      <c r="O31" s="301"/>
      <c r="P31" s="301"/>
      <c r="Q31" s="301"/>
      <c r="R31" s="301"/>
      <c r="S31" s="301"/>
      <c r="T31" s="301"/>
      <c r="U31" s="318"/>
      <c r="V31" s="301"/>
      <c r="W31" s="301"/>
      <c r="X31" s="301" t="s">
        <v>2018</v>
      </c>
      <c r="Y31" s="301"/>
      <c r="Z31" s="301"/>
      <c r="AA31" s="301"/>
      <c r="AB31" s="301"/>
      <c r="AC31" s="301"/>
      <c r="AD31" s="301"/>
      <c r="AF31" s="301"/>
      <c r="AH31" s="307"/>
      <c r="AI31" s="301"/>
      <c r="AJ31" s="307"/>
      <c r="AK31" s="307"/>
      <c r="AL31" s="318"/>
      <c r="AM31" s="307"/>
      <c r="AN31" s="307"/>
      <c r="AO31" s="307"/>
      <c r="AP31" s="308" t="s">
        <v>2019</v>
      </c>
      <c r="AQ31" s="307"/>
      <c r="AR31" s="301"/>
      <c r="AS31" s="301"/>
      <c r="AT31" s="301"/>
      <c r="AU31" s="301"/>
    </row>
    <row r="32" ht="12.0" customHeight="1">
      <c r="A32" s="301"/>
      <c r="B32" s="301"/>
      <c r="C32" s="301"/>
      <c r="D32" s="309" t="s">
        <v>2020</v>
      </c>
      <c r="E32" s="309" t="s">
        <v>2021</v>
      </c>
      <c r="F32" s="309" t="s">
        <v>2022</v>
      </c>
      <c r="G32" s="309">
        <v>72.0</v>
      </c>
      <c r="H32" s="317"/>
      <c r="I32" s="301"/>
      <c r="J32" s="301"/>
      <c r="K32" s="301"/>
      <c r="L32" s="301"/>
      <c r="M32" s="301"/>
      <c r="N32" s="301"/>
      <c r="O32" s="301"/>
      <c r="P32" s="301"/>
      <c r="Q32" s="301"/>
      <c r="R32" s="301"/>
      <c r="S32" s="301"/>
      <c r="T32" s="301"/>
      <c r="U32" s="318"/>
      <c r="V32" s="301"/>
      <c r="W32" s="301"/>
      <c r="X32" s="301" t="s">
        <v>2023</v>
      </c>
      <c r="Y32" s="301"/>
      <c r="Z32" s="301"/>
      <c r="AA32" s="301"/>
      <c r="AB32" s="301"/>
      <c r="AD32" s="301"/>
      <c r="AE32" s="301"/>
      <c r="AF32" s="301"/>
      <c r="AH32" s="307"/>
      <c r="AI32" s="301"/>
      <c r="AJ32" s="307"/>
      <c r="AK32" s="307"/>
      <c r="AL32" s="318"/>
      <c r="AM32" s="307"/>
      <c r="AN32" s="307"/>
      <c r="AO32" s="307"/>
      <c r="AP32" s="308" t="s">
        <v>2024</v>
      </c>
      <c r="AQ32" s="307"/>
      <c r="AR32" s="301"/>
      <c r="AS32" s="301"/>
      <c r="AT32" s="301"/>
      <c r="AU32" s="301"/>
    </row>
    <row r="33" ht="12.0" customHeight="1">
      <c r="A33" s="301"/>
      <c r="B33" s="301"/>
      <c r="C33" s="301"/>
      <c r="D33" s="309" t="s">
        <v>2025</v>
      </c>
      <c r="E33" s="309" t="s">
        <v>2026</v>
      </c>
      <c r="F33" s="309" t="s">
        <v>2027</v>
      </c>
      <c r="G33" s="309">
        <v>74.0</v>
      </c>
      <c r="H33" s="317"/>
      <c r="I33" s="301"/>
      <c r="J33" s="301"/>
      <c r="K33" s="301"/>
      <c r="L33" s="301"/>
      <c r="M33" s="301"/>
      <c r="N33" s="301"/>
      <c r="O33" s="301"/>
      <c r="P33" s="301"/>
      <c r="Q33" s="301"/>
      <c r="R33" s="301"/>
      <c r="S33" s="301"/>
      <c r="T33" s="301"/>
      <c r="U33" s="318"/>
      <c r="V33" s="301"/>
      <c r="W33" s="301"/>
      <c r="X33" s="301" t="s">
        <v>2028</v>
      </c>
      <c r="Y33" s="301"/>
      <c r="Z33" s="301"/>
      <c r="AA33" s="301"/>
      <c r="AB33" s="301"/>
      <c r="AC33" s="301"/>
      <c r="AD33" s="301"/>
      <c r="AF33" s="301"/>
      <c r="AH33" s="307"/>
      <c r="AI33" s="301"/>
      <c r="AJ33" s="307"/>
      <c r="AK33" s="307"/>
      <c r="AL33" s="318"/>
      <c r="AM33" s="307"/>
      <c r="AN33" s="307"/>
      <c r="AO33" s="307"/>
      <c r="AP33" s="308" t="s">
        <v>2029</v>
      </c>
      <c r="AQ33" s="307"/>
      <c r="AR33" s="301"/>
      <c r="AS33" s="301"/>
      <c r="AT33" s="301"/>
      <c r="AU33" s="301"/>
    </row>
    <row r="34" ht="12.0" customHeight="1">
      <c r="A34" s="301"/>
      <c r="B34" s="301"/>
      <c r="C34" s="301"/>
      <c r="D34" s="309" t="s">
        <v>2030</v>
      </c>
      <c r="E34" s="309" t="s">
        <v>2031</v>
      </c>
      <c r="F34" s="309" t="s">
        <v>2032</v>
      </c>
      <c r="G34" s="309">
        <v>76.0</v>
      </c>
      <c r="H34" s="317"/>
      <c r="I34" s="301"/>
      <c r="J34" s="301"/>
      <c r="K34" s="301"/>
      <c r="L34" s="301"/>
      <c r="M34" s="301"/>
      <c r="N34" s="301"/>
      <c r="O34" s="301"/>
      <c r="P34" s="301"/>
      <c r="Q34" s="301"/>
      <c r="R34" s="301"/>
      <c r="S34" s="301"/>
      <c r="T34" s="301"/>
      <c r="U34" s="318"/>
      <c r="V34" s="301"/>
      <c r="W34" s="301"/>
      <c r="X34" s="301" t="s">
        <v>2033</v>
      </c>
      <c r="Y34" s="301"/>
      <c r="Z34" s="301"/>
      <c r="AA34" s="301"/>
      <c r="AB34" s="301"/>
      <c r="AC34" s="308"/>
      <c r="AD34" s="301"/>
      <c r="AE34" s="301"/>
      <c r="AF34" s="301"/>
      <c r="AG34" s="301"/>
      <c r="AH34" s="307"/>
      <c r="AI34" s="301"/>
      <c r="AJ34" s="307"/>
      <c r="AK34" s="307"/>
      <c r="AL34" s="318"/>
      <c r="AM34" s="307"/>
      <c r="AN34" s="307"/>
      <c r="AO34" s="307"/>
      <c r="AP34" s="308" t="s">
        <v>2034</v>
      </c>
      <c r="AQ34" s="307"/>
      <c r="AR34" s="301"/>
      <c r="AS34" s="301"/>
      <c r="AT34" s="301"/>
      <c r="AU34" s="301"/>
    </row>
    <row r="35" ht="12.0" customHeight="1">
      <c r="A35" s="301"/>
      <c r="B35" s="301"/>
      <c r="C35" s="301"/>
      <c r="D35" s="309" t="s">
        <v>2035</v>
      </c>
      <c r="E35" s="309" t="s">
        <v>2036</v>
      </c>
      <c r="F35" s="309" t="s">
        <v>2037</v>
      </c>
      <c r="G35" s="309">
        <v>86.0</v>
      </c>
      <c r="H35" s="317"/>
      <c r="I35" s="301"/>
      <c r="J35" s="301"/>
      <c r="K35" s="301"/>
      <c r="L35" s="301"/>
      <c r="M35" s="301"/>
      <c r="N35" s="301"/>
      <c r="O35" s="301"/>
      <c r="P35" s="301"/>
      <c r="Q35" s="301"/>
      <c r="R35" s="301"/>
      <c r="S35" s="301"/>
      <c r="T35" s="301"/>
      <c r="U35" s="307"/>
      <c r="V35" s="301"/>
      <c r="W35" s="301"/>
      <c r="X35" s="301"/>
      <c r="Y35" s="301"/>
      <c r="Z35" s="301"/>
      <c r="AA35" s="301"/>
      <c r="AB35" s="301"/>
      <c r="AC35" s="301"/>
      <c r="AD35" s="301"/>
      <c r="AF35" s="301"/>
      <c r="AG35" s="301"/>
      <c r="AH35" s="307"/>
      <c r="AI35" s="301"/>
      <c r="AJ35" s="307"/>
      <c r="AK35" s="307"/>
      <c r="AL35" s="307"/>
      <c r="AM35" s="307"/>
      <c r="AN35" s="307"/>
      <c r="AO35" s="307"/>
      <c r="AP35" s="308" t="s">
        <v>2038</v>
      </c>
      <c r="AQ35" s="307"/>
      <c r="AR35" s="301"/>
      <c r="AS35" s="301"/>
      <c r="AT35" s="301"/>
      <c r="AU35" s="301"/>
    </row>
    <row r="36" ht="12.0" customHeight="1">
      <c r="A36" s="301"/>
      <c r="B36" s="301"/>
      <c r="C36" s="301"/>
      <c r="D36" s="309" t="s">
        <v>2039</v>
      </c>
      <c r="E36" s="309" t="s">
        <v>2040</v>
      </c>
      <c r="F36" s="309" t="s">
        <v>2041</v>
      </c>
      <c r="G36" s="309">
        <v>96.0</v>
      </c>
      <c r="H36" s="307"/>
      <c r="I36" s="301"/>
      <c r="J36" s="301"/>
      <c r="K36" s="301"/>
      <c r="L36" s="301"/>
      <c r="M36" s="301"/>
      <c r="N36" s="301"/>
      <c r="O36" s="301"/>
      <c r="P36" s="301"/>
      <c r="Q36" s="301"/>
      <c r="R36" s="301"/>
      <c r="S36" s="301"/>
      <c r="T36" s="301"/>
      <c r="U36" s="307"/>
      <c r="V36" s="301"/>
      <c r="W36" s="301"/>
      <c r="X36" s="301"/>
      <c r="Y36" s="301"/>
      <c r="Z36" s="301"/>
      <c r="AA36" s="301"/>
      <c r="AB36" s="301"/>
      <c r="AC36" s="308"/>
      <c r="AD36" s="301"/>
      <c r="AE36" s="301"/>
      <c r="AF36" s="301"/>
      <c r="AG36" s="308" t="s">
        <v>2042</v>
      </c>
      <c r="AH36" s="307"/>
      <c r="AI36" s="301"/>
      <c r="AJ36" s="307"/>
      <c r="AK36" s="307"/>
      <c r="AL36" s="307"/>
      <c r="AM36" s="307"/>
      <c r="AN36" s="307"/>
      <c r="AO36" s="307"/>
      <c r="AP36" s="308" t="s">
        <v>2043</v>
      </c>
      <c r="AQ36" s="307"/>
      <c r="AR36" s="301"/>
      <c r="AS36" s="301"/>
      <c r="AT36" s="301"/>
      <c r="AU36" s="301"/>
    </row>
    <row r="37" ht="12.0" customHeight="1">
      <c r="A37" s="301"/>
      <c r="B37" s="301"/>
      <c r="C37" s="301"/>
      <c r="D37" s="309" t="s">
        <v>2044</v>
      </c>
      <c r="E37" s="309" t="s">
        <v>2045</v>
      </c>
      <c r="F37" s="309" t="s">
        <v>2046</v>
      </c>
      <c r="G37" s="309">
        <v>100.0</v>
      </c>
      <c r="H37" s="307"/>
      <c r="I37" s="301"/>
      <c r="J37" s="301"/>
      <c r="K37" s="301"/>
      <c r="L37" s="301"/>
      <c r="M37" s="301"/>
      <c r="N37" s="301"/>
      <c r="O37" s="301"/>
      <c r="P37" s="301"/>
      <c r="Q37" s="301"/>
      <c r="R37" s="301"/>
      <c r="S37" s="301"/>
      <c r="T37" s="301"/>
      <c r="U37" s="307"/>
      <c r="V37" s="301"/>
      <c r="W37" s="301"/>
      <c r="X37" s="301"/>
      <c r="Y37" s="301"/>
      <c r="Z37" s="301"/>
      <c r="AA37" s="301"/>
      <c r="AB37" s="301"/>
      <c r="AC37" s="301"/>
      <c r="AD37" s="301"/>
      <c r="AF37" s="301"/>
      <c r="AG37" s="301"/>
      <c r="AH37" s="307"/>
      <c r="AI37" s="301"/>
      <c r="AJ37" s="307"/>
      <c r="AK37" s="307"/>
      <c r="AL37" s="307"/>
      <c r="AM37" s="307"/>
      <c r="AN37" s="307"/>
      <c r="AO37" s="307"/>
      <c r="AP37" s="308" t="s">
        <v>2047</v>
      </c>
      <c r="AQ37" s="307"/>
      <c r="AR37" s="301"/>
      <c r="AS37" s="301"/>
      <c r="AT37" s="301"/>
      <c r="AU37" s="301"/>
    </row>
    <row r="38" ht="12.0" customHeight="1">
      <c r="A38" s="301"/>
      <c r="B38" s="301"/>
      <c r="C38" s="301"/>
      <c r="D38" s="309" t="s">
        <v>2048</v>
      </c>
      <c r="E38" s="309" t="s">
        <v>2049</v>
      </c>
      <c r="F38" s="309" t="s">
        <v>2050</v>
      </c>
      <c r="G38" s="309">
        <v>854.0</v>
      </c>
      <c r="H38" s="307"/>
      <c r="I38" s="301"/>
      <c r="J38" s="301"/>
      <c r="K38" s="301"/>
      <c r="L38" s="301"/>
      <c r="M38" s="301"/>
      <c r="N38" s="301"/>
      <c r="O38" s="301"/>
      <c r="P38" s="301"/>
      <c r="Q38" s="301"/>
      <c r="R38" s="301"/>
      <c r="S38" s="301"/>
      <c r="T38" s="301"/>
      <c r="U38" s="307"/>
      <c r="V38" s="301"/>
      <c r="W38" s="301"/>
      <c r="X38" s="301"/>
      <c r="Y38" s="301"/>
      <c r="Z38" s="301"/>
      <c r="AA38" s="301"/>
      <c r="AB38" s="301"/>
      <c r="AC38" s="308"/>
      <c r="AD38" s="301"/>
      <c r="AE38" s="301"/>
      <c r="AF38" s="301"/>
      <c r="AG38" s="301" t="s">
        <v>2051</v>
      </c>
      <c r="AH38" s="307"/>
      <c r="AI38" s="301"/>
      <c r="AJ38" s="307"/>
      <c r="AK38" s="307"/>
      <c r="AL38" s="307"/>
      <c r="AM38" s="307"/>
      <c r="AN38" s="307"/>
      <c r="AO38" s="307"/>
      <c r="AP38" s="308" t="s">
        <v>2052</v>
      </c>
      <c r="AQ38" s="307"/>
      <c r="AR38" s="301"/>
      <c r="AS38" s="301"/>
      <c r="AT38" s="301"/>
      <c r="AU38" s="301"/>
    </row>
    <row r="39" ht="12.0" customHeight="1">
      <c r="A39" s="301"/>
      <c r="B39" s="301"/>
      <c r="C39" s="301"/>
      <c r="D39" s="309" t="s">
        <v>2053</v>
      </c>
      <c r="E39" s="309" t="s">
        <v>2054</v>
      </c>
      <c r="F39" s="309" t="s">
        <v>2055</v>
      </c>
      <c r="G39" s="309">
        <v>108.0</v>
      </c>
      <c r="H39" s="307"/>
      <c r="I39" s="301"/>
      <c r="J39" s="301"/>
      <c r="K39" s="301"/>
      <c r="L39" s="301"/>
      <c r="M39" s="301"/>
      <c r="N39" s="301"/>
      <c r="O39" s="301"/>
      <c r="P39" s="301"/>
      <c r="Q39" s="301"/>
      <c r="R39" s="301"/>
      <c r="S39" s="301"/>
      <c r="T39" s="301"/>
      <c r="U39" s="307"/>
      <c r="V39" s="301"/>
      <c r="W39" s="301"/>
      <c r="X39" s="301"/>
      <c r="Y39" s="301"/>
      <c r="Z39" s="301"/>
      <c r="AA39" s="301"/>
      <c r="AB39" s="301"/>
      <c r="AC39" s="301"/>
      <c r="AD39" s="301"/>
      <c r="AF39" s="301"/>
      <c r="AG39" s="301" t="s">
        <v>2056</v>
      </c>
      <c r="AH39" s="307"/>
      <c r="AI39" s="301"/>
      <c r="AJ39" s="307"/>
      <c r="AK39" s="307"/>
      <c r="AL39" s="307"/>
      <c r="AM39" s="307"/>
      <c r="AN39" s="307"/>
      <c r="AO39" s="307"/>
      <c r="AP39" s="308" t="s">
        <v>2057</v>
      </c>
      <c r="AQ39" s="307"/>
      <c r="AR39" s="301"/>
      <c r="AS39" s="301"/>
      <c r="AT39" s="301"/>
      <c r="AU39" s="301"/>
    </row>
    <row r="40" ht="12.0" customHeight="1">
      <c r="A40" s="301"/>
      <c r="B40" s="301"/>
      <c r="C40" s="301"/>
      <c r="D40" s="309" t="s">
        <v>2058</v>
      </c>
      <c r="E40" s="309" t="s">
        <v>2059</v>
      </c>
      <c r="F40" s="309" t="s">
        <v>2060</v>
      </c>
      <c r="G40" s="309">
        <v>132.0</v>
      </c>
      <c r="H40" s="307"/>
      <c r="I40" s="301"/>
      <c r="J40" s="301"/>
      <c r="K40" s="301"/>
      <c r="L40" s="301"/>
      <c r="M40" s="301"/>
      <c r="N40" s="301"/>
      <c r="O40" s="301"/>
      <c r="P40" s="308" t="s">
        <v>644</v>
      </c>
      <c r="Q40" s="301"/>
      <c r="R40" s="301"/>
      <c r="S40" s="301"/>
      <c r="T40" s="301"/>
      <c r="U40" s="307"/>
      <c r="V40" s="301"/>
      <c r="W40" s="301"/>
      <c r="X40" s="307"/>
      <c r="Y40" s="301"/>
      <c r="Z40" s="301"/>
      <c r="AA40" s="301"/>
      <c r="AB40" s="301"/>
      <c r="AD40" s="301"/>
      <c r="AE40" s="301"/>
      <c r="AF40" s="301"/>
      <c r="AG40" s="301" t="s">
        <v>2061</v>
      </c>
      <c r="AH40" s="307"/>
      <c r="AI40" s="301"/>
      <c r="AJ40" s="307"/>
      <c r="AK40" s="307"/>
      <c r="AL40" s="307"/>
      <c r="AM40" s="307"/>
      <c r="AN40" s="307"/>
      <c r="AO40" s="307"/>
      <c r="AP40" s="308" t="s">
        <v>2062</v>
      </c>
      <c r="AQ40" s="307"/>
      <c r="AR40" s="301"/>
      <c r="AS40" s="301"/>
      <c r="AT40" s="301"/>
      <c r="AU40" s="301"/>
    </row>
    <row r="41" ht="12.0" customHeight="1">
      <c r="A41" s="301"/>
      <c r="B41" s="301"/>
      <c r="C41" s="301"/>
      <c r="D41" s="309" t="s">
        <v>2063</v>
      </c>
      <c r="E41" s="309" t="s">
        <v>2064</v>
      </c>
      <c r="F41" s="309" t="s">
        <v>2065</v>
      </c>
      <c r="G41" s="309">
        <v>116.0</v>
      </c>
      <c r="H41" s="307"/>
      <c r="I41" s="301"/>
      <c r="J41" s="301"/>
      <c r="K41" s="301"/>
      <c r="L41" s="301"/>
      <c r="M41" s="301"/>
      <c r="N41" s="301"/>
      <c r="O41" s="301"/>
      <c r="P41" s="301"/>
      <c r="Q41" s="301"/>
      <c r="R41" s="301"/>
      <c r="S41" s="301"/>
      <c r="T41" s="301"/>
      <c r="U41" s="307"/>
      <c r="V41" s="301"/>
      <c r="W41" s="301"/>
      <c r="X41" s="307"/>
      <c r="Y41" s="301"/>
      <c r="Z41" s="301"/>
      <c r="AA41" s="301"/>
      <c r="AB41" s="301"/>
      <c r="AC41" s="301"/>
      <c r="AD41" s="301"/>
      <c r="AF41" s="301"/>
      <c r="AG41" s="301" t="s">
        <v>2066</v>
      </c>
      <c r="AH41" s="307"/>
      <c r="AI41" s="301"/>
      <c r="AJ41" s="307"/>
      <c r="AK41" s="307"/>
      <c r="AL41" s="307"/>
      <c r="AM41" s="307"/>
      <c r="AN41" s="307"/>
      <c r="AO41" s="307"/>
      <c r="AP41" s="308" t="s">
        <v>2067</v>
      </c>
      <c r="AQ41" s="307"/>
      <c r="AR41" s="301"/>
      <c r="AS41" s="301"/>
      <c r="AT41" s="301"/>
      <c r="AU41" s="301"/>
    </row>
    <row r="42" ht="12.0" customHeight="1">
      <c r="A42" s="301"/>
      <c r="B42" s="301"/>
      <c r="C42" s="301"/>
      <c r="D42" s="309" t="s">
        <v>2068</v>
      </c>
      <c r="E42" s="309" t="s">
        <v>2069</v>
      </c>
      <c r="F42" s="309" t="s">
        <v>2070</v>
      </c>
      <c r="G42" s="309">
        <v>120.0</v>
      </c>
      <c r="H42" s="307"/>
      <c r="I42" s="301"/>
      <c r="J42" s="301"/>
      <c r="K42" s="301"/>
      <c r="L42" s="301"/>
      <c r="M42" s="301"/>
      <c r="N42" s="301"/>
      <c r="O42" s="301"/>
      <c r="P42" s="301"/>
      <c r="Q42" s="301"/>
      <c r="R42" s="301"/>
      <c r="S42" s="301"/>
      <c r="T42" s="301"/>
      <c r="U42" s="307"/>
      <c r="V42" s="301"/>
      <c r="W42" s="301"/>
      <c r="X42" s="307"/>
      <c r="Y42" s="301"/>
      <c r="Z42" s="301"/>
      <c r="AA42" s="301"/>
      <c r="AB42" s="301"/>
      <c r="AC42" s="308"/>
      <c r="AD42" s="301"/>
      <c r="AE42" s="301"/>
      <c r="AF42" s="301"/>
      <c r="AG42" s="301" t="s">
        <v>2071</v>
      </c>
      <c r="AH42" s="307"/>
      <c r="AI42" s="301"/>
      <c r="AJ42" s="307"/>
      <c r="AK42" s="307"/>
      <c r="AL42" s="307"/>
      <c r="AM42" s="307"/>
      <c r="AN42" s="307"/>
      <c r="AO42" s="307"/>
      <c r="AP42" s="308" t="s">
        <v>2072</v>
      </c>
      <c r="AQ42" s="307"/>
      <c r="AR42" s="301"/>
      <c r="AS42" s="301"/>
      <c r="AT42" s="301"/>
      <c r="AU42" s="301"/>
    </row>
    <row r="43" ht="12.0" customHeight="1">
      <c r="A43" s="301"/>
      <c r="B43" s="301"/>
      <c r="C43" s="301"/>
      <c r="D43" s="309" t="s">
        <v>2073</v>
      </c>
      <c r="E43" s="309" t="s">
        <v>2074</v>
      </c>
      <c r="F43" s="309" t="s">
        <v>2075</v>
      </c>
      <c r="G43" s="309">
        <v>124.0</v>
      </c>
      <c r="H43" s="307"/>
      <c r="I43" s="301"/>
      <c r="J43" s="301"/>
      <c r="K43" s="301"/>
      <c r="L43" s="301"/>
      <c r="M43" s="301"/>
      <c r="N43" s="301"/>
      <c r="O43" s="301"/>
      <c r="P43" s="301"/>
      <c r="Q43" s="301"/>
      <c r="R43" s="301"/>
      <c r="S43" s="301"/>
      <c r="T43" s="301"/>
      <c r="U43" s="307"/>
      <c r="V43" s="301"/>
      <c r="W43" s="301"/>
      <c r="X43" s="307"/>
      <c r="Y43" s="301"/>
      <c r="Z43" s="301"/>
      <c r="AA43" s="301"/>
      <c r="AB43" s="301"/>
      <c r="AC43" s="301"/>
      <c r="AD43" s="301"/>
      <c r="AF43" s="301"/>
      <c r="AG43" s="301" t="s">
        <v>2076</v>
      </c>
      <c r="AH43" s="307"/>
      <c r="AI43" s="301"/>
      <c r="AJ43" s="307"/>
      <c r="AK43" s="307"/>
      <c r="AL43" s="307"/>
      <c r="AM43" s="307"/>
      <c r="AN43" s="307"/>
      <c r="AO43" s="307"/>
      <c r="AP43" s="308" t="s">
        <v>2077</v>
      </c>
      <c r="AQ43" s="307"/>
      <c r="AR43" s="301"/>
      <c r="AS43" s="301"/>
      <c r="AT43" s="301"/>
      <c r="AU43" s="301"/>
    </row>
    <row r="44" ht="12.0" customHeight="1">
      <c r="A44" s="301"/>
      <c r="B44" s="301"/>
      <c r="C44" s="301"/>
      <c r="D44" s="309" t="s">
        <v>2078</v>
      </c>
      <c r="E44" s="309" t="s">
        <v>2079</v>
      </c>
      <c r="F44" s="309" t="s">
        <v>2080</v>
      </c>
      <c r="G44" s="309">
        <v>136.0</v>
      </c>
      <c r="H44" s="307"/>
      <c r="I44" s="301"/>
      <c r="J44" s="301"/>
      <c r="K44" s="301"/>
      <c r="L44" s="301"/>
      <c r="M44" s="301"/>
      <c r="N44" s="301"/>
      <c r="O44" s="301"/>
      <c r="P44" s="301"/>
      <c r="Q44" s="301"/>
      <c r="R44" s="301"/>
      <c r="S44" s="301"/>
      <c r="T44" s="301"/>
      <c r="U44" s="307"/>
      <c r="V44" s="301"/>
      <c r="W44" s="301"/>
      <c r="X44" s="307"/>
      <c r="Y44" s="301"/>
      <c r="Z44" s="301"/>
      <c r="AA44" s="301"/>
      <c r="AB44" s="301"/>
      <c r="AC44" s="308"/>
      <c r="AD44" s="301"/>
      <c r="AE44" s="301"/>
      <c r="AF44" s="301"/>
      <c r="AG44" s="301" t="s">
        <v>2081</v>
      </c>
      <c r="AH44" s="307"/>
      <c r="AI44" s="301"/>
      <c r="AJ44" s="307"/>
      <c r="AK44" s="307"/>
      <c r="AL44" s="307"/>
      <c r="AM44" s="307"/>
      <c r="AN44" s="307"/>
      <c r="AO44" s="307"/>
      <c r="AP44" s="308" t="s">
        <v>2082</v>
      </c>
      <c r="AQ44" s="307"/>
      <c r="AR44" s="301"/>
      <c r="AS44" s="301"/>
      <c r="AT44" s="301"/>
      <c r="AU44" s="301"/>
    </row>
    <row r="45" ht="12.0" customHeight="1">
      <c r="A45" s="301"/>
      <c r="B45" s="301"/>
      <c r="C45" s="301"/>
      <c r="D45" s="309" t="s">
        <v>2083</v>
      </c>
      <c r="E45" s="309" t="s">
        <v>2084</v>
      </c>
      <c r="F45" s="309" t="s">
        <v>2085</v>
      </c>
      <c r="G45" s="309">
        <v>140.0</v>
      </c>
      <c r="H45" s="307"/>
      <c r="I45" s="301"/>
      <c r="J45" s="301"/>
      <c r="K45" s="301"/>
      <c r="L45" s="301"/>
      <c r="M45" s="301"/>
      <c r="N45" s="301"/>
      <c r="O45" s="301"/>
      <c r="P45" s="301"/>
      <c r="Q45" s="301"/>
      <c r="R45" s="301"/>
      <c r="S45" s="301"/>
      <c r="T45" s="301"/>
      <c r="U45" s="307"/>
      <c r="V45" s="301"/>
      <c r="W45" s="301"/>
      <c r="X45" s="307"/>
      <c r="Y45" s="301"/>
      <c r="Z45" s="301"/>
      <c r="AA45" s="301"/>
      <c r="AB45" s="301"/>
      <c r="AC45" s="301"/>
      <c r="AD45" s="301"/>
      <c r="AF45" s="301"/>
      <c r="AG45" s="301" t="s">
        <v>2086</v>
      </c>
      <c r="AH45" s="307"/>
      <c r="AI45" s="301"/>
      <c r="AJ45" s="307"/>
      <c r="AK45" s="307"/>
      <c r="AL45" s="307"/>
      <c r="AM45" s="307"/>
      <c r="AN45" s="307"/>
      <c r="AO45" s="307"/>
      <c r="AP45" s="308" t="s">
        <v>2087</v>
      </c>
      <c r="AQ45" s="307"/>
      <c r="AR45" s="307"/>
      <c r="AS45" s="307"/>
      <c r="AT45" s="307"/>
      <c r="AU45" s="307"/>
    </row>
    <row r="46" ht="12.0" customHeight="1">
      <c r="A46" s="301"/>
      <c r="B46" s="301"/>
      <c r="C46" s="301"/>
      <c r="D46" s="309" t="s">
        <v>2088</v>
      </c>
      <c r="E46" s="309" t="s">
        <v>2089</v>
      </c>
      <c r="F46" s="309" t="s">
        <v>2090</v>
      </c>
      <c r="G46" s="309">
        <v>148.0</v>
      </c>
      <c r="H46" s="307"/>
      <c r="I46" s="301"/>
      <c r="J46" s="301"/>
      <c r="K46" s="301"/>
      <c r="L46" s="301"/>
      <c r="M46" s="301"/>
      <c r="N46" s="301"/>
      <c r="O46" s="301"/>
      <c r="P46" s="301"/>
      <c r="Q46" s="301"/>
      <c r="R46" s="301"/>
      <c r="S46" s="301"/>
      <c r="T46" s="301"/>
      <c r="U46" s="307"/>
      <c r="V46" s="301"/>
      <c r="W46" s="301"/>
      <c r="X46" s="307"/>
      <c r="Y46" s="301"/>
      <c r="Z46" s="301"/>
      <c r="AA46" s="301"/>
      <c r="AB46" s="301"/>
      <c r="AC46" s="308"/>
      <c r="AD46" s="301"/>
      <c r="AE46" s="301"/>
      <c r="AF46" s="301"/>
      <c r="AG46" s="301" t="s">
        <v>2091</v>
      </c>
      <c r="AH46" s="307"/>
      <c r="AI46" s="301"/>
      <c r="AJ46" s="307"/>
      <c r="AK46" s="307"/>
      <c r="AL46" s="307"/>
      <c r="AM46" s="307"/>
      <c r="AN46" s="307"/>
      <c r="AO46" s="307"/>
      <c r="AP46" s="308" t="s">
        <v>2092</v>
      </c>
      <c r="AQ46" s="307"/>
      <c r="AR46" s="307"/>
      <c r="AS46" s="307"/>
      <c r="AT46" s="307"/>
      <c r="AU46" s="307"/>
    </row>
    <row r="47" ht="12.0" customHeight="1">
      <c r="A47" s="301"/>
      <c r="B47" s="301"/>
      <c r="C47" s="301"/>
      <c r="D47" s="309" t="s">
        <v>2093</v>
      </c>
      <c r="E47" s="309" t="s">
        <v>2094</v>
      </c>
      <c r="F47" s="309" t="s">
        <v>2095</v>
      </c>
      <c r="G47" s="309">
        <v>152.0</v>
      </c>
      <c r="H47" s="307"/>
      <c r="I47" s="301"/>
      <c r="J47" s="301"/>
      <c r="K47" s="301"/>
      <c r="L47" s="301"/>
      <c r="M47" s="301"/>
      <c r="N47" s="301"/>
      <c r="O47" s="301"/>
      <c r="P47" s="301"/>
      <c r="Q47" s="301"/>
      <c r="R47" s="301"/>
      <c r="S47" s="301"/>
      <c r="T47" s="301"/>
      <c r="U47" s="307"/>
      <c r="V47" s="301"/>
      <c r="W47" s="301"/>
      <c r="X47" s="307"/>
      <c r="Y47" s="301"/>
      <c r="Z47" s="301"/>
      <c r="AA47" s="301"/>
      <c r="AB47" s="301"/>
      <c r="AC47" s="301"/>
      <c r="AD47" s="301"/>
      <c r="AF47" s="301"/>
      <c r="AG47" s="301" t="s">
        <v>2096</v>
      </c>
      <c r="AH47" s="307"/>
      <c r="AI47" s="301"/>
      <c r="AJ47" s="307"/>
      <c r="AK47" s="307"/>
      <c r="AL47" s="307"/>
      <c r="AM47" s="307"/>
      <c r="AN47" s="307"/>
      <c r="AO47" s="307"/>
      <c r="AP47" s="308" t="s">
        <v>2097</v>
      </c>
      <c r="AQ47" s="307"/>
      <c r="AR47" s="307"/>
      <c r="AS47" s="307"/>
      <c r="AT47" s="307"/>
      <c r="AU47" s="307"/>
    </row>
    <row r="48" ht="12.0" customHeight="1">
      <c r="A48" s="301"/>
      <c r="B48" s="301"/>
      <c r="C48" s="301"/>
      <c r="D48" s="309" t="s">
        <v>2098</v>
      </c>
      <c r="E48" s="309" t="s">
        <v>2099</v>
      </c>
      <c r="F48" s="309" t="s">
        <v>2100</v>
      </c>
      <c r="G48" s="309">
        <v>156.0</v>
      </c>
      <c r="H48" s="307"/>
      <c r="I48" s="301"/>
      <c r="J48" s="301"/>
      <c r="K48" s="301"/>
      <c r="L48" s="301"/>
      <c r="M48" s="301"/>
      <c r="N48" s="301"/>
      <c r="O48" s="301"/>
      <c r="P48" s="301"/>
      <c r="Q48" s="301"/>
      <c r="R48" s="301"/>
      <c r="S48" s="301"/>
      <c r="T48" s="301"/>
      <c r="U48" s="307"/>
      <c r="V48" s="301"/>
      <c r="W48" s="301"/>
      <c r="X48" s="307"/>
      <c r="Y48" s="301"/>
      <c r="Z48" s="301"/>
      <c r="AA48" s="301"/>
      <c r="AB48" s="301"/>
      <c r="AD48" s="301"/>
      <c r="AE48" s="301"/>
      <c r="AF48" s="301"/>
      <c r="AG48" s="301" t="s">
        <v>2101</v>
      </c>
      <c r="AH48" s="307"/>
      <c r="AI48" s="301"/>
      <c r="AJ48" s="307"/>
      <c r="AK48" s="307"/>
      <c r="AL48" s="307"/>
      <c r="AM48" s="307"/>
      <c r="AN48" s="307"/>
      <c r="AO48" s="307"/>
      <c r="AP48" s="308" t="s">
        <v>2102</v>
      </c>
      <c r="AQ48" s="307"/>
      <c r="AR48" s="307"/>
      <c r="AS48" s="307"/>
      <c r="AT48" s="307"/>
      <c r="AU48" s="307"/>
    </row>
    <row r="49" ht="12.0" customHeight="1">
      <c r="A49" s="301"/>
      <c r="B49" s="301"/>
      <c r="C49" s="301"/>
      <c r="D49" s="309" t="s">
        <v>2103</v>
      </c>
      <c r="E49" s="309" t="s">
        <v>2104</v>
      </c>
      <c r="F49" s="309" t="s">
        <v>2105</v>
      </c>
      <c r="G49" s="309">
        <v>162.0</v>
      </c>
      <c r="H49" s="307"/>
      <c r="I49" s="301"/>
      <c r="J49" s="301"/>
      <c r="K49" s="301"/>
      <c r="L49" s="301"/>
      <c r="M49" s="301"/>
      <c r="N49" s="301"/>
      <c r="O49" s="301"/>
      <c r="P49" s="301"/>
      <c r="Q49" s="301"/>
      <c r="R49" s="301"/>
      <c r="S49" s="301"/>
      <c r="T49" s="301"/>
      <c r="U49" s="307"/>
      <c r="V49" s="301"/>
      <c r="W49" s="301"/>
      <c r="X49" s="307"/>
      <c r="Y49" s="301"/>
      <c r="Z49" s="301"/>
      <c r="AA49" s="301"/>
      <c r="AB49" s="301"/>
      <c r="AC49" s="301"/>
      <c r="AD49" s="301"/>
      <c r="AF49" s="301"/>
      <c r="AG49" s="301" t="s">
        <v>2106</v>
      </c>
      <c r="AH49" s="307"/>
      <c r="AI49" s="301"/>
      <c r="AJ49" s="307"/>
      <c r="AK49" s="307"/>
      <c r="AL49" s="307"/>
      <c r="AM49" s="307"/>
      <c r="AN49" s="307"/>
      <c r="AO49" s="307"/>
      <c r="AP49" s="308" t="s">
        <v>2107</v>
      </c>
      <c r="AQ49" s="307"/>
      <c r="AR49" s="307"/>
      <c r="AS49" s="307"/>
      <c r="AT49" s="307"/>
      <c r="AU49" s="307"/>
    </row>
    <row r="50" ht="12.0" customHeight="1">
      <c r="A50" s="301"/>
      <c r="B50" s="301"/>
      <c r="C50" s="301"/>
      <c r="D50" s="309" t="s">
        <v>2108</v>
      </c>
      <c r="E50" s="309" t="s">
        <v>2109</v>
      </c>
      <c r="F50" s="309" t="s">
        <v>2110</v>
      </c>
      <c r="G50" s="309">
        <v>166.0</v>
      </c>
      <c r="H50" s="307"/>
      <c r="I50" s="301"/>
      <c r="J50" s="301"/>
      <c r="K50" s="301"/>
      <c r="L50" s="301"/>
      <c r="M50" s="301"/>
      <c r="N50" s="301"/>
      <c r="O50" s="301"/>
      <c r="P50" s="301"/>
      <c r="Q50" s="301"/>
      <c r="R50" s="301"/>
      <c r="S50" s="301"/>
      <c r="T50" s="301"/>
      <c r="U50" s="307"/>
      <c r="V50" s="301"/>
      <c r="W50" s="301"/>
      <c r="X50" s="307"/>
      <c r="Y50" s="301"/>
      <c r="Z50" s="301"/>
      <c r="AA50" s="301"/>
      <c r="AB50" s="301"/>
      <c r="AC50" s="308"/>
      <c r="AD50" s="301"/>
      <c r="AE50" s="301"/>
      <c r="AF50" s="301"/>
      <c r="AG50" s="301" t="s">
        <v>2111</v>
      </c>
      <c r="AH50" s="307"/>
      <c r="AI50" s="301"/>
      <c r="AJ50" s="307"/>
      <c r="AK50" s="307"/>
      <c r="AL50" s="307"/>
      <c r="AM50" s="307"/>
      <c r="AN50" s="307"/>
      <c r="AO50" s="307"/>
      <c r="AP50" s="308" t="s">
        <v>2112</v>
      </c>
      <c r="AQ50" s="307"/>
      <c r="AR50" s="307"/>
      <c r="AS50" s="307"/>
      <c r="AT50" s="307"/>
      <c r="AU50" s="307"/>
    </row>
    <row r="51" ht="12.0" customHeight="1">
      <c r="A51" s="301"/>
      <c r="B51" s="301"/>
      <c r="C51" s="301"/>
      <c r="D51" s="309" t="s">
        <v>2113</v>
      </c>
      <c r="E51" s="309" t="s">
        <v>2114</v>
      </c>
      <c r="F51" s="309" t="s">
        <v>2115</v>
      </c>
      <c r="G51" s="309">
        <v>170.0</v>
      </c>
      <c r="H51" s="307"/>
      <c r="I51" s="301"/>
      <c r="J51" s="301"/>
      <c r="K51" s="301"/>
      <c r="L51" s="301"/>
      <c r="M51" s="301"/>
      <c r="N51" s="301"/>
      <c r="O51" s="301"/>
      <c r="P51" s="301"/>
      <c r="Q51" s="301"/>
      <c r="R51" s="301"/>
      <c r="S51" s="301"/>
      <c r="T51" s="301"/>
      <c r="U51" s="307"/>
      <c r="V51" s="301"/>
      <c r="W51" s="301"/>
      <c r="X51" s="307"/>
      <c r="Y51" s="301"/>
      <c r="Z51" s="301"/>
      <c r="AA51" s="301"/>
      <c r="AB51" s="301"/>
      <c r="AC51" s="301"/>
      <c r="AD51" s="301"/>
      <c r="AF51" s="301"/>
      <c r="AG51" s="301" t="s">
        <v>2116</v>
      </c>
      <c r="AH51" s="307"/>
      <c r="AI51" s="301"/>
      <c r="AJ51" s="307"/>
      <c r="AK51" s="307"/>
      <c r="AL51" s="307"/>
      <c r="AM51" s="307"/>
      <c r="AN51" s="307"/>
      <c r="AO51" s="307"/>
      <c r="AP51" s="308" t="s">
        <v>2117</v>
      </c>
      <c r="AQ51" s="307"/>
      <c r="AR51" s="307"/>
      <c r="AS51" s="307"/>
      <c r="AT51" s="307"/>
      <c r="AU51" s="307"/>
    </row>
    <row r="52" ht="12.0" customHeight="1">
      <c r="A52" s="301"/>
      <c r="B52" s="301"/>
      <c r="C52" s="301"/>
      <c r="D52" s="309" t="s">
        <v>2118</v>
      </c>
      <c r="E52" s="309" t="s">
        <v>2119</v>
      </c>
      <c r="F52" s="309" t="s">
        <v>2120</v>
      </c>
      <c r="G52" s="309">
        <v>174.0</v>
      </c>
      <c r="H52" s="307"/>
      <c r="I52" s="301"/>
      <c r="J52" s="301"/>
      <c r="K52" s="301"/>
      <c r="L52" s="301"/>
      <c r="M52" s="301"/>
      <c r="N52" s="301"/>
      <c r="O52" s="301"/>
      <c r="P52" s="301"/>
      <c r="Q52" s="301"/>
      <c r="R52" s="301"/>
      <c r="S52" s="301"/>
      <c r="T52" s="301"/>
      <c r="U52" s="307"/>
      <c r="V52" s="301"/>
      <c r="W52" s="301"/>
      <c r="X52" s="307"/>
      <c r="Y52" s="301"/>
      <c r="Z52" s="301"/>
      <c r="AA52" s="301"/>
      <c r="AB52" s="301"/>
      <c r="AC52" s="308"/>
      <c r="AD52" s="301"/>
      <c r="AE52" s="301"/>
      <c r="AF52" s="301"/>
      <c r="AG52" s="301" t="s">
        <v>2121</v>
      </c>
      <c r="AH52" s="307"/>
      <c r="AI52" s="301"/>
      <c r="AJ52" s="307"/>
      <c r="AK52" s="307"/>
      <c r="AL52" s="307"/>
      <c r="AM52" s="307"/>
      <c r="AN52" s="307"/>
      <c r="AO52" s="307"/>
      <c r="AP52" s="308" t="s">
        <v>2122</v>
      </c>
      <c r="AQ52" s="307"/>
      <c r="AR52" s="307"/>
      <c r="AS52" s="307"/>
      <c r="AT52" s="307"/>
      <c r="AU52" s="307"/>
    </row>
    <row r="53" ht="12.0" customHeight="1">
      <c r="A53" s="301"/>
      <c r="B53" s="301"/>
      <c r="C53" s="301"/>
      <c r="D53" s="309" t="s">
        <v>2123</v>
      </c>
      <c r="E53" s="309" t="s">
        <v>2124</v>
      </c>
      <c r="F53" s="309" t="s">
        <v>2125</v>
      </c>
      <c r="G53" s="309">
        <v>180.0</v>
      </c>
      <c r="H53" s="307"/>
      <c r="I53" s="301"/>
      <c r="J53" s="301"/>
      <c r="K53" s="301"/>
      <c r="L53" s="301"/>
      <c r="M53" s="301"/>
      <c r="N53" s="301"/>
      <c r="O53" s="301"/>
      <c r="P53" s="301"/>
      <c r="Q53" s="301"/>
      <c r="R53" s="301"/>
      <c r="S53" s="301"/>
      <c r="T53" s="301"/>
      <c r="U53" s="307"/>
      <c r="V53" s="301"/>
      <c r="W53" s="301"/>
      <c r="X53" s="307"/>
      <c r="Y53" s="301"/>
      <c r="Z53" s="301"/>
      <c r="AA53" s="301"/>
      <c r="AB53" s="301"/>
      <c r="AC53" s="301"/>
      <c r="AD53" s="301"/>
      <c r="AE53" s="301"/>
      <c r="AF53" s="301"/>
      <c r="AG53" s="301" t="s">
        <v>2126</v>
      </c>
      <c r="AH53" s="307"/>
      <c r="AI53" s="301"/>
      <c r="AJ53" s="307"/>
      <c r="AK53" s="307"/>
      <c r="AL53" s="307"/>
      <c r="AM53" s="307"/>
      <c r="AN53" s="307"/>
      <c r="AO53" s="307"/>
      <c r="AP53" s="308" t="s">
        <v>2127</v>
      </c>
      <c r="AQ53" s="307"/>
      <c r="AR53" s="307"/>
      <c r="AS53" s="307"/>
      <c r="AT53" s="307"/>
      <c r="AU53" s="307"/>
    </row>
    <row r="54" ht="12.0" customHeight="1">
      <c r="A54" s="301"/>
      <c r="B54" s="301"/>
      <c r="C54" s="301"/>
      <c r="D54" s="309" t="s">
        <v>2128</v>
      </c>
      <c r="E54" s="309" t="s">
        <v>2129</v>
      </c>
      <c r="F54" s="309" t="s">
        <v>2130</v>
      </c>
      <c r="G54" s="309">
        <v>178.0</v>
      </c>
      <c r="H54" s="307"/>
      <c r="I54" s="301"/>
      <c r="J54" s="301"/>
      <c r="K54" s="301"/>
      <c r="L54" s="301"/>
      <c r="M54" s="301"/>
      <c r="N54" s="301"/>
      <c r="O54" s="301"/>
      <c r="P54" s="301"/>
      <c r="Q54" s="301"/>
      <c r="R54" s="301"/>
      <c r="S54" s="301"/>
      <c r="T54" s="301"/>
      <c r="U54" s="307"/>
      <c r="V54" s="301"/>
      <c r="W54" s="301"/>
      <c r="X54" s="307"/>
      <c r="Y54" s="301"/>
      <c r="Z54" s="301"/>
      <c r="AA54" s="301"/>
      <c r="AB54" s="301"/>
      <c r="AC54" s="308"/>
      <c r="AD54" s="301"/>
      <c r="AE54" s="301"/>
      <c r="AF54" s="301"/>
      <c r="AG54" s="301" t="s">
        <v>2131</v>
      </c>
      <c r="AH54" s="307"/>
      <c r="AI54" s="301"/>
      <c r="AJ54" s="307"/>
      <c r="AK54" s="307"/>
      <c r="AL54" s="307"/>
      <c r="AM54" s="307"/>
      <c r="AN54" s="307"/>
      <c r="AO54" s="307"/>
      <c r="AP54" s="308" t="s">
        <v>2132</v>
      </c>
      <c r="AQ54" s="307"/>
      <c r="AR54" s="307"/>
      <c r="AS54" s="307"/>
      <c r="AT54" s="307"/>
      <c r="AU54" s="307"/>
    </row>
    <row r="55" ht="12.0" customHeight="1">
      <c r="A55" s="301"/>
      <c r="B55" s="301"/>
      <c r="C55" s="301"/>
      <c r="D55" s="309" t="s">
        <v>2133</v>
      </c>
      <c r="E55" s="309" t="s">
        <v>2134</v>
      </c>
      <c r="F55" s="309" t="s">
        <v>2135</v>
      </c>
      <c r="G55" s="309">
        <v>184.0</v>
      </c>
      <c r="H55" s="307"/>
      <c r="I55" s="301"/>
      <c r="J55" s="301"/>
      <c r="K55" s="301"/>
      <c r="L55" s="301"/>
      <c r="M55" s="301"/>
      <c r="N55" s="301"/>
      <c r="O55" s="301"/>
      <c r="P55" s="301"/>
      <c r="Q55" s="301"/>
      <c r="R55" s="301"/>
      <c r="S55" s="301"/>
      <c r="T55" s="301"/>
      <c r="U55" s="307"/>
      <c r="V55" s="301"/>
      <c r="W55" s="301"/>
      <c r="X55" s="307"/>
      <c r="Y55" s="301"/>
      <c r="Z55" s="301"/>
      <c r="AA55" s="301"/>
      <c r="AB55" s="301"/>
      <c r="AC55" s="301"/>
      <c r="AD55" s="301"/>
      <c r="AE55" s="301"/>
      <c r="AF55" s="301"/>
      <c r="AG55" s="301" t="s">
        <v>2136</v>
      </c>
      <c r="AH55" s="307"/>
      <c r="AI55" s="301"/>
      <c r="AJ55" s="307"/>
      <c r="AK55" s="307"/>
      <c r="AL55" s="307"/>
      <c r="AM55" s="307"/>
      <c r="AN55" s="307"/>
      <c r="AO55" s="307"/>
      <c r="AP55" s="308" t="s">
        <v>2137</v>
      </c>
      <c r="AQ55" s="307"/>
      <c r="AR55" s="307"/>
      <c r="AS55" s="307"/>
      <c r="AT55" s="307"/>
      <c r="AU55" s="307"/>
    </row>
    <row r="56" ht="12.0" customHeight="1">
      <c r="A56" s="301"/>
      <c r="B56" s="301"/>
      <c r="C56" s="301"/>
      <c r="D56" s="309" t="s">
        <v>2138</v>
      </c>
      <c r="E56" s="309" t="s">
        <v>2139</v>
      </c>
      <c r="F56" s="309" t="s">
        <v>2140</v>
      </c>
      <c r="G56" s="309">
        <v>188.0</v>
      </c>
      <c r="H56" s="307"/>
      <c r="I56" s="301"/>
      <c r="J56" s="301"/>
      <c r="K56" s="301"/>
      <c r="L56" s="301"/>
      <c r="M56" s="301"/>
      <c r="N56" s="301"/>
      <c r="O56" s="301"/>
      <c r="P56" s="301"/>
      <c r="Q56" s="301"/>
      <c r="R56" s="301"/>
      <c r="S56" s="301"/>
      <c r="T56" s="301"/>
      <c r="U56" s="307"/>
      <c r="V56" s="301"/>
      <c r="W56" s="301"/>
      <c r="X56" s="307"/>
      <c r="Y56" s="301"/>
      <c r="Z56" s="301"/>
      <c r="AA56" s="301"/>
      <c r="AB56" s="301"/>
      <c r="AD56" s="301"/>
      <c r="AE56" s="301"/>
      <c r="AF56" s="301"/>
      <c r="AG56" s="301" t="s">
        <v>1713</v>
      </c>
      <c r="AH56" s="307"/>
      <c r="AI56" s="301"/>
      <c r="AJ56" s="307"/>
      <c r="AK56" s="307"/>
      <c r="AL56" s="307"/>
      <c r="AM56" s="307"/>
      <c r="AN56" s="307"/>
      <c r="AO56" s="307"/>
      <c r="AP56" s="308" t="s">
        <v>2141</v>
      </c>
      <c r="AQ56" s="307"/>
      <c r="AR56" s="307"/>
      <c r="AS56" s="307"/>
      <c r="AT56" s="307"/>
      <c r="AU56" s="307"/>
    </row>
    <row r="57" ht="12.0" customHeight="1">
      <c r="A57" s="301"/>
      <c r="B57" s="301"/>
      <c r="C57" s="301"/>
      <c r="D57" s="309" t="s">
        <v>2142</v>
      </c>
      <c r="E57" s="309" t="s">
        <v>2143</v>
      </c>
      <c r="F57" s="309" t="s">
        <v>2144</v>
      </c>
      <c r="G57" s="309">
        <v>191.0</v>
      </c>
      <c r="H57" s="307"/>
      <c r="I57" s="301"/>
      <c r="J57" s="301"/>
      <c r="K57" s="301"/>
      <c r="L57" s="301"/>
      <c r="M57" s="301"/>
      <c r="N57" s="301"/>
      <c r="O57" s="301"/>
      <c r="P57" s="301"/>
      <c r="Q57" s="301"/>
      <c r="R57" s="301"/>
      <c r="S57" s="301"/>
      <c r="T57" s="301"/>
      <c r="U57" s="307"/>
      <c r="V57" s="301"/>
      <c r="W57" s="301"/>
      <c r="X57" s="307"/>
      <c r="Y57" s="301"/>
      <c r="Z57" s="301"/>
      <c r="AA57" s="301"/>
      <c r="AB57" s="301"/>
      <c r="AC57" s="301"/>
      <c r="AD57" s="301"/>
      <c r="AE57" s="301"/>
      <c r="AF57" s="301"/>
      <c r="AG57" s="301"/>
      <c r="AH57" s="307"/>
      <c r="AI57" s="301"/>
      <c r="AJ57" s="307"/>
      <c r="AK57" s="307"/>
      <c r="AL57" s="307"/>
      <c r="AM57" s="307"/>
      <c r="AN57" s="307"/>
      <c r="AO57" s="307"/>
      <c r="AP57" s="308" t="s">
        <v>2145</v>
      </c>
      <c r="AQ57" s="307"/>
      <c r="AR57" s="307"/>
      <c r="AS57" s="307"/>
      <c r="AT57" s="307"/>
      <c r="AU57" s="307"/>
    </row>
    <row r="58" ht="12.0" customHeight="1">
      <c r="A58" s="301"/>
      <c r="B58" s="301"/>
      <c r="C58" s="301"/>
      <c r="D58" s="309" t="s">
        <v>2146</v>
      </c>
      <c r="E58" s="309" t="s">
        <v>2147</v>
      </c>
      <c r="F58" s="309" t="s">
        <v>2148</v>
      </c>
      <c r="G58" s="309">
        <v>192.0</v>
      </c>
      <c r="H58" s="307"/>
      <c r="I58" s="301"/>
      <c r="J58" s="301"/>
      <c r="K58" s="301"/>
      <c r="L58" s="301"/>
      <c r="M58" s="301"/>
      <c r="N58" s="301"/>
      <c r="O58" s="301"/>
      <c r="P58" s="301"/>
      <c r="Q58" s="301"/>
      <c r="R58" s="301"/>
      <c r="S58" s="301"/>
      <c r="T58" s="301"/>
      <c r="U58" s="307"/>
      <c r="V58" s="301"/>
      <c r="W58" s="301"/>
      <c r="X58" s="307"/>
      <c r="Y58" s="301"/>
      <c r="Z58" s="301"/>
      <c r="AA58" s="301"/>
      <c r="AB58" s="301"/>
      <c r="AC58" s="308"/>
      <c r="AD58" s="301"/>
      <c r="AE58" s="301"/>
      <c r="AF58" s="301"/>
      <c r="AG58" s="301"/>
      <c r="AH58" s="307"/>
      <c r="AI58" s="301"/>
      <c r="AJ58" s="307"/>
      <c r="AK58" s="307"/>
      <c r="AL58" s="307"/>
      <c r="AM58" s="307"/>
      <c r="AN58" s="307"/>
      <c r="AO58" s="307"/>
      <c r="AP58" s="308" t="s">
        <v>2149</v>
      </c>
      <c r="AQ58" s="307"/>
      <c r="AR58" s="307"/>
      <c r="AS58" s="307"/>
      <c r="AT58" s="307"/>
      <c r="AU58" s="307"/>
    </row>
    <row r="59" ht="12.0" customHeight="1">
      <c r="A59" s="301"/>
      <c r="B59" s="301"/>
      <c r="C59" s="301"/>
      <c r="D59" s="309" t="s">
        <v>2150</v>
      </c>
      <c r="E59" s="309" t="s">
        <v>2151</v>
      </c>
      <c r="F59" s="309" t="s">
        <v>2152</v>
      </c>
      <c r="G59" s="309">
        <v>531.0</v>
      </c>
      <c r="H59" s="307"/>
      <c r="I59" s="301"/>
      <c r="J59" s="301"/>
      <c r="K59" s="301"/>
      <c r="L59" s="301"/>
      <c r="M59" s="301"/>
      <c r="N59" s="301"/>
      <c r="O59" s="301"/>
      <c r="P59" s="301"/>
      <c r="Q59" s="301"/>
      <c r="R59" s="301"/>
      <c r="S59" s="301"/>
      <c r="T59" s="301"/>
      <c r="U59" s="307"/>
      <c r="V59" s="301"/>
      <c r="W59" s="301"/>
      <c r="X59" s="307"/>
      <c r="Y59" s="301"/>
      <c r="Z59" s="301"/>
      <c r="AA59" s="301"/>
      <c r="AB59" s="301"/>
      <c r="AC59" s="301"/>
      <c r="AD59" s="301"/>
      <c r="AE59" s="301"/>
      <c r="AF59" s="301"/>
      <c r="AG59" s="301"/>
      <c r="AH59" s="307"/>
      <c r="AI59" s="301"/>
      <c r="AJ59" s="307"/>
      <c r="AK59" s="307"/>
      <c r="AL59" s="307"/>
      <c r="AM59" s="307"/>
      <c r="AN59" s="307"/>
      <c r="AO59" s="307"/>
      <c r="AP59" s="308" t="s">
        <v>2153</v>
      </c>
      <c r="AQ59" s="307"/>
      <c r="AR59" s="307"/>
      <c r="AS59" s="307"/>
      <c r="AT59" s="307"/>
      <c r="AU59" s="307"/>
    </row>
    <row r="60" ht="12.0" customHeight="1">
      <c r="A60" s="301"/>
      <c r="B60" s="301"/>
      <c r="C60" s="301"/>
      <c r="D60" s="309" t="s">
        <v>2154</v>
      </c>
      <c r="E60" s="309" t="s">
        <v>2155</v>
      </c>
      <c r="F60" s="309" t="s">
        <v>2156</v>
      </c>
      <c r="G60" s="309">
        <v>196.0</v>
      </c>
      <c r="H60" s="307"/>
      <c r="I60" s="301"/>
      <c r="J60" s="301"/>
      <c r="K60" s="301"/>
      <c r="L60" s="301"/>
      <c r="M60" s="301"/>
      <c r="N60" s="301"/>
      <c r="O60" s="301"/>
      <c r="P60" s="301"/>
      <c r="Q60" s="301"/>
      <c r="R60" s="301"/>
      <c r="S60" s="301"/>
      <c r="T60" s="301"/>
      <c r="U60" s="307"/>
      <c r="V60" s="301"/>
      <c r="W60" s="301"/>
      <c r="X60" s="307"/>
      <c r="Y60" s="301"/>
      <c r="Z60" s="301"/>
      <c r="AA60" s="301"/>
      <c r="AB60" s="301"/>
      <c r="AC60" s="308"/>
      <c r="AD60" s="301"/>
      <c r="AE60" s="301"/>
      <c r="AF60" s="301"/>
      <c r="AG60" s="301"/>
      <c r="AH60" s="307"/>
      <c r="AI60" s="301"/>
      <c r="AJ60" s="307"/>
      <c r="AK60" s="307"/>
      <c r="AL60" s="307"/>
      <c r="AM60" s="307"/>
      <c r="AN60" s="307"/>
      <c r="AO60" s="307"/>
      <c r="AP60" s="308" t="s">
        <v>2157</v>
      </c>
      <c r="AQ60" s="307"/>
      <c r="AR60" s="307"/>
      <c r="AS60" s="307"/>
      <c r="AT60" s="307"/>
      <c r="AU60" s="307"/>
    </row>
    <row r="61" ht="12.0" customHeight="1">
      <c r="A61" s="301"/>
      <c r="B61" s="301"/>
      <c r="C61" s="301"/>
      <c r="D61" s="309" t="s">
        <v>2158</v>
      </c>
      <c r="E61" s="309" t="s">
        <v>2159</v>
      </c>
      <c r="F61" s="309" t="s">
        <v>2160</v>
      </c>
      <c r="G61" s="309">
        <v>203.0</v>
      </c>
      <c r="H61" s="307"/>
      <c r="I61" s="301"/>
      <c r="J61" s="301"/>
      <c r="K61" s="301"/>
      <c r="L61" s="301"/>
      <c r="M61" s="301"/>
      <c r="N61" s="301"/>
      <c r="O61" s="301"/>
      <c r="P61" s="301"/>
      <c r="Q61" s="301"/>
      <c r="R61" s="301"/>
      <c r="S61" s="301"/>
      <c r="T61" s="301"/>
      <c r="U61" s="307"/>
      <c r="V61" s="301"/>
      <c r="W61" s="301"/>
      <c r="X61" s="307"/>
      <c r="Y61" s="301"/>
      <c r="Z61" s="301"/>
      <c r="AA61" s="301"/>
      <c r="AB61" s="301"/>
      <c r="AC61" s="301"/>
      <c r="AD61" s="301"/>
      <c r="AE61" s="301"/>
      <c r="AF61" s="301"/>
      <c r="AG61" s="301"/>
      <c r="AH61" s="307"/>
      <c r="AI61" s="301"/>
      <c r="AJ61" s="307"/>
      <c r="AK61" s="307"/>
      <c r="AL61" s="307"/>
      <c r="AM61" s="307"/>
      <c r="AN61" s="307"/>
      <c r="AO61" s="307"/>
      <c r="AP61" s="308" t="s">
        <v>2161</v>
      </c>
      <c r="AQ61" s="307"/>
      <c r="AR61" s="307"/>
      <c r="AS61" s="307"/>
      <c r="AT61" s="307"/>
      <c r="AU61" s="307"/>
    </row>
    <row r="62" ht="12.0" customHeight="1">
      <c r="A62" s="301"/>
      <c r="B62" s="301"/>
      <c r="C62" s="301"/>
      <c r="D62" s="309" t="s">
        <v>2162</v>
      </c>
      <c r="E62" s="309" t="s">
        <v>2163</v>
      </c>
      <c r="F62" s="309" t="s">
        <v>2164</v>
      </c>
      <c r="G62" s="309">
        <v>384.0</v>
      </c>
      <c r="H62" s="307"/>
      <c r="I62" s="301"/>
      <c r="J62" s="301"/>
      <c r="K62" s="301"/>
      <c r="L62" s="301"/>
      <c r="M62" s="301"/>
      <c r="N62" s="301"/>
      <c r="O62" s="301"/>
      <c r="P62" s="301"/>
      <c r="Q62" s="301"/>
      <c r="R62" s="301"/>
      <c r="S62" s="301"/>
      <c r="T62" s="301"/>
      <c r="U62" s="307"/>
      <c r="V62" s="301"/>
      <c r="W62" s="301"/>
      <c r="X62" s="307"/>
      <c r="Y62" s="301"/>
      <c r="Z62" s="301"/>
      <c r="AA62" s="301"/>
      <c r="AB62" s="301"/>
      <c r="AC62" s="308"/>
      <c r="AD62" s="301"/>
      <c r="AE62" s="301"/>
      <c r="AF62" s="301"/>
      <c r="AG62" s="301"/>
      <c r="AH62" s="307"/>
      <c r="AI62" s="301"/>
      <c r="AJ62" s="307"/>
      <c r="AK62" s="307"/>
      <c r="AL62" s="307"/>
      <c r="AM62" s="307"/>
      <c r="AN62" s="307"/>
      <c r="AO62" s="307"/>
      <c r="AP62" s="308" t="s">
        <v>2165</v>
      </c>
      <c r="AQ62" s="307"/>
      <c r="AR62" s="307"/>
      <c r="AS62" s="307"/>
      <c r="AT62" s="307"/>
      <c r="AU62" s="307"/>
    </row>
    <row r="63" ht="12.0" customHeight="1">
      <c r="A63" s="301"/>
      <c r="B63" s="301"/>
      <c r="C63" s="301"/>
      <c r="D63" s="309" t="s">
        <v>2166</v>
      </c>
      <c r="E63" s="309" t="s">
        <v>2167</v>
      </c>
      <c r="F63" s="309" t="s">
        <v>2168</v>
      </c>
      <c r="G63" s="309">
        <v>208.0</v>
      </c>
      <c r="H63" s="307"/>
      <c r="I63" s="301"/>
      <c r="J63" s="301"/>
      <c r="K63" s="301"/>
      <c r="L63" s="301"/>
      <c r="M63" s="301"/>
      <c r="N63" s="301"/>
      <c r="O63" s="301"/>
      <c r="P63" s="301"/>
      <c r="Q63" s="301"/>
      <c r="R63" s="301"/>
      <c r="S63" s="301"/>
      <c r="T63" s="301"/>
      <c r="U63" s="307"/>
      <c r="V63" s="301"/>
      <c r="W63" s="301"/>
      <c r="X63" s="307"/>
      <c r="Y63" s="301"/>
      <c r="Z63" s="301"/>
      <c r="AA63" s="301"/>
      <c r="AB63" s="301"/>
      <c r="AC63" s="301"/>
      <c r="AD63" s="301"/>
      <c r="AE63" s="301"/>
      <c r="AF63" s="301"/>
      <c r="AG63" s="301"/>
      <c r="AH63" s="307"/>
      <c r="AI63" s="301"/>
      <c r="AJ63" s="307"/>
      <c r="AK63" s="307"/>
      <c r="AL63" s="307"/>
      <c r="AM63" s="307"/>
      <c r="AN63" s="307"/>
      <c r="AO63" s="307"/>
      <c r="AP63" s="308" t="s">
        <v>2169</v>
      </c>
      <c r="AQ63" s="307"/>
      <c r="AR63" s="307"/>
      <c r="AS63" s="307"/>
      <c r="AT63" s="307"/>
      <c r="AU63" s="307"/>
    </row>
    <row r="64" ht="12.0" customHeight="1">
      <c r="A64" s="301"/>
      <c r="B64" s="301"/>
      <c r="C64" s="301"/>
      <c r="D64" s="309" t="s">
        <v>2170</v>
      </c>
      <c r="E64" s="309" t="s">
        <v>2171</v>
      </c>
      <c r="F64" s="309" t="s">
        <v>2172</v>
      </c>
      <c r="G64" s="309">
        <v>262.0</v>
      </c>
      <c r="H64" s="307"/>
      <c r="I64" s="301"/>
      <c r="J64" s="301"/>
      <c r="K64" s="301"/>
      <c r="L64" s="301"/>
      <c r="M64" s="301"/>
      <c r="N64" s="301"/>
      <c r="O64" s="301"/>
      <c r="P64" s="301"/>
      <c r="Q64" s="301"/>
      <c r="R64" s="301"/>
      <c r="S64" s="301"/>
      <c r="T64" s="301"/>
      <c r="U64" s="307"/>
      <c r="V64" s="301"/>
      <c r="W64" s="301"/>
      <c r="X64" s="307"/>
      <c r="Y64" s="301"/>
      <c r="Z64" s="301"/>
      <c r="AA64" s="301"/>
      <c r="AB64" s="301"/>
      <c r="AC64" s="308"/>
      <c r="AD64" s="301"/>
      <c r="AE64" s="301"/>
      <c r="AF64" s="301"/>
      <c r="AG64" s="301"/>
      <c r="AH64" s="307"/>
      <c r="AI64" s="301"/>
      <c r="AJ64" s="307"/>
      <c r="AK64" s="307"/>
      <c r="AL64" s="307"/>
      <c r="AM64" s="307"/>
      <c r="AN64" s="307"/>
      <c r="AO64" s="307"/>
      <c r="AP64" s="308" t="s">
        <v>2173</v>
      </c>
      <c r="AQ64" s="307"/>
      <c r="AR64" s="307"/>
      <c r="AS64" s="307"/>
      <c r="AT64" s="307"/>
      <c r="AU64" s="307"/>
    </row>
    <row r="65" ht="12.0" customHeight="1">
      <c r="A65" s="301"/>
      <c r="B65" s="301"/>
      <c r="C65" s="301"/>
      <c r="D65" s="309" t="s">
        <v>2174</v>
      </c>
      <c r="E65" s="309" t="s">
        <v>2175</v>
      </c>
      <c r="F65" s="309" t="s">
        <v>2176</v>
      </c>
      <c r="G65" s="309">
        <v>212.0</v>
      </c>
      <c r="H65" s="307"/>
      <c r="I65" s="301"/>
      <c r="J65" s="301"/>
      <c r="K65" s="301"/>
      <c r="L65" s="301"/>
      <c r="M65" s="301"/>
      <c r="N65" s="301"/>
      <c r="O65" s="301"/>
      <c r="P65" s="301"/>
      <c r="Q65" s="301"/>
      <c r="R65" s="301"/>
      <c r="S65" s="301"/>
      <c r="T65" s="301"/>
      <c r="U65" s="307"/>
      <c r="V65" s="301"/>
      <c r="W65" s="301"/>
      <c r="X65" s="307"/>
      <c r="Y65" s="301"/>
      <c r="Z65" s="301"/>
      <c r="AA65" s="301"/>
      <c r="AB65" s="301"/>
      <c r="AC65" s="301"/>
      <c r="AD65" s="301"/>
      <c r="AE65" s="301"/>
      <c r="AF65" s="301"/>
      <c r="AG65" s="301"/>
      <c r="AH65" s="307"/>
      <c r="AI65" s="301"/>
      <c r="AJ65" s="307"/>
      <c r="AK65" s="307"/>
      <c r="AL65" s="307"/>
      <c r="AM65" s="307"/>
      <c r="AN65" s="307"/>
      <c r="AO65" s="307"/>
      <c r="AP65" s="308" t="s">
        <v>2177</v>
      </c>
      <c r="AQ65" s="307"/>
      <c r="AR65" s="307"/>
      <c r="AS65" s="307"/>
      <c r="AT65" s="307"/>
      <c r="AU65" s="307"/>
    </row>
    <row r="66" ht="12.0" customHeight="1">
      <c r="A66" s="301"/>
      <c r="B66" s="301"/>
      <c r="C66" s="301"/>
      <c r="D66" s="309" t="s">
        <v>2178</v>
      </c>
      <c r="E66" s="309" t="s">
        <v>2179</v>
      </c>
      <c r="F66" s="309" t="s">
        <v>2180</v>
      </c>
      <c r="G66" s="309">
        <v>214.0</v>
      </c>
      <c r="H66" s="307"/>
      <c r="I66" s="301"/>
      <c r="J66" s="301"/>
      <c r="K66" s="301"/>
      <c r="L66" s="301"/>
      <c r="M66" s="301"/>
      <c r="N66" s="301"/>
      <c r="O66" s="301"/>
      <c r="P66" s="301"/>
      <c r="Q66" s="301"/>
      <c r="R66" s="301"/>
      <c r="S66" s="301"/>
      <c r="T66" s="301"/>
      <c r="U66" s="307"/>
      <c r="V66" s="301"/>
      <c r="W66" s="301"/>
      <c r="X66" s="307"/>
      <c r="Y66" s="301"/>
      <c r="Z66" s="301"/>
      <c r="AA66" s="301"/>
      <c r="AB66" s="301"/>
      <c r="AC66" s="301"/>
      <c r="AD66" s="301"/>
      <c r="AE66" s="301"/>
      <c r="AF66" s="301"/>
      <c r="AG66" s="301"/>
      <c r="AH66" s="307"/>
      <c r="AI66" s="301"/>
      <c r="AJ66" s="307"/>
      <c r="AK66" s="307"/>
      <c r="AL66" s="307"/>
      <c r="AM66" s="307"/>
      <c r="AN66" s="307"/>
      <c r="AO66" s="307"/>
      <c r="AP66" s="308" t="s">
        <v>2181</v>
      </c>
      <c r="AQ66" s="307"/>
      <c r="AR66" s="307"/>
      <c r="AS66" s="307"/>
      <c r="AT66" s="307"/>
      <c r="AU66" s="307"/>
    </row>
    <row r="67" ht="12.0" customHeight="1">
      <c r="A67" s="301"/>
      <c r="B67" s="301"/>
      <c r="C67" s="301"/>
      <c r="D67" s="309" t="s">
        <v>2182</v>
      </c>
      <c r="E67" s="309" t="s">
        <v>2183</v>
      </c>
      <c r="F67" s="309" t="s">
        <v>2184</v>
      </c>
      <c r="G67" s="309">
        <v>218.0</v>
      </c>
      <c r="H67" s="307"/>
      <c r="I67" s="301"/>
      <c r="J67" s="301"/>
      <c r="K67" s="301"/>
      <c r="L67" s="301"/>
      <c r="M67" s="301"/>
      <c r="N67" s="301"/>
      <c r="O67" s="301"/>
      <c r="P67" s="301"/>
      <c r="Q67" s="301"/>
      <c r="R67" s="301"/>
      <c r="S67" s="301"/>
      <c r="T67" s="301"/>
      <c r="U67" s="307"/>
      <c r="V67" s="301"/>
      <c r="W67" s="301"/>
      <c r="X67" s="307"/>
      <c r="Y67" s="301"/>
      <c r="Z67" s="301"/>
      <c r="AA67" s="301"/>
      <c r="AB67" s="301"/>
      <c r="AC67" s="301"/>
      <c r="AD67" s="301"/>
      <c r="AE67" s="301"/>
      <c r="AF67" s="301"/>
      <c r="AG67" s="301"/>
      <c r="AH67" s="307"/>
      <c r="AI67" s="301"/>
      <c r="AJ67" s="307"/>
      <c r="AK67" s="307"/>
      <c r="AL67" s="307"/>
      <c r="AM67" s="307"/>
      <c r="AN67" s="307"/>
      <c r="AO67" s="307"/>
      <c r="AP67" s="308" t="s">
        <v>2185</v>
      </c>
      <c r="AQ67" s="307"/>
      <c r="AR67" s="307"/>
      <c r="AS67" s="307"/>
      <c r="AT67" s="307"/>
      <c r="AU67" s="307"/>
    </row>
    <row r="68" ht="12.0" customHeight="1">
      <c r="A68" s="301"/>
      <c r="B68" s="301"/>
      <c r="C68" s="301"/>
      <c r="D68" s="309" t="s">
        <v>2186</v>
      </c>
      <c r="E68" s="309" t="s">
        <v>2187</v>
      </c>
      <c r="F68" s="309" t="s">
        <v>2188</v>
      </c>
      <c r="G68" s="309">
        <v>818.0</v>
      </c>
      <c r="H68" s="307"/>
      <c r="I68" s="301"/>
      <c r="J68" s="301"/>
      <c r="K68" s="301"/>
      <c r="L68" s="301"/>
      <c r="M68" s="301"/>
      <c r="N68" s="301"/>
      <c r="O68" s="301"/>
      <c r="P68" s="301"/>
      <c r="Q68" s="301"/>
      <c r="R68" s="301"/>
      <c r="S68" s="301"/>
      <c r="T68" s="301"/>
      <c r="U68" s="307"/>
      <c r="V68" s="301"/>
      <c r="W68" s="301"/>
      <c r="X68" s="307"/>
      <c r="Y68" s="301"/>
      <c r="Z68" s="301"/>
      <c r="AA68" s="301"/>
      <c r="AB68" s="301"/>
      <c r="AC68" s="301"/>
      <c r="AD68" s="301"/>
      <c r="AE68" s="301"/>
      <c r="AF68" s="301"/>
      <c r="AG68" s="301"/>
      <c r="AH68" s="307"/>
      <c r="AI68" s="301"/>
      <c r="AJ68" s="307"/>
      <c r="AK68" s="307"/>
      <c r="AL68" s="307"/>
      <c r="AM68" s="307"/>
      <c r="AN68" s="307"/>
      <c r="AO68" s="307"/>
      <c r="AP68" s="308" t="s">
        <v>2189</v>
      </c>
      <c r="AQ68" s="307"/>
      <c r="AR68" s="307"/>
      <c r="AS68" s="307"/>
      <c r="AT68" s="307"/>
      <c r="AU68" s="307"/>
    </row>
    <row r="69" ht="12.0" customHeight="1">
      <c r="A69" s="301"/>
      <c r="B69" s="301"/>
      <c r="C69" s="301"/>
      <c r="D69" s="309" t="s">
        <v>2190</v>
      </c>
      <c r="E69" s="309" t="s">
        <v>2191</v>
      </c>
      <c r="F69" s="309" t="s">
        <v>2192</v>
      </c>
      <c r="G69" s="309">
        <v>222.0</v>
      </c>
      <c r="H69" s="307"/>
      <c r="I69" s="301"/>
      <c r="J69" s="301"/>
      <c r="K69" s="301"/>
      <c r="L69" s="301"/>
      <c r="M69" s="301"/>
      <c r="N69" s="301"/>
      <c r="O69" s="301"/>
      <c r="P69" s="301"/>
      <c r="Q69" s="301"/>
      <c r="R69" s="301"/>
      <c r="S69" s="301"/>
      <c r="T69" s="301"/>
      <c r="U69" s="307"/>
      <c r="V69" s="301"/>
      <c r="W69" s="301"/>
      <c r="X69" s="307"/>
      <c r="Y69" s="301"/>
      <c r="Z69" s="301"/>
      <c r="AA69" s="301"/>
      <c r="AB69" s="301"/>
      <c r="AC69" s="301"/>
      <c r="AD69" s="301"/>
      <c r="AE69" s="301"/>
      <c r="AF69" s="301"/>
      <c r="AG69" s="301"/>
      <c r="AH69" s="307"/>
      <c r="AI69" s="301"/>
      <c r="AJ69" s="307"/>
      <c r="AK69" s="307"/>
      <c r="AL69" s="307"/>
      <c r="AM69" s="307"/>
      <c r="AN69" s="307"/>
      <c r="AO69" s="307"/>
      <c r="AP69" s="308" t="s">
        <v>2193</v>
      </c>
      <c r="AQ69" s="307"/>
      <c r="AR69" s="307"/>
      <c r="AS69" s="307"/>
      <c r="AT69" s="307"/>
      <c r="AU69" s="307"/>
    </row>
    <row r="70" ht="12.0" customHeight="1">
      <c r="A70" s="301"/>
      <c r="B70" s="301"/>
      <c r="C70" s="301"/>
      <c r="D70" s="309" t="s">
        <v>2194</v>
      </c>
      <c r="E70" s="309" t="s">
        <v>2195</v>
      </c>
      <c r="F70" s="309" t="s">
        <v>2196</v>
      </c>
      <c r="G70" s="309">
        <v>226.0</v>
      </c>
      <c r="H70" s="307"/>
      <c r="I70" s="301"/>
      <c r="J70" s="301"/>
      <c r="K70" s="301"/>
      <c r="L70" s="301"/>
      <c r="M70" s="301"/>
      <c r="N70" s="301"/>
      <c r="O70" s="301"/>
      <c r="P70" s="301"/>
      <c r="Q70" s="301"/>
      <c r="R70" s="301"/>
      <c r="S70" s="301"/>
      <c r="T70" s="301"/>
      <c r="U70" s="307"/>
      <c r="V70" s="301"/>
      <c r="W70" s="301"/>
      <c r="X70" s="307"/>
      <c r="Y70" s="301"/>
      <c r="Z70" s="301"/>
      <c r="AA70" s="301"/>
      <c r="AB70" s="301"/>
      <c r="AC70" s="301"/>
      <c r="AD70" s="301"/>
      <c r="AE70" s="301"/>
      <c r="AF70" s="301"/>
      <c r="AG70" s="301"/>
      <c r="AH70" s="307"/>
      <c r="AI70" s="301"/>
      <c r="AJ70" s="307"/>
      <c r="AK70" s="307"/>
      <c r="AL70" s="307"/>
      <c r="AM70" s="307"/>
      <c r="AN70" s="307"/>
      <c r="AO70" s="307"/>
      <c r="AP70" s="308" t="s">
        <v>2197</v>
      </c>
      <c r="AQ70" s="307"/>
      <c r="AR70" s="307"/>
      <c r="AS70" s="307"/>
      <c r="AT70" s="307"/>
      <c r="AU70" s="307"/>
    </row>
    <row r="71" ht="12.0" customHeight="1">
      <c r="A71" s="301"/>
      <c r="B71" s="301"/>
      <c r="C71" s="301"/>
      <c r="D71" s="309" t="s">
        <v>2198</v>
      </c>
      <c r="E71" s="309" t="s">
        <v>2199</v>
      </c>
      <c r="F71" s="309" t="s">
        <v>2200</v>
      </c>
      <c r="G71" s="309">
        <v>232.0</v>
      </c>
      <c r="H71" s="307"/>
      <c r="I71" s="301"/>
      <c r="J71" s="301"/>
      <c r="K71" s="301"/>
      <c r="L71" s="301"/>
      <c r="M71" s="301"/>
      <c r="N71" s="301"/>
      <c r="O71" s="301"/>
      <c r="P71" s="301"/>
      <c r="Q71" s="301"/>
      <c r="R71" s="301"/>
      <c r="S71" s="301"/>
      <c r="T71" s="301"/>
      <c r="U71" s="307"/>
      <c r="V71" s="301"/>
      <c r="W71" s="301"/>
      <c r="X71" s="307"/>
      <c r="Y71" s="301"/>
      <c r="Z71" s="301"/>
      <c r="AA71" s="301"/>
      <c r="AB71" s="301"/>
      <c r="AC71" s="301"/>
      <c r="AD71" s="301"/>
      <c r="AE71" s="301"/>
      <c r="AF71" s="301"/>
      <c r="AG71" s="301"/>
      <c r="AH71" s="307"/>
      <c r="AI71" s="301"/>
      <c r="AJ71" s="307"/>
      <c r="AK71" s="307"/>
      <c r="AL71" s="307"/>
      <c r="AM71" s="307"/>
      <c r="AN71" s="307"/>
      <c r="AO71" s="307"/>
      <c r="AP71" s="308" t="s">
        <v>2201</v>
      </c>
      <c r="AQ71" s="307"/>
      <c r="AR71" s="307"/>
      <c r="AS71" s="307"/>
      <c r="AT71" s="307"/>
      <c r="AU71" s="307"/>
    </row>
    <row r="72" ht="12.0" customHeight="1">
      <c r="A72" s="301"/>
      <c r="B72" s="301"/>
      <c r="C72" s="301"/>
      <c r="D72" s="309" t="s">
        <v>2202</v>
      </c>
      <c r="E72" s="309" t="s">
        <v>2203</v>
      </c>
      <c r="F72" s="309" t="s">
        <v>2204</v>
      </c>
      <c r="G72" s="309">
        <v>233.0</v>
      </c>
      <c r="H72" s="307"/>
      <c r="I72" s="301"/>
      <c r="J72" s="301"/>
      <c r="K72" s="301"/>
      <c r="L72" s="301"/>
      <c r="M72" s="301"/>
      <c r="N72" s="301"/>
      <c r="O72" s="301"/>
      <c r="P72" s="301"/>
      <c r="Q72" s="301"/>
      <c r="R72" s="301"/>
      <c r="S72" s="301"/>
      <c r="T72" s="301"/>
      <c r="U72" s="307"/>
      <c r="V72" s="301"/>
      <c r="W72" s="301"/>
      <c r="X72" s="307"/>
      <c r="Y72" s="301"/>
      <c r="Z72" s="301"/>
      <c r="AA72" s="301"/>
      <c r="AB72" s="301"/>
      <c r="AC72" s="301"/>
      <c r="AD72" s="301"/>
      <c r="AE72" s="301"/>
      <c r="AF72" s="301"/>
      <c r="AG72" s="301"/>
      <c r="AH72" s="307"/>
      <c r="AI72" s="301"/>
      <c r="AJ72" s="307"/>
      <c r="AK72" s="307"/>
      <c r="AL72" s="307"/>
      <c r="AM72" s="307"/>
      <c r="AN72" s="307"/>
      <c r="AO72" s="307"/>
      <c r="AP72" s="308" t="s">
        <v>2205</v>
      </c>
      <c r="AQ72" s="307"/>
      <c r="AR72" s="307"/>
      <c r="AS72" s="307"/>
      <c r="AT72" s="307"/>
      <c r="AU72" s="307"/>
    </row>
    <row r="73" ht="12.0" customHeight="1">
      <c r="A73" s="301"/>
      <c r="B73" s="301"/>
      <c r="C73" s="301"/>
      <c r="D73" s="309" t="s">
        <v>2206</v>
      </c>
      <c r="E73" s="309" t="s">
        <v>2207</v>
      </c>
      <c r="F73" s="309" t="s">
        <v>2208</v>
      </c>
      <c r="G73" s="309">
        <v>748.0</v>
      </c>
      <c r="H73" s="307"/>
      <c r="I73" s="301"/>
      <c r="J73" s="301"/>
      <c r="K73" s="301"/>
      <c r="L73" s="301"/>
      <c r="M73" s="301"/>
      <c r="N73" s="301"/>
      <c r="O73" s="301"/>
      <c r="P73" s="301"/>
      <c r="Q73" s="301"/>
      <c r="R73" s="301"/>
      <c r="S73" s="301"/>
      <c r="T73" s="301"/>
      <c r="U73" s="307"/>
      <c r="V73" s="301"/>
      <c r="W73" s="301"/>
      <c r="X73" s="307"/>
      <c r="Y73" s="301"/>
      <c r="Z73" s="301"/>
      <c r="AA73" s="301"/>
      <c r="AB73" s="301"/>
      <c r="AC73" s="301"/>
      <c r="AD73" s="301"/>
      <c r="AE73" s="301"/>
      <c r="AF73" s="301"/>
      <c r="AG73" s="301"/>
      <c r="AH73" s="307"/>
      <c r="AI73" s="301"/>
      <c r="AJ73" s="307"/>
      <c r="AK73" s="307"/>
      <c r="AL73" s="307"/>
      <c r="AM73" s="307"/>
      <c r="AN73" s="307"/>
      <c r="AO73" s="307"/>
      <c r="AP73" s="308" t="s">
        <v>2209</v>
      </c>
      <c r="AQ73" s="307"/>
      <c r="AR73" s="307"/>
      <c r="AS73" s="307"/>
      <c r="AT73" s="307"/>
      <c r="AU73" s="307"/>
    </row>
    <row r="74" ht="12.0" customHeight="1">
      <c r="A74" s="301"/>
      <c r="B74" s="301"/>
      <c r="C74" s="301"/>
      <c r="D74" s="309" t="s">
        <v>2210</v>
      </c>
      <c r="E74" s="309" t="s">
        <v>2211</v>
      </c>
      <c r="F74" s="309" t="s">
        <v>2212</v>
      </c>
      <c r="G74" s="309">
        <v>231.0</v>
      </c>
      <c r="H74" s="307"/>
      <c r="I74" s="301"/>
      <c r="J74" s="301"/>
      <c r="K74" s="301"/>
      <c r="L74" s="301"/>
      <c r="M74" s="301"/>
      <c r="N74" s="301"/>
      <c r="O74" s="301"/>
      <c r="P74" s="301"/>
      <c r="Q74" s="301"/>
      <c r="R74" s="301"/>
      <c r="S74" s="301"/>
      <c r="T74" s="301"/>
      <c r="U74" s="307"/>
      <c r="V74" s="301"/>
      <c r="W74" s="301"/>
      <c r="X74" s="307"/>
      <c r="Y74" s="301"/>
      <c r="Z74" s="301"/>
      <c r="AA74" s="301"/>
      <c r="AB74" s="301"/>
      <c r="AC74" s="301"/>
      <c r="AD74" s="301"/>
      <c r="AE74" s="301"/>
      <c r="AF74" s="301"/>
      <c r="AG74" s="301"/>
      <c r="AH74" s="307"/>
      <c r="AI74" s="301"/>
      <c r="AJ74" s="307"/>
      <c r="AK74" s="307"/>
      <c r="AL74" s="307"/>
      <c r="AM74" s="307"/>
      <c r="AN74" s="307"/>
      <c r="AO74" s="307"/>
      <c r="AP74" s="308" t="s">
        <v>2213</v>
      </c>
      <c r="AQ74" s="307"/>
      <c r="AR74" s="307"/>
      <c r="AS74" s="307"/>
      <c r="AT74" s="307"/>
      <c r="AU74" s="307"/>
    </row>
    <row r="75" ht="12.0" customHeight="1">
      <c r="A75" s="301"/>
      <c r="B75" s="301"/>
      <c r="C75" s="301"/>
      <c r="D75" s="309" t="s">
        <v>2214</v>
      </c>
      <c r="E75" s="309" t="s">
        <v>2215</v>
      </c>
      <c r="F75" s="309" t="s">
        <v>2216</v>
      </c>
      <c r="G75" s="309">
        <v>238.0</v>
      </c>
      <c r="H75" s="307"/>
      <c r="I75" s="301"/>
      <c r="J75" s="301"/>
      <c r="K75" s="301"/>
      <c r="L75" s="301"/>
      <c r="M75" s="301"/>
      <c r="N75" s="301"/>
      <c r="O75" s="301"/>
      <c r="P75" s="301"/>
      <c r="Q75" s="301"/>
      <c r="R75" s="301"/>
      <c r="S75" s="301"/>
      <c r="T75" s="301"/>
      <c r="U75" s="307"/>
      <c r="V75" s="301"/>
      <c r="W75" s="301"/>
      <c r="X75" s="307"/>
      <c r="Y75" s="301"/>
      <c r="Z75" s="301"/>
      <c r="AA75" s="301"/>
      <c r="AB75" s="301"/>
      <c r="AC75" s="301"/>
      <c r="AD75" s="301"/>
      <c r="AE75" s="301"/>
      <c r="AF75" s="301"/>
      <c r="AG75" s="301"/>
      <c r="AH75" s="307"/>
      <c r="AI75" s="301"/>
      <c r="AJ75" s="307"/>
      <c r="AK75" s="307"/>
      <c r="AL75" s="307"/>
      <c r="AM75" s="307"/>
      <c r="AN75" s="307"/>
      <c r="AO75" s="307"/>
      <c r="AP75" s="308" t="s">
        <v>2217</v>
      </c>
      <c r="AQ75" s="307"/>
      <c r="AR75" s="307"/>
      <c r="AS75" s="307"/>
      <c r="AT75" s="307"/>
      <c r="AU75" s="307"/>
    </row>
    <row r="76" ht="12.0" customHeight="1">
      <c r="A76" s="301"/>
      <c r="B76" s="301"/>
      <c r="C76" s="301"/>
      <c r="D76" s="309" t="s">
        <v>2218</v>
      </c>
      <c r="E76" s="309" t="s">
        <v>2219</v>
      </c>
      <c r="F76" s="309" t="s">
        <v>2220</v>
      </c>
      <c r="G76" s="309">
        <v>234.0</v>
      </c>
      <c r="H76" s="307"/>
      <c r="I76" s="301"/>
      <c r="J76" s="301"/>
      <c r="K76" s="301"/>
      <c r="L76" s="301"/>
      <c r="M76" s="301"/>
      <c r="N76" s="301"/>
      <c r="O76" s="301"/>
      <c r="P76" s="301"/>
      <c r="Q76" s="301"/>
      <c r="R76" s="301"/>
      <c r="S76" s="301"/>
      <c r="T76" s="301"/>
      <c r="U76" s="307"/>
      <c r="V76" s="301"/>
      <c r="W76" s="301"/>
      <c r="X76" s="307"/>
      <c r="Y76" s="301"/>
      <c r="Z76" s="301"/>
      <c r="AA76" s="301"/>
      <c r="AB76" s="301"/>
      <c r="AC76" s="301"/>
      <c r="AD76" s="301"/>
      <c r="AE76" s="301"/>
      <c r="AF76" s="301"/>
      <c r="AG76" s="301"/>
      <c r="AH76" s="307"/>
      <c r="AI76" s="301"/>
      <c r="AJ76" s="307"/>
      <c r="AK76" s="307"/>
      <c r="AL76" s="307"/>
      <c r="AM76" s="307"/>
      <c r="AN76" s="307"/>
      <c r="AO76" s="307"/>
      <c r="AP76" s="308" t="s">
        <v>2221</v>
      </c>
      <c r="AQ76" s="307"/>
      <c r="AR76" s="307"/>
      <c r="AS76" s="307"/>
      <c r="AT76" s="307"/>
      <c r="AU76" s="307"/>
    </row>
    <row r="77" ht="12.0" customHeight="1">
      <c r="A77" s="301"/>
      <c r="B77" s="301"/>
      <c r="C77" s="301"/>
      <c r="D77" s="309" t="s">
        <v>2222</v>
      </c>
      <c r="E77" s="309" t="s">
        <v>2223</v>
      </c>
      <c r="F77" s="309" t="s">
        <v>2224</v>
      </c>
      <c r="G77" s="309">
        <v>242.0</v>
      </c>
      <c r="H77" s="307"/>
      <c r="I77" s="301"/>
      <c r="J77" s="301"/>
      <c r="K77" s="301"/>
      <c r="L77" s="301"/>
      <c r="M77" s="301"/>
      <c r="N77" s="301"/>
      <c r="O77" s="301"/>
      <c r="P77" s="301"/>
      <c r="Q77" s="301"/>
      <c r="R77" s="301"/>
      <c r="S77" s="301"/>
      <c r="T77" s="301"/>
      <c r="U77" s="307"/>
      <c r="V77" s="301"/>
      <c r="W77" s="301"/>
      <c r="X77" s="307"/>
      <c r="Y77" s="301"/>
      <c r="Z77" s="301"/>
      <c r="AA77" s="301"/>
      <c r="AB77" s="301"/>
      <c r="AC77" s="301"/>
      <c r="AD77" s="301"/>
      <c r="AE77" s="301"/>
      <c r="AF77" s="301"/>
      <c r="AG77" s="301"/>
      <c r="AH77" s="307"/>
      <c r="AI77" s="301"/>
      <c r="AJ77" s="307"/>
      <c r="AK77" s="307"/>
      <c r="AL77" s="307"/>
      <c r="AM77" s="307"/>
      <c r="AN77" s="307"/>
      <c r="AO77" s="307"/>
      <c r="AP77" s="308" t="s">
        <v>2225</v>
      </c>
      <c r="AQ77" s="307"/>
      <c r="AR77" s="307"/>
      <c r="AS77" s="307"/>
      <c r="AT77" s="307"/>
      <c r="AU77" s="307"/>
    </row>
    <row r="78" ht="12.0" customHeight="1">
      <c r="A78" s="301"/>
      <c r="B78" s="301"/>
      <c r="C78" s="301"/>
      <c r="D78" s="309" t="s">
        <v>2226</v>
      </c>
      <c r="E78" s="309" t="s">
        <v>2227</v>
      </c>
      <c r="F78" s="309" t="s">
        <v>2228</v>
      </c>
      <c r="G78" s="309">
        <v>246.0</v>
      </c>
      <c r="H78" s="307"/>
      <c r="I78" s="301"/>
      <c r="J78" s="301"/>
      <c r="K78" s="301"/>
      <c r="L78" s="301"/>
      <c r="M78" s="301"/>
      <c r="N78" s="301"/>
      <c r="O78" s="301"/>
      <c r="P78" s="301"/>
      <c r="Q78" s="301"/>
      <c r="R78" s="301"/>
      <c r="S78" s="301"/>
      <c r="T78" s="301"/>
      <c r="U78" s="307"/>
      <c r="V78" s="301"/>
      <c r="W78" s="301"/>
      <c r="X78" s="307"/>
      <c r="Y78" s="301"/>
      <c r="Z78" s="301"/>
      <c r="AA78" s="301"/>
      <c r="AB78" s="301"/>
      <c r="AC78" s="301"/>
      <c r="AD78" s="301"/>
      <c r="AE78" s="301"/>
      <c r="AF78" s="301"/>
      <c r="AG78" s="301"/>
      <c r="AH78" s="307"/>
      <c r="AI78" s="301"/>
      <c r="AJ78" s="307"/>
      <c r="AK78" s="307"/>
      <c r="AL78" s="307"/>
      <c r="AM78" s="307"/>
      <c r="AN78" s="307"/>
      <c r="AO78" s="307"/>
      <c r="AP78" s="308" t="s">
        <v>2229</v>
      </c>
      <c r="AQ78" s="307"/>
      <c r="AR78" s="307"/>
      <c r="AS78" s="307"/>
      <c r="AT78" s="307"/>
      <c r="AU78" s="307"/>
    </row>
    <row r="79" ht="12.0" customHeight="1">
      <c r="A79" s="301"/>
      <c r="B79" s="301"/>
      <c r="C79" s="301"/>
      <c r="D79" s="309" t="s">
        <v>2230</v>
      </c>
      <c r="E79" s="309" t="s">
        <v>2231</v>
      </c>
      <c r="F79" s="309" t="s">
        <v>2232</v>
      </c>
      <c r="G79" s="309">
        <v>250.0</v>
      </c>
      <c r="H79" s="307"/>
      <c r="I79" s="301"/>
      <c r="J79" s="301"/>
      <c r="K79" s="301"/>
      <c r="L79" s="301"/>
      <c r="M79" s="301"/>
      <c r="N79" s="301"/>
      <c r="O79" s="301"/>
      <c r="P79" s="301"/>
      <c r="Q79" s="301"/>
      <c r="R79" s="301"/>
      <c r="S79" s="301"/>
      <c r="T79" s="301"/>
      <c r="U79" s="307"/>
      <c r="V79" s="301"/>
      <c r="W79" s="301"/>
      <c r="X79" s="307"/>
      <c r="Y79" s="301"/>
      <c r="Z79" s="301"/>
      <c r="AA79" s="301"/>
      <c r="AB79" s="301"/>
      <c r="AC79" s="301"/>
      <c r="AD79" s="301"/>
      <c r="AE79" s="301"/>
      <c r="AF79" s="301"/>
      <c r="AG79" s="301"/>
      <c r="AH79" s="307"/>
      <c r="AI79" s="301"/>
      <c r="AJ79" s="307"/>
      <c r="AK79" s="307"/>
      <c r="AL79" s="307"/>
      <c r="AM79" s="307"/>
      <c r="AN79" s="307"/>
      <c r="AO79" s="307"/>
      <c r="AP79" s="308" t="s">
        <v>2233</v>
      </c>
      <c r="AQ79" s="307"/>
      <c r="AR79" s="307"/>
      <c r="AS79" s="307"/>
      <c r="AT79" s="307"/>
      <c r="AU79" s="307"/>
    </row>
    <row r="80" ht="12.0" customHeight="1">
      <c r="A80" s="301"/>
      <c r="B80" s="301"/>
      <c r="C80" s="301"/>
      <c r="D80" s="309" t="s">
        <v>2234</v>
      </c>
      <c r="E80" s="309" t="s">
        <v>2235</v>
      </c>
      <c r="F80" s="309" t="s">
        <v>2236</v>
      </c>
      <c r="G80" s="309">
        <v>254.0</v>
      </c>
      <c r="H80" s="307"/>
      <c r="I80" s="301"/>
      <c r="J80" s="301"/>
      <c r="K80" s="301"/>
      <c r="L80" s="301"/>
      <c r="M80" s="301"/>
      <c r="N80" s="301"/>
      <c r="O80" s="301"/>
      <c r="P80" s="301"/>
      <c r="Q80" s="301"/>
      <c r="R80" s="301"/>
      <c r="S80" s="301"/>
      <c r="T80" s="301"/>
      <c r="U80" s="307"/>
      <c r="V80" s="301"/>
      <c r="W80" s="301"/>
      <c r="X80" s="307"/>
      <c r="Y80" s="301"/>
      <c r="Z80" s="301"/>
      <c r="AA80" s="301"/>
      <c r="AB80" s="301"/>
      <c r="AC80" s="301"/>
      <c r="AD80" s="301"/>
      <c r="AE80" s="301"/>
      <c r="AF80" s="301"/>
      <c r="AG80" s="301"/>
      <c r="AH80" s="307"/>
      <c r="AI80" s="301"/>
      <c r="AJ80" s="307"/>
      <c r="AK80" s="307"/>
      <c r="AL80" s="307"/>
      <c r="AM80" s="307"/>
      <c r="AN80" s="307"/>
      <c r="AO80" s="307"/>
      <c r="AP80" s="308" t="s">
        <v>2237</v>
      </c>
      <c r="AQ80" s="307"/>
      <c r="AR80" s="307"/>
      <c r="AS80" s="307"/>
      <c r="AT80" s="307"/>
      <c r="AU80" s="307"/>
    </row>
    <row r="81" ht="12.0" customHeight="1">
      <c r="A81" s="301"/>
      <c r="B81" s="301"/>
      <c r="C81" s="301"/>
      <c r="D81" s="309" t="s">
        <v>2238</v>
      </c>
      <c r="E81" s="309" t="s">
        <v>2239</v>
      </c>
      <c r="F81" s="309" t="s">
        <v>2240</v>
      </c>
      <c r="G81" s="309">
        <v>258.0</v>
      </c>
      <c r="H81" s="307"/>
      <c r="I81" s="301"/>
      <c r="J81" s="301"/>
      <c r="K81" s="301"/>
      <c r="L81" s="301"/>
      <c r="M81" s="301"/>
      <c r="N81" s="301"/>
      <c r="O81" s="301"/>
      <c r="P81" s="301"/>
      <c r="Q81" s="301"/>
      <c r="R81" s="301"/>
      <c r="S81" s="301"/>
      <c r="T81" s="301"/>
      <c r="U81" s="307"/>
      <c r="V81" s="301"/>
      <c r="W81" s="301"/>
      <c r="X81" s="307"/>
      <c r="Y81" s="301"/>
      <c r="Z81" s="301"/>
      <c r="AA81" s="301"/>
      <c r="AB81" s="301"/>
      <c r="AC81" s="301"/>
      <c r="AD81" s="301"/>
      <c r="AE81" s="301"/>
      <c r="AF81" s="301"/>
      <c r="AG81" s="301"/>
      <c r="AH81" s="307"/>
      <c r="AI81" s="301"/>
      <c r="AJ81" s="307"/>
      <c r="AK81" s="307"/>
      <c r="AL81" s="307"/>
      <c r="AM81" s="307"/>
      <c r="AN81" s="307"/>
      <c r="AO81" s="307"/>
      <c r="AP81" s="308" t="s">
        <v>2241</v>
      </c>
      <c r="AQ81" s="307"/>
      <c r="AR81" s="307"/>
      <c r="AS81" s="307"/>
      <c r="AT81" s="307"/>
      <c r="AU81" s="307"/>
    </row>
    <row r="82" ht="12.0" customHeight="1">
      <c r="A82" s="301"/>
      <c r="B82" s="301"/>
      <c r="C82" s="301"/>
      <c r="D82" s="309" t="s">
        <v>2242</v>
      </c>
      <c r="E82" s="309" t="s">
        <v>2243</v>
      </c>
      <c r="F82" s="309" t="s">
        <v>2244</v>
      </c>
      <c r="G82" s="309">
        <v>260.0</v>
      </c>
      <c r="H82" s="307"/>
      <c r="I82" s="301"/>
      <c r="J82" s="301"/>
      <c r="K82" s="301"/>
      <c r="L82" s="301"/>
      <c r="M82" s="301"/>
      <c r="N82" s="301"/>
      <c r="O82" s="301"/>
      <c r="P82" s="301"/>
      <c r="Q82" s="301"/>
      <c r="R82" s="301"/>
      <c r="S82" s="301"/>
      <c r="T82" s="301"/>
      <c r="U82" s="307"/>
      <c r="V82" s="301"/>
      <c r="W82" s="301"/>
      <c r="X82" s="307"/>
      <c r="Y82" s="301"/>
      <c r="Z82" s="301"/>
      <c r="AA82" s="301"/>
      <c r="AB82" s="301"/>
      <c r="AC82" s="301"/>
      <c r="AD82" s="301"/>
      <c r="AE82" s="301"/>
      <c r="AF82" s="301"/>
      <c r="AG82" s="301"/>
      <c r="AH82" s="307"/>
      <c r="AI82" s="301"/>
      <c r="AJ82" s="307"/>
      <c r="AK82" s="307"/>
      <c r="AL82" s="307"/>
      <c r="AM82" s="307"/>
      <c r="AN82" s="307"/>
      <c r="AO82" s="307"/>
      <c r="AP82" s="308" t="s">
        <v>2245</v>
      </c>
      <c r="AQ82" s="307"/>
      <c r="AR82" s="307"/>
      <c r="AS82" s="307"/>
      <c r="AT82" s="307"/>
      <c r="AU82" s="307"/>
    </row>
    <row r="83" ht="12.0" customHeight="1">
      <c r="A83" s="301"/>
      <c r="B83" s="301"/>
      <c r="C83" s="301"/>
      <c r="D83" s="309" t="s">
        <v>2246</v>
      </c>
      <c r="E83" s="309" t="s">
        <v>2247</v>
      </c>
      <c r="F83" s="309" t="s">
        <v>2248</v>
      </c>
      <c r="G83" s="309">
        <v>266.0</v>
      </c>
      <c r="H83" s="307"/>
      <c r="I83" s="301"/>
      <c r="J83" s="301"/>
      <c r="K83" s="301"/>
      <c r="L83" s="301"/>
      <c r="M83" s="301"/>
      <c r="N83" s="301"/>
      <c r="O83" s="301"/>
      <c r="P83" s="301"/>
      <c r="Q83" s="301"/>
      <c r="R83" s="301"/>
      <c r="S83" s="301"/>
      <c r="T83" s="301"/>
      <c r="U83" s="307"/>
      <c r="V83" s="301"/>
      <c r="W83" s="301"/>
      <c r="X83" s="307"/>
      <c r="Y83" s="301"/>
      <c r="Z83" s="301"/>
      <c r="AA83" s="301"/>
      <c r="AB83" s="301"/>
      <c r="AC83" s="301"/>
      <c r="AD83" s="301"/>
      <c r="AE83" s="301"/>
      <c r="AF83" s="301"/>
      <c r="AG83" s="301"/>
      <c r="AH83" s="307"/>
      <c r="AI83" s="301"/>
      <c r="AJ83" s="307"/>
      <c r="AK83" s="307"/>
      <c r="AL83" s="307"/>
      <c r="AM83" s="307"/>
      <c r="AN83" s="307"/>
      <c r="AO83" s="307"/>
      <c r="AP83" s="308" t="s">
        <v>2249</v>
      </c>
      <c r="AQ83" s="307"/>
      <c r="AR83" s="307"/>
      <c r="AS83" s="307"/>
      <c r="AT83" s="307"/>
      <c r="AU83" s="307"/>
    </row>
    <row r="84" ht="12.0" customHeight="1">
      <c r="A84" s="301"/>
      <c r="B84" s="301"/>
      <c r="C84" s="301"/>
      <c r="D84" s="309" t="s">
        <v>2250</v>
      </c>
      <c r="E84" s="309" t="s">
        <v>2251</v>
      </c>
      <c r="F84" s="309" t="s">
        <v>2252</v>
      </c>
      <c r="G84" s="309">
        <v>270.0</v>
      </c>
      <c r="H84" s="307"/>
      <c r="I84" s="301"/>
      <c r="J84" s="301"/>
      <c r="K84" s="301"/>
      <c r="L84" s="301"/>
      <c r="M84" s="301"/>
      <c r="N84" s="301"/>
      <c r="O84" s="301"/>
      <c r="P84" s="301"/>
      <c r="Q84" s="301"/>
      <c r="R84" s="301"/>
      <c r="S84" s="301"/>
      <c r="T84" s="301"/>
      <c r="U84" s="307"/>
      <c r="V84" s="301"/>
      <c r="W84" s="301"/>
      <c r="X84" s="307"/>
      <c r="Y84" s="301"/>
      <c r="Z84" s="301"/>
      <c r="AA84" s="301"/>
      <c r="AB84" s="301"/>
      <c r="AC84" s="301"/>
      <c r="AD84" s="301"/>
      <c r="AE84" s="301"/>
      <c r="AF84" s="301"/>
      <c r="AG84" s="301"/>
      <c r="AH84" s="307"/>
      <c r="AI84" s="301"/>
      <c r="AJ84" s="307"/>
      <c r="AK84" s="307"/>
      <c r="AL84" s="307"/>
      <c r="AM84" s="307"/>
      <c r="AN84" s="307"/>
      <c r="AO84" s="307"/>
      <c r="AP84" s="308" t="s">
        <v>2253</v>
      </c>
      <c r="AQ84" s="307"/>
      <c r="AR84" s="307"/>
      <c r="AS84" s="307"/>
      <c r="AT84" s="307"/>
      <c r="AU84" s="307"/>
    </row>
    <row r="85" ht="12.0" customHeight="1">
      <c r="A85" s="301"/>
      <c r="B85" s="301"/>
      <c r="C85" s="301"/>
      <c r="D85" s="309" t="s">
        <v>2254</v>
      </c>
      <c r="E85" s="309" t="s">
        <v>2255</v>
      </c>
      <c r="F85" s="309" t="s">
        <v>2256</v>
      </c>
      <c r="G85" s="309">
        <v>268.0</v>
      </c>
      <c r="H85" s="307"/>
      <c r="I85" s="301"/>
      <c r="J85" s="301"/>
      <c r="K85" s="301"/>
      <c r="L85" s="301"/>
      <c r="M85" s="301"/>
      <c r="N85" s="301"/>
      <c r="O85" s="301"/>
      <c r="P85" s="301"/>
      <c r="Q85" s="301"/>
      <c r="R85" s="301"/>
      <c r="S85" s="301"/>
      <c r="T85" s="301"/>
      <c r="U85" s="307"/>
      <c r="V85" s="301"/>
      <c r="W85" s="301"/>
      <c r="X85" s="307"/>
      <c r="Y85" s="301"/>
      <c r="Z85" s="301"/>
      <c r="AA85" s="301"/>
      <c r="AB85" s="301"/>
      <c r="AC85" s="301"/>
      <c r="AD85" s="301"/>
      <c r="AE85" s="301"/>
      <c r="AF85" s="301"/>
      <c r="AG85" s="301"/>
      <c r="AH85" s="307"/>
      <c r="AI85" s="301"/>
      <c r="AJ85" s="307"/>
      <c r="AK85" s="307"/>
      <c r="AL85" s="307"/>
      <c r="AM85" s="307"/>
      <c r="AN85" s="307"/>
      <c r="AO85" s="307"/>
      <c r="AP85" s="308" t="s">
        <v>2257</v>
      </c>
      <c r="AQ85" s="307"/>
      <c r="AR85" s="307"/>
      <c r="AS85" s="307"/>
      <c r="AT85" s="307"/>
      <c r="AU85" s="307"/>
    </row>
    <row r="86" ht="12.0" customHeight="1">
      <c r="A86" s="301"/>
      <c r="B86" s="301"/>
      <c r="C86" s="301"/>
      <c r="D86" s="309" t="s">
        <v>2258</v>
      </c>
      <c r="E86" s="309" t="s">
        <v>2259</v>
      </c>
      <c r="F86" s="309" t="s">
        <v>2260</v>
      </c>
      <c r="G86" s="309">
        <v>276.0</v>
      </c>
      <c r="H86" s="307"/>
      <c r="I86" s="301"/>
      <c r="J86" s="301"/>
      <c r="K86" s="301"/>
      <c r="L86" s="301"/>
      <c r="M86" s="301"/>
      <c r="N86" s="301"/>
      <c r="O86" s="301"/>
      <c r="P86" s="301"/>
      <c r="Q86" s="301"/>
      <c r="R86" s="301"/>
      <c r="S86" s="301"/>
      <c r="T86" s="301"/>
      <c r="U86" s="307"/>
      <c r="V86" s="301"/>
      <c r="W86" s="301"/>
      <c r="X86" s="307"/>
      <c r="Y86" s="301"/>
      <c r="Z86" s="301"/>
      <c r="AA86" s="301"/>
      <c r="AB86" s="301"/>
      <c r="AC86" s="301"/>
      <c r="AD86" s="301"/>
      <c r="AE86" s="301"/>
      <c r="AF86" s="301"/>
      <c r="AG86" s="301"/>
      <c r="AH86" s="307"/>
      <c r="AI86" s="301"/>
      <c r="AJ86" s="307"/>
      <c r="AK86" s="307"/>
      <c r="AL86" s="307"/>
      <c r="AM86" s="307"/>
      <c r="AN86" s="307"/>
      <c r="AO86" s="307"/>
      <c r="AP86" s="308" t="s">
        <v>2261</v>
      </c>
      <c r="AQ86" s="307"/>
      <c r="AR86" s="307"/>
      <c r="AS86" s="307"/>
      <c r="AT86" s="307"/>
      <c r="AU86" s="307"/>
    </row>
    <row r="87" ht="12.0" customHeight="1">
      <c r="A87" s="301"/>
      <c r="B87" s="301"/>
      <c r="C87" s="301"/>
      <c r="D87" s="309" t="s">
        <v>2262</v>
      </c>
      <c r="E87" s="309" t="s">
        <v>2263</v>
      </c>
      <c r="F87" s="309" t="s">
        <v>2264</v>
      </c>
      <c r="G87" s="309">
        <v>288.0</v>
      </c>
      <c r="H87" s="307"/>
      <c r="I87" s="301"/>
      <c r="J87" s="301"/>
      <c r="K87" s="301"/>
      <c r="L87" s="301"/>
      <c r="M87" s="301"/>
      <c r="N87" s="301"/>
      <c r="O87" s="301"/>
      <c r="P87" s="301"/>
      <c r="Q87" s="301"/>
      <c r="R87" s="301"/>
      <c r="S87" s="301"/>
      <c r="T87" s="301"/>
      <c r="U87" s="307"/>
      <c r="V87" s="301"/>
      <c r="W87" s="301"/>
      <c r="X87" s="307"/>
      <c r="Y87" s="301"/>
      <c r="Z87" s="301"/>
      <c r="AA87" s="301"/>
      <c r="AB87" s="301"/>
      <c r="AC87" s="301"/>
      <c r="AD87" s="301"/>
      <c r="AE87" s="301"/>
      <c r="AF87" s="301"/>
      <c r="AG87" s="301"/>
      <c r="AH87" s="307"/>
      <c r="AI87" s="301"/>
      <c r="AJ87" s="307"/>
      <c r="AK87" s="307"/>
      <c r="AL87" s="307"/>
      <c r="AM87" s="307"/>
      <c r="AN87" s="307"/>
      <c r="AO87" s="307"/>
      <c r="AP87" s="308" t="s">
        <v>2265</v>
      </c>
      <c r="AQ87" s="307"/>
      <c r="AR87" s="307"/>
      <c r="AS87" s="307"/>
      <c r="AT87" s="307"/>
      <c r="AU87" s="307"/>
    </row>
    <row r="88" ht="12.0" customHeight="1">
      <c r="A88" s="301"/>
      <c r="B88" s="301"/>
      <c r="C88" s="301"/>
      <c r="D88" s="309" t="s">
        <v>2266</v>
      </c>
      <c r="E88" s="309" t="s">
        <v>2267</v>
      </c>
      <c r="F88" s="309" t="s">
        <v>2268</v>
      </c>
      <c r="G88" s="309">
        <v>292.0</v>
      </c>
      <c r="H88" s="307"/>
      <c r="I88" s="301"/>
      <c r="J88" s="301"/>
      <c r="K88" s="301"/>
      <c r="L88" s="301"/>
      <c r="M88" s="301"/>
      <c r="N88" s="301"/>
      <c r="O88" s="301"/>
      <c r="P88" s="301"/>
      <c r="Q88" s="301"/>
      <c r="R88" s="301"/>
      <c r="S88" s="301"/>
      <c r="T88" s="301"/>
      <c r="U88" s="307"/>
      <c r="V88" s="301"/>
      <c r="W88" s="301"/>
      <c r="X88" s="307"/>
      <c r="Y88" s="301"/>
      <c r="Z88" s="301"/>
      <c r="AA88" s="301"/>
      <c r="AB88" s="301"/>
      <c r="AC88" s="301"/>
      <c r="AD88" s="301"/>
      <c r="AE88" s="301"/>
      <c r="AF88" s="301"/>
      <c r="AG88" s="301"/>
      <c r="AH88" s="307"/>
      <c r="AI88" s="301"/>
      <c r="AJ88" s="307"/>
      <c r="AK88" s="307"/>
      <c r="AL88" s="307"/>
      <c r="AM88" s="307"/>
      <c r="AN88" s="307"/>
      <c r="AO88" s="307"/>
      <c r="AP88" s="308" t="s">
        <v>2269</v>
      </c>
      <c r="AQ88" s="307"/>
      <c r="AR88" s="307"/>
      <c r="AS88" s="307"/>
      <c r="AT88" s="307"/>
      <c r="AU88" s="307"/>
    </row>
    <row r="89" ht="12.0" customHeight="1">
      <c r="A89" s="301"/>
      <c r="B89" s="301"/>
      <c r="C89" s="301"/>
      <c r="D89" s="309" t="s">
        <v>2270</v>
      </c>
      <c r="E89" s="309" t="s">
        <v>2271</v>
      </c>
      <c r="F89" s="309" t="s">
        <v>2272</v>
      </c>
      <c r="G89" s="309">
        <v>300.0</v>
      </c>
      <c r="H89" s="307"/>
      <c r="I89" s="301"/>
      <c r="J89" s="301"/>
      <c r="K89" s="301"/>
      <c r="L89" s="301"/>
      <c r="M89" s="301"/>
      <c r="N89" s="301"/>
      <c r="O89" s="301"/>
      <c r="P89" s="301"/>
      <c r="Q89" s="301"/>
      <c r="R89" s="301"/>
      <c r="S89" s="301"/>
      <c r="T89" s="301"/>
      <c r="U89" s="307"/>
      <c r="V89" s="301"/>
      <c r="W89" s="301"/>
      <c r="X89" s="307"/>
      <c r="Y89" s="301"/>
      <c r="Z89" s="301"/>
      <c r="AA89" s="301"/>
      <c r="AB89" s="301"/>
      <c r="AC89" s="301"/>
      <c r="AD89" s="301"/>
      <c r="AE89" s="301"/>
      <c r="AF89" s="301"/>
      <c r="AG89" s="301"/>
      <c r="AH89" s="307"/>
      <c r="AI89" s="301"/>
      <c r="AJ89" s="307"/>
      <c r="AK89" s="307"/>
      <c r="AL89" s="307"/>
      <c r="AM89" s="307"/>
      <c r="AN89" s="307"/>
      <c r="AO89" s="307"/>
      <c r="AP89" s="308" t="s">
        <v>2273</v>
      </c>
      <c r="AQ89" s="307"/>
      <c r="AR89" s="307"/>
      <c r="AS89" s="307"/>
      <c r="AT89" s="307"/>
      <c r="AU89" s="307"/>
    </row>
    <row r="90" ht="12.0" customHeight="1">
      <c r="A90" s="301"/>
      <c r="B90" s="301"/>
      <c r="C90" s="301"/>
      <c r="D90" s="309" t="s">
        <v>2274</v>
      </c>
      <c r="E90" s="309" t="s">
        <v>2275</v>
      </c>
      <c r="F90" s="309" t="s">
        <v>2276</v>
      </c>
      <c r="G90" s="309">
        <v>304.0</v>
      </c>
      <c r="H90" s="307"/>
      <c r="I90" s="301"/>
      <c r="J90" s="301"/>
      <c r="K90" s="301"/>
      <c r="L90" s="301"/>
      <c r="M90" s="301"/>
      <c r="N90" s="301"/>
      <c r="O90" s="301"/>
      <c r="P90" s="301"/>
      <c r="Q90" s="301"/>
      <c r="R90" s="301"/>
      <c r="S90" s="301"/>
      <c r="T90" s="301"/>
      <c r="U90" s="307"/>
      <c r="V90" s="301"/>
      <c r="W90" s="301"/>
      <c r="X90" s="307"/>
      <c r="Y90" s="301"/>
      <c r="Z90" s="301"/>
      <c r="AA90" s="301"/>
      <c r="AB90" s="301"/>
      <c r="AC90" s="301"/>
      <c r="AD90" s="301"/>
      <c r="AE90" s="301"/>
      <c r="AF90" s="301"/>
      <c r="AG90" s="301"/>
      <c r="AH90" s="307"/>
      <c r="AI90" s="301"/>
      <c r="AJ90" s="307"/>
      <c r="AK90" s="307"/>
      <c r="AL90" s="307"/>
      <c r="AM90" s="307"/>
      <c r="AN90" s="307"/>
      <c r="AO90" s="307"/>
      <c r="AP90" s="308" t="s">
        <v>2277</v>
      </c>
      <c r="AQ90" s="307"/>
      <c r="AR90" s="307"/>
      <c r="AS90" s="307"/>
      <c r="AT90" s="307"/>
      <c r="AU90" s="307"/>
    </row>
    <row r="91" ht="12.0" customHeight="1">
      <c r="A91" s="301"/>
      <c r="B91" s="301"/>
      <c r="C91" s="301"/>
      <c r="D91" s="309" t="s">
        <v>2278</v>
      </c>
      <c r="E91" s="309" t="s">
        <v>2279</v>
      </c>
      <c r="F91" s="309" t="s">
        <v>2280</v>
      </c>
      <c r="G91" s="309">
        <v>308.0</v>
      </c>
      <c r="H91" s="307"/>
      <c r="I91" s="301"/>
      <c r="J91" s="301"/>
      <c r="K91" s="301"/>
      <c r="L91" s="301"/>
      <c r="M91" s="301"/>
      <c r="N91" s="301"/>
      <c r="O91" s="301"/>
      <c r="P91" s="301"/>
      <c r="Q91" s="301"/>
      <c r="R91" s="301"/>
      <c r="S91" s="301"/>
      <c r="T91" s="301"/>
      <c r="U91" s="307"/>
      <c r="V91" s="301"/>
      <c r="W91" s="301"/>
      <c r="X91" s="307"/>
      <c r="Y91" s="301"/>
      <c r="Z91" s="301"/>
      <c r="AA91" s="301"/>
      <c r="AB91" s="301"/>
      <c r="AC91" s="301"/>
      <c r="AD91" s="301"/>
      <c r="AE91" s="301"/>
      <c r="AF91" s="301"/>
      <c r="AG91" s="301"/>
      <c r="AH91" s="307"/>
      <c r="AI91" s="301"/>
      <c r="AJ91" s="307"/>
      <c r="AK91" s="307"/>
      <c r="AL91" s="307"/>
      <c r="AM91" s="307"/>
      <c r="AN91" s="307"/>
      <c r="AO91" s="307"/>
      <c r="AP91" s="307"/>
      <c r="AQ91" s="307"/>
      <c r="AR91" s="307"/>
      <c r="AS91" s="307"/>
      <c r="AT91" s="307"/>
      <c r="AU91" s="307"/>
    </row>
    <row r="92" ht="12.0" customHeight="1">
      <c r="A92" s="301"/>
      <c r="B92" s="301"/>
      <c r="C92" s="301"/>
      <c r="D92" s="309" t="s">
        <v>2281</v>
      </c>
      <c r="E92" s="309" t="s">
        <v>2282</v>
      </c>
      <c r="F92" s="309" t="s">
        <v>2283</v>
      </c>
      <c r="G92" s="309">
        <v>312.0</v>
      </c>
      <c r="H92" s="307"/>
      <c r="I92" s="301"/>
      <c r="J92" s="301"/>
      <c r="K92" s="301"/>
      <c r="L92" s="301"/>
      <c r="M92" s="301"/>
      <c r="N92" s="301"/>
      <c r="O92" s="301"/>
      <c r="P92" s="301"/>
      <c r="Q92" s="301"/>
      <c r="R92" s="301"/>
      <c r="S92" s="301"/>
      <c r="T92" s="301"/>
      <c r="U92" s="307"/>
      <c r="V92" s="301"/>
      <c r="W92" s="301"/>
      <c r="X92" s="307"/>
      <c r="Y92" s="301"/>
      <c r="Z92" s="301"/>
      <c r="AA92" s="301"/>
      <c r="AB92" s="301"/>
      <c r="AC92" s="301"/>
      <c r="AD92" s="301"/>
      <c r="AE92" s="301"/>
      <c r="AF92" s="301"/>
      <c r="AG92" s="301"/>
      <c r="AH92" s="307"/>
      <c r="AI92" s="301"/>
      <c r="AJ92" s="307"/>
      <c r="AK92" s="307"/>
      <c r="AL92" s="307"/>
      <c r="AM92" s="307"/>
      <c r="AN92" s="307"/>
      <c r="AO92" s="307"/>
      <c r="AP92" s="307"/>
      <c r="AQ92" s="307"/>
      <c r="AR92" s="307"/>
      <c r="AS92" s="307"/>
      <c r="AT92" s="307"/>
      <c r="AU92" s="307"/>
    </row>
    <row r="93" ht="12.0" customHeight="1">
      <c r="A93" s="301"/>
      <c r="B93" s="301"/>
      <c r="C93" s="301"/>
      <c r="D93" s="309" t="s">
        <v>2284</v>
      </c>
      <c r="E93" s="309" t="s">
        <v>2285</v>
      </c>
      <c r="F93" s="309" t="s">
        <v>2286</v>
      </c>
      <c r="G93" s="309">
        <v>316.0</v>
      </c>
      <c r="H93" s="307"/>
      <c r="I93" s="301"/>
      <c r="J93" s="301"/>
      <c r="K93" s="301"/>
      <c r="L93" s="301"/>
      <c r="M93" s="301"/>
      <c r="N93" s="301"/>
      <c r="O93" s="301"/>
      <c r="P93" s="301"/>
      <c r="Q93" s="301"/>
      <c r="R93" s="301"/>
      <c r="S93" s="301"/>
      <c r="T93" s="301"/>
      <c r="U93" s="307"/>
      <c r="V93" s="301"/>
      <c r="W93" s="301"/>
      <c r="X93" s="307"/>
      <c r="Y93" s="301"/>
      <c r="Z93" s="301"/>
      <c r="AA93" s="301"/>
      <c r="AB93" s="301"/>
      <c r="AC93" s="301"/>
      <c r="AD93" s="301"/>
      <c r="AE93" s="301"/>
      <c r="AF93" s="301"/>
      <c r="AG93" s="301"/>
      <c r="AH93" s="307"/>
      <c r="AI93" s="301"/>
      <c r="AJ93" s="307"/>
      <c r="AK93" s="307"/>
      <c r="AL93" s="307"/>
      <c r="AM93" s="307"/>
      <c r="AN93" s="307"/>
      <c r="AO93" s="307"/>
      <c r="AP93" s="307"/>
      <c r="AQ93" s="307"/>
      <c r="AR93" s="307"/>
      <c r="AS93" s="307"/>
      <c r="AT93" s="307"/>
      <c r="AU93" s="307"/>
    </row>
    <row r="94" ht="12.0" customHeight="1">
      <c r="A94" s="301"/>
      <c r="B94" s="301"/>
      <c r="C94" s="301"/>
      <c r="D94" s="309" t="s">
        <v>2287</v>
      </c>
      <c r="E94" s="309" t="s">
        <v>2288</v>
      </c>
      <c r="F94" s="309" t="s">
        <v>2289</v>
      </c>
      <c r="G94" s="309">
        <v>320.0</v>
      </c>
      <c r="H94" s="307"/>
      <c r="I94" s="301"/>
      <c r="J94" s="301"/>
      <c r="K94" s="301"/>
      <c r="L94" s="301"/>
      <c r="M94" s="301"/>
      <c r="N94" s="301"/>
      <c r="O94" s="301"/>
      <c r="P94" s="301"/>
      <c r="Q94" s="301"/>
      <c r="R94" s="301"/>
      <c r="S94" s="301"/>
      <c r="T94" s="301"/>
      <c r="U94" s="307"/>
      <c r="V94" s="301"/>
      <c r="W94" s="301"/>
      <c r="X94" s="307"/>
      <c r="Y94" s="301"/>
      <c r="Z94" s="301"/>
      <c r="AA94" s="301"/>
      <c r="AB94" s="301"/>
      <c r="AC94" s="301"/>
      <c r="AD94" s="301"/>
      <c r="AE94" s="301"/>
      <c r="AF94" s="301"/>
      <c r="AG94" s="301"/>
      <c r="AH94" s="307"/>
      <c r="AI94" s="301"/>
      <c r="AJ94" s="307"/>
      <c r="AK94" s="307"/>
      <c r="AL94" s="307"/>
      <c r="AM94" s="307"/>
      <c r="AN94" s="307"/>
      <c r="AO94" s="307"/>
      <c r="AP94" s="307"/>
      <c r="AQ94" s="307"/>
      <c r="AR94" s="307"/>
      <c r="AS94" s="307"/>
      <c r="AT94" s="307"/>
      <c r="AU94" s="307"/>
    </row>
    <row r="95" ht="12.0" customHeight="1">
      <c r="A95" s="301"/>
      <c r="B95" s="301"/>
      <c r="C95" s="301"/>
      <c r="D95" s="309" t="s">
        <v>2290</v>
      </c>
      <c r="E95" s="309" t="s">
        <v>2291</v>
      </c>
      <c r="F95" s="309" t="s">
        <v>2292</v>
      </c>
      <c r="G95" s="309">
        <v>831.0</v>
      </c>
      <c r="H95" s="307"/>
      <c r="I95" s="301"/>
      <c r="J95" s="301"/>
      <c r="K95" s="301"/>
      <c r="L95" s="301"/>
      <c r="M95" s="301"/>
      <c r="N95" s="301"/>
      <c r="O95" s="301"/>
      <c r="P95" s="301"/>
      <c r="Q95" s="301"/>
      <c r="R95" s="301"/>
      <c r="S95" s="301"/>
      <c r="T95" s="301"/>
      <c r="U95" s="307"/>
      <c r="V95" s="301"/>
      <c r="W95" s="301"/>
      <c r="X95" s="307"/>
      <c r="Y95" s="301"/>
      <c r="Z95" s="301"/>
      <c r="AA95" s="301"/>
      <c r="AB95" s="301"/>
      <c r="AC95" s="301"/>
      <c r="AD95" s="301"/>
      <c r="AE95" s="301"/>
      <c r="AF95" s="301"/>
      <c r="AG95" s="301"/>
      <c r="AH95" s="307"/>
      <c r="AI95" s="301"/>
      <c r="AJ95" s="307"/>
      <c r="AK95" s="307"/>
      <c r="AL95" s="307"/>
      <c r="AM95" s="307"/>
      <c r="AN95" s="307"/>
      <c r="AO95" s="307"/>
      <c r="AP95" s="307"/>
      <c r="AQ95" s="307"/>
      <c r="AR95" s="307"/>
      <c r="AS95" s="307"/>
      <c r="AT95" s="307"/>
      <c r="AU95" s="307"/>
    </row>
    <row r="96" ht="12.0" customHeight="1">
      <c r="A96" s="301"/>
      <c r="B96" s="301"/>
      <c r="C96" s="301"/>
      <c r="D96" s="309" t="s">
        <v>2293</v>
      </c>
      <c r="E96" s="309" t="s">
        <v>2294</v>
      </c>
      <c r="F96" s="309" t="s">
        <v>2295</v>
      </c>
      <c r="G96" s="309">
        <v>324.0</v>
      </c>
      <c r="H96" s="307"/>
      <c r="I96" s="301"/>
      <c r="J96" s="301"/>
      <c r="K96" s="301"/>
      <c r="L96" s="301"/>
      <c r="M96" s="301"/>
      <c r="N96" s="301"/>
      <c r="O96" s="301"/>
      <c r="P96" s="301"/>
      <c r="Q96" s="301"/>
      <c r="R96" s="301"/>
      <c r="S96" s="301"/>
      <c r="T96" s="301"/>
      <c r="U96" s="307"/>
      <c r="V96" s="301"/>
      <c r="W96" s="301"/>
      <c r="X96" s="307"/>
      <c r="Y96" s="301"/>
      <c r="Z96" s="301"/>
      <c r="AA96" s="301"/>
      <c r="AB96" s="301"/>
      <c r="AC96" s="301"/>
      <c r="AD96" s="301"/>
      <c r="AE96" s="301"/>
      <c r="AF96" s="301"/>
      <c r="AG96" s="301"/>
      <c r="AH96" s="307"/>
      <c r="AI96" s="301"/>
      <c r="AJ96" s="307"/>
      <c r="AK96" s="307"/>
      <c r="AL96" s="307"/>
      <c r="AM96" s="307"/>
      <c r="AN96" s="307"/>
      <c r="AO96" s="307"/>
      <c r="AP96" s="307"/>
      <c r="AQ96" s="307"/>
      <c r="AR96" s="307"/>
      <c r="AS96" s="307"/>
      <c r="AT96" s="307"/>
      <c r="AU96" s="307"/>
    </row>
    <row r="97" ht="12.0" customHeight="1">
      <c r="A97" s="301"/>
      <c r="B97" s="301"/>
      <c r="C97" s="301"/>
      <c r="D97" s="309" t="s">
        <v>2296</v>
      </c>
      <c r="E97" s="309" t="s">
        <v>2297</v>
      </c>
      <c r="F97" s="309" t="s">
        <v>2298</v>
      </c>
      <c r="G97" s="309">
        <v>624.0</v>
      </c>
      <c r="H97" s="307"/>
      <c r="I97" s="301"/>
      <c r="J97" s="301"/>
      <c r="K97" s="301"/>
      <c r="L97" s="301"/>
      <c r="M97" s="301"/>
      <c r="N97" s="301"/>
      <c r="O97" s="301"/>
      <c r="P97" s="301"/>
      <c r="Q97" s="301"/>
      <c r="R97" s="301"/>
      <c r="S97" s="301"/>
      <c r="T97" s="301"/>
      <c r="U97" s="307"/>
      <c r="V97" s="301"/>
      <c r="W97" s="301"/>
      <c r="X97" s="307"/>
      <c r="Y97" s="301"/>
      <c r="Z97" s="301"/>
      <c r="AA97" s="301"/>
      <c r="AB97" s="301"/>
      <c r="AC97" s="301"/>
      <c r="AD97" s="301"/>
      <c r="AE97" s="301"/>
      <c r="AF97" s="301"/>
      <c r="AG97" s="301"/>
      <c r="AH97" s="307"/>
      <c r="AI97" s="301"/>
      <c r="AJ97" s="307"/>
      <c r="AK97" s="307"/>
      <c r="AL97" s="307"/>
      <c r="AM97" s="307"/>
      <c r="AN97" s="307"/>
      <c r="AO97" s="307"/>
      <c r="AP97" s="307"/>
      <c r="AQ97" s="307"/>
      <c r="AR97" s="307"/>
      <c r="AS97" s="307"/>
      <c r="AT97" s="307"/>
      <c r="AU97" s="307"/>
    </row>
    <row r="98" ht="12.0" customHeight="1">
      <c r="A98" s="301"/>
      <c r="B98" s="301"/>
      <c r="C98" s="301"/>
      <c r="D98" s="309" t="s">
        <v>2299</v>
      </c>
      <c r="E98" s="309" t="s">
        <v>2300</v>
      </c>
      <c r="F98" s="309" t="s">
        <v>2301</v>
      </c>
      <c r="G98" s="309">
        <v>328.0</v>
      </c>
      <c r="H98" s="307"/>
      <c r="I98" s="301"/>
      <c r="J98" s="301"/>
      <c r="K98" s="301"/>
      <c r="L98" s="301"/>
      <c r="M98" s="301"/>
      <c r="N98" s="301"/>
      <c r="O98" s="301"/>
      <c r="P98" s="301"/>
      <c r="Q98" s="301"/>
      <c r="R98" s="301"/>
      <c r="S98" s="301"/>
      <c r="T98" s="301"/>
      <c r="U98" s="307"/>
      <c r="V98" s="301"/>
      <c r="W98" s="301"/>
      <c r="X98" s="307"/>
      <c r="Y98" s="301"/>
      <c r="Z98" s="301"/>
      <c r="AA98" s="301"/>
      <c r="AB98" s="301"/>
      <c r="AC98" s="301"/>
      <c r="AD98" s="301"/>
      <c r="AE98" s="301"/>
      <c r="AF98" s="301"/>
      <c r="AG98" s="301"/>
      <c r="AH98" s="307"/>
      <c r="AI98" s="301"/>
      <c r="AJ98" s="307"/>
      <c r="AK98" s="307"/>
      <c r="AL98" s="307"/>
      <c r="AM98" s="307"/>
      <c r="AN98" s="307"/>
      <c r="AO98" s="307"/>
      <c r="AP98" s="307"/>
      <c r="AQ98" s="307"/>
      <c r="AR98" s="307"/>
      <c r="AS98" s="307"/>
      <c r="AT98" s="307"/>
      <c r="AU98" s="307"/>
    </row>
    <row r="99" ht="12.0" customHeight="1">
      <c r="A99" s="301"/>
      <c r="B99" s="301"/>
      <c r="C99" s="301"/>
      <c r="D99" s="309" t="s">
        <v>2302</v>
      </c>
      <c r="E99" s="309" t="s">
        <v>2303</v>
      </c>
      <c r="F99" s="309" t="s">
        <v>2304</v>
      </c>
      <c r="G99" s="309">
        <v>332.0</v>
      </c>
      <c r="H99" s="307"/>
      <c r="I99" s="301"/>
      <c r="J99" s="301"/>
      <c r="K99" s="301"/>
      <c r="L99" s="301"/>
      <c r="M99" s="301"/>
      <c r="N99" s="301"/>
      <c r="O99" s="301"/>
      <c r="P99" s="301"/>
      <c r="Q99" s="301"/>
      <c r="R99" s="301"/>
      <c r="S99" s="301"/>
      <c r="T99" s="301"/>
      <c r="U99" s="307"/>
      <c r="V99" s="301"/>
      <c r="W99" s="301"/>
      <c r="X99" s="307"/>
      <c r="Y99" s="301"/>
      <c r="Z99" s="301"/>
      <c r="AA99" s="301"/>
      <c r="AB99" s="301"/>
      <c r="AC99" s="301"/>
      <c r="AD99" s="301"/>
      <c r="AE99" s="301"/>
      <c r="AF99" s="301"/>
      <c r="AG99" s="301"/>
      <c r="AH99" s="307"/>
      <c r="AI99" s="301"/>
      <c r="AJ99" s="307"/>
      <c r="AK99" s="307"/>
      <c r="AL99" s="307"/>
      <c r="AM99" s="307"/>
      <c r="AN99" s="307"/>
      <c r="AO99" s="307"/>
      <c r="AP99" s="307"/>
      <c r="AQ99" s="307"/>
      <c r="AR99" s="307"/>
      <c r="AS99" s="307"/>
      <c r="AT99" s="307"/>
      <c r="AU99" s="307"/>
    </row>
    <row r="100" ht="12.0" customHeight="1">
      <c r="A100" s="301"/>
      <c r="B100" s="301"/>
      <c r="C100" s="301"/>
      <c r="D100" s="309" t="s">
        <v>2305</v>
      </c>
      <c r="E100" s="309" t="s">
        <v>2306</v>
      </c>
      <c r="F100" s="309" t="s">
        <v>2307</v>
      </c>
      <c r="G100" s="309">
        <v>334.0</v>
      </c>
      <c r="H100" s="307"/>
      <c r="I100" s="301"/>
      <c r="J100" s="301"/>
      <c r="K100" s="301"/>
      <c r="L100" s="301"/>
      <c r="M100" s="301"/>
      <c r="N100" s="301"/>
      <c r="O100" s="301"/>
      <c r="P100" s="301"/>
      <c r="Q100" s="301"/>
      <c r="R100" s="301"/>
      <c r="S100" s="301"/>
      <c r="T100" s="301"/>
      <c r="U100" s="307"/>
      <c r="V100" s="301"/>
      <c r="W100" s="301"/>
      <c r="X100" s="307"/>
      <c r="Y100" s="301"/>
      <c r="Z100" s="301"/>
      <c r="AA100" s="301"/>
      <c r="AB100" s="301"/>
      <c r="AC100" s="301"/>
      <c r="AD100" s="301"/>
      <c r="AE100" s="301"/>
      <c r="AF100" s="301"/>
      <c r="AG100" s="301"/>
      <c r="AH100" s="307"/>
      <c r="AI100" s="301"/>
      <c r="AJ100" s="307"/>
      <c r="AK100" s="307"/>
      <c r="AL100" s="307"/>
      <c r="AM100" s="307"/>
      <c r="AN100" s="307"/>
      <c r="AO100" s="307"/>
      <c r="AP100" s="307"/>
      <c r="AQ100" s="307"/>
      <c r="AR100" s="307"/>
      <c r="AS100" s="307"/>
      <c r="AT100" s="307"/>
      <c r="AU100" s="307"/>
    </row>
    <row r="101" ht="12.0" customHeight="1">
      <c r="A101" s="301"/>
      <c r="B101" s="301"/>
      <c r="C101" s="301"/>
      <c r="D101" s="309" t="s">
        <v>2308</v>
      </c>
      <c r="E101" s="309" t="s">
        <v>2309</v>
      </c>
      <c r="F101" s="309" t="s">
        <v>2310</v>
      </c>
      <c r="G101" s="309">
        <v>336.0</v>
      </c>
      <c r="H101" s="307"/>
      <c r="I101" s="301"/>
      <c r="J101" s="301"/>
      <c r="K101" s="301"/>
      <c r="L101" s="301"/>
      <c r="M101" s="301"/>
      <c r="N101" s="301"/>
      <c r="O101" s="301"/>
      <c r="P101" s="301"/>
      <c r="Q101" s="301"/>
      <c r="R101" s="301"/>
      <c r="S101" s="301"/>
      <c r="T101" s="301"/>
      <c r="U101" s="307"/>
      <c r="V101" s="301"/>
      <c r="W101" s="301"/>
      <c r="X101" s="307"/>
      <c r="Y101" s="301"/>
      <c r="Z101" s="301"/>
      <c r="AA101" s="301"/>
      <c r="AB101" s="301"/>
      <c r="AC101" s="301"/>
      <c r="AD101" s="301"/>
      <c r="AE101" s="301"/>
      <c r="AF101" s="301"/>
      <c r="AG101" s="301"/>
      <c r="AH101" s="307"/>
      <c r="AI101" s="301"/>
      <c r="AJ101" s="307"/>
      <c r="AK101" s="307"/>
      <c r="AL101" s="307"/>
      <c r="AM101" s="307"/>
      <c r="AN101" s="307"/>
      <c r="AO101" s="307"/>
      <c r="AP101" s="307"/>
      <c r="AQ101" s="307"/>
      <c r="AR101" s="307"/>
      <c r="AS101" s="307"/>
      <c r="AT101" s="307"/>
      <c r="AU101" s="307"/>
    </row>
    <row r="102" ht="12.0" customHeight="1">
      <c r="A102" s="301"/>
      <c r="B102" s="301"/>
      <c r="C102" s="301"/>
      <c r="D102" s="309" t="s">
        <v>2311</v>
      </c>
      <c r="E102" s="309" t="s">
        <v>2312</v>
      </c>
      <c r="F102" s="309" t="s">
        <v>2313</v>
      </c>
      <c r="G102" s="309">
        <v>340.0</v>
      </c>
      <c r="H102" s="307"/>
      <c r="I102" s="301"/>
      <c r="J102" s="301"/>
      <c r="K102" s="301"/>
      <c r="L102" s="301"/>
      <c r="M102" s="301"/>
      <c r="N102" s="301"/>
      <c r="O102" s="301"/>
      <c r="P102" s="301"/>
      <c r="Q102" s="301"/>
      <c r="R102" s="301"/>
      <c r="S102" s="301"/>
      <c r="T102" s="301"/>
      <c r="U102" s="307"/>
      <c r="V102" s="301"/>
      <c r="W102" s="301"/>
      <c r="X102" s="307"/>
      <c r="Y102" s="301"/>
      <c r="Z102" s="301"/>
      <c r="AA102" s="301"/>
      <c r="AB102" s="301"/>
      <c r="AC102" s="301"/>
      <c r="AD102" s="301"/>
      <c r="AE102" s="301"/>
      <c r="AF102" s="301"/>
      <c r="AG102" s="301"/>
      <c r="AH102" s="307"/>
      <c r="AI102" s="301"/>
      <c r="AJ102" s="307"/>
      <c r="AK102" s="307"/>
      <c r="AL102" s="307"/>
      <c r="AM102" s="307"/>
      <c r="AN102" s="307"/>
      <c r="AO102" s="307"/>
      <c r="AP102" s="307"/>
      <c r="AQ102" s="307"/>
      <c r="AR102" s="307"/>
      <c r="AS102" s="307"/>
      <c r="AT102" s="307"/>
      <c r="AU102" s="307"/>
    </row>
    <row r="103" ht="12.0" customHeight="1">
      <c r="A103" s="301"/>
      <c r="B103" s="301"/>
      <c r="C103" s="301"/>
      <c r="D103" s="309" t="s">
        <v>2314</v>
      </c>
      <c r="E103" s="309" t="s">
        <v>2315</v>
      </c>
      <c r="F103" s="309" t="s">
        <v>2316</v>
      </c>
      <c r="G103" s="309">
        <v>344.0</v>
      </c>
      <c r="H103" s="307"/>
      <c r="I103" s="301"/>
      <c r="J103" s="301"/>
      <c r="K103" s="301"/>
      <c r="L103" s="301"/>
      <c r="M103" s="301"/>
      <c r="N103" s="301"/>
      <c r="O103" s="301"/>
      <c r="P103" s="301"/>
      <c r="Q103" s="301"/>
      <c r="R103" s="301"/>
      <c r="S103" s="301"/>
      <c r="T103" s="301"/>
      <c r="U103" s="307"/>
      <c r="V103" s="301"/>
      <c r="W103" s="301"/>
      <c r="X103" s="307"/>
      <c r="Y103" s="301"/>
      <c r="Z103" s="301"/>
      <c r="AA103" s="301"/>
      <c r="AB103" s="301"/>
      <c r="AC103" s="301"/>
      <c r="AD103" s="301"/>
      <c r="AE103" s="301"/>
      <c r="AF103" s="301"/>
      <c r="AG103" s="301"/>
      <c r="AH103" s="307"/>
      <c r="AI103" s="301"/>
      <c r="AJ103" s="307"/>
      <c r="AK103" s="307"/>
      <c r="AL103" s="307"/>
      <c r="AM103" s="307"/>
      <c r="AN103" s="307"/>
      <c r="AO103" s="307"/>
      <c r="AP103" s="307"/>
      <c r="AQ103" s="307"/>
      <c r="AR103" s="307"/>
      <c r="AS103" s="307"/>
      <c r="AT103" s="307"/>
      <c r="AU103" s="307"/>
    </row>
    <row r="104" ht="12.0" customHeight="1">
      <c r="A104" s="301"/>
      <c r="B104" s="301"/>
      <c r="C104" s="301"/>
      <c r="D104" s="309" t="s">
        <v>2317</v>
      </c>
      <c r="E104" s="309" t="s">
        <v>2318</v>
      </c>
      <c r="F104" s="309" t="s">
        <v>2319</v>
      </c>
      <c r="G104" s="309">
        <v>348.0</v>
      </c>
      <c r="H104" s="307"/>
      <c r="I104" s="301"/>
      <c r="J104" s="301"/>
      <c r="K104" s="301"/>
      <c r="L104" s="301"/>
      <c r="M104" s="301"/>
      <c r="N104" s="301"/>
      <c r="O104" s="301"/>
      <c r="P104" s="301"/>
      <c r="Q104" s="301"/>
      <c r="R104" s="301"/>
      <c r="S104" s="301"/>
      <c r="T104" s="301"/>
      <c r="U104" s="307"/>
      <c r="V104" s="301"/>
      <c r="W104" s="301"/>
      <c r="X104" s="307"/>
      <c r="Y104" s="301"/>
      <c r="Z104" s="301"/>
      <c r="AA104" s="301"/>
      <c r="AB104" s="301"/>
      <c r="AC104" s="301"/>
      <c r="AD104" s="301"/>
      <c r="AE104" s="301"/>
      <c r="AF104" s="301"/>
      <c r="AG104" s="301"/>
      <c r="AH104" s="307"/>
      <c r="AI104" s="301"/>
      <c r="AJ104" s="307"/>
      <c r="AK104" s="307"/>
      <c r="AL104" s="307"/>
      <c r="AM104" s="307"/>
      <c r="AN104" s="307"/>
      <c r="AO104" s="307"/>
      <c r="AP104" s="307"/>
      <c r="AQ104" s="307"/>
      <c r="AR104" s="307"/>
      <c r="AS104" s="307"/>
      <c r="AT104" s="307"/>
      <c r="AU104" s="307"/>
    </row>
    <row r="105" ht="12.0" customHeight="1">
      <c r="A105" s="301"/>
      <c r="B105" s="301"/>
      <c r="C105" s="301"/>
      <c r="D105" s="309" t="s">
        <v>2320</v>
      </c>
      <c r="E105" s="309" t="s">
        <v>2321</v>
      </c>
      <c r="F105" s="309" t="s">
        <v>2322</v>
      </c>
      <c r="G105" s="309">
        <v>352.0</v>
      </c>
      <c r="H105" s="307"/>
      <c r="I105" s="301"/>
      <c r="J105" s="301"/>
      <c r="K105" s="301"/>
      <c r="L105" s="301"/>
      <c r="M105" s="301"/>
      <c r="N105" s="301"/>
      <c r="O105" s="301"/>
      <c r="P105" s="301"/>
      <c r="Q105" s="301"/>
      <c r="R105" s="301"/>
      <c r="S105" s="301"/>
      <c r="T105" s="301"/>
      <c r="U105" s="307"/>
      <c r="V105" s="301"/>
      <c r="W105" s="301"/>
      <c r="X105" s="307"/>
      <c r="Y105" s="301"/>
      <c r="Z105" s="301"/>
      <c r="AA105" s="301"/>
      <c r="AB105" s="301"/>
      <c r="AC105" s="301"/>
      <c r="AD105" s="301"/>
      <c r="AE105" s="301"/>
      <c r="AF105" s="301"/>
      <c r="AG105" s="301"/>
      <c r="AH105" s="307"/>
      <c r="AI105" s="301"/>
      <c r="AJ105" s="307"/>
      <c r="AK105" s="307"/>
      <c r="AL105" s="307"/>
      <c r="AM105" s="307"/>
      <c r="AN105" s="307"/>
      <c r="AO105" s="307"/>
      <c r="AP105" s="307"/>
      <c r="AQ105" s="307"/>
      <c r="AR105" s="307"/>
      <c r="AS105" s="307"/>
      <c r="AT105" s="307"/>
      <c r="AU105" s="307"/>
    </row>
    <row r="106" ht="12.0" customHeight="1">
      <c r="A106" s="301"/>
      <c r="B106" s="301"/>
      <c r="C106" s="301"/>
      <c r="D106" s="309" t="s">
        <v>2323</v>
      </c>
      <c r="E106" s="309" t="s">
        <v>2324</v>
      </c>
      <c r="F106" s="309" t="s">
        <v>2325</v>
      </c>
      <c r="G106" s="309">
        <v>356.0</v>
      </c>
      <c r="H106" s="307"/>
      <c r="I106" s="301"/>
      <c r="J106" s="301"/>
      <c r="K106" s="301"/>
      <c r="L106" s="301"/>
      <c r="M106" s="301"/>
      <c r="N106" s="301"/>
      <c r="O106" s="301"/>
      <c r="P106" s="301"/>
      <c r="Q106" s="301"/>
      <c r="R106" s="301"/>
      <c r="S106" s="301"/>
      <c r="T106" s="301"/>
      <c r="U106" s="307"/>
      <c r="V106" s="301"/>
      <c r="W106" s="301"/>
      <c r="X106" s="307"/>
      <c r="Y106" s="301"/>
      <c r="Z106" s="301"/>
      <c r="AA106" s="301"/>
      <c r="AB106" s="301"/>
      <c r="AC106" s="301"/>
      <c r="AD106" s="301"/>
      <c r="AE106" s="301"/>
      <c r="AF106" s="301"/>
      <c r="AG106" s="301"/>
      <c r="AH106" s="307"/>
      <c r="AI106" s="301"/>
      <c r="AJ106" s="307"/>
      <c r="AK106" s="307"/>
      <c r="AL106" s="307"/>
      <c r="AM106" s="307"/>
      <c r="AN106" s="307"/>
      <c r="AO106" s="307"/>
      <c r="AP106" s="307"/>
      <c r="AQ106" s="307"/>
      <c r="AR106" s="307"/>
      <c r="AS106" s="307"/>
      <c r="AT106" s="307"/>
      <c r="AU106" s="307"/>
    </row>
    <row r="107" ht="12.0" customHeight="1">
      <c r="A107" s="301"/>
      <c r="B107" s="301"/>
      <c r="C107" s="301"/>
      <c r="D107" s="309" t="s">
        <v>2326</v>
      </c>
      <c r="E107" s="309" t="s">
        <v>2327</v>
      </c>
      <c r="F107" s="309" t="s">
        <v>2328</v>
      </c>
      <c r="G107" s="309">
        <v>360.0</v>
      </c>
      <c r="H107" s="307"/>
      <c r="I107" s="301"/>
      <c r="J107" s="301"/>
      <c r="K107" s="301"/>
      <c r="L107" s="301"/>
      <c r="M107" s="301"/>
      <c r="N107" s="301"/>
      <c r="O107" s="301"/>
      <c r="P107" s="301"/>
      <c r="Q107" s="301"/>
      <c r="R107" s="301"/>
      <c r="S107" s="301"/>
      <c r="T107" s="301"/>
      <c r="U107" s="307"/>
      <c r="V107" s="301"/>
      <c r="W107" s="301"/>
      <c r="X107" s="307"/>
      <c r="Y107" s="301"/>
      <c r="Z107" s="301"/>
      <c r="AA107" s="301"/>
      <c r="AB107" s="301"/>
      <c r="AC107" s="301"/>
      <c r="AD107" s="301"/>
      <c r="AE107" s="301"/>
      <c r="AF107" s="301"/>
      <c r="AG107" s="301"/>
      <c r="AH107" s="307"/>
      <c r="AI107" s="301"/>
      <c r="AJ107" s="307"/>
      <c r="AK107" s="307"/>
      <c r="AL107" s="307"/>
      <c r="AM107" s="307"/>
      <c r="AN107" s="307"/>
      <c r="AO107" s="307"/>
      <c r="AP107" s="307"/>
      <c r="AQ107" s="307"/>
      <c r="AR107" s="307"/>
      <c r="AS107" s="307"/>
      <c r="AT107" s="307"/>
      <c r="AU107" s="307"/>
    </row>
    <row r="108" ht="12.0" customHeight="1">
      <c r="A108" s="301"/>
      <c r="B108" s="301"/>
      <c r="C108" s="301"/>
      <c r="D108" s="309" t="s">
        <v>2329</v>
      </c>
      <c r="E108" s="309" t="s">
        <v>2330</v>
      </c>
      <c r="F108" s="309" t="s">
        <v>2331</v>
      </c>
      <c r="G108" s="309">
        <v>364.0</v>
      </c>
      <c r="H108" s="307"/>
      <c r="I108" s="301"/>
      <c r="J108" s="301"/>
      <c r="K108" s="301"/>
      <c r="L108" s="301"/>
      <c r="M108" s="301"/>
      <c r="N108" s="301"/>
      <c r="O108" s="301"/>
      <c r="P108" s="301"/>
      <c r="Q108" s="301"/>
      <c r="R108" s="301"/>
      <c r="S108" s="301"/>
      <c r="T108" s="301"/>
      <c r="U108" s="307"/>
      <c r="V108" s="301"/>
      <c r="W108" s="301"/>
      <c r="X108" s="307"/>
      <c r="Y108" s="301"/>
      <c r="Z108" s="301"/>
      <c r="AA108" s="301"/>
      <c r="AB108" s="301"/>
      <c r="AC108" s="301"/>
      <c r="AD108" s="301"/>
      <c r="AE108" s="301"/>
      <c r="AF108" s="301"/>
      <c r="AG108" s="301"/>
      <c r="AH108" s="307"/>
      <c r="AI108" s="301"/>
      <c r="AJ108" s="307"/>
      <c r="AK108" s="307"/>
      <c r="AL108" s="307"/>
      <c r="AM108" s="307"/>
      <c r="AN108" s="307"/>
      <c r="AO108" s="307"/>
      <c r="AP108" s="307"/>
      <c r="AQ108" s="307"/>
      <c r="AR108" s="307"/>
      <c r="AS108" s="307"/>
      <c r="AT108" s="307"/>
      <c r="AU108" s="307"/>
    </row>
    <row r="109" ht="12.0" customHeight="1">
      <c r="A109" s="301"/>
      <c r="B109" s="301"/>
      <c r="C109" s="301"/>
      <c r="D109" s="309" t="s">
        <v>2332</v>
      </c>
      <c r="E109" s="309" t="s">
        <v>2333</v>
      </c>
      <c r="F109" s="309" t="s">
        <v>2334</v>
      </c>
      <c r="G109" s="309">
        <v>368.0</v>
      </c>
      <c r="H109" s="307"/>
      <c r="I109" s="301"/>
      <c r="J109" s="301"/>
      <c r="K109" s="301"/>
      <c r="L109" s="301"/>
      <c r="M109" s="301"/>
      <c r="N109" s="301"/>
      <c r="O109" s="301"/>
      <c r="P109" s="301"/>
      <c r="Q109" s="301"/>
      <c r="R109" s="301"/>
      <c r="S109" s="301"/>
      <c r="T109" s="301"/>
      <c r="U109" s="307"/>
      <c r="V109" s="301"/>
      <c r="W109" s="301"/>
      <c r="X109" s="307"/>
      <c r="Y109" s="301"/>
      <c r="Z109" s="301"/>
      <c r="AA109" s="301"/>
      <c r="AB109" s="301"/>
      <c r="AC109" s="301"/>
      <c r="AD109" s="301"/>
      <c r="AE109" s="301"/>
      <c r="AF109" s="301"/>
      <c r="AG109" s="301"/>
      <c r="AH109" s="307"/>
      <c r="AI109" s="301"/>
      <c r="AJ109" s="307"/>
      <c r="AK109" s="307"/>
      <c r="AL109" s="307"/>
      <c r="AM109" s="307"/>
      <c r="AN109" s="307"/>
      <c r="AO109" s="307"/>
      <c r="AP109" s="307"/>
      <c r="AQ109" s="307"/>
      <c r="AR109" s="307"/>
      <c r="AS109" s="307"/>
      <c r="AT109" s="307"/>
      <c r="AU109" s="307"/>
    </row>
    <row r="110" ht="12.0" customHeight="1">
      <c r="A110" s="301"/>
      <c r="B110" s="301"/>
      <c r="C110" s="301"/>
      <c r="D110" s="309" t="s">
        <v>2335</v>
      </c>
      <c r="E110" s="309" t="s">
        <v>2336</v>
      </c>
      <c r="F110" s="309" t="s">
        <v>2337</v>
      </c>
      <c r="G110" s="309">
        <v>372.0</v>
      </c>
      <c r="H110" s="307"/>
      <c r="I110" s="301"/>
      <c r="J110" s="301"/>
      <c r="K110" s="301"/>
      <c r="L110" s="301"/>
      <c r="M110" s="301"/>
      <c r="N110" s="301"/>
      <c r="O110" s="301"/>
      <c r="P110" s="301"/>
      <c r="Q110" s="301"/>
      <c r="R110" s="301"/>
      <c r="S110" s="301"/>
      <c r="T110" s="301"/>
      <c r="U110" s="307"/>
      <c r="V110" s="301"/>
      <c r="W110" s="301"/>
      <c r="X110" s="307"/>
      <c r="Y110" s="301"/>
      <c r="Z110" s="301"/>
      <c r="AA110" s="301"/>
      <c r="AB110" s="301"/>
      <c r="AC110" s="301"/>
      <c r="AD110" s="301"/>
      <c r="AE110" s="301"/>
      <c r="AF110" s="301"/>
      <c r="AG110" s="301"/>
      <c r="AH110" s="307"/>
      <c r="AI110" s="301"/>
      <c r="AJ110" s="307"/>
      <c r="AK110" s="307"/>
      <c r="AL110" s="307"/>
      <c r="AM110" s="307"/>
      <c r="AN110" s="307"/>
      <c r="AO110" s="307"/>
      <c r="AP110" s="307"/>
      <c r="AQ110" s="307"/>
      <c r="AR110" s="307"/>
      <c r="AS110" s="307"/>
      <c r="AT110" s="307"/>
      <c r="AU110" s="307"/>
    </row>
    <row r="111" ht="12.0" customHeight="1">
      <c r="A111" s="301"/>
      <c r="B111" s="301"/>
      <c r="C111" s="301"/>
      <c r="D111" s="309" t="s">
        <v>2338</v>
      </c>
      <c r="E111" s="309" t="s">
        <v>2339</v>
      </c>
      <c r="F111" s="309" t="s">
        <v>2340</v>
      </c>
      <c r="G111" s="309">
        <v>833.0</v>
      </c>
      <c r="H111" s="307"/>
      <c r="I111" s="301"/>
      <c r="J111" s="301"/>
      <c r="K111" s="301"/>
      <c r="L111" s="301"/>
      <c r="M111" s="301"/>
      <c r="N111" s="301"/>
      <c r="O111" s="301"/>
      <c r="P111" s="301"/>
      <c r="Q111" s="301"/>
      <c r="R111" s="301"/>
      <c r="S111" s="301"/>
      <c r="T111" s="301"/>
      <c r="U111" s="307"/>
      <c r="V111" s="301"/>
      <c r="W111" s="301"/>
      <c r="X111" s="307"/>
      <c r="Y111" s="301"/>
      <c r="Z111" s="301"/>
      <c r="AA111" s="301"/>
      <c r="AB111" s="301"/>
      <c r="AC111" s="301"/>
      <c r="AD111" s="301"/>
      <c r="AE111" s="301"/>
      <c r="AF111" s="301"/>
      <c r="AG111" s="301"/>
      <c r="AH111" s="307"/>
      <c r="AI111" s="301"/>
      <c r="AJ111" s="307"/>
      <c r="AK111" s="307"/>
      <c r="AL111" s="307"/>
      <c r="AM111" s="307"/>
      <c r="AN111" s="307"/>
      <c r="AO111" s="307"/>
      <c r="AP111" s="307"/>
      <c r="AQ111" s="307"/>
      <c r="AR111" s="307"/>
      <c r="AS111" s="307"/>
      <c r="AT111" s="307"/>
      <c r="AU111" s="307"/>
    </row>
    <row r="112" ht="12.0" customHeight="1">
      <c r="A112" s="301"/>
      <c r="B112" s="301"/>
      <c r="C112" s="301"/>
      <c r="D112" s="309" t="s">
        <v>2341</v>
      </c>
      <c r="E112" s="309" t="s">
        <v>2342</v>
      </c>
      <c r="F112" s="309" t="s">
        <v>2343</v>
      </c>
      <c r="G112" s="309">
        <v>376.0</v>
      </c>
      <c r="H112" s="307"/>
      <c r="I112" s="301"/>
      <c r="J112" s="301"/>
      <c r="K112" s="301"/>
      <c r="L112" s="301"/>
      <c r="M112" s="301"/>
      <c r="N112" s="301"/>
      <c r="O112" s="301"/>
      <c r="P112" s="301"/>
      <c r="Q112" s="301"/>
      <c r="R112" s="301"/>
      <c r="S112" s="301"/>
      <c r="T112" s="301"/>
      <c r="U112" s="307"/>
      <c r="V112" s="301"/>
      <c r="W112" s="301"/>
      <c r="X112" s="307"/>
      <c r="Y112" s="301"/>
      <c r="Z112" s="301"/>
      <c r="AA112" s="301"/>
      <c r="AB112" s="301"/>
      <c r="AC112" s="301"/>
      <c r="AD112" s="301"/>
      <c r="AE112" s="301"/>
      <c r="AF112" s="301"/>
      <c r="AG112" s="301"/>
      <c r="AH112" s="307"/>
      <c r="AI112" s="301"/>
      <c r="AJ112" s="307"/>
      <c r="AK112" s="307"/>
      <c r="AL112" s="307"/>
      <c r="AM112" s="307"/>
      <c r="AN112" s="307"/>
      <c r="AO112" s="307"/>
      <c r="AP112" s="307"/>
      <c r="AQ112" s="307"/>
      <c r="AR112" s="307"/>
      <c r="AS112" s="307"/>
      <c r="AT112" s="307"/>
      <c r="AU112" s="307"/>
    </row>
    <row r="113" ht="12.0" customHeight="1">
      <c r="A113" s="301"/>
      <c r="B113" s="301"/>
      <c r="C113" s="301"/>
      <c r="D113" s="309" t="s">
        <v>2344</v>
      </c>
      <c r="E113" s="309" t="s">
        <v>2345</v>
      </c>
      <c r="F113" s="309" t="s">
        <v>2346</v>
      </c>
      <c r="G113" s="309">
        <v>380.0</v>
      </c>
      <c r="H113" s="307"/>
      <c r="I113" s="301"/>
      <c r="J113" s="301"/>
      <c r="K113" s="301"/>
      <c r="L113" s="301"/>
      <c r="M113" s="301"/>
      <c r="N113" s="301"/>
      <c r="O113" s="301"/>
      <c r="P113" s="301"/>
      <c r="Q113" s="301"/>
      <c r="R113" s="301"/>
      <c r="S113" s="301"/>
      <c r="T113" s="301"/>
      <c r="U113" s="307"/>
      <c r="V113" s="301"/>
      <c r="W113" s="301"/>
      <c r="X113" s="307"/>
      <c r="Y113" s="301"/>
      <c r="Z113" s="301"/>
      <c r="AA113" s="301"/>
      <c r="AB113" s="301"/>
      <c r="AC113" s="301"/>
      <c r="AD113" s="301"/>
      <c r="AE113" s="301"/>
      <c r="AF113" s="301"/>
      <c r="AG113" s="301"/>
      <c r="AH113" s="307"/>
      <c r="AI113" s="301"/>
      <c r="AJ113" s="307"/>
      <c r="AK113" s="307"/>
      <c r="AL113" s="307"/>
      <c r="AM113" s="307"/>
      <c r="AN113" s="307"/>
      <c r="AO113" s="307"/>
      <c r="AP113" s="307"/>
      <c r="AQ113" s="307"/>
      <c r="AR113" s="307"/>
      <c r="AS113" s="307"/>
      <c r="AT113" s="307"/>
      <c r="AU113" s="307"/>
    </row>
    <row r="114" ht="12.0" customHeight="1">
      <c r="A114" s="301"/>
      <c r="B114" s="301"/>
      <c r="C114" s="301"/>
      <c r="D114" s="309" t="s">
        <v>2347</v>
      </c>
      <c r="E114" s="309" t="s">
        <v>2348</v>
      </c>
      <c r="F114" s="309" t="s">
        <v>2349</v>
      </c>
      <c r="G114" s="309">
        <v>388.0</v>
      </c>
      <c r="H114" s="307"/>
      <c r="I114" s="301"/>
      <c r="J114" s="301"/>
      <c r="K114" s="301"/>
      <c r="L114" s="301"/>
      <c r="M114" s="301"/>
      <c r="N114" s="301"/>
      <c r="O114" s="301"/>
      <c r="P114" s="301"/>
      <c r="Q114" s="301"/>
      <c r="R114" s="301"/>
      <c r="S114" s="301"/>
      <c r="T114" s="301"/>
      <c r="U114" s="307"/>
      <c r="V114" s="301"/>
      <c r="W114" s="301"/>
      <c r="X114" s="307"/>
      <c r="Y114" s="301"/>
      <c r="Z114" s="301"/>
      <c r="AA114" s="301"/>
      <c r="AB114" s="301"/>
      <c r="AC114" s="301"/>
      <c r="AD114" s="301"/>
      <c r="AE114" s="301"/>
      <c r="AF114" s="301"/>
      <c r="AG114" s="301"/>
      <c r="AH114" s="307"/>
      <c r="AI114" s="301"/>
      <c r="AJ114" s="307"/>
      <c r="AK114" s="307"/>
      <c r="AL114" s="307"/>
      <c r="AM114" s="307"/>
      <c r="AN114" s="307"/>
      <c r="AO114" s="307"/>
      <c r="AP114" s="307"/>
      <c r="AQ114" s="307"/>
      <c r="AR114" s="307"/>
      <c r="AS114" s="307"/>
      <c r="AT114" s="307"/>
      <c r="AU114" s="307"/>
    </row>
    <row r="115" ht="12.0" customHeight="1">
      <c r="A115" s="301"/>
      <c r="B115" s="301"/>
      <c r="C115" s="301"/>
      <c r="D115" s="309" t="s">
        <v>2350</v>
      </c>
      <c r="E115" s="309" t="s">
        <v>2351</v>
      </c>
      <c r="F115" s="309" t="s">
        <v>2352</v>
      </c>
      <c r="G115" s="309">
        <v>392.0</v>
      </c>
      <c r="H115" s="307"/>
      <c r="I115" s="301"/>
      <c r="J115" s="301"/>
      <c r="K115" s="301"/>
      <c r="L115" s="301"/>
      <c r="M115" s="301"/>
      <c r="N115" s="301"/>
      <c r="O115" s="301"/>
      <c r="P115" s="301"/>
      <c r="Q115" s="301"/>
      <c r="R115" s="301"/>
      <c r="S115" s="301"/>
      <c r="T115" s="301"/>
      <c r="U115" s="307"/>
      <c r="V115" s="301"/>
      <c r="W115" s="301"/>
      <c r="X115" s="307"/>
      <c r="Y115" s="301"/>
      <c r="Z115" s="301"/>
      <c r="AA115" s="301"/>
      <c r="AB115" s="301"/>
      <c r="AC115" s="301"/>
      <c r="AD115" s="301"/>
      <c r="AE115" s="301"/>
      <c r="AF115" s="301"/>
      <c r="AG115" s="301"/>
      <c r="AH115" s="307"/>
      <c r="AI115" s="301"/>
      <c r="AJ115" s="307"/>
      <c r="AK115" s="307"/>
      <c r="AL115" s="307"/>
      <c r="AM115" s="307"/>
      <c r="AN115" s="307"/>
      <c r="AO115" s="307"/>
      <c r="AP115" s="307"/>
      <c r="AQ115" s="307"/>
      <c r="AR115" s="307"/>
      <c r="AS115" s="307"/>
      <c r="AT115" s="307"/>
      <c r="AU115" s="307"/>
    </row>
    <row r="116" ht="12.0" customHeight="1">
      <c r="A116" s="301"/>
      <c r="B116" s="301"/>
      <c r="C116" s="301"/>
      <c r="D116" s="309" t="s">
        <v>2353</v>
      </c>
      <c r="E116" s="309" t="s">
        <v>2354</v>
      </c>
      <c r="F116" s="309" t="s">
        <v>2355</v>
      </c>
      <c r="G116" s="309">
        <v>832.0</v>
      </c>
      <c r="H116" s="307"/>
      <c r="I116" s="301"/>
      <c r="J116" s="301"/>
      <c r="K116" s="301"/>
      <c r="L116" s="301"/>
      <c r="M116" s="301"/>
      <c r="N116" s="301"/>
      <c r="O116" s="301"/>
      <c r="P116" s="301"/>
      <c r="Q116" s="301"/>
      <c r="R116" s="301"/>
      <c r="S116" s="301"/>
      <c r="T116" s="301"/>
      <c r="U116" s="307"/>
      <c r="V116" s="301"/>
      <c r="W116" s="301"/>
      <c r="X116" s="307"/>
      <c r="Y116" s="301"/>
      <c r="Z116" s="301"/>
      <c r="AA116" s="301"/>
      <c r="AB116" s="301"/>
      <c r="AC116" s="301"/>
      <c r="AD116" s="301"/>
      <c r="AE116" s="301"/>
      <c r="AF116" s="301"/>
      <c r="AG116" s="301"/>
      <c r="AH116" s="307"/>
      <c r="AI116" s="301"/>
      <c r="AJ116" s="307"/>
      <c r="AK116" s="307"/>
      <c r="AL116" s="307"/>
      <c r="AM116" s="307"/>
      <c r="AN116" s="307"/>
      <c r="AO116" s="307"/>
      <c r="AP116" s="307"/>
      <c r="AQ116" s="307"/>
      <c r="AR116" s="307"/>
      <c r="AS116" s="307"/>
      <c r="AT116" s="307"/>
      <c r="AU116" s="307"/>
    </row>
    <row r="117" ht="12.0" customHeight="1">
      <c r="A117" s="301"/>
      <c r="B117" s="301"/>
      <c r="C117" s="301"/>
      <c r="D117" s="309" t="s">
        <v>2356</v>
      </c>
      <c r="E117" s="309" t="s">
        <v>2357</v>
      </c>
      <c r="F117" s="309" t="s">
        <v>2358</v>
      </c>
      <c r="G117" s="309">
        <v>400.0</v>
      </c>
      <c r="H117" s="307"/>
      <c r="I117" s="301"/>
      <c r="J117" s="301"/>
      <c r="K117" s="301"/>
      <c r="L117" s="301"/>
      <c r="M117" s="301"/>
      <c r="N117" s="301"/>
      <c r="O117" s="301"/>
      <c r="P117" s="301"/>
      <c r="Q117" s="301"/>
      <c r="R117" s="301"/>
      <c r="S117" s="301"/>
      <c r="T117" s="301"/>
      <c r="U117" s="307"/>
      <c r="V117" s="301"/>
      <c r="W117" s="301"/>
      <c r="X117" s="307"/>
      <c r="Y117" s="301"/>
      <c r="Z117" s="301"/>
      <c r="AA117" s="301"/>
      <c r="AB117" s="301"/>
      <c r="AC117" s="301"/>
      <c r="AD117" s="301"/>
      <c r="AE117" s="301"/>
      <c r="AF117" s="301"/>
      <c r="AG117" s="301"/>
      <c r="AH117" s="307"/>
      <c r="AI117" s="301"/>
      <c r="AJ117" s="307"/>
      <c r="AK117" s="307"/>
      <c r="AL117" s="307"/>
      <c r="AM117" s="307"/>
      <c r="AN117" s="307"/>
      <c r="AO117" s="307"/>
      <c r="AP117" s="307"/>
      <c r="AQ117" s="307"/>
      <c r="AR117" s="307"/>
      <c r="AS117" s="307"/>
      <c r="AT117" s="307"/>
      <c r="AU117" s="307"/>
    </row>
    <row r="118" ht="12.0" customHeight="1">
      <c r="A118" s="301"/>
      <c r="B118" s="301"/>
      <c r="C118" s="301"/>
      <c r="D118" s="309" t="s">
        <v>2359</v>
      </c>
      <c r="E118" s="309" t="s">
        <v>2360</v>
      </c>
      <c r="F118" s="309" t="s">
        <v>2361</v>
      </c>
      <c r="G118" s="309">
        <v>398.0</v>
      </c>
      <c r="H118" s="307"/>
      <c r="I118" s="301"/>
      <c r="J118" s="301"/>
      <c r="K118" s="301"/>
      <c r="L118" s="301"/>
      <c r="M118" s="301"/>
      <c r="N118" s="301"/>
      <c r="O118" s="301"/>
      <c r="P118" s="301"/>
      <c r="Q118" s="301"/>
      <c r="R118" s="301"/>
      <c r="S118" s="301"/>
      <c r="T118" s="301"/>
      <c r="U118" s="307"/>
      <c r="V118" s="301"/>
      <c r="W118" s="301"/>
      <c r="X118" s="307"/>
      <c r="Y118" s="301"/>
      <c r="Z118" s="301"/>
      <c r="AA118" s="301"/>
      <c r="AB118" s="301"/>
      <c r="AC118" s="301"/>
      <c r="AD118" s="301"/>
      <c r="AE118" s="301"/>
      <c r="AF118" s="301"/>
      <c r="AG118" s="301"/>
      <c r="AH118" s="307"/>
      <c r="AI118" s="301"/>
      <c r="AJ118" s="307"/>
      <c r="AK118" s="307"/>
      <c r="AL118" s="307"/>
      <c r="AM118" s="307"/>
      <c r="AN118" s="307"/>
      <c r="AO118" s="307"/>
      <c r="AP118" s="307"/>
      <c r="AQ118" s="307"/>
      <c r="AR118" s="307"/>
      <c r="AS118" s="307"/>
      <c r="AT118" s="307"/>
      <c r="AU118" s="307"/>
    </row>
    <row r="119" ht="12.0" customHeight="1">
      <c r="A119" s="301"/>
      <c r="B119" s="301"/>
      <c r="C119" s="301"/>
      <c r="D119" s="309" t="s">
        <v>2362</v>
      </c>
      <c r="E119" s="309" t="s">
        <v>2363</v>
      </c>
      <c r="F119" s="309" t="s">
        <v>2364</v>
      </c>
      <c r="G119" s="309">
        <v>404.0</v>
      </c>
      <c r="H119" s="307"/>
      <c r="I119" s="301"/>
      <c r="J119" s="301"/>
      <c r="K119" s="301"/>
      <c r="L119" s="301"/>
      <c r="M119" s="301"/>
      <c r="N119" s="301"/>
      <c r="O119" s="301"/>
      <c r="P119" s="301"/>
      <c r="Q119" s="301"/>
      <c r="R119" s="301"/>
      <c r="S119" s="301"/>
      <c r="T119" s="301"/>
      <c r="U119" s="307"/>
      <c r="V119" s="301"/>
      <c r="W119" s="301"/>
      <c r="X119" s="307"/>
      <c r="Y119" s="301"/>
      <c r="Z119" s="301"/>
      <c r="AA119" s="301"/>
      <c r="AB119" s="301"/>
      <c r="AC119" s="301"/>
      <c r="AD119" s="301"/>
      <c r="AE119" s="301"/>
      <c r="AF119" s="301"/>
      <c r="AG119" s="301"/>
      <c r="AH119" s="307"/>
      <c r="AI119" s="301"/>
      <c r="AJ119" s="307"/>
      <c r="AK119" s="307"/>
      <c r="AL119" s="307"/>
      <c r="AM119" s="307"/>
      <c r="AN119" s="307"/>
      <c r="AO119" s="307"/>
      <c r="AP119" s="307"/>
      <c r="AQ119" s="307"/>
      <c r="AR119" s="307"/>
      <c r="AS119" s="307"/>
      <c r="AT119" s="307"/>
      <c r="AU119" s="307"/>
    </row>
    <row r="120" ht="12.0" customHeight="1">
      <c r="A120" s="301"/>
      <c r="B120" s="301"/>
      <c r="C120" s="301"/>
      <c r="D120" s="309" t="s">
        <v>2365</v>
      </c>
      <c r="E120" s="309" t="s">
        <v>2366</v>
      </c>
      <c r="F120" s="309" t="s">
        <v>2367</v>
      </c>
      <c r="G120" s="309">
        <v>296.0</v>
      </c>
      <c r="H120" s="307"/>
      <c r="I120" s="301"/>
      <c r="J120" s="301"/>
      <c r="K120" s="301"/>
      <c r="L120" s="301"/>
      <c r="M120" s="301"/>
      <c r="N120" s="301"/>
      <c r="O120" s="301"/>
      <c r="P120" s="301"/>
      <c r="Q120" s="301"/>
      <c r="R120" s="301"/>
      <c r="S120" s="301"/>
      <c r="T120" s="301"/>
      <c r="U120" s="307"/>
      <c r="V120" s="301"/>
      <c r="W120" s="301"/>
      <c r="X120" s="307"/>
      <c r="Y120" s="301"/>
      <c r="Z120" s="301"/>
      <c r="AA120" s="301"/>
      <c r="AB120" s="301"/>
      <c r="AC120" s="301"/>
      <c r="AD120" s="301"/>
      <c r="AE120" s="301"/>
      <c r="AF120" s="301"/>
      <c r="AG120" s="301"/>
      <c r="AH120" s="307"/>
      <c r="AI120" s="307"/>
      <c r="AJ120" s="307"/>
      <c r="AK120" s="307"/>
      <c r="AL120" s="307"/>
      <c r="AM120" s="307"/>
      <c r="AN120" s="307"/>
      <c r="AO120" s="307"/>
      <c r="AP120" s="307"/>
      <c r="AQ120" s="307"/>
      <c r="AR120" s="307"/>
      <c r="AS120" s="307"/>
      <c r="AT120" s="307"/>
      <c r="AU120" s="307"/>
    </row>
    <row r="121" ht="12.0" customHeight="1">
      <c r="A121" s="301"/>
      <c r="B121" s="301"/>
      <c r="C121" s="301"/>
      <c r="D121" s="309" t="s">
        <v>2368</v>
      </c>
      <c r="E121" s="309" t="s">
        <v>2369</v>
      </c>
      <c r="F121" s="309" t="s">
        <v>2370</v>
      </c>
      <c r="G121" s="309">
        <v>408.0</v>
      </c>
      <c r="H121" s="307"/>
      <c r="I121" s="301"/>
      <c r="J121" s="301"/>
      <c r="K121" s="301"/>
      <c r="L121" s="301"/>
      <c r="M121" s="301"/>
      <c r="N121" s="301"/>
      <c r="O121" s="301"/>
      <c r="P121" s="301"/>
      <c r="Q121" s="301"/>
      <c r="R121" s="301"/>
      <c r="S121" s="301"/>
      <c r="T121" s="301"/>
      <c r="U121" s="307"/>
      <c r="V121" s="301"/>
      <c r="W121" s="301"/>
      <c r="X121" s="307"/>
      <c r="Y121" s="301"/>
      <c r="Z121" s="301"/>
      <c r="AA121" s="301"/>
      <c r="AB121" s="301"/>
      <c r="AC121" s="301"/>
      <c r="AD121" s="301"/>
      <c r="AE121" s="301"/>
      <c r="AF121" s="301"/>
      <c r="AG121" s="301"/>
      <c r="AH121" s="307"/>
      <c r="AI121" s="307"/>
      <c r="AJ121" s="307"/>
      <c r="AK121" s="307"/>
      <c r="AL121" s="307"/>
      <c r="AM121" s="307"/>
      <c r="AN121" s="307"/>
      <c r="AO121" s="307"/>
      <c r="AP121" s="307"/>
      <c r="AQ121" s="307"/>
      <c r="AR121" s="307"/>
      <c r="AS121" s="307"/>
      <c r="AT121" s="307"/>
      <c r="AU121" s="307"/>
    </row>
    <row r="122" ht="12.0" customHeight="1">
      <c r="A122" s="301"/>
      <c r="B122" s="301"/>
      <c r="C122" s="301"/>
      <c r="D122" s="309" t="s">
        <v>2371</v>
      </c>
      <c r="E122" s="309" t="s">
        <v>2372</v>
      </c>
      <c r="F122" s="309" t="s">
        <v>2373</v>
      </c>
      <c r="G122" s="309">
        <v>410.0</v>
      </c>
      <c r="H122" s="307"/>
      <c r="I122" s="301"/>
      <c r="J122" s="301"/>
      <c r="K122" s="301"/>
      <c r="L122" s="301"/>
      <c r="M122" s="301"/>
      <c r="N122" s="301"/>
      <c r="O122" s="301"/>
      <c r="P122" s="301"/>
      <c r="Q122" s="301"/>
      <c r="R122" s="301"/>
      <c r="S122" s="301"/>
      <c r="T122" s="301"/>
      <c r="U122" s="307"/>
      <c r="V122" s="301"/>
      <c r="W122" s="301"/>
      <c r="X122" s="307"/>
      <c r="Y122" s="301"/>
      <c r="Z122" s="301"/>
      <c r="AA122" s="301"/>
      <c r="AB122" s="301"/>
      <c r="AC122" s="301"/>
      <c r="AD122" s="301"/>
      <c r="AE122" s="301"/>
      <c r="AF122" s="301"/>
      <c r="AG122" s="301"/>
      <c r="AH122" s="307"/>
      <c r="AI122" s="307"/>
      <c r="AJ122" s="307"/>
      <c r="AK122" s="307"/>
      <c r="AL122" s="307"/>
      <c r="AM122" s="307"/>
      <c r="AN122" s="307"/>
      <c r="AO122" s="307"/>
      <c r="AP122" s="307"/>
      <c r="AQ122" s="307"/>
      <c r="AR122" s="307"/>
      <c r="AS122" s="307"/>
      <c r="AT122" s="307"/>
      <c r="AU122" s="307"/>
    </row>
    <row r="123" ht="12.0" customHeight="1">
      <c r="A123" s="301"/>
      <c r="B123" s="301"/>
      <c r="C123" s="301"/>
      <c r="D123" s="309" t="s">
        <v>2374</v>
      </c>
      <c r="E123" s="309" t="s">
        <v>2375</v>
      </c>
      <c r="F123" s="309" t="s">
        <v>2376</v>
      </c>
      <c r="G123" s="309">
        <v>414.0</v>
      </c>
      <c r="H123" s="307"/>
      <c r="I123" s="301"/>
      <c r="J123" s="301"/>
      <c r="K123" s="301"/>
      <c r="L123" s="301"/>
      <c r="M123" s="301"/>
      <c r="N123" s="301"/>
      <c r="O123" s="301"/>
      <c r="P123" s="301"/>
      <c r="Q123" s="301"/>
      <c r="R123" s="301"/>
      <c r="S123" s="301"/>
      <c r="T123" s="301"/>
      <c r="U123" s="307"/>
      <c r="V123" s="301"/>
      <c r="W123" s="301"/>
      <c r="X123" s="307"/>
      <c r="Y123" s="301"/>
      <c r="Z123" s="301"/>
      <c r="AA123" s="301"/>
      <c r="AB123" s="301"/>
      <c r="AC123" s="301"/>
      <c r="AD123" s="301"/>
      <c r="AE123" s="301"/>
      <c r="AF123" s="301"/>
      <c r="AG123" s="301"/>
      <c r="AH123" s="307"/>
      <c r="AI123" s="307"/>
      <c r="AJ123" s="307"/>
      <c r="AK123" s="307"/>
      <c r="AL123" s="307"/>
      <c r="AM123" s="307"/>
      <c r="AN123" s="307"/>
      <c r="AO123" s="307"/>
      <c r="AP123" s="307"/>
      <c r="AQ123" s="307"/>
      <c r="AR123" s="307"/>
      <c r="AS123" s="307"/>
      <c r="AT123" s="307"/>
      <c r="AU123" s="307"/>
    </row>
    <row r="124" ht="12.0" customHeight="1">
      <c r="A124" s="301"/>
      <c r="B124" s="301"/>
      <c r="C124" s="301"/>
      <c r="D124" s="309" t="s">
        <v>2377</v>
      </c>
      <c r="E124" s="309" t="s">
        <v>2378</v>
      </c>
      <c r="F124" s="309" t="s">
        <v>2379</v>
      </c>
      <c r="G124" s="309">
        <v>417.0</v>
      </c>
      <c r="H124" s="307"/>
      <c r="I124" s="301"/>
      <c r="J124" s="301"/>
      <c r="K124" s="301"/>
      <c r="L124" s="301"/>
      <c r="M124" s="301"/>
      <c r="N124" s="301"/>
      <c r="O124" s="301"/>
      <c r="P124" s="301"/>
      <c r="Q124" s="301"/>
      <c r="R124" s="301"/>
      <c r="S124" s="301"/>
      <c r="T124" s="301"/>
      <c r="U124" s="307"/>
      <c r="V124" s="301"/>
      <c r="W124" s="301"/>
      <c r="X124" s="307"/>
      <c r="Y124" s="301"/>
      <c r="Z124" s="301"/>
      <c r="AA124" s="301"/>
      <c r="AB124" s="301"/>
      <c r="AC124" s="301"/>
      <c r="AD124" s="301"/>
      <c r="AE124" s="301"/>
      <c r="AF124" s="301"/>
      <c r="AG124" s="301"/>
      <c r="AH124" s="307"/>
      <c r="AI124" s="307"/>
      <c r="AJ124" s="307"/>
      <c r="AK124" s="307"/>
      <c r="AL124" s="307"/>
      <c r="AM124" s="307"/>
      <c r="AN124" s="307"/>
      <c r="AO124" s="307"/>
      <c r="AP124" s="307"/>
      <c r="AQ124" s="307"/>
      <c r="AR124" s="307"/>
      <c r="AS124" s="307"/>
      <c r="AT124" s="307"/>
      <c r="AU124" s="307"/>
    </row>
    <row r="125" ht="12.0" customHeight="1">
      <c r="A125" s="301"/>
      <c r="B125" s="301"/>
      <c r="C125" s="301"/>
      <c r="D125" s="309" t="s">
        <v>2380</v>
      </c>
      <c r="E125" s="309" t="s">
        <v>2381</v>
      </c>
      <c r="F125" s="309" t="s">
        <v>2382</v>
      </c>
      <c r="G125" s="309">
        <v>418.0</v>
      </c>
      <c r="H125" s="307"/>
      <c r="I125" s="301"/>
      <c r="J125" s="301"/>
      <c r="K125" s="301"/>
      <c r="L125" s="301"/>
      <c r="M125" s="301"/>
      <c r="N125" s="301"/>
      <c r="O125" s="301"/>
      <c r="P125" s="301"/>
      <c r="Q125" s="301"/>
      <c r="R125" s="301"/>
      <c r="S125" s="301"/>
      <c r="T125" s="301"/>
      <c r="U125" s="307"/>
      <c r="V125" s="301"/>
      <c r="W125" s="301"/>
      <c r="X125" s="307"/>
      <c r="Y125" s="301"/>
      <c r="Z125" s="301"/>
      <c r="AA125" s="301"/>
      <c r="AB125" s="301"/>
      <c r="AC125" s="301"/>
      <c r="AD125" s="301"/>
      <c r="AE125" s="301"/>
      <c r="AF125" s="301"/>
      <c r="AG125" s="301"/>
      <c r="AH125" s="307"/>
      <c r="AI125" s="307"/>
      <c r="AJ125" s="307"/>
      <c r="AK125" s="307"/>
      <c r="AL125" s="307"/>
      <c r="AM125" s="307"/>
      <c r="AN125" s="307"/>
      <c r="AO125" s="307"/>
      <c r="AP125" s="307"/>
      <c r="AQ125" s="307"/>
      <c r="AR125" s="307"/>
      <c r="AS125" s="307"/>
      <c r="AT125" s="307"/>
      <c r="AU125" s="307"/>
    </row>
    <row r="126" ht="12.0" customHeight="1">
      <c r="A126" s="301"/>
      <c r="B126" s="301"/>
      <c r="C126" s="301"/>
      <c r="D126" s="309" t="s">
        <v>2383</v>
      </c>
      <c r="E126" s="309" t="s">
        <v>2384</v>
      </c>
      <c r="F126" s="309" t="s">
        <v>2385</v>
      </c>
      <c r="G126" s="309">
        <v>428.0</v>
      </c>
      <c r="H126" s="307"/>
      <c r="I126" s="301"/>
      <c r="J126" s="301"/>
      <c r="K126" s="301"/>
      <c r="L126" s="301"/>
      <c r="M126" s="301"/>
      <c r="N126" s="301"/>
      <c r="O126" s="301"/>
      <c r="P126" s="301"/>
      <c r="Q126" s="301"/>
      <c r="R126" s="301"/>
      <c r="S126" s="301"/>
      <c r="T126" s="301"/>
      <c r="U126" s="307"/>
      <c r="V126" s="301"/>
      <c r="W126" s="301"/>
      <c r="X126" s="307"/>
      <c r="Y126" s="301"/>
      <c r="Z126" s="301"/>
      <c r="AA126" s="301"/>
      <c r="AB126" s="301"/>
      <c r="AC126" s="301"/>
      <c r="AD126" s="301"/>
      <c r="AE126" s="301"/>
      <c r="AF126" s="301"/>
      <c r="AG126" s="301"/>
      <c r="AH126" s="307"/>
      <c r="AI126" s="307"/>
      <c r="AJ126" s="307"/>
      <c r="AK126" s="307"/>
      <c r="AL126" s="307"/>
      <c r="AM126" s="307"/>
      <c r="AN126" s="307"/>
      <c r="AO126" s="307"/>
      <c r="AP126" s="307"/>
      <c r="AQ126" s="307"/>
      <c r="AR126" s="307"/>
      <c r="AS126" s="307"/>
      <c r="AT126" s="307"/>
      <c r="AU126" s="307"/>
    </row>
    <row r="127" ht="12.0" customHeight="1">
      <c r="A127" s="301"/>
      <c r="B127" s="301"/>
      <c r="C127" s="301"/>
      <c r="D127" s="309" t="s">
        <v>2386</v>
      </c>
      <c r="E127" s="309" t="s">
        <v>2387</v>
      </c>
      <c r="F127" s="309" t="s">
        <v>2388</v>
      </c>
      <c r="G127" s="309">
        <v>422.0</v>
      </c>
      <c r="H127" s="307"/>
      <c r="I127" s="301"/>
      <c r="J127" s="301"/>
      <c r="K127" s="301"/>
      <c r="L127" s="301"/>
      <c r="M127" s="301"/>
      <c r="N127" s="301"/>
      <c r="O127" s="301"/>
      <c r="P127" s="301"/>
      <c r="Q127" s="301"/>
      <c r="R127" s="301"/>
      <c r="S127" s="301"/>
      <c r="T127" s="301"/>
      <c r="U127" s="307"/>
      <c r="V127" s="301"/>
      <c r="W127" s="301"/>
      <c r="X127" s="307"/>
      <c r="Y127" s="301"/>
      <c r="Z127" s="301"/>
      <c r="AA127" s="301"/>
      <c r="AB127" s="301"/>
      <c r="AC127" s="301"/>
      <c r="AD127" s="301"/>
      <c r="AE127" s="301"/>
      <c r="AF127" s="301"/>
      <c r="AG127" s="301"/>
      <c r="AH127" s="307"/>
      <c r="AI127" s="307"/>
      <c r="AJ127" s="307"/>
      <c r="AK127" s="307"/>
      <c r="AL127" s="307"/>
      <c r="AM127" s="307"/>
      <c r="AN127" s="307"/>
      <c r="AO127" s="307"/>
      <c r="AP127" s="307"/>
      <c r="AQ127" s="307"/>
      <c r="AR127" s="307"/>
      <c r="AS127" s="307"/>
      <c r="AT127" s="307"/>
      <c r="AU127" s="307"/>
    </row>
    <row r="128" ht="12.0" customHeight="1">
      <c r="A128" s="301"/>
      <c r="B128" s="301"/>
      <c r="C128" s="301"/>
      <c r="D128" s="309" t="s">
        <v>2389</v>
      </c>
      <c r="E128" s="309" t="s">
        <v>2390</v>
      </c>
      <c r="F128" s="309" t="s">
        <v>2391</v>
      </c>
      <c r="G128" s="309">
        <v>426.0</v>
      </c>
      <c r="H128" s="307"/>
      <c r="I128" s="301"/>
      <c r="J128" s="301"/>
      <c r="K128" s="301"/>
      <c r="L128" s="301"/>
      <c r="M128" s="301"/>
      <c r="N128" s="301"/>
      <c r="O128" s="301"/>
      <c r="P128" s="301"/>
      <c r="Q128" s="301"/>
      <c r="R128" s="301"/>
      <c r="S128" s="301"/>
      <c r="T128" s="301"/>
      <c r="U128" s="307"/>
      <c r="V128" s="301"/>
      <c r="W128" s="301"/>
      <c r="X128" s="307"/>
      <c r="Y128" s="301"/>
      <c r="Z128" s="301"/>
      <c r="AA128" s="301"/>
      <c r="AB128" s="301"/>
      <c r="AC128" s="301"/>
      <c r="AD128" s="301"/>
      <c r="AE128" s="301"/>
      <c r="AF128" s="301"/>
      <c r="AG128" s="301"/>
      <c r="AH128" s="307"/>
      <c r="AI128" s="307"/>
      <c r="AJ128" s="307"/>
      <c r="AK128" s="307"/>
      <c r="AL128" s="307"/>
      <c r="AM128" s="307"/>
      <c r="AN128" s="307"/>
      <c r="AO128" s="307"/>
      <c r="AP128" s="307"/>
      <c r="AQ128" s="307"/>
      <c r="AR128" s="307"/>
      <c r="AS128" s="307"/>
      <c r="AT128" s="307"/>
      <c r="AU128" s="307"/>
    </row>
    <row r="129" ht="12.0" customHeight="1">
      <c r="A129" s="301"/>
      <c r="B129" s="301"/>
      <c r="C129" s="301"/>
      <c r="D129" s="309" t="s">
        <v>2392</v>
      </c>
      <c r="E129" s="309" t="s">
        <v>2393</v>
      </c>
      <c r="F129" s="309" t="s">
        <v>2394</v>
      </c>
      <c r="G129" s="309">
        <v>430.0</v>
      </c>
      <c r="H129" s="307"/>
      <c r="I129" s="301"/>
      <c r="J129" s="301"/>
      <c r="K129" s="301"/>
      <c r="L129" s="301"/>
      <c r="M129" s="301"/>
      <c r="N129" s="301"/>
      <c r="O129" s="301"/>
      <c r="P129" s="301"/>
      <c r="Q129" s="301"/>
      <c r="R129" s="301"/>
      <c r="S129" s="301"/>
      <c r="T129" s="301"/>
      <c r="U129" s="307"/>
      <c r="V129" s="301"/>
      <c r="W129" s="301"/>
      <c r="X129" s="307"/>
      <c r="Y129" s="301"/>
      <c r="Z129" s="301"/>
      <c r="AA129" s="301"/>
      <c r="AB129" s="301"/>
      <c r="AC129" s="301"/>
      <c r="AD129" s="301"/>
      <c r="AE129" s="301"/>
      <c r="AF129" s="301"/>
      <c r="AG129" s="301"/>
      <c r="AH129" s="307"/>
      <c r="AI129" s="307"/>
      <c r="AJ129" s="307"/>
      <c r="AK129" s="307"/>
      <c r="AL129" s="307"/>
      <c r="AM129" s="307"/>
      <c r="AN129" s="307"/>
      <c r="AO129" s="307"/>
      <c r="AP129" s="307"/>
      <c r="AQ129" s="307"/>
      <c r="AR129" s="307"/>
      <c r="AS129" s="307"/>
      <c r="AT129" s="307"/>
      <c r="AU129" s="307"/>
    </row>
    <row r="130" ht="12.0" customHeight="1">
      <c r="A130" s="301"/>
      <c r="B130" s="301"/>
      <c r="C130" s="301"/>
      <c r="D130" s="309" t="s">
        <v>2395</v>
      </c>
      <c r="E130" s="309" t="s">
        <v>2396</v>
      </c>
      <c r="F130" s="309" t="s">
        <v>2397</v>
      </c>
      <c r="G130" s="309">
        <v>434.0</v>
      </c>
      <c r="H130" s="307"/>
      <c r="I130" s="301"/>
      <c r="J130" s="301"/>
      <c r="K130" s="301"/>
      <c r="L130" s="301"/>
      <c r="M130" s="301"/>
      <c r="N130" s="301"/>
      <c r="O130" s="301"/>
      <c r="P130" s="301"/>
      <c r="Q130" s="301"/>
      <c r="R130" s="301"/>
      <c r="S130" s="301"/>
      <c r="T130" s="301"/>
      <c r="U130" s="307"/>
      <c r="V130" s="301"/>
      <c r="W130" s="301"/>
      <c r="X130" s="307"/>
      <c r="Y130" s="301"/>
      <c r="Z130" s="301"/>
      <c r="AA130" s="301"/>
      <c r="AB130" s="301"/>
      <c r="AC130" s="301"/>
      <c r="AD130" s="301"/>
      <c r="AE130" s="301"/>
      <c r="AF130" s="301"/>
      <c r="AG130" s="301"/>
      <c r="AH130" s="307"/>
      <c r="AI130" s="307"/>
      <c r="AJ130" s="307"/>
      <c r="AK130" s="307"/>
      <c r="AL130" s="307"/>
      <c r="AM130" s="307"/>
      <c r="AN130" s="307"/>
      <c r="AO130" s="307"/>
      <c r="AP130" s="307"/>
      <c r="AQ130" s="307"/>
      <c r="AR130" s="307"/>
      <c r="AS130" s="307"/>
      <c r="AT130" s="307"/>
      <c r="AU130" s="307"/>
    </row>
    <row r="131" ht="12.0" customHeight="1">
      <c r="A131" s="301"/>
      <c r="B131" s="301"/>
      <c r="C131" s="301"/>
      <c r="D131" s="309" t="s">
        <v>2398</v>
      </c>
      <c r="E131" s="309" t="s">
        <v>2399</v>
      </c>
      <c r="F131" s="309" t="s">
        <v>2400</v>
      </c>
      <c r="G131" s="309">
        <v>438.0</v>
      </c>
      <c r="H131" s="307"/>
      <c r="I131" s="301"/>
      <c r="J131" s="301"/>
      <c r="K131" s="301"/>
      <c r="L131" s="301"/>
      <c r="M131" s="301"/>
      <c r="N131" s="301"/>
      <c r="O131" s="301"/>
      <c r="P131" s="301"/>
      <c r="Q131" s="301"/>
      <c r="R131" s="301"/>
      <c r="S131" s="301"/>
      <c r="T131" s="301"/>
      <c r="U131" s="307"/>
      <c r="V131" s="301"/>
      <c r="W131" s="301"/>
      <c r="X131" s="307"/>
      <c r="Y131" s="301"/>
      <c r="Z131" s="301"/>
      <c r="AA131" s="301"/>
      <c r="AB131" s="301"/>
      <c r="AC131" s="301"/>
      <c r="AD131" s="301"/>
      <c r="AE131" s="301"/>
      <c r="AF131" s="301"/>
      <c r="AG131" s="301"/>
      <c r="AH131" s="307"/>
      <c r="AI131" s="307"/>
      <c r="AJ131" s="307"/>
      <c r="AK131" s="307"/>
      <c r="AL131" s="307"/>
      <c r="AM131" s="307"/>
      <c r="AN131" s="307"/>
      <c r="AO131" s="307"/>
      <c r="AP131" s="307"/>
      <c r="AQ131" s="307"/>
      <c r="AR131" s="307"/>
      <c r="AS131" s="307"/>
      <c r="AT131" s="307"/>
      <c r="AU131" s="307"/>
    </row>
    <row r="132" ht="12.0" customHeight="1">
      <c r="A132" s="301"/>
      <c r="B132" s="301"/>
      <c r="C132" s="301"/>
      <c r="D132" s="309" t="s">
        <v>2401</v>
      </c>
      <c r="E132" s="309" t="s">
        <v>2402</v>
      </c>
      <c r="F132" s="309" t="s">
        <v>2403</v>
      </c>
      <c r="G132" s="309">
        <v>440.0</v>
      </c>
      <c r="H132" s="307"/>
      <c r="I132" s="301"/>
      <c r="J132" s="301"/>
      <c r="K132" s="301"/>
      <c r="L132" s="301"/>
      <c r="M132" s="301"/>
      <c r="N132" s="301"/>
      <c r="O132" s="301"/>
      <c r="P132" s="301"/>
      <c r="Q132" s="301"/>
      <c r="R132" s="301"/>
      <c r="S132" s="301"/>
      <c r="T132" s="301"/>
      <c r="U132" s="307"/>
      <c r="V132" s="301"/>
      <c r="W132" s="301"/>
      <c r="X132" s="307"/>
      <c r="Y132" s="301"/>
      <c r="Z132" s="301"/>
      <c r="AA132" s="301"/>
      <c r="AB132" s="301"/>
      <c r="AC132" s="301"/>
      <c r="AD132" s="301"/>
      <c r="AE132" s="301"/>
      <c r="AF132" s="301"/>
      <c r="AG132" s="301"/>
      <c r="AH132" s="307"/>
      <c r="AI132" s="307"/>
      <c r="AJ132" s="307"/>
      <c r="AK132" s="307"/>
      <c r="AL132" s="307"/>
      <c r="AM132" s="307"/>
      <c r="AN132" s="307"/>
      <c r="AO132" s="307"/>
      <c r="AP132" s="307"/>
      <c r="AQ132" s="307"/>
      <c r="AR132" s="307"/>
      <c r="AS132" s="307"/>
      <c r="AT132" s="307"/>
      <c r="AU132" s="307"/>
    </row>
    <row r="133" ht="12.0" customHeight="1">
      <c r="A133" s="301"/>
      <c r="B133" s="301"/>
      <c r="C133" s="301"/>
      <c r="D133" s="309" t="s">
        <v>2404</v>
      </c>
      <c r="E133" s="309" t="s">
        <v>2405</v>
      </c>
      <c r="F133" s="309" t="s">
        <v>2406</v>
      </c>
      <c r="G133" s="309">
        <v>442.0</v>
      </c>
      <c r="H133" s="307"/>
      <c r="I133" s="301"/>
      <c r="J133" s="301"/>
      <c r="K133" s="301"/>
      <c r="L133" s="301"/>
      <c r="M133" s="301"/>
      <c r="N133" s="301"/>
      <c r="O133" s="301"/>
      <c r="P133" s="301"/>
      <c r="Q133" s="301"/>
      <c r="R133" s="301"/>
      <c r="S133" s="301"/>
      <c r="T133" s="301"/>
      <c r="U133" s="307"/>
      <c r="V133" s="301"/>
      <c r="W133" s="301"/>
      <c r="X133" s="307"/>
      <c r="Y133" s="301"/>
      <c r="Z133" s="301"/>
      <c r="AA133" s="301"/>
      <c r="AB133" s="301"/>
      <c r="AC133" s="301"/>
      <c r="AD133" s="301"/>
      <c r="AE133" s="301"/>
      <c r="AF133" s="301"/>
      <c r="AG133" s="301"/>
      <c r="AH133" s="307"/>
      <c r="AI133" s="307"/>
      <c r="AJ133" s="307"/>
      <c r="AK133" s="307"/>
      <c r="AL133" s="307"/>
      <c r="AM133" s="307"/>
      <c r="AN133" s="307"/>
      <c r="AO133" s="307"/>
      <c r="AP133" s="307"/>
      <c r="AQ133" s="307"/>
      <c r="AR133" s="307"/>
      <c r="AS133" s="307"/>
      <c r="AT133" s="307"/>
      <c r="AU133" s="307"/>
    </row>
    <row r="134" ht="12.0" customHeight="1">
      <c r="A134" s="301"/>
      <c r="B134" s="301"/>
      <c r="C134" s="301"/>
      <c r="D134" s="309" t="s">
        <v>2407</v>
      </c>
      <c r="E134" s="309" t="s">
        <v>2408</v>
      </c>
      <c r="F134" s="309" t="s">
        <v>2409</v>
      </c>
      <c r="G134" s="309">
        <v>446.0</v>
      </c>
      <c r="H134" s="307"/>
      <c r="I134" s="301"/>
      <c r="J134" s="301"/>
      <c r="K134" s="301"/>
      <c r="L134" s="301"/>
      <c r="M134" s="301"/>
      <c r="N134" s="301"/>
      <c r="O134" s="301"/>
      <c r="P134" s="301"/>
      <c r="Q134" s="301"/>
      <c r="R134" s="301"/>
      <c r="S134" s="301"/>
      <c r="T134" s="301"/>
      <c r="U134" s="307"/>
      <c r="V134" s="301"/>
      <c r="W134" s="301"/>
      <c r="X134" s="307"/>
      <c r="Y134" s="301"/>
      <c r="Z134" s="301"/>
      <c r="AA134" s="301"/>
      <c r="AB134" s="301"/>
      <c r="AC134" s="301"/>
      <c r="AD134" s="301"/>
      <c r="AE134" s="301"/>
      <c r="AF134" s="301"/>
      <c r="AG134" s="301"/>
      <c r="AH134" s="307"/>
      <c r="AI134" s="307"/>
      <c r="AJ134" s="307"/>
      <c r="AK134" s="307"/>
      <c r="AL134" s="307"/>
      <c r="AM134" s="307"/>
      <c r="AN134" s="307"/>
      <c r="AO134" s="307"/>
      <c r="AP134" s="307"/>
      <c r="AQ134" s="307"/>
      <c r="AR134" s="307"/>
      <c r="AS134" s="307"/>
      <c r="AT134" s="307"/>
      <c r="AU134" s="307"/>
    </row>
    <row r="135" ht="12.0" customHeight="1">
      <c r="A135" s="301"/>
      <c r="B135" s="301"/>
      <c r="C135" s="301"/>
      <c r="D135" s="309" t="s">
        <v>2410</v>
      </c>
      <c r="E135" s="309" t="s">
        <v>2411</v>
      </c>
      <c r="F135" s="309" t="s">
        <v>2412</v>
      </c>
      <c r="G135" s="309">
        <v>450.0</v>
      </c>
      <c r="H135" s="307"/>
      <c r="I135" s="301"/>
      <c r="J135" s="301"/>
      <c r="K135" s="301"/>
      <c r="L135" s="301"/>
      <c r="M135" s="301"/>
      <c r="N135" s="301"/>
      <c r="O135" s="301"/>
      <c r="P135" s="301"/>
      <c r="Q135" s="301"/>
      <c r="R135" s="301"/>
      <c r="S135" s="301"/>
      <c r="T135" s="301"/>
      <c r="U135" s="307"/>
      <c r="V135" s="301"/>
      <c r="W135" s="301"/>
      <c r="X135" s="307"/>
      <c r="Y135" s="301"/>
      <c r="Z135" s="301"/>
      <c r="AA135" s="301"/>
      <c r="AB135" s="301"/>
      <c r="AC135" s="301"/>
      <c r="AD135" s="301"/>
      <c r="AE135" s="301"/>
      <c r="AF135" s="301"/>
      <c r="AG135" s="301"/>
      <c r="AH135" s="307"/>
      <c r="AI135" s="307"/>
      <c r="AJ135" s="307"/>
      <c r="AK135" s="307"/>
      <c r="AL135" s="307"/>
      <c r="AM135" s="307"/>
      <c r="AN135" s="307"/>
      <c r="AO135" s="307"/>
      <c r="AP135" s="307"/>
      <c r="AQ135" s="307"/>
      <c r="AR135" s="307"/>
      <c r="AS135" s="307"/>
      <c r="AT135" s="307"/>
      <c r="AU135" s="307"/>
    </row>
    <row r="136" ht="12.0" customHeight="1">
      <c r="A136" s="301"/>
      <c r="B136" s="301"/>
      <c r="C136" s="301"/>
      <c r="D136" s="309" t="s">
        <v>2413</v>
      </c>
      <c r="E136" s="309" t="s">
        <v>2414</v>
      </c>
      <c r="F136" s="309" t="s">
        <v>2415</v>
      </c>
      <c r="G136" s="309">
        <v>454.0</v>
      </c>
      <c r="H136" s="307"/>
      <c r="I136" s="301"/>
      <c r="J136" s="301"/>
      <c r="K136" s="301"/>
      <c r="L136" s="301"/>
      <c r="M136" s="301"/>
      <c r="N136" s="301"/>
      <c r="O136" s="301"/>
      <c r="P136" s="301"/>
      <c r="Q136" s="301"/>
      <c r="R136" s="301"/>
      <c r="S136" s="301"/>
      <c r="T136" s="301"/>
      <c r="U136" s="307"/>
      <c r="V136" s="301"/>
      <c r="W136" s="301"/>
      <c r="X136" s="307"/>
      <c r="Y136" s="301"/>
      <c r="Z136" s="301"/>
      <c r="AA136" s="301"/>
      <c r="AB136" s="301"/>
      <c r="AC136" s="301"/>
      <c r="AD136" s="301"/>
      <c r="AE136" s="301"/>
      <c r="AF136" s="301"/>
      <c r="AG136" s="301"/>
      <c r="AH136" s="307"/>
      <c r="AI136" s="307"/>
      <c r="AJ136" s="307"/>
      <c r="AK136" s="307"/>
      <c r="AL136" s="307"/>
      <c r="AM136" s="307"/>
      <c r="AN136" s="307"/>
      <c r="AO136" s="307"/>
      <c r="AP136" s="307"/>
      <c r="AQ136" s="307"/>
      <c r="AR136" s="307"/>
      <c r="AS136" s="307"/>
      <c r="AT136" s="307"/>
      <c r="AU136" s="307"/>
    </row>
    <row r="137" ht="12.0" customHeight="1">
      <c r="A137" s="301"/>
      <c r="B137" s="301"/>
      <c r="C137" s="301"/>
      <c r="D137" s="309" t="s">
        <v>2416</v>
      </c>
      <c r="E137" s="309" t="s">
        <v>2417</v>
      </c>
      <c r="F137" s="309" t="s">
        <v>2418</v>
      </c>
      <c r="G137" s="309">
        <v>458.0</v>
      </c>
      <c r="H137" s="307"/>
      <c r="I137" s="301"/>
      <c r="J137" s="301"/>
      <c r="K137" s="301"/>
      <c r="L137" s="301"/>
      <c r="M137" s="301"/>
      <c r="N137" s="301"/>
      <c r="O137" s="301"/>
      <c r="P137" s="301"/>
      <c r="Q137" s="301"/>
      <c r="R137" s="301"/>
      <c r="S137" s="301"/>
      <c r="T137" s="301"/>
      <c r="U137" s="307"/>
      <c r="V137" s="301"/>
      <c r="W137" s="301"/>
      <c r="X137" s="307"/>
      <c r="Y137" s="301"/>
      <c r="Z137" s="301"/>
      <c r="AA137" s="301"/>
      <c r="AB137" s="301"/>
      <c r="AC137" s="301"/>
      <c r="AD137" s="301"/>
      <c r="AE137" s="301"/>
      <c r="AF137" s="301"/>
      <c r="AG137" s="301"/>
      <c r="AH137" s="307"/>
      <c r="AI137" s="307"/>
      <c r="AJ137" s="307"/>
      <c r="AK137" s="307"/>
      <c r="AL137" s="307"/>
      <c r="AM137" s="307"/>
      <c r="AN137" s="307"/>
      <c r="AO137" s="307"/>
      <c r="AP137" s="307"/>
      <c r="AQ137" s="307"/>
      <c r="AR137" s="307"/>
      <c r="AS137" s="307"/>
      <c r="AT137" s="307"/>
      <c r="AU137" s="307"/>
    </row>
    <row r="138" ht="12.0" customHeight="1">
      <c r="A138" s="301"/>
      <c r="B138" s="301"/>
      <c r="C138" s="301"/>
      <c r="D138" s="309" t="s">
        <v>2419</v>
      </c>
      <c r="E138" s="309" t="s">
        <v>2420</v>
      </c>
      <c r="F138" s="309" t="s">
        <v>2421</v>
      </c>
      <c r="G138" s="309">
        <v>462.0</v>
      </c>
      <c r="H138" s="307"/>
      <c r="I138" s="301"/>
      <c r="J138" s="301"/>
      <c r="K138" s="301"/>
      <c r="L138" s="301"/>
      <c r="M138" s="301"/>
      <c r="N138" s="301"/>
      <c r="O138" s="301"/>
      <c r="P138" s="301"/>
      <c r="Q138" s="301"/>
      <c r="R138" s="301"/>
      <c r="S138" s="301"/>
      <c r="T138" s="301"/>
      <c r="U138" s="307"/>
      <c r="V138" s="301"/>
      <c r="W138" s="301"/>
      <c r="X138" s="307"/>
      <c r="Y138" s="301"/>
      <c r="Z138" s="301"/>
      <c r="AA138" s="301"/>
      <c r="AB138" s="301"/>
      <c r="AC138" s="301"/>
      <c r="AD138" s="301"/>
      <c r="AE138" s="301"/>
      <c r="AF138" s="301"/>
      <c r="AG138" s="301"/>
      <c r="AH138" s="307"/>
      <c r="AI138" s="307"/>
      <c r="AJ138" s="307"/>
      <c r="AK138" s="307"/>
      <c r="AL138" s="307"/>
      <c r="AM138" s="307"/>
      <c r="AN138" s="307"/>
      <c r="AO138" s="307"/>
      <c r="AP138" s="307"/>
      <c r="AQ138" s="307"/>
      <c r="AR138" s="307"/>
      <c r="AS138" s="307"/>
      <c r="AT138" s="307"/>
      <c r="AU138" s="307"/>
    </row>
    <row r="139" ht="12.0" customHeight="1">
      <c r="A139" s="301"/>
      <c r="B139" s="301"/>
      <c r="C139" s="301"/>
      <c r="D139" s="309" t="s">
        <v>2422</v>
      </c>
      <c r="E139" s="309" t="s">
        <v>2423</v>
      </c>
      <c r="F139" s="309" t="s">
        <v>2424</v>
      </c>
      <c r="G139" s="309">
        <v>466.0</v>
      </c>
      <c r="H139" s="307"/>
      <c r="I139" s="301"/>
      <c r="J139" s="301"/>
      <c r="K139" s="301"/>
      <c r="L139" s="301"/>
      <c r="M139" s="301"/>
      <c r="N139" s="301"/>
      <c r="O139" s="301"/>
      <c r="P139" s="301"/>
      <c r="Q139" s="301"/>
      <c r="R139" s="301"/>
      <c r="S139" s="301"/>
      <c r="T139" s="301"/>
      <c r="U139" s="307"/>
      <c r="V139" s="301"/>
      <c r="W139" s="301"/>
      <c r="X139" s="307"/>
      <c r="Y139" s="301"/>
      <c r="Z139" s="301"/>
      <c r="AA139" s="301"/>
      <c r="AB139" s="301"/>
      <c r="AC139" s="301"/>
      <c r="AD139" s="301"/>
      <c r="AE139" s="301"/>
      <c r="AF139" s="301"/>
      <c r="AG139" s="301"/>
      <c r="AH139" s="307"/>
      <c r="AI139" s="307"/>
      <c r="AJ139" s="307"/>
      <c r="AK139" s="307"/>
      <c r="AL139" s="307"/>
      <c r="AM139" s="307"/>
      <c r="AN139" s="307"/>
      <c r="AO139" s="307"/>
      <c r="AP139" s="307"/>
      <c r="AQ139" s="307"/>
      <c r="AR139" s="307"/>
      <c r="AS139" s="307"/>
      <c r="AT139" s="307"/>
      <c r="AU139" s="307"/>
    </row>
    <row r="140" ht="12.0" customHeight="1">
      <c r="A140" s="301"/>
      <c r="B140" s="301"/>
      <c r="C140" s="301"/>
      <c r="D140" s="309" t="s">
        <v>2425</v>
      </c>
      <c r="E140" s="309" t="s">
        <v>2426</v>
      </c>
      <c r="F140" s="309" t="s">
        <v>2427</v>
      </c>
      <c r="G140" s="309">
        <v>470.0</v>
      </c>
      <c r="H140" s="307"/>
      <c r="I140" s="301"/>
      <c r="J140" s="301"/>
      <c r="K140" s="301"/>
      <c r="L140" s="301"/>
      <c r="M140" s="301"/>
      <c r="N140" s="301"/>
      <c r="O140" s="301"/>
      <c r="P140" s="301"/>
      <c r="Q140" s="301"/>
      <c r="R140" s="301"/>
      <c r="S140" s="301"/>
      <c r="T140" s="301"/>
      <c r="U140" s="307"/>
      <c r="V140" s="301"/>
      <c r="W140" s="301"/>
      <c r="X140" s="307"/>
      <c r="Y140" s="301"/>
      <c r="Z140" s="301"/>
      <c r="AA140" s="301"/>
      <c r="AB140" s="301"/>
      <c r="AC140" s="301"/>
      <c r="AD140" s="301"/>
      <c r="AE140" s="301"/>
      <c r="AF140" s="301"/>
      <c r="AG140" s="301"/>
      <c r="AH140" s="307"/>
      <c r="AI140" s="307"/>
      <c r="AJ140" s="307"/>
      <c r="AK140" s="307"/>
      <c r="AL140" s="307"/>
      <c r="AM140" s="307"/>
      <c r="AN140" s="307"/>
      <c r="AO140" s="307"/>
      <c r="AP140" s="307"/>
      <c r="AQ140" s="307"/>
      <c r="AR140" s="307"/>
      <c r="AS140" s="307"/>
      <c r="AT140" s="307"/>
      <c r="AU140" s="307"/>
    </row>
    <row r="141" ht="12.0" customHeight="1">
      <c r="A141" s="301"/>
      <c r="B141" s="301"/>
      <c r="C141" s="301"/>
      <c r="D141" s="309" t="s">
        <v>2428</v>
      </c>
      <c r="E141" s="309" t="s">
        <v>2429</v>
      </c>
      <c r="F141" s="309" t="s">
        <v>2430</v>
      </c>
      <c r="G141" s="309">
        <v>584.0</v>
      </c>
      <c r="H141" s="307"/>
      <c r="I141" s="301"/>
      <c r="J141" s="301"/>
      <c r="K141" s="301"/>
      <c r="L141" s="301"/>
      <c r="M141" s="301"/>
      <c r="N141" s="301"/>
      <c r="O141" s="301"/>
      <c r="P141" s="301"/>
      <c r="Q141" s="301"/>
      <c r="R141" s="301"/>
      <c r="S141" s="301"/>
      <c r="T141" s="301"/>
      <c r="U141" s="307"/>
      <c r="V141" s="301"/>
      <c r="W141" s="301"/>
      <c r="X141" s="307"/>
      <c r="Y141" s="301"/>
      <c r="Z141" s="301"/>
      <c r="AA141" s="301"/>
      <c r="AB141" s="301"/>
      <c r="AC141" s="301"/>
      <c r="AD141" s="301"/>
      <c r="AE141" s="301"/>
      <c r="AF141" s="301"/>
      <c r="AG141" s="301"/>
      <c r="AH141" s="307"/>
      <c r="AI141" s="307"/>
      <c r="AJ141" s="307"/>
      <c r="AK141" s="307"/>
      <c r="AL141" s="307"/>
      <c r="AM141" s="307"/>
      <c r="AN141" s="307"/>
      <c r="AO141" s="307"/>
      <c r="AP141" s="307"/>
      <c r="AQ141" s="307"/>
      <c r="AR141" s="307"/>
      <c r="AS141" s="307"/>
      <c r="AT141" s="307"/>
      <c r="AU141" s="307"/>
    </row>
    <row r="142" ht="12.0" customHeight="1">
      <c r="A142" s="301"/>
      <c r="B142" s="301"/>
      <c r="C142" s="301"/>
      <c r="D142" s="309" t="s">
        <v>2431</v>
      </c>
      <c r="E142" s="309" t="s">
        <v>2432</v>
      </c>
      <c r="F142" s="309" t="s">
        <v>2433</v>
      </c>
      <c r="G142" s="309">
        <v>474.0</v>
      </c>
      <c r="H142" s="307"/>
      <c r="I142" s="301"/>
      <c r="J142" s="301"/>
      <c r="K142" s="301"/>
      <c r="L142" s="301"/>
      <c r="M142" s="301"/>
      <c r="N142" s="301"/>
      <c r="O142" s="301"/>
      <c r="P142" s="301"/>
      <c r="Q142" s="301"/>
      <c r="R142" s="301"/>
      <c r="S142" s="301"/>
      <c r="T142" s="301"/>
      <c r="U142" s="307"/>
      <c r="V142" s="301"/>
      <c r="W142" s="301"/>
      <c r="X142" s="307"/>
      <c r="Y142" s="301"/>
      <c r="Z142" s="301"/>
      <c r="AA142" s="301"/>
      <c r="AB142" s="301"/>
      <c r="AC142" s="301"/>
      <c r="AD142" s="301"/>
      <c r="AE142" s="301"/>
      <c r="AF142" s="301"/>
      <c r="AG142" s="301"/>
      <c r="AH142" s="307"/>
      <c r="AI142" s="307"/>
      <c r="AJ142" s="307"/>
      <c r="AK142" s="307"/>
      <c r="AL142" s="307"/>
      <c r="AM142" s="307"/>
      <c r="AN142" s="307"/>
      <c r="AO142" s="307"/>
      <c r="AP142" s="307"/>
      <c r="AQ142" s="307"/>
      <c r="AR142" s="307"/>
      <c r="AS142" s="307"/>
      <c r="AT142" s="307"/>
      <c r="AU142" s="307"/>
    </row>
    <row r="143" ht="12.0" customHeight="1">
      <c r="A143" s="301"/>
      <c r="B143" s="301"/>
      <c r="C143" s="301"/>
      <c r="D143" s="309" t="s">
        <v>2434</v>
      </c>
      <c r="E143" s="309" t="s">
        <v>2435</v>
      </c>
      <c r="F143" s="309" t="s">
        <v>2436</v>
      </c>
      <c r="G143" s="309">
        <v>478.0</v>
      </c>
      <c r="H143" s="307"/>
      <c r="I143" s="301"/>
      <c r="J143" s="301"/>
      <c r="K143" s="301"/>
      <c r="L143" s="301"/>
      <c r="M143" s="301"/>
      <c r="N143" s="301"/>
      <c r="O143" s="301"/>
      <c r="P143" s="301"/>
      <c r="Q143" s="301"/>
      <c r="R143" s="301"/>
      <c r="S143" s="301"/>
      <c r="T143" s="301"/>
      <c r="U143" s="307"/>
      <c r="V143" s="301"/>
      <c r="W143" s="301"/>
      <c r="X143" s="307"/>
      <c r="Y143" s="301"/>
      <c r="Z143" s="301"/>
      <c r="AA143" s="301"/>
      <c r="AB143" s="301"/>
      <c r="AC143" s="301"/>
      <c r="AD143" s="301"/>
      <c r="AE143" s="301"/>
      <c r="AF143" s="301"/>
      <c r="AG143" s="301"/>
      <c r="AH143" s="307"/>
      <c r="AI143" s="307"/>
      <c r="AJ143" s="307"/>
      <c r="AK143" s="307"/>
      <c r="AL143" s="307"/>
      <c r="AM143" s="307"/>
      <c r="AN143" s="307"/>
      <c r="AO143" s="307"/>
      <c r="AP143" s="307"/>
      <c r="AQ143" s="307"/>
      <c r="AR143" s="307"/>
      <c r="AS143" s="307"/>
      <c r="AT143" s="307"/>
      <c r="AU143" s="307"/>
    </row>
    <row r="144" ht="12.0" customHeight="1">
      <c r="A144" s="301"/>
      <c r="B144" s="301"/>
      <c r="C144" s="301"/>
      <c r="D144" s="309" t="s">
        <v>2437</v>
      </c>
      <c r="E144" s="309" t="s">
        <v>2438</v>
      </c>
      <c r="F144" s="309" t="s">
        <v>2439</v>
      </c>
      <c r="G144" s="309">
        <v>480.0</v>
      </c>
      <c r="H144" s="307"/>
      <c r="I144" s="301"/>
      <c r="J144" s="301"/>
      <c r="K144" s="301"/>
      <c r="L144" s="301"/>
      <c r="M144" s="301"/>
      <c r="N144" s="301"/>
      <c r="O144" s="301"/>
      <c r="P144" s="301"/>
      <c r="Q144" s="301"/>
      <c r="R144" s="301"/>
      <c r="S144" s="301"/>
      <c r="T144" s="301"/>
      <c r="U144" s="307"/>
      <c r="V144" s="301"/>
      <c r="W144" s="301"/>
      <c r="X144" s="307"/>
      <c r="Y144" s="301"/>
      <c r="Z144" s="301"/>
      <c r="AA144" s="301"/>
      <c r="AB144" s="301"/>
      <c r="AC144" s="301"/>
      <c r="AD144" s="301"/>
      <c r="AE144" s="301"/>
      <c r="AF144" s="301"/>
      <c r="AG144" s="301"/>
      <c r="AH144" s="307"/>
      <c r="AI144" s="307"/>
      <c r="AJ144" s="307"/>
      <c r="AK144" s="307"/>
      <c r="AL144" s="307"/>
      <c r="AM144" s="307"/>
      <c r="AN144" s="307"/>
      <c r="AO144" s="307"/>
      <c r="AP144" s="307"/>
      <c r="AQ144" s="307"/>
      <c r="AR144" s="307"/>
      <c r="AS144" s="307"/>
      <c r="AT144" s="307"/>
      <c r="AU144" s="307"/>
    </row>
    <row r="145" ht="12.0" customHeight="1">
      <c r="A145" s="301"/>
      <c r="B145" s="301"/>
      <c r="C145" s="301"/>
      <c r="D145" s="309" t="s">
        <v>2440</v>
      </c>
      <c r="E145" s="309" t="s">
        <v>2441</v>
      </c>
      <c r="F145" s="309" t="s">
        <v>2442</v>
      </c>
      <c r="G145" s="309">
        <v>175.0</v>
      </c>
      <c r="H145" s="307"/>
      <c r="I145" s="301"/>
      <c r="J145" s="301"/>
      <c r="K145" s="301"/>
      <c r="L145" s="301"/>
      <c r="M145" s="301"/>
      <c r="N145" s="301"/>
      <c r="O145" s="301"/>
      <c r="P145" s="301"/>
      <c r="Q145" s="301"/>
      <c r="R145" s="301"/>
      <c r="S145" s="301"/>
      <c r="T145" s="301"/>
      <c r="U145" s="307"/>
      <c r="V145" s="301"/>
      <c r="W145" s="301"/>
      <c r="X145" s="307"/>
      <c r="Y145" s="301"/>
      <c r="Z145" s="301"/>
      <c r="AA145" s="301"/>
      <c r="AB145" s="301"/>
      <c r="AC145" s="301"/>
      <c r="AD145" s="301"/>
      <c r="AE145" s="301"/>
      <c r="AF145" s="301"/>
      <c r="AG145" s="301"/>
      <c r="AH145" s="307"/>
      <c r="AI145" s="307"/>
      <c r="AJ145" s="307"/>
      <c r="AK145" s="307"/>
      <c r="AL145" s="307"/>
      <c r="AM145" s="307"/>
      <c r="AN145" s="307"/>
      <c r="AO145" s="307"/>
      <c r="AP145" s="307"/>
      <c r="AQ145" s="307"/>
      <c r="AR145" s="307"/>
      <c r="AS145" s="307"/>
      <c r="AT145" s="307"/>
      <c r="AU145" s="307"/>
    </row>
    <row r="146" ht="12.0" customHeight="1">
      <c r="A146" s="301"/>
      <c r="B146" s="301"/>
      <c r="C146" s="301"/>
      <c r="D146" s="309" t="s">
        <v>2443</v>
      </c>
      <c r="E146" s="309" t="s">
        <v>2444</v>
      </c>
      <c r="F146" s="309" t="s">
        <v>2445</v>
      </c>
      <c r="G146" s="309">
        <v>484.0</v>
      </c>
      <c r="H146" s="307"/>
      <c r="I146" s="301"/>
      <c r="J146" s="301"/>
      <c r="K146" s="301"/>
      <c r="L146" s="301"/>
      <c r="M146" s="301"/>
      <c r="N146" s="301"/>
      <c r="O146" s="301"/>
      <c r="P146" s="301"/>
      <c r="Q146" s="301"/>
      <c r="R146" s="301"/>
      <c r="S146" s="301"/>
      <c r="T146" s="301"/>
      <c r="U146" s="307"/>
      <c r="V146" s="301"/>
      <c r="W146" s="301"/>
      <c r="X146" s="307"/>
      <c r="Y146" s="301"/>
      <c r="Z146" s="301"/>
      <c r="AA146" s="301"/>
      <c r="AB146" s="301"/>
      <c r="AC146" s="301"/>
      <c r="AD146" s="301"/>
      <c r="AE146" s="301"/>
      <c r="AF146" s="301"/>
      <c r="AG146" s="301"/>
      <c r="AH146" s="307"/>
      <c r="AI146" s="307"/>
      <c r="AJ146" s="307"/>
      <c r="AK146" s="307"/>
      <c r="AL146" s="307"/>
      <c r="AM146" s="307"/>
      <c r="AN146" s="307"/>
      <c r="AO146" s="307"/>
      <c r="AP146" s="307"/>
      <c r="AQ146" s="307"/>
      <c r="AR146" s="307"/>
      <c r="AS146" s="307"/>
      <c r="AT146" s="307"/>
      <c r="AU146" s="307"/>
    </row>
    <row r="147" ht="12.0" customHeight="1">
      <c r="A147" s="301"/>
      <c r="B147" s="301"/>
      <c r="C147" s="301"/>
      <c r="D147" s="309" t="s">
        <v>2446</v>
      </c>
      <c r="E147" s="309" t="s">
        <v>2447</v>
      </c>
      <c r="F147" s="309" t="s">
        <v>2448</v>
      </c>
      <c r="G147" s="309">
        <v>583.0</v>
      </c>
      <c r="H147" s="307"/>
      <c r="I147" s="301"/>
      <c r="J147" s="301"/>
      <c r="K147" s="301"/>
      <c r="L147" s="301"/>
      <c r="M147" s="301"/>
      <c r="N147" s="301"/>
      <c r="O147" s="301"/>
      <c r="P147" s="301"/>
      <c r="Q147" s="301"/>
      <c r="R147" s="301"/>
      <c r="S147" s="301"/>
      <c r="T147" s="301"/>
      <c r="U147" s="307"/>
      <c r="V147" s="301"/>
      <c r="W147" s="301"/>
      <c r="X147" s="307"/>
      <c r="Y147" s="301"/>
      <c r="Z147" s="301"/>
      <c r="AA147" s="301"/>
      <c r="AB147" s="301"/>
      <c r="AC147" s="301"/>
      <c r="AD147" s="301"/>
      <c r="AE147" s="301"/>
      <c r="AF147" s="301"/>
      <c r="AG147" s="301"/>
      <c r="AH147" s="307"/>
      <c r="AI147" s="307"/>
      <c r="AJ147" s="307"/>
      <c r="AK147" s="307"/>
      <c r="AL147" s="307"/>
      <c r="AM147" s="307"/>
      <c r="AN147" s="307"/>
      <c r="AO147" s="307"/>
      <c r="AP147" s="307"/>
      <c r="AQ147" s="307"/>
      <c r="AR147" s="307"/>
      <c r="AS147" s="307"/>
      <c r="AT147" s="307"/>
      <c r="AU147" s="307"/>
    </row>
    <row r="148" ht="12.0" customHeight="1">
      <c r="A148" s="301"/>
      <c r="B148" s="301"/>
      <c r="C148" s="301"/>
      <c r="D148" s="309" t="s">
        <v>2449</v>
      </c>
      <c r="E148" s="309" t="s">
        <v>2450</v>
      </c>
      <c r="F148" s="309" t="s">
        <v>2451</v>
      </c>
      <c r="G148" s="309">
        <v>498.0</v>
      </c>
      <c r="H148" s="307"/>
      <c r="I148" s="301"/>
      <c r="J148" s="301"/>
      <c r="K148" s="301"/>
      <c r="L148" s="301"/>
      <c r="M148" s="301"/>
      <c r="N148" s="301"/>
      <c r="O148" s="301"/>
      <c r="P148" s="301"/>
      <c r="Q148" s="301"/>
      <c r="R148" s="301"/>
      <c r="S148" s="301"/>
      <c r="T148" s="301"/>
      <c r="U148" s="307"/>
      <c r="V148" s="301"/>
      <c r="W148" s="301"/>
      <c r="X148" s="307"/>
      <c r="Y148" s="301"/>
      <c r="Z148" s="301"/>
      <c r="AA148" s="301"/>
      <c r="AB148" s="301"/>
      <c r="AC148" s="301"/>
      <c r="AD148" s="301"/>
      <c r="AE148" s="301"/>
      <c r="AF148" s="301"/>
      <c r="AG148" s="301"/>
      <c r="AH148" s="307"/>
      <c r="AI148" s="307"/>
      <c r="AJ148" s="307"/>
      <c r="AK148" s="307"/>
      <c r="AL148" s="307"/>
      <c r="AM148" s="307"/>
      <c r="AN148" s="307"/>
      <c r="AO148" s="307"/>
      <c r="AP148" s="307"/>
      <c r="AQ148" s="307"/>
      <c r="AR148" s="307"/>
      <c r="AS148" s="307"/>
      <c r="AT148" s="307"/>
      <c r="AU148" s="307"/>
    </row>
    <row r="149" ht="12.0" customHeight="1">
      <c r="A149" s="301"/>
      <c r="B149" s="301"/>
      <c r="C149" s="301"/>
      <c r="D149" s="309" t="s">
        <v>2452</v>
      </c>
      <c r="E149" s="309" t="s">
        <v>2453</v>
      </c>
      <c r="F149" s="309" t="s">
        <v>2454</v>
      </c>
      <c r="G149" s="309">
        <v>492.0</v>
      </c>
      <c r="H149" s="307"/>
      <c r="I149" s="301"/>
      <c r="J149" s="301"/>
      <c r="K149" s="301"/>
      <c r="L149" s="301"/>
      <c r="M149" s="301"/>
      <c r="N149" s="301"/>
      <c r="O149" s="301"/>
      <c r="P149" s="301"/>
      <c r="Q149" s="301"/>
      <c r="R149" s="301"/>
      <c r="S149" s="301"/>
      <c r="T149" s="301"/>
      <c r="U149" s="307"/>
      <c r="V149" s="301"/>
      <c r="W149" s="301"/>
      <c r="X149" s="307"/>
      <c r="Y149" s="301"/>
      <c r="Z149" s="301"/>
      <c r="AA149" s="301"/>
      <c r="AB149" s="301"/>
      <c r="AC149" s="301"/>
      <c r="AD149" s="301"/>
      <c r="AE149" s="301"/>
      <c r="AF149" s="301"/>
      <c r="AG149" s="301"/>
      <c r="AH149" s="307"/>
      <c r="AI149" s="307"/>
      <c r="AJ149" s="307"/>
      <c r="AK149" s="307"/>
      <c r="AL149" s="307"/>
      <c r="AM149" s="307"/>
      <c r="AN149" s="307"/>
      <c r="AO149" s="307"/>
      <c r="AP149" s="307"/>
      <c r="AQ149" s="307"/>
      <c r="AR149" s="307"/>
      <c r="AS149" s="307"/>
      <c r="AT149" s="307"/>
      <c r="AU149" s="307"/>
    </row>
    <row r="150" ht="12.0" customHeight="1">
      <c r="A150" s="301"/>
      <c r="B150" s="301"/>
      <c r="C150" s="301"/>
      <c r="D150" s="309" t="s">
        <v>2455</v>
      </c>
      <c r="E150" s="309" t="s">
        <v>2456</v>
      </c>
      <c r="F150" s="309" t="s">
        <v>2457</v>
      </c>
      <c r="G150" s="309">
        <v>496.0</v>
      </c>
      <c r="H150" s="307"/>
      <c r="I150" s="301"/>
      <c r="J150" s="301"/>
      <c r="K150" s="301"/>
      <c r="L150" s="301"/>
      <c r="M150" s="301"/>
      <c r="N150" s="301"/>
      <c r="O150" s="301"/>
      <c r="P150" s="301"/>
      <c r="Q150" s="301"/>
      <c r="R150" s="301"/>
      <c r="S150" s="301"/>
      <c r="T150" s="301"/>
      <c r="U150" s="307"/>
      <c r="V150" s="301"/>
      <c r="W150" s="301"/>
      <c r="X150" s="307"/>
      <c r="Y150" s="301"/>
      <c r="Z150" s="301"/>
      <c r="AA150" s="301"/>
      <c r="AB150" s="301"/>
      <c r="AC150" s="301"/>
      <c r="AD150" s="301"/>
      <c r="AE150" s="301"/>
      <c r="AF150" s="301"/>
      <c r="AG150" s="301"/>
      <c r="AH150" s="307"/>
      <c r="AI150" s="307"/>
      <c r="AJ150" s="307"/>
      <c r="AK150" s="307"/>
      <c r="AL150" s="307"/>
      <c r="AM150" s="307"/>
      <c r="AN150" s="307"/>
      <c r="AO150" s="307"/>
      <c r="AP150" s="307"/>
      <c r="AQ150" s="307"/>
      <c r="AR150" s="307"/>
      <c r="AS150" s="307"/>
      <c r="AT150" s="307"/>
      <c r="AU150" s="307"/>
    </row>
    <row r="151" ht="12.0" customHeight="1">
      <c r="A151" s="301"/>
      <c r="B151" s="301"/>
      <c r="C151" s="301"/>
      <c r="D151" s="309" t="s">
        <v>2458</v>
      </c>
      <c r="E151" s="309" t="s">
        <v>2459</v>
      </c>
      <c r="F151" s="309" t="s">
        <v>2460</v>
      </c>
      <c r="G151" s="309">
        <v>499.0</v>
      </c>
      <c r="H151" s="307"/>
      <c r="I151" s="301"/>
      <c r="J151" s="301"/>
      <c r="K151" s="301"/>
      <c r="L151" s="301"/>
      <c r="M151" s="301"/>
      <c r="N151" s="301"/>
      <c r="O151" s="301"/>
      <c r="P151" s="301"/>
      <c r="Q151" s="301"/>
      <c r="R151" s="301"/>
      <c r="S151" s="301"/>
      <c r="T151" s="301"/>
      <c r="U151" s="307"/>
      <c r="V151" s="301"/>
      <c r="W151" s="301"/>
      <c r="X151" s="307"/>
      <c r="Y151" s="301"/>
      <c r="Z151" s="301"/>
      <c r="AA151" s="301"/>
      <c r="AB151" s="301"/>
      <c r="AC151" s="301"/>
      <c r="AD151" s="301"/>
      <c r="AE151" s="301"/>
      <c r="AF151" s="301"/>
      <c r="AG151" s="301"/>
      <c r="AH151" s="307"/>
      <c r="AI151" s="307"/>
      <c r="AJ151" s="307"/>
      <c r="AK151" s="307"/>
      <c r="AL151" s="307"/>
      <c r="AM151" s="307"/>
      <c r="AN151" s="307"/>
      <c r="AO151" s="307"/>
      <c r="AP151" s="307"/>
      <c r="AQ151" s="307"/>
      <c r="AR151" s="307"/>
      <c r="AS151" s="307"/>
      <c r="AT151" s="307"/>
      <c r="AU151" s="307"/>
    </row>
    <row r="152" ht="12.0" customHeight="1">
      <c r="A152" s="301"/>
      <c r="B152" s="301"/>
      <c r="C152" s="301"/>
      <c r="D152" s="309" t="s">
        <v>2461</v>
      </c>
      <c r="E152" s="309" t="s">
        <v>2462</v>
      </c>
      <c r="F152" s="309" t="s">
        <v>2463</v>
      </c>
      <c r="G152" s="309">
        <v>500.0</v>
      </c>
      <c r="H152" s="307"/>
      <c r="I152" s="301"/>
      <c r="J152" s="301"/>
      <c r="K152" s="301"/>
      <c r="L152" s="301"/>
      <c r="M152" s="301"/>
      <c r="N152" s="301"/>
      <c r="O152" s="301"/>
      <c r="P152" s="301"/>
      <c r="Q152" s="301"/>
      <c r="R152" s="301"/>
      <c r="S152" s="301"/>
      <c r="T152" s="301"/>
      <c r="U152" s="307"/>
      <c r="V152" s="301"/>
      <c r="W152" s="301"/>
      <c r="X152" s="307"/>
      <c r="Y152" s="301"/>
      <c r="Z152" s="301"/>
      <c r="AA152" s="301"/>
      <c r="AB152" s="301"/>
      <c r="AC152" s="301"/>
      <c r="AD152" s="301"/>
      <c r="AE152" s="301"/>
      <c r="AF152" s="301"/>
      <c r="AG152" s="301"/>
      <c r="AH152" s="307"/>
      <c r="AI152" s="307"/>
      <c r="AJ152" s="307"/>
      <c r="AK152" s="307"/>
      <c r="AL152" s="307"/>
      <c r="AM152" s="307"/>
      <c r="AN152" s="307"/>
      <c r="AO152" s="307"/>
      <c r="AP152" s="307"/>
      <c r="AQ152" s="307"/>
      <c r="AR152" s="307"/>
      <c r="AS152" s="307"/>
      <c r="AT152" s="307"/>
      <c r="AU152" s="307"/>
    </row>
    <row r="153" ht="12.0" customHeight="1">
      <c r="A153" s="301"/>
      <c r="B153" s="301"/>
      <c r="C153" s="301"/>
      <c r="D153" s="309" t="s">
        <v>2464</v>
      </c>
      <c r="E153" s="309" t="s">
        <v>2465</v>
      </c>
      <c r="F153" s="309" t="s">
        <v>2466</v>
      </c>
      <c r="G153" s="309">
        <v>504.0</v>
      </c>
      <c r="H153" s="307"/>
      <c r="I153" s="301"/>
      <c r="J153" s="301"/>
      <c r="K153" s="301"/>
      <c r="L153" s="301"/>
      <c r="M153" s="301"/>
      <c r="N153" s="301"/>
      <c r="O153" s="301"/>
      <c r="P153" s="301"/>
      <c r="Q153" s="301"/>
      <c r="R153" s="301"/>
      <c r="S153" s="301"/>
      <c r="T153" s="301"/>
      <c r="U153" s="307"/>
      <c r="V153" s="301"/>
      <c r="W153" s="301"/>
      <c r="X153" s="307"/>
      <c r="Y153" s="301"/>
      <c r="Z153" s="301"/>
      <c r="AA153" s="301"/>
      <c r="AB153" s="301"/>
      <c r="AC153" s="301"/>
      <c r="AD153" s="301"/>
      <c r="AE153" s="301"/>
      <c r="AF153" s="301"/>
      <c r="AG153" s="301"/>
      <c r="AH153" s="307"/>
      <c r="AI153" s="307"/>
      <c r="AJ153" s="307"/>
      <c r="AK153" s="307"/>
      <c r="AL153" s="307"/>
      <c r="AM153" s="307"/>
      <c r="AN153" s="307"/>
      <c r="AO153" s="307"/>
      <c r="AP153" s="307"/>
      <c r="AQ153" s="307"/>
      <c r="AR153" s="307"/>
      <c r="AS153" s="307"/>
      <c r="AT153" s="307"/>
      <c r="AU153" s="307"/>
    </row>
    <row r="154" ht="12.0" customHeight="1">
      <c r="A154" s="301"/>
      <c r="B154" s="301"/>
      <c r="C154" s="301"/>
      <c r="D154" s="309" t="s">
        <v>2467</v>
      </c>
      <c r="E154" s="309" t="s">
        <v>2468</v>
      </c>
      <c r="F154" s="309" t="s">
        <v>2469</v>
      </c>
      <c r="G154" s="309">
        <v>508.0</v>
      </c>
      <c r="H154" s="307"/>
      <c r="I154" s="301"/>
      <c r="J154" s="301"/>
      <c r="K154" s="301"/>
      <c r="L154" s="301"/>
      <c r="M154" s="301"/>
      <c r="N154" s="301"/>
      <c r="O154" s="301"/>
      <c r="P154" s="301"/>
      <c r="Q154" s="301"/>
      <c r="R154" s="301"/>
      <c r="S154" s="301"/>
      <c r="T154" s="301"/>
      <c r="U154" s="307"/>
      <c r="V154" s="301"/>
      <c r="W154" s="301"/>
      <c r="X154" s="307"/>
      <c r="Y154" s="301"/>
      <c r="Z154" s="301"/>
      <c r="AA154" s="301"/>
      <c r="AB154" s="301"/>
      <c r="AC154" s="301"/>
      <c r="AD154" s="301"/>
      <c r="AE154" s="301"/>
      <c r="AF154" s="301"/>
      <c r="AG154" s="301"/>
      <c r="AH154" s="307"/>
      <c r="AI154" s="307"/>
      <c r="AJ154" s="307"/>
      <c r="AK154" s="307"/>
      <c r="AL154" s="307"/>
      <c r="AM154" s="307"/>
      <c r="AN154" s="307"/>
      <c r="AO154" s="307"/>
      <c r="AP154" s="307"/>
      <c r="AQ154" s="307"/>
      <c r="AR154" s="307"/>
      <c r="AS154" s="307"/>
      <c r="AT154" s="307"/>
      <c r="AU154" s="307"/>
    </row>
    <row r="155" ht="12.0" customHeight="1">
      <c r="A155" s="301"/>
      <c r="B155" s="301"/>
      <c r="C155" s="301"/>
      <c r="D155" s="309" t="s">
        <v>2470</v>
      </c>
      <c r="E155" s="309" t="s">
        <v>2471</v>
      </c>
      <c r="F155" s="309" t="s">
        <v>2472</v>
      </c>
      <c r="G155" s="309">
        <v>104.0</v>
      </c>
      <c r="H155" s="307"/>
      <c r="I155" s="301"/>
      <c r="J155" s="301"/>
      <c r="K155" s="301"/>
      <c r="L155" s="301"/>
      <c r="M155" s="301"/>
      <c r="N155" s="301"/>
      <c r="O155" s="301"/>
      <c r="P155" s="301"/>
      <c r="Q155" s="301"/>
      <c r="R155" s="301"/>
      <c r="S155" s="301"/>
      <c r="T155" s="301"/>
      <c r="U155" s="307"/>
      <c r="V155" s="301"/>
      <c r="W155" s="301"/>
      <c r="X155" s="307"/>
      <c r="Y155" s="301"/>
      <c r="Z155" s="301"/>
      <c r="AA155" s="301"/>
      <c r="AB155" s="301"/>
      <c r="AC155" s="301"/>
      <c r="AD155" s="301"/>
      <c r="AE155" s="301"/>
      <c r="AF155" s="301"/>
      <c r="AG155" s="301"/>
      <c r="AH155" s="307"/>
      <c r="AI155" s="307"/>
      <c r="AJ155" s="307"/>
      <c r="AK155" s="307"/>
      <c r="AL155" s="307"/>
      <c r="AM155" s="307"/>
      <c r="AN155" s="307"/>
      <c r="AO155" s="307"/>
      <c r="AP155" s="307"/>
      <c r="AQ155" s="307"/>
      <c r="AR155" s="307"/>
      <c r="AS155" s="307"/>
      <c r="AT155" s="307"/>
      <c r="AU155" s="307"/>
    </row>
    <row r="156" ht="12.0" customHeight="1">
      <c r="A156" s="301"/>
      <c r="B156" s="301"/>
      <c r="C156" s="301"/>
      <c r="D156" s="309" t="s">
        <v>2473</v>
      </c>
      <c r="E156" s="309" t="s">
        <v>2474</v>
      </c>
      <c r="F156" s="309" t="s">
        <v>2475</v>
      </c>
      <c r="G156" s="309">
        <v>516.0</v>
      </c>
      <c r="H156" s="307"/>
      <c r="I156" s="301"/>
      <c r="J156" s="301"/>
      <c r="K156" s="301"/>
      <c r="L156" s="301"/>
      <c r="M156" s="301"/>
      <c r="N156" s="301"/>
      <c r="O156" s="301"/>
      <c r="P156" s="301"/>
      <c r="Q156" s="301"/>
      <c r="R156" s="301"/>
      <c r="S156" s="301"/>
      <c r="T156" s="301"/>
      <c r="U156" s="307"/>
      <c r="V156" s="301"/>
      <c r="W156" s="301"/>
      <c r="X156" s="307"/>
      <c r="Y156" s="301"/>
      <c r="Z156" s="301"/>
      <c r="AA156" s="301"/>
      <c r="AB156" s="301"/>
      <c r="AC156" s="301"/>
      <c r="AD156" s="301"/>
      <c r="AE156" s="301"/>
      <c r="AF156" s="301"/>
      <c r="AG156" s="301"/>
      <c r="AH156" s="307"/>
      <c r="AI156" s="307"/>
      <c r="AJ156" s="307"/>
      <c r="AK156" s="307"/>
      <c r="AL156" s="307"/>
      <c r="AM156" s="307"/>
      <c r="AN156" s="307"/>
      <c r="AO156" s="307"/>
      <c r="AP156" s="307"/>
      <c r="AQ156" s="307"/>
      <c r="AR156" s="307"/>
      <c r="AS156" s="307"/>
      <c r="AT156" s="307"/>
      <c r="AU156" s="307"/>
    </row>
    <row r="157" ht="12.0" customHeight="1">
      <c r="A157" s="301"/>
      <c r="B157" s="301"/>
      <c r="C157" s="301"/>
      <c r="D157" s="309" t="s">
        <v>2476</v>
      </c>
      <c r="E157" s="309" t="s">
        <v>2477</v>
      </c>
      <c r="F157" s="309" t="s">
        <v>2478</v>
      </c>
      <c r="G157" s="309">
        <v>520.0</v>
      </c>
      <c r="H157" s="307"/>
      <c r="I157" s="301"/>
      <c r="J157" s="301"/>
      <c r="K157" s="301"/>
      <c r="L157" s="301"/>
      <c r="M157" s="301"/>
      <c r="N157" s="301"/>
      <c r="O157" s="301"/>
      <c r="P157" s="301"/>
      <c r="Q157" s="301"/>
      <c r="R157" s="301"/>
      <c r="S157" s="301"/>
      <c r="T157" s="301"/>
      <c r="U157" s="307"/>
      <c r="V157" s="301"/>
      <c r="W157" s="301"/>
      <c r="X157" s="307"/>
      <c r="Y157" s="301"/>
      <c r="Z157" s="301"/>
      <c r="AA157" s="301"/>
      <c r="AB157" s="301"/>
      <c r="AC157" s="301"/>
      <c r="AD157" s="301"/>
      <c r="AE157" s="301"/>
      <c r="AF157" s="301"/>
      <c r="AG157" s="301"/>
      <c r="AH157" s="307"/>
      <c r="AI157" s="307"/>
      <c r="AJ157" s="307"/>
      <c r="AK157" s="307"/>
      <c r="AL157" s="307"/>
      <c r="AM157" s="307"/>
      <c r="AN157" s="307"/>
      <c r="AO157" s="307"/>
      <c r="AP157" s="307"/>
      <c r="AQ157" s="307"/>
      <c r="AR157" s="307"/>
      <c r="AS157" s="307"/>
      <c r="AT157" s="307"/>
      <c r="AU157" s="307"/>
    </row>
    <row r="158" ht="12.0" customHeight="1">
      <c r="A158" s="301"/>
      <c r="B158" s="301"/>
      <c r="C158" s="301"/>
      <c r="D158" s="309" t="s">
        <v>2479</v>
      </c>
      <c r="E158" s="309" t="s">
        <v>2480</v>
      </c>
      <c r="F158" s="309" t="s">
        <v>2481</v>
      </c>
      <c r="G158" s="309">
        <v>524.0</v>
      </c>
      <c r="H158" s="307"/>
      <c r="I158" s="301"/>
      <c r="J158" s="301"/>
      <c r="K158" s="301"/>
      <c r="L158" s="301"/>
      <c r="M158" s="301"/>
      <c r="N158" s="301"/>
      <c r="O158" s="301"/>
      <c r="P158" s="301"/>
      <c r="Q158" s="301"/>
      <c r="R158" s="301"/>
      <c r="S158" s="301"/>
      <c r="T158" s="301"/>
      <c r="U158" s="307"/>
      <c r="V158" s="301"/>
      <c r="W158" s="301"/>
      <c r="X158" s="307"/>
      <c r="Y158" s="301"/>
      <c r="Z158" s="301"/>
      <c r="AA158" s="301"/>
      <c r="AB158" s="301"/>
      <c r="AC158" s="301"/>
      <c r="AD158" s="301"/>
      <c r="AE158" s="301"/>
      <c r="AF158" s="301"/>
      <c r="AG158" s="301"/>
      <c r="AH158" s="307"/>
      <c r="AI158" s="307"/>
      <c r="AJ158" s="307"/>
      <c r="AK158" s="307"/>
      <c r="AL158" s="307"/>
      <c r="AM158" s="307"/>
      <c r="AN158" s="307"/>
      <c r="AO158" s="307"/>
      <c r="AP158" s="307"/>
      <c r="AQ158" s="307"/>
      <c r="AR158" s="307"/>
      <c r="AS158" s="307"/>
      <c r="AT158" s="307"/>
      <c r="AU158" s="307"/>
    </row>
    <row r="159" ht="12.0" customHeight="1">
      <c r="A159" s="301"/>
      <c r="B159" s="301"/>
      <c r="C159" s="301"/>
      <c r="D159" s="309" t="s">
        <v>2482</v>
      </c>
      <c r="E159" s="309" t="s">
        <v>2483</v>
      </c>
      <c r="F159" s="309" t="s">
        <v>2484</v>
      </c>
      <c r="G159" s="309">
        <v>528.0</v>
      </c>
      <c r="H159" s="307"/>
      <c r="I159" s="301"/>
      <c r="J159" s="301"/>
      <c r="K159" s="301"/>
      <c r="L159" s="301"/>
      <c r="M159" s="301"/>
      <c r="N159" s="301"/>
      <c r="O159" s="301"/>
      <c r="P159" s="301"/>
      <c r="Q159" s="301"/>
      <c r="R159" s="301"/>
      <c r="S159" s="301"/>
      <c r="T159" s="301"/>
      <c r="U159" s="307"/>
      <c r="V159" s="301"/>
      <c r="W159" s="301"/>
      <c r="X159" s="307"/>
      <c r="Y159" s="301"/>
      <c r="Z159" s="301"/>
      <c r="AA159" s="301"/>
      <c r="AB159" s="301"/>
      <c r="AC159" s="301"/>
      <c r="AD159" s="301"/>
      <c r="AE159" s="301"/>
      <c r="AF159" s="301"/>
      <c r="AG159" s="301"/>
      <c r="AH159" s="307"/>
      <c r="AI159" s="307"/>
      <c r="AJ159" s="307"/>
      <c r="AK159" s="307"/>
      <c r="AL159" s="307"/>
      <c r="AM159" s="307"/>
      <c r="AN159" s="307"/>
      <c r="AO159" s="307"/>
      <c r="AP159" s="307"/>
      <c r="AQ159" s="307"/>
      <c r="AR159" s="307"/>
      <c r="AS159" s="307"/>
      <c r="AT159" s="307"/>
      <c r="AU159" s="307"/>
    </row>
    <row r="160" ht="12.0" customHeight="1">
      <c r="A160" s="301"/>
      <c r="B160" s="301"/>
      <c r="C160" s="301"/>
      <c r="D160" s="309" t="s">
        <v>2485</v>
      </c>
      <c r="E160" s="309" t="s">
        <v>2486</v>
      </c>
      <c r="F160" s="309" t="s">
        <v>2487</v>
      </c>
      <c r="G160" s="309">
        <v>540.0</v>
      </c>
      <c r="H160" s="307"/>
      <c r="I160" s="301"/>
      <c r="J160" s="301"/>
      <c r="K160" s="301"/>
      <c r="L160" s="301"/>
      <c r="M160" s="301"/>
      <c r="N160" s="301"/>
      <c r="O160" s="301"/>
      <c r="P160" s="301"/>
      <c r="Q160" s="301"/>
      <c r="R160" s="301"/>
      <c r="S160" s="301"/>
      <c r="T160" s="301"/>
      <c r="U160" s="307"/>
      <c r="V160" s="301"/>
      <c r="W160" s="301"/>
      <c r="X160" s="307"/>
      <c r="Y160" s="301"/>
      <c r="Z160" s="301"/>
      <c r="AA160" s="301"/>
      <c r="AB160" s="301"/>
      <c r="AC160" s="301"/>
      <c r="AD160" s="301"/>
      <c r="AE160" s="301"/>
      <c r="AF160" s="301"/>
      <c r="AG160" s="301"/>
      <c r="AH160" s="307"/>
      <c r="AI160" s="307"/>
      <c r="AJ160" s="307"/>
      <c r="AK160" s="307"/>
      <c r="AL160" s="307"/>
      <c r="AM160" s="307"/>
      <c r="AN160" s="307"/>
      <c r="AO160" s="307"/>
      <c r="AP160" s="307"/>
      <c r="AQ160" s="307"/>
      <c r="AR160" s="307"/>
      <c r="AS160" s="307"/>
      <c r="AT160" s="307"/>
      <c r="AU160" s="307"/>
    </row>
    <row r="161" ht="12.0" customHeight="1">
      <c r="A161" s="301"/>
      <c r="B161" s="301"/>
      <c r="C161" s="301"/>
      <c r="D161" s="309" t="s">
        <v>2488</v>
      </c>
      <c r="E161" s="309" t="s">
        <v>2489</v>
      </c>
      <c r="F161" s="309" t="s">
        <v>2490</v>
      </c>
      <c r="G161" s="309">
        <v>554.0</v>
      </c>
      <c r="H161" s="307"/>
      <c r="I161" s="301"/>
      <c r="J161" s="301"/>
      <c r="K161" s="301"/>
      <c r="L161" s="301"/>
      <c r="M161" s="301"/>
      <c r="N161" s="301"/>
      <c r="O161" s="301"/>
      <c r="P161" s="301"/>
      <c r="Q161" s="301"/>
      <c r="R161" s="301"/>
      <c r="S161" s="301"/>
      <c r="T161" s="301"/>
      <c r="U161" s="307"/>
      <c r="V161" s="301"/>
      <c r="W161" s="301"/>
      <c r="X161" s="307"/>
      <c r="Y161" s="301"/>
      <c r="Z161" s="301"/>
      <c r="AA161" s="301"/>
      <c r="AB161" s="301"/>
      <c r="AC161" s="301"/>
      <c r="AD161" s="301"/>
      <c r="AE161" s="301"/>
      <c r="AF161" s="301"/>
      <c r="AG161" s="301"/>
      <c r="AH161" s="307"/>
      <c r="AI161" s="307"/>
      <c r="AJ161" s="307"/>
      <c r="AK161" s="307"/>
      <c r="AL161" s="307"/>
      <c r="AM161" s="307"/>
      <c r="AN161" s="307"/>
      <c r="AO161" s="307"/>
      <c r="AP161" s="307"/>
      <c r="AQ161" s="307"/>
      <c r="AR161" s="307"/>
      <c r="AS161" s="307"/>
      <c r="AT161" s="307"/>
      <c r="AU161" s="307"/>
    </row>
    <row r="162" ht="12.0" customHeight="1">
      <c r="A162" s="301"/>
      <c r="B162" s="301"/>
      <c r="C162" s="301"/>
      <c r="D162" s="309" t="s">
        <v>2491</v>
      </c>
      <c r="E162" s="309" t="s">
        <v>2492</v>
      </c>
      <c r="F162" s="309" t="s">
        <v>2493</v>
      </c>
      <c r="G162" s="309">
        <v>558.0</v>
      </c>
      <c r="H162" s="307"/>
      <c r="I162" s="301"/>
      <c r="J162" s="301"/>
      <c r="K162" s="301"/>
      <c r="L162" s="301"/>
      <c r="M162" s="301"/>
      <c r="N162" s="301"/>
      <c r="O162" s="301"/>
      <c r="P162" s="301"/>
      <c r="Q162" s="301"/>
      <c r="R162" s="301"/>
      <c r="S162" s="301"/>
      <c r="T162" s="301"/>
      <c r="U162" s="307"/>
      <c r="V162" s="301"/>
      <c r="W162" s="301"/>
      <c r="X162" s="307"/>
      <c r="Y162" s="301"/>
      <c r="Z162" s="301"/>
      <c r="AA162" s="301"/>
      <c r="AB162" s="301"/>
      <c r="AC162" s="301"/>
      <c r="AD162" s="301"/>
      <c r="AE162" s="301"/>
      <c r="AF162" s="301"/>
      <c r="AG162" s="301"/>
      <c r="AH162" s="307"/>
      <c r="AI162" s="307"/>
      <c r="AJ162" s="307"/>
      <c r="AK162" s="307"/>
      <c r="AL162" s="307"/>
      <c r="AM162" s="307"/>
      <c r="AN162" s="307"/>
      <c r="AO162" s="307"/>
      <c r="AP162" s="307"/>
      <c r="AQ162" s="307"/>
      <c r="AR162" s="307"/>
      <c r="AS162" s="307"/>
      <c r="AT162" s="307"/>
      <c r="AU162" s="307"/>
    </row>
    <row r="163" ht="12.0" customHeight="1">
      <c r="A163" s="301"/>
      <c r="B163" s="301"/>
      <c r="C163" s="301"/>
      <c r="D163" s="309" t="s">
        <v>2494</v>
      </c>
      <c r="E163" s="309" t="s">
        <v>2495</v>
      </c>
      <c r="F163" s="309" t="s">
        <v>2496</v>
      </c>
      <c r="G163" s="309">
        <v>562.0</v>
      </c>
      <c r="H163" s="307"/>
      <c r="I163" s="301"/>
      <c r="J163" s="301"/>
      <c r="K163" s="301"/>
      <c r="L163" s="301"/>
      <c r="M163" s="301"/>
      <c r="N163" s="301"/>
      <c r="O163" s="301"/>
      <c r="P163" s="301"/>
      <c r="Q163" s="301"/>
      <c r="R163" s="301"/>
      <c r="S163" s="301"/>
      <c r="T163" s="301"/>
      <c r="U163" s="307"/>
      <c r="V163" s="301"/>
      <c r="W163" s="301"/>
      <c r="X163" s="307"/>
      <c r="Y163" s="301"/>
      <c r="Z163" s="301"/>
      <c r="AA163" s="301"/>
      <c r="AB163" s="301"/>
      <c r="AC163" s="301"/>
      <c r="AD163" s="301"/>
      <c r="AE163" s="301"/>
      <c r="AF163" s="301"/>
      <c r="AG163" s="301"/>
      <c r="AH163" s="307"/>
      <c r="AI163" s="307"/>
      <c r="AJ163" s="307"/>
      <c r="AK163" s="307"/>
      <c r="AL163" s="307"/>
      <c r="AM163" s="307"/>
      <c r="AN163" s="307"/>
      <c r="AO163" s="307"/>
      <c r="AP163" s="307"/>
      <c r="AQ163" s="307"/>
      <c r="AR163" s="307"/>
      <c r="AS163" s="307"/>
      <c r="AT163" s="307"/>
      <c r="AU163" s="307"/>
    </row>
    <row r="164" ht="12.0" customHeight="1">
      <c r="A164" s="301"/>
      <c r="B164" s="301"/>
      <c r="C164" s="301"/>
      <c r="D164" s="309" t="s">
        <v>2497</v>
      </c>
      <c r="E164" s="309" t="s">
        <v>2498</v>
      </c>
      <c r="F164" s="309" t="s">
        <v>2499</v>
      </c>
      <c r="G164" s="309">
        <v>566.0</v>
      </c>
      <c r="H164" s="307"/>
      <c r="I164" s="301"/>
      <c r="J164" s="301"/>
      <c r="K164" s="301"/>
      <c r="L164" s="301"/>
      <c r="M164" s="301"/>
      <c r="N164" s="301"/>
      <c r="O164" s="301"/>
      <c r="P164" s="301"/>
      <c r="Q164" s="301"/>
      <c r="R164" s="301"/>
      <c r="S164" s="301"/>
      <c r="T164" s="301"/>
      <c r="U164" s="307"/>
      <c r="V164" s="301"/>
      <c r="W164" s="301"/>
      <c r="X164" s="307"/>
      <c r="Y164" s="301"/>
      <c r="Z164" s="301"/>
      <c r="AA164" s="301"/>
      <c r="AB164" s="301"/>
      <c r="AC164" s="301"/>
      <c r="AD164" s="301"/>
      <c r="AE164" s="301"/>
      <c r="AF164" s="301"/>
      <c r="AG164" s="301"/>
      <c r="AH164" s="307"/>
      <c r="AI164" s="307"/>
      <c r="AJ164" s="307"/>
      <c r="AK164" s="307"/>
      <c r="AL164" s="307"/>
      <c r="AM164" s="307"/>
      <c r="AN164" s="307"/>
      <c r="AO164" s="307"/>
      <c r="AP164" s="307"/>
      <c r="AQ164" s="307"/>
      <c r="AR164" s="307"/>
      <c r="AS164" s="307"/>
      <c r="AT164" s="307"/>
      <c r="AU164" s="307"/>
    </row>
    <row r="165" ht="12.0" customHeight="1">
      <c r="A165" s="301"/>
      <c r="B165" s="301"/>
      <c r="C165" s="301"/>
      <c r="D165" s="309" t="s">
        <v>2500</v>
      </c>
      <c r="E165" s="309" t="s">
        <v>2501</v>
      </c>
      <c r="F165" s="309" t="s">
        <v>2502</v>
      </c>
      <c r="G165" s="309">
        <v>570.0</v>
      </c>
      <c r="H165" s="307"/>
      <c r="I165" s="301"/>
      <c r="J165" s="301"/>
      <c r="K165" s="301"/>
      <c r="L165" s="301"/>
      <c r="M165" s="301"/>
      <c r="N165" s="301"/>
      <c r="O165" s="301"/>
      <c r="P165" s="301"/>
      <c r="Q165" s="301"/>
      <c r="R165" s="301"/>
      <c r="S165" s="301"/>
      <c r="T165" s="301"/>
      <c r="U165" s="307"/>
      <c r="V165" s="301"/>
      <c r="W165" s="301"/>
      <c r="X165" s="307"/>
      <c r="Y165" s="301"/>
      <c r="Z165" s="301"/>
      <c r="AA165" s="301"/>
      <c r="AB165" s="301"/>
      <c r="AC165" s="301"/>
      <c r="AD165" s="301"/>
      <c r="AE165" s="301"/>
      <c r="AF165" s="301"/>
      <c r="AG165" s="301"/>
      <c r="AH165" s="307"/>
      <c r="AI165" s="307"/>
      <c r="AJ165" s="307"/>
      <c r="AK165" s="307"/>
      <c r="AL165" s="307"/>
      <c r="AM165" s="307"/>
      <c r="AN165" s="307"/>
      <c r="AO165" s="307"/>
      <c r="AP165" s="307"/>
      <c r="AQ165" s="307"/>
      <c r="AR165" s="307"/>
      <c r="AS165" s="307"/>
      <c r="AT165" s="307"/>
      <c r="AU165" s="307"/>
    </row>
    <row r="166" ht="12.0" customHeight="1">
      <c r="A166" s="301"/>
      <c r="B166" s="301"/>
      <c r="C166" s="301"/>
      <c r="D166" s="309" t="s">
        <v>2503</v>
      </c>
      <c r="E166" s="309" t="s">
        <v>2504</v>
      </c>
      <c r="F166" s="309" t="s">
        <v>2505</v>
      </c>
      <c r="G166" s="309">
        <v>574.0</v>
      </c>
      <c r="H166" s="307"/>
      <c r="I166" s="301"/>
      <c r="J166" s="301"/>
      <c r="K166" s="301"/>
      <c r="L166" s="301"/>
      <c r="M166" s="301"/>
      <c r="N166" s="301"/>
      <c r="O166" s="301"/>
      <c r="P166" s="301"/>
      <c r="Q166" s="301"/>
      <c r="R166" s="301"/>
      <c r="S166" s="301"/>
      <c r="T166" s="301"/>
      <c r="U166" s="307"/>
      <c r="V166" s="301"/>
      <c r="W166" s="301"/>
      <c r="X166" s="307"/>
      <c r="Y166" s="301"/>
      <c r="Z166" s="301"/>
      <c r="AA166" s="301"/>
      <c r="AB166" s="301"/>
      <c r="AC166" s="301"/>
      <c r="AD166" s="301"/>
      <c r="AE166" s="301"/>
      <c r="AF166" s="301"/>
      <c r="AG166" s="301"/>
      <c r="AH166" s="307"/>
      <c r="AI166" s="307"/>
      <c r="AJ166" s="307"/>
      <c r="AK166" s="307"/>
      <c r="AL166" s="307"/>
      <c r="AM166" s="307"/>
      <c r="AN166" s="307"/>
      <c r="AO166" s="307"/>
      <c r="AP166" s="307"/>
      <c r="AQ166" s="307"/>
      <c r="AR166" s="307"/>
      <c r="AS166" s="307"/>
      <c r="AT166" s="307"/>
      <c r="AU166" s="307"/>
    </row>
    <row r="167" ht="12.0" customHeight="1">
      <c r="A167" s="301"/>
      <c r="B167" s="301"/>
      <c r="C167" s="301"/>
      <c r="D167" s="309" t="s">
        <v>2506</v>
      </c>
      <c r="E167" s="309" t="s">
        <v>2507</v>
      </c>
      <c r="F167" s="309" t="s">
        <v>2508</v>
      </c>
      <c r="G167" s="309">
        <v>580.0</v>
      </c>
      <c r="H167" s="307"/>
      <c r="I167" s="301"/>
      <c r="J167" s="301"/>
      <c r="K167" s="301"/>
      <c r="L167" s="301"/>
      <c r="M167" s="301"/>
      <c r="N167" s="301"/>
      <c r="O167" s="301"/>
      <c r="P167" s="301"/>
      <c r="Q167" s="301"/>
      <c r="R167" s="301"/>
      <c r="S167" s="301"/>
      <c r="T167" s="301"/>
      <c r="U167" s="307"/>
      <c r="V167" s="301"/>
      <c r="W167" s="301"/>
      <c r="X167" s="307"/>
      <c r="Y167" s="301"/>
      <c r="Z167" s="301"/>
      <c r="AA167" s="301"/>
      <c r="AB167" s="301"/>
      <c r="AC167" s="301"/>
      <c r="AD167" s="301"/>
      <c r="AE167" s="301"/>
      <c r="AF167" s="301"/>
      <c r="AG167" s="301"/>
      <c r="AH167" s="307"/>
      <c r="AI167" s="307"/>
      <c r="AJ167" s="307"/>
      <c r="AK167" s="307"/>
      <c r="AL167" s="307"/>
      <c r="AM167" s="307"/>
      <c r="AN167" s="307"/>
      <c r="AO167" s="307"/>
      <c r="AP167" s="307"/>
      <c r="AQ167" s="307"/>
      <c r="AR167" s="307"/>
      <c r="AS167" s="307"/>
      <c r="AT167" s="307"/>
      <c r="AU167" s="307"/>
    </row>
    <row r="168" ht="12.0" customHeight="1">
      <c r="A168" s="301"/>
      <c r="B168" s="301"/>
      <c r="C168" s="301"/>
      <c r="D168" s="309" t="s">
        <v>2509</v>
      </c>
      <c r="E168" s="309" t="s">
        <v>2510</v>
      </c>
      <c r="F168" s="309" t="s">
        <v>2511</v>
      </c>
      <c r="G168" s="309">
        <v>578.0</v>
      </c>
      <c r="H168" s="307"/>
      <c r="I168" s="301"/>
      <c r="J168" s="301"/>
      <c r="K168" s="301"/>
      <c r="L168" s="301"/>
      <c r="M168" s="301"/>
      <c r="N168" s="301"/>
      <c r="O168" s="301"/>
      <c r="P168" s="301"/>
      <c r="Q168" s="301"/>
      <c r="R168" s="301"/>
      <c r="S168" s="301"/>
      <c r="T168" s="301"/>
      <c r="U168" s="307"/>
      <c r="V168" s="301"/>
      <c r="W168" s="301"/>
      <c r="X168" s="307"/>
      <c r="Y168" s="301"/>
      <c r="Z168" s="301"/>
      <c r="AA168" s="301"/>
      <c r="AB168" s="301"/>
      <c r="AC168" s="301"/>
      <c r="AD168" s="301"/>
      <c r="AE168" s="301"/>
      <c r="AF168" s="301"/>
      <c r="AG168" s="301"/>
      <c r="AH168" s="307"/>
      <c r="AI168" s="307"/>
      <c r="AJ168" s="307"/>
      <c r="AK168" s="307"/>
      <c r="AL168" s="307"/>
      <c r="AM168" s="307"/>
      <c r="AN168" s="307"/>
      <c r="AO168" s="307"/>
      <c r="AP168" s="307"/>
      <c r="AQ168" s="307"/>
      <c r="AR168" s="307"/>
      <c r="AS168" s="307"/>
      <c r="AT168" s="307"/>
      <c r="AU168" s="307"/>
    </row>
    <row r="169" ht="12.0" customHeight="1">
      <c r="A169" s="301"/>
      <c r="B169" s="301"/>
      <c r="C169" s="301"/>
      <c r="D169" s="309" t="s">
        <v>2512</v>
      </c>
      <c r="E169" s="309" t="s">
        <v>2513</v>
      </c>
      <c r="F169" s="309" t="s">
        <v>2514</v>
      </c>
      <c r="G169" s="309">
        <v>512.0</v>
      </c>
      <c r="H169" s="307"/>
      <c r="I169" s="301"/>
      <c r="J169" s="301"/>
      <c r="K169" s="301"/>
      <c r="L169" s="301"/>
      <c r="M169" s="301"/>
      <c r="N169" s="301"/>
      <c r="O169" s="301"/>
      <c r="P169" s="301"/>
      <c r="Q169" s="301"/>
      <c r="R169" s="301"/>
      <c r="S169" s="301"/>
      <c r="T169" s="301"/>
      <c r="U169" s="307"/>
      <c r="V169" s="301"/>
      <c r="W169" s="301"/>
      <c r="X169" s="307"/>
      <c r="Y169" s="301"/>
      <c r="Z169" s="301"/>
      <c r="AA169" s="301"/>
      <c r="AB169" s="301"/>
      <c r="AC169" s="301"/>
      <c r="AD169" s="301"/>
      <c r="AE169" s="301"/>
      <c r="AF169" s="301"/>
      <c r="AG169" s="301"/>
      <c r="AH169" s="307"/>
      <c r="AI169" s="307"/>
      <c r="AJ169" s="307"/>
      <c r="AK169" s="307"/>
      <c r="AL169" s="307"/>
      <c r="AM169" s="307"/>
      <c r="AN169" s="307"/>
      <c r="AO169" s="307"/>
      <c r="AP169" s="307"/>
      <c r="AQ169" s="307"/>
      <c r="AR169" s="307"/>
      <c r="AS169" s="307"/>
      <c r="AT169" s="307"/>
      <c r="AU169" s="307"/>
    </row>
    <row r="170" ht="12.0" customHeight="1">
      <c r="A170" s="301"/>
      <c r="B170" s="301"/>
      <c r="C170" s="301"/>
      <c r="D170" s="309" t="s">
        <v>2515</v>
      </c>
      <c r="E170" s="309" t="s">
        <v>2516</v>
      </c>
      <c r="F170" s="309" t="s">
        <v>2517</v>
      </c>
      <c r="G170" s="309">
        <v>586.0</v>
      </c>
      <c r="H170" s="307"/>
      <c r="I170" s="301"/>
      <c r="J170" s="301"/>
      <c r="K170" s="301"/>
      <c r="L170" s="301"/>
      <c r="M170" s="301"/>
      <c r="N170" s="301"/>
      <c r="O170" s="301"/>
      <c r="P170" s="301"/>
      <c r="Q170" s="301"/>
      <c r="R170" s="301"/>
      <c r="S170" s="301"/>
      <c r="T170" s="301"/>
      <c r="U170" s="307"/>
      <c r="V170" s="301"/>
      <c r="W170" s="301"/>
      <c r="X170" s="307"/>
      <c r="Y170" s="301"/>
      <c r="Z170" s="301"/>
      <c r="AA170" s="301"/>
      <c r="AB170" s="301"/>
      <c r="AC170" s="301"/>
      <c r="AD170" s="301"/>
      <c r="AE170" s="301"/>
      <c r="AF170" s="301"/>
      <c r="AG170" s="301"/>
      <c r="AH170" s="307"/>
      <c r="AI170" s="307"/>
      <c r="AJ170" s="307"/>
      <c r="AK170" s="307"/>
      <c r="AL170" s="307"/>
      <c r="AM170" s="307"/>
      <c r="AN170" s="307"/>
      <c r="AO170" s="307"/>
      <c r="AP170" s="307"/>
      <c r="AQ170" s="307"/>
      <c r="AR170" s="307"/>
      <c r="AS170" s="307"/>
      <c r="AT170" s="307"/>
      <c r="AU170" s="307"/>
    </row>
    <row r="171" ht="12.0" customHeight="1">
      <c r="A171" s="301"/>
      <c r="B171" s="301"/>
      <c r="C171" s="301"/>
      <c r="D171" s="309" t="s">
        <v>2518</v>
      </c>
      <c r="E171" s="309" t="s">
        <v>2519</v>
      </c>
      <c r="F171" s="309" t="s">
        <v>2520</v>
      </c>
      <c r="G171" s="309">
        <v>585.0</v>
      </c>
      <c r="H171" s="307"/>
      <c r="I171" s="301"/>
      <c r="J171" s="301"/>
      <c r="K171" s="301"/>
      <c r="L171" s="301"/>
      <c r="M171" s="301"/>
      <c r="N171" s="301"/>
      <c r="O171" s="301"/>
      <c r="P171" s="301"/>
      <c r="Q171" s="301"/>
      <c r="R171" s="301"/>
      <c r="S171" s="301"/>
      <c r="T171" s="301"/>
      <c r="U171" s="307"/>
      <c r="V171" s="301"/>
      <c r="W171" s="301"/>
      <c r="X171" s="307"/>
      <c r="Y171" s="301"/>
      <c r="Z171" s="301"/>
      <c r="AA171" s="301"/>
      <c r="AB171" s="301"/>
      <c r="AC171" s="301"/>
      <c r="AD171" s="301"/>
      <c r="AE171" s="301"/>
      <c r="AF171" s="301"/>
      <c r="AG171" s="301"/>
      <c r="AH171" s="307"/>
      <c r="AI171" s="307"/>
      <c r="AJ171" s="307"/>
      <c r="AK171" s="307"/>
      <c r="AL171" s="307"/>
      <c r="AM171" s="307"/>
      <c r="AN171" s="307"/>
      <c r="AO171" s="307"/>
      <c r="AP171" s="307"/>
      <c r="AQ171" s="307"/>
      <c r="AR171" s="307"/>
      <c r="AS171" s="307"/>
      <c r="AT171" s="307"/>
      <c r="AU171" s="307"/>
    </row>
    <row r="172" ht="12.0" customHeight="1">
      <c r="A172" s="301"/>
      <c r="B172" s="301"/>
      <c r="C172" s="301"/>
      <c r="D172" s="309" t="s">
        <v>2521</v>
      </c>
      <c r="E172" s="309" t="s">
        <v>2522</v>
      </c>
      <c r="F172" s="309" t="s">
        <v>2523</v>
      </c>
      <c r="G172" s="309">
        <v>275.0</v>
      </c>
      <c r="H172" s="307"/>
      <c r="I172" s="301"/>
      <c r="J172" s="301"/>
      <c r="K172" s="301"/>
      <c r="L172" s="301"/>
      <c r="M172" s="301"/>
      <c r="N172" s="301"/>
      <c r="O172" s="301"/>
      <c r="P172" s="301"/>
      <c r="Q172" s="301"/>
      <c r="R172" s="301"/>
      <c r="S172" s="301"/>
      <c r="T172" s="301"/>
      <c r="U172" s="307"/>
      <c r="V172" s="301"/>
      <c r="W172" s="301"/>
      <c r="X172" s="307"/>
      <c r="Y172" s="301"/>
      <c r="Z172" s="301"/>
      <c r="AA172" s="301"/>
      <c r="AB172" s="301"/>
      <c r="AC172" s="301"/>
      <c r="AD172" s="301"/>
      <c r="AE172" s="301"/>
      <c r="AF172" s="301"/>
      <c r="AG172" s="301"/>
      <c r="AH172" s="307"/>
      <c r="AI172" s="307"/>
      <c r="AJ172" s="307"/>
      <c r="AK172" s="307"/>
      <c r="AL172" s="307"/>
      <c r="AM172" s="307"/>
      <c r="AN172" s="307"/>
      <c r="AO172" s="307"/>
      <c r="AP172" s="307"/>
      <c r="AQ172" s="307"/>
      <c r="AR172" s="307"/>
      <c r="AS172" s="307"/>
      <c r="AT172" s="307"/>
      <c r="AU172" s="307"/>
    </row>
    <row r="173" ht="12.0" customHeight="1">
      <c r="A173" s="301"/>
      <c r="B173" s="301"/>
      <c r="C173" s="301"/>
      <c r="D173" s="309" t="s">
        <v>2524</v>
      </c>
      <c r="E173" s="309" t="s">
        <v>2525</v>
      </c>
      <c r="F173" s="309" t="s">
        <v>2526</v>
      </c>
      <c r="G173" s="309">
        <v>591.0</v>
      </c>
      <c r="H173" s="307"/>
      <c r="I173" s="301"/>
      <c r="J173" s="301"/>
      <c r="K173" s="301"/>
      <c r="L173" s="301"/>
      <c r="M173" s="301"/>
      <c r="N173" s="301"/>
      <c r="O173" s="301"/>
      <c r="P173" s="301"/>
      <c r="Q173" s="301"/>
      <c r="R173" s="301"/>
      <c r="S173" s="301"/>
      <c r="T173" s="301"/>
      <c r="U173" s="307"/>
      <c r="V173" s="301"/>
      <c r="W173" s="301"/>
      <c r="X173" s="307"/>
      <c r="Y173" s="301"/>
      <c r="Z173" s="301"/>
      <c r="AA173" s="301"/>
      <c r="AB173" s="301"/>
      <c r="AC173" s="301"/>
      <c r="AD173" s="301"/>
      <c r="AE173" s="301"/>
      <c r="AF173" s="301"/>
      <c r="AG173" s="301"/>
      <c r="AH173" s="307"/>
      <c r="AI173" s="307"/>
      <c r="AJ173" s="307"/>
      <c r="AK173" s="307"/>
      <c r="AL173" s="307"/>
      <c r="AM173" s="307"/>
      <c r="AN173" s="307"/>
      <c r="AO173" s="307"/>
      <c r="AP173" s="307"/>
      <c r="AQ173" s="307"/>
      <c r="AR173" s="307"/>
      <c r="AS173" s="307"/>
      <c r="AT173" s="307"/>
      <c r="AU173" s="307"/>
    </row>
    <row r="174" ht="12.0" customHeight="1">
      <c r="A174" s="301"/>
      <c r="B174" s="301"/>
      <c r="C174" s="301"/>
      <c r="D174" s="309" t="s">
        <v>2527</v>
      </c>
      <c r="E174" s="309" t="s">
        <v>2528</v>
      </c>
      <c r="F174" s="309" t="s">
        <v>2529</v>
      </c>
      <c r="G174" s="309">
        <v>598.0</v>
      </c>
      <c r="H174" s="307"/>
      <c r="I174" s="301"/>
      <c r="J174" s="301"/>
      <c r="K174" s="301"/>
      <c r="L174" s="301"/>
      <c r="M174" s="301"/>
      <c r="N174" s="301"/>
      <c r="O174" s="301"/>
      <c r="P174" s="301"/>
      <c r="Q174" s="301"/>
      <c r="R174" s="301"/>
      <c r="S174" s="301"/>
      <c r="T174" s="301"/>
      <c r="U174" s="307"/>
      <c r="V174" s="301"/>
      <c r="W174" s="301"/>
      <c r="X174" s="307"/>
      <c r="Y174" s="301"/>
      <c r="Z174" s="301"/>
      <c r="AA174" s="301"/>
      <c r="AB174" s="301"/>
      <c r="AC174" s="301"/>
      <c r="AD174" s="301"/>
      <c r="AE174" s="301"/>
      <c r="AF174" s="301"/>
      <c r="AG174" s="301"/>
      <c r="AH174" s="307"/>
      <c r="AI174" s="307"/>
      <c r="AJ174" s="307"/>
      <c r="AK174" s="307"/>
      <c r="AL174" s="307"/>
      <c r="AM174" s="307"/>
      <c r="AN174" s="307"/>
      <c r="AO174" s="307"/>
      <c r="AP174" s="307"/>
      <c r="AQ174" s="307"/>
      <c r="AR174" s="307"/>
      <c r="AS174" s="307"/>
      <c r="AT174" s="307"/>
      <c r="AU174" s="307"/>
    </row>
    <row r="175" ht="12.0" customHeight="1">
      <c r="A175" s="301"/>
      <c r="B175" s="301"/>
      <c r="C175" s="301"/>
      <c r="D175" s="309" t="s">
        <v>2530</v>
      </c>
      <c r="E175" s="309" t="s">
        <v>2531</v>
      </c>
      <c r="F175" s="309" t="s">
        <v>2532</v>
      </c>
      <c r="G175" s="309">
        <v>600.0</v>
      </c>
      <c r="H175" s="307"/>
      <c r="I175" s="301"/>
      <c r="J175" s="301"/>
      <c r="K175" s="301"/>
      <c r="L175" s="301"/>
      <c r="M175" s="301"/>
      <c r="N175" s="301"/>
      <c r="O175" s="301"/>
      <c r="P175" s="301"/>
      <c r="Q175" s="301"/>
      <c r="R175" s="301"/>
      <c r="S175" s="301"/>
      <c r="T175" s="301"/>
      <c r="U175" s="307"/>
      <c r="V175" s="301"/>
      <c r="W175" s="301"/>
      <c r="X175" s="307"/>
      <c r="Y175" s="301"/>
      <c r="Z175" s="301"/>
      <c r="AA175" s="301"/>
      <c r="AB175" s="301"/>
      <c r="AC175" s="301"/>
      <c r="AD175" s="301"/>
      <c r="AE175" s="301"/>
      <c r="AF175" s="301"/>
      <c r="AG175" s="301"/>
      <c r="AH175" s="307"/>
      <c r="AI175" s="307"/>
      <c r="AJ175" s="307"/>
      <c r="AK175" s="307"/>
      <c r="AL175" s="307"/>
      <c r="AM175" s="307"/>
      <c r="AN175" s="307"/>
      <c r="AO175" s="307"/>
      <c r="AP175" s="307"/>
      <c r="AQ175" s="307"/>
      <c r="AR175" s="307"/>
      <c r="AS175" s="307"/>
      <c r="AT175" s="307"/>
      <c r="AU175" s="307"/>
    </row>
    <row r="176" ht="12.0" customHeight="1">
      <c r="A176" s="301"/>
      <c r="B176" s="301"/>
      <c r="C176" s="301"/>
      <c r="D176" s="309" t="s">
        <v>2533</v>
      </c>
      <c r="E176" s="309" t="s">
        <v>2534</v>
      </c>
      <c r="F176" s="309" t="s">
        <v>2535</v>
      </c>
      <c r="G176" s="309">
        <v>604.0</v>
      </c>
      <c r="H176" s="307"/>
      <c r="I176" s="301"/>
      <c r="J176" s="301"/>
      <c r="K176" s="301"/>
      <c r="L176" s="301"/>
      <c r="M176" s="301"/>
      <c r="N176" s="301"/>
      <c r="O176" s="301"/>
      <c r="P176" s="301"/>
      <c r="Q176" s="301"/>
      <c r="R176" s="301"/>
      <c r="S176" s="301"/>
      <c r="T176" s="301"/>
      <c r="U176" s="307"/>
      <c r="V176" s="301"/>
      <c r="W176" s="301"/>
      <c r="X176" s="307"/>
      <c r="Y176" s="301"/>
      <c r="Z176" s="301"/>
      <c r="AA176" s="301"/>
      <c r="AB176" s="301"/>
      <c r="AC176" s="301"/>
      <c r="AD176" s="301"/>
      <c r="AE176" s="301"/>
      <c r="AF176" s="301"/>
      <c r="AG176" s="301"/>
      <c r="AH176" s="307"/>
      <c r="AI176" s="307"/>
      <c r="AJ176" s="307"/>
      <c r="AK176" s="307"/>
      <c r="AL176" s="307"/>
      <c r="AM176" s="307"/>
      <c r="AN176" s="307"/>
      <c r="AO176" s="307"/>
      <c r="AP176" s="307"/>
      <c r="AQ176" s="307"/>
      <c r="AR176" s="307"/>
      <c r="AS176" s="307"/>
      <c r="AT176" s="307"/>
      <c r="AU176" s="307"/>
    </row>
    <row r="177" ht="12.0" customHeight="1">
      <c r="A177" s="301"/>
      <c r="B177" s="301"/>
      <c r="C177" s="301"/>
      <c r="D177" s="309" t="s">
        <v>2536</v>
      </c>
      <c r="E177" s="309" t="s">
        <v>2537</v>
      </c>
      <c r="F177" s="309" t="s">
        <v>2538</v>
      </c>
      <c r="G177" s="309">
        <v>608.0</v>
      </c>
      <c r="H177" s="307"/>
      <c r="I177" s="301"/>
      <c r="J177" s="301"/>
      <c r="K177" s="301"/>
      <c r="L177" s="301"/>
      <c r="M177" s="301"/>
      <c r="N177" s="301"/>
      <c r="O177" s="301"/>
      <c r="P177" s="301"/>
      <c r="Q177" s="301"/>
      <c r="R177" s="301"/>
      <c r="S177" s="301"/>
      <c r="T177" s="301"/>
      <c r="U177" s="307"/>
      <c r="V177" s="301"/>
      <c r="W177" s="301"/>
      <c r="X177" s="307"/>
      <c r="Y177" s="301"/>
      <c r="Z177" s="301"/>
      <c r="AA177" s="301"/>
      <c r="AB177" s="301"/>
      <c r="AC177" s="301"/>
      <c r="AD177" s="301"/>
      <c r="AE177" s="301"/>
      <c r="AF177" s="301"/>
      <c r="AG177" s="301"/>
      <c r="AH177" s="307"/>
      <c r="AI177" s="307"/>
      <c r="AJ177" s="307"/>
      <c r="AK177" s="307"/>
      <c r="AL177" s="307"/>
      <c r="AM177" s="307"/>
      <c r="AN177" s="307"/>
      <c r="AO177" s="307"/>
      <c r="AP177" s="307"/>
      <c r="AQ177" s="307"/>
      <c r="AR177" s="307"/>
      <c r="AS177" s="307"/>
      <c r="AT177" s="307"/>
      <c r="AU177" s="307"/>
    </row>
    <row r="178" ht="12.0" customHeight="1">
      <c r="A178" s="301"/>
      <c r="B178" s="301"/>
      <c r="C178" s="301"/>
      <c r="D178" s="309" t="s">
        <v>2539</v>
      </c>
      <c r="E178" s="309" t="s">
        <v>2540</v>
      </c>
      <c r="F178" s="309" t="s">
        <v>2541</v>
      </c>
      <c r="G178" s="309">
        <v>612.0</v>
      </c>
      <c r="H178" s="307"/>
      <c r="I178" s="301"/>
      <c r="J178" s="301"/>
      <c r="K178" s="301"/>
      <c r="L178" s="301"/>
      <c r="M178" s="301"/>
      <c r="N178" s="301"/>
      <c r="O178" s="301"/>
      <c r="P178" s="301"/>
      <c r="Q178" s="301"/>
      <c r="R178" s="301"/>
      <c r="S178" s="301"/>
      <c r="T178" s="301"/>
      <c r="U178" s="307"/>
      <c r="V178" s="301"/>
      <c r="W178" s="301"/>
      <c r="X178" s="307"/>
      <c r="Y178" s="301"/>
      <c r="Z178" s="301"/>
      <c r="AA178" s="301"/>
      <c r="AB178" s="301"/>
      <c r="AC178" s="301"/>
      <c r="AD178" s="301"/>
      <c r="AE178" s="301"/>
      <c r="AF178" s="301"/>
      <c r="AG178" s="301"/>
      <c r="AH178" s="307"/>
      <c r="AI178" s="307"/>
      <c r="AJ178" s="307"/>
      <c r="AK178" s="307"/>
      <c r="AL178" s="307"/>
      <c r="AM178" s="307"/>
      <c r="AN178" s="307"/>
      <c r="AO178" s="307"/>
      <c r="AP178" s="307"/>
      <c r="AQ178" s="307"/>
      <c r="AR178" s="307"/>
      <c r="AS178" s="307"/>
      <c r="AT178" s="307"/>
      <c r="AU178" s="307"/>
    </row>
    <row r="179" ht="12.0" customHeight="1">
      <c r="A179" s="301"/>
      <c r="B179" s="301"/>
      <c r="C179" s="301"/>
      <c r="D179" s="309" t="s">
        <v>2542</v>
      </c>
      <c r="E179" s="309" t="s">
        <v>2543</v>
      </c>
      <c r="F179" s="309" t="s">
        <v>2544</v>
      </c>
      <c r="G179" s="309">
        <v>616.0</v>
      </c>
      <c r="H179" s="307"/>
      <c r="I179" s="301"/>
      <c r="J179" s="301"/>
      <c r="K179" s="301"/>
      <c r="L179" s="301"/>
      <c r="M179" s="301"/>
      <c r="N179" s="301"/>
      <c r="O179" s="301"/>
      <c r="P179" s="301"/>
      <c r="Q179" s="301"/>
      <c r="R179" s="301"/>
      <c r="S179" s="301"/>
      <c r="T179" s="301"/>
      <c r="U179" s="307"/>
      <c r="V179" s="301"/>
      <c r="W179" s="301"/>
      <c r="X179" s="307"/>
      <c r="Y179" s="301"/>
      <c r="Z179" s="301"/>
      <c r="AA179" s="301"/>
      <c r="AB179" s="301"/>
      <c r="AC179" s="301"/>
      <c r="AD179" s="301"/>
      <c r="AE179" s="301"/>
      <c r="AF179" s="301"/>
      <c r="AG179" s="301"/>
      <c r="AH179" s="307"/>
      <c r="AI179" s="307"/>
      <c r="AJ179" s="307"/>
      <c r="AK179" s="307"/>
      <c r="AL179" s="307"/>
      <c r="AM179" s="307"/>
      <c r="AN179" s="307"/>
      <c r="AO179" s="307"/>
      <c r="AP179" s="307"/>
      <c r="AQ179" s="307"/>
      <c r="AR179" s="307"/>
      <c r="AS179" s="307"/>
      <c r="AT179" s="307"/>
      <c r="AU179" s="307"/>
    </row>
    <row r="180" ht="12.0" customHeight="1">
      <c r="A180" s="301"/>
      <c r="B180" s="301"/>
      <c r="C180" s="301"/>
      <c r="D180" s="309" t="s">
        <v>2545</v>
      </c>
      <c r="E180" s="309" t="s">
        <v>2546</v>
      </c>
      <c r="F180" s="309" t="s">
        <v>2547</v>
      </c>
      <c r="G180" s="309">
        <v>620.0</v>
      </c>
      <c r="H180" s="307"/>
      <c r="I180" s="301"/>
      <c r="J180" s="301"/>
      <c r="K180" s="301"/>
      <c r="L180" s="301"/>
      <c r="M180" s="301"/>
      <c r="N180" s="301"/>
      <c r="O180" s="301"/>
      <c r="P180" s="301"/>
      <c r="Q180" s="301"/>
      <c r="R180" s="301"/>
      <c r="S180" s="301"/>
      <c r="T180" s="301"/>
      <c r="U180" s="307"/>
      <c r="V180" s="301"/>
      <c r="W180" s="301"/>
      <c r="X180" s="307"/>
      <c r="Y180" s="301"/>
      <c r="Z180" s="301"/>
      <c r="AA180" s="301"/>
      <c r="AB180" s="301"/>
      <c r="AC180" s="301"/>
      <c r="AD180" s="301"/>
      <c r="AE180" s="301"/>
      <c r="AF180" s="301"/>
      <c r="AG180" s="301"/>
      <c r="AH180" s="307"/>
      <c r="AI180" s="307"/>
      <c r="AJ180" s="307"/>
      <c r="AK180" s="307"/>
      <c r="AL180" s="307"/>
      <c r="AM180" s="307"/>
      <c r="AN180" s="307"/>
      <c r="AO180" s="307"/>
      <c r="AP180" s="307"/>
      <c r="AQ180" s="307"/>
      <c r="AR180" s="307"/>
      <c r="AS180" s="307"/>
      <c r="AT180" s="307"/>
      <c r="AU180" s="307"/>
    </row>
    <row r="181" ht="12.0" customHeight="1">
      <c r="A181" s="301"/>
      <c r="B181" s="301"/>
      <c r="C181" s="301"/>
      <c r="D181" s="309" t="s">
        <v>2548</v>
      </c>
      <c r="E181" s="309" t="s">
        <v>2549</v>
      </c>
      <c r="F181" s="309" t="s">
        <v>2550</v>
      </c>
      <c r="G181" s="309">
        <v>630.0</v>
      </c>
      <c r="H181" s="307"/>
      <c r="I181" s="301"/>
      <c r="J181" s="301"/>
      <c r="K181" s="301"/>
      <c r="L181" s="301"/>
      <c r="M181" s="301"/>
      <c r="N181" s="301"/>
      <c r="O181" s="301"/>
      <c r="P181" s="301"/>
      <c r="Q181" s="301"/>
      <c r="R181" s="301"/>
      <c r="S181" s="301"/>
      <c r="T181" s="301"/>
      <c r="U181" s="307"/>
      <c r="V181" s="301"/>
      <c r="W181" s="301"/>
      <c r="X181" s="307"/>
      <c r="Y181" s="301"/>
      <c r="Z181" s="301"/>
      <c r="AA181" s="301"/>
      <c r="AB181" s="301"/>
      <c r="AC181" s="301"/>
      <c r="AD181" s="301"/>
      <c r="AE181" s="301"/>
      <c r="AF181" s="301"/>
      <c r="AG181" s="301"/>
      <c r="AH181" s="307"/>
      <c r="AI181" s="307"/>
      <c r="AJ181" s="307"/>
      <c r="AK181" s="307"/>
      <c r="AL181" s="307"/>
      <c r="AM181" s="307"/>
      <c r="AN181" s="307"/>
      <c r="AO181" s="307"/>
      <c r="AP181" s="307"/>
      <c r="AQ181" s="307"/>
      <c r="AR181" s="307"/>
      <c r="AS181" s="307"/>
      <c r="AT181" s="307"/>
      <c r="AU181" s="307"/>
    </row>
    <row r="182" ht="12.0" customHeight="1">
      <c r="A182" s="301"/>
      <c r="B182" s="301"/>
      <c r="C182" s="301"/>
      <c r="D182" s="309" t="s">
        <v>2551</v>
      </c>
      <c r="E182" s="309" t="s">
        <v>2552</v>
      </c>
      <c r="F182" s="309" t="s">
        <v>2553</v>
      </c>
      <c r="G182" s="309">
        <v>634.0</v>
      </c>
      <c r="H182" s="307"/>
      <c r="I182" s="301"/>
      <c r="J182" s="301"/>
      <c r="K182" s="301"/>
      <c r="L182" s="301"/>
      <c r="M182" s="301"/>
      <c r="N182" s="301"/>
      <c r="O182" s="301"/>
      <c r="P182" s="301"/>
      <c r="Q182" s="301"/>
      <c r="R182" s="301"/>
      <c r="S182" s="301"/>
      <c r="T182" s="301"/>
      <c r="U182" s="307"/>
      <c r="V182" s="301"/>
      <c r="W182" s="301"/>
      <c r="X182" s="307"/>
      <c r="Y182" s="301"/>
      <c r="Z182" s="301"/>
      <c r="AA182" s="301"/>
      <c r="AB182" s="301"/>
      <c r="AC182" s="301"/>
      <c r="AD182" s="301"/>
      <c r="AE182" s="301"/>
      <c r="AF182" s="301"/>
      <c r="AG182" s="301"/>
      <c r="AH182" s="307"/>
      <c r="AI182" s="307"/>
      <c r="AJ182" s="307"/>
      <c r="AK182" s="307"/>
      <c r="AL182" s="307"/>
      <c r="AM182" s="307"/>
      <c r="AN182" s="307"/>
      <c r="AO182" s="307"/>
      <c r="AP182" s="307"/>
      <c r="AQ182" s="307"/>
      <c r="AR182" s="307"/>
      <c r="AS182" s="307"/>
      <c r="AT182" s="307"/>
      <c r="AU182" s="307"/>
    </row>
    <row r="183" ht="12.0" customHeight="1">
      <c r="A183" s="301"/>
      <c r="B183" s="301"/>
      <c r="C183" s="301"/>
      <c r="D183" s="309" t="s">
        <v>2554</v>
      </c>
      <c r="E183" s="309" t="s">
        <v>2555</v>
      </c>
      <c r="F183" s="309" t="s">
        <v>2556</v>
      </c>
      <c r="G183" s="309">
        <v>807.0</v>
      </c>
      <c r="H183" s="307"/>
      <c r="I183" s="301"/>
      <c r="J183" s="301"/>
      <c r="K183" s="301"/>
      <c r="L183" s="301"/>
      <c r="M183" s="301"/>
      <c r="N183" s="301"/>
      <c r="O183" s="301"/>
      <c r="P183" s="301"/>
      <c r="Q183" s="301"/>
      <c r="R183" s="301"/>
      <c r="S183" s="301"/>
      <c r="T183" s="301"/>
      <c r="U183" s="307"/>
      <c r="V183" s="301"/>
      <c r="W183" s="301"/>
      <c r="X183" s="307"/>
      <c r="Y183" s="301"/>
      <c r="Z183" s="301"/>
      <c r="AA183" s="301"/>
      <c r="AB183" s="301"/>
      <c r="AC183" s="301"/>
      <c r="AD183" s="301"/>
      <c r="AE183" s="301"/>
      <c r="AF183" s="301"/>
      <c r="AG183" s="301"/>
      <c r="AH183" s="307"/>
      <c r="AI183" s="307"/>
      <c r="AJ183" s="307"/>
      <c r="AK183" s="307"/>
      <c r="AL183" s="307"/>
      <c r="AM183" s="307"/>
      <c r="AN183" s="307"/>
      <c r="AO183" s="307"/>
      <c r="AP183" s="307"/>
      <c r="AQ183" s="307"/>
      <c r="AR183" s="307"/>
      <c r="AS183" s="307"/>
      <c r="AT183" s="307"/>
      <c r="AU183" s="307"/>
    </row>
    <row r="184" ht="12.0" customHeight="1">
      <c r="A184" s="301"/>
      <c r="B184" s="301"/>
      <c r="C184" s="301"/>
      <c r="D184" s="309" t="s">
        <v>2557</v>
      </c>
      <c r="E184" s="309" t="s">
        <v>2558</v>
      </c>
      <c r="F184" s="309" t="s">
        <v>2559</v>
      </c>
      <c r="G184" s="309">
        <v>642.0</v>
      </c>
      <c r="H184" s="307"/>
      <c r="I184" s="301"/>
      <c r="J184" s="301"/>
      <c r="K184" s="301"/>
      <c r="L184" s="301"/>
      <c r="M184" s="301"/>
      <c r="N184" s="301"/>
      <c r="O184" s="301"/>
      <c r="P184" s="301"/>
      <c r="Q184" s="301"/>
      <c r="R184" s="301"/>
      <c r="S184" s="301"/>
      <c r="T184" s="301"/>
      <c r="U184" s="307"/>
      <c r="V184" s="301"/>
      <c r="W184" s="301"/>
      <c r="X184" s="307"/>
      <c r="Y184" s="301"/>
      <c r="Z184" s="301"/>
      <c r="AA184" s="301"/>
      <c r="AB184" s="301"/>
      <c r="AC184" s="301"/>
      <c r="AD184" s="301"/>
      <c r="AE184" s="301"/>
      <c r="AF184" s="301"/>
      <c r="AG184" s="301"/>
      <c r="AH184" s="307"/>
      <c r="AI184" s="307"/>
      <c r="AJ184" s="307"/>
      <c r="AK184" s="307"/>
      <c r="AL184" s="307"/>
      <c r="AM184" s="307"/>
      <c r="AN184" s="307"/>
      <c r="AO184" s="307"/>
      <c r="AP184" s="307"/>
      <c r="AQ184" s="307"/>
      <c r="AR184" s="307"/>
      <c r="AS184" s="307"/>
      <c r="AT184" s="307"/>
      <c r="AU184" s="307"/>
    </row>
    <row r="185" ht="12.0" customHeight="1">
      <c r="A185" s="301"/>
      <c r="B185" s="301"/>
      <c r="C185" s="301"/>
      <c r="D185" s="309" t="s">
        <v>2560</v>
      </c>
      <c r="E185" s="309" t="s">
        <v>2561</v>
      </c>
      <c r="F185" s="309" t="s">
        <v>2562</v>
      </c>
      <c r="G185" s="309">
        <v>643.0</v>
      </c>
      <c r="H185" s="307"/>
      <c r="I185" s="301"/>
      <c r="J185" s="301"/>
      <c r="K185" s="301"/>
      <c r="L185" s="301"/>
      <c r="M185" s="301"/>
      <c r="N185" s="301"/>
      <c r="O185" s="301"/>
      <c r="P185" s="301"/>
      <c r="Q185" s="301"/>
      <c r="R185" s="301"/>
      <c r="S185" s="301"/>
      <c r="T185" s="301"/>
      <c r="U185" s="307"/>
      <c r="V185" s="301"/>
      <c r="W185" s="301"/>
      <c r="X185" s="307"/>
      <c r="Y185" s="301"/>
      <c r="Z185" s="301"/>
      <c r="AA185" s="301"/>
      <c r="AB185" s="301"/>
      <c r="AC185" s="301"/>
      <c r="AD185" s="301"/>
      <c r="AE185" s="301"/>
      <c r="AF185" s="301"/>
      <c r="AG185" s="301"/>
      <c r="AH185" s="307"/>
      <c r="AI185" s="307"/>
      <c r="AJ185" s="307"/>
      <c r="AK185" s="307"/>
      <c r="AL185" s="307"/>
      <c r="AM185" s="307"/>
      <c r="AN185" s="307"/>
      <c r="AO185" s="307"/>
      <c r="AP185" s="307"/>
      <c r="AQ185" s="307"/>
      <c r="AR185" s="307"/>
      <c r="AS185" s="307"/>
      <c r="AT185" s="307"/>
      <c r="AU185" s="307"/>
    </row>
    <row r="186" ht="12.0" customHeight="1">
      <c r="A186" s="301"/>
      <c r="B186" s="301"/>
      <c r="C186" s="301"/>
      <c r="D186" s="309" t="s">
        <v>2563</v>
      </c>
      <c r="E186" s="309" t="s">
        <v>2564</v>
      </c>
      <c r="F186" s="309" t="s">
        <v>2565</v>
      </c>
      <c r="G186" s="309">
        <v>646.0</v>
      </c>
      <c r="H186" s="307"/>
      <c r="I186" s="301"/>
      <c r="J186" s="301"/>
      <c r="K186" s="301"/>
      <c r="L186" s="301"/>
      <c r="M186" s="301"/>
      <c r="N186" s="301"/>
      <c r="O186" s="301"/>
      <c r="P186" s="301"/>
      <c r="Q186" s="301"/>
      <c r="R186" s="301"/>
      <c r="S186" s="301"/>
      <c r="T186" s="301"/>
      <c r="U186" s="307"/>
      <c r="V186" s="301"/>
      <c r="W186" s="301"/>
      <c r="X186" s="307"/>
      <c r="Y186" s="301"/>
      <c r="Z186" s="301"/>
      <c r="AA186" s="301"/>
      <c r="AB186" s="301"/>
      <c r="AC186" s="301"/>
      <c r="AD186" s="301"/>
      <c r="AE186" s="301"/>
      <c r="AF186" s="301"/>
      <c r="AG186" s="301"/>
      <c r="AH186" s="307"/>
      <c r="AI186" s="307"/>
      <c r="AJ186" s="307"/>
      <c r="AK186" s="307"/>
      <c r="AL186" s="307"/>
      <c r="AM186" s="307"/>
      <c r="AN186" s="307"/>
      <c r="AO186" s="307"/>
      <c r="AP186" s="307"/>
      <c r="AQ186" s="307"/>
      <c r="AR186" s="307"/>
      <c r="AS186" s="307"/>
      <c r="AT186" s="307"/>
      <c r="AU186" s="307"/>
    </row>
    <row r="187" ht="12.0" customHeight="1">
      <c r="A187" s="301"/>
      <c r="B187" s="301"/>
      <c r="C187" s="301"/>
      <c r="D187" s="309" t="s">
        <v>2566</v>
      </c>
      <c r="E187" s="309" t="s">
        <v>2567</v>
      </c>
      <c r="F187" s="309" t="s">
        <v>2568</v>
      </c>
      <c r="G187" s="309">
        <v>638.0</v>
      </c>
      <c r="H187" s="307"/>
      <c r="I187" s="301"/>
      <c r="J187" s="301"/>
      <c r="K187" s="301"/>
      <c r="L187" s="301"/>
      <c r="M187" s="301"/>
      <c r="N187" s="301"/>
      <c r="O187" s="301"/>
      <c r="P187" s="301"/>
      <c r="Q187" s="301"/>
      <c r="R187" s="301"/>
      <c r="S187" s="301"/>
      <c r="T187" s="301"/>
      <c r="U187" s="307"/>
      <c r="V187" s="301"/>
      <c r="W187" s="301"/>
      <c r="X187" s="307"/>
      <c r="Y187" s="301"/>
      <c r="Z187" s="301"/>
      <c r="AA187" s="301"/>
      <c r="AB187" s="301"/>
      <c r="AC187" s="301"/>
      <c r="AD187" s="301"/>
      <c r="AE187" s="301"/>
      <c r="AF187" s="301"/>
      <c r="AG187" s="301"/>
      <c r="AH187" s="307"/>
      <c r="AI187" s="307"/>
      <c r="AJ187" s="307"/>
      <c r="AK187" s="307"/>
      <c r="AL187" s="307"/>
      <c r="AM187" s="307"/>
      <c r="AN187" s="307"/>
      <c r="AO187" s="307"/>
      <c r="AP187" s="307"/>
      <c r="AQ187" s="307"/>
      <c r="AR187" s="307"/>
      <c r="AS187" s="307"/>
      <c r="AT187" s="307"/>
      <c r="AU187" s="307"/>
    </row>
    <row r="188" ht="12.0" customHeight="1">
      <c r="A188" s="301"/>
      <c r="B188" s="301"/>
      <c r="C188" s="301"/>
      <c r="D188" s="309" t="s">
        <v>2569</v>
      </c>
      <c r="E188" s="309" t="s">
        <v>2570</v>
      </c>
      <c r="F188" s="309" t="s">
        <v>2571</v>
      </c>
      <c r="G188" s="309">
        <v>652.0</v>
      </c>
      <c r="H188" s="307"/>
      <c r="I188" s="301"/>
      <c r="J188" s="301"/>
      <c r="K188" s="301"/>
      <c r="L188" s="301"/>
      <c r="M188" s="301"/>
      <c r="N188" s="301"/>
      <c r="O188" s="301"/>
      <c r="P188" s="301"/>
      <c r="Q188" s="301"/>
      <c r="R188" s="301"/>
      <c r="S188" s="301"/>
      <c r="T188" s="301"/>
      <c r="U188" s="307"/>
      <c r="V188" s="301"/>
      <c r="W188" s="301"/>
      <c r="X188" s="307"/>
      <c r="Y188" s="301"/>
      <c r="Z188" s="301"/>
      <c r="AA188" s="301"/>
      <c r="AB188" s="301"/>
      <c r="AC188" s="301"/>
      <c r="AD188" s="301"/>
      <c r="AE188" s="301"/>
      <c r="AF188" s="301"/>
      <c r="AG188" s="301"/>
      <c r="AH188" s="307"/>
      <c r="AI188" s="307"/>
      <c r="AJ188" s="307"/>
      <c r="AK188" s="307"/>
      <c r="AL188" s="307"/>
      <c r="AM188" s="307"/>
      <c r="AN188" s="307"/>
      <c r="AO188" s="307"/>
      <c r="AP188" s="307"/>
      <c r="AQ188" s="307"/>
      <c r="AR188" s="307"/>
      <c r="AS188" s="307"/>
      <c r="AT188" s="307"/>
      <c r="AU188" s="307"/>
    </row>
    <row r="189" ht="12.0" customHeight="1">
      <c r="A189" s="301"/>
      <c r="B189" s="301"/>
      <c r="C189" s="301"/>
      <c r="D189" s="309" t="s">
        <v>2572</v>
      </c>
      <c r="E189" s="309" t="s">
        <v>2573</v>
      </c>
      <c r="F189" s="309" t="s">
        <v>2574</v>
      </c>
      <c r="G189" s="309">
        <v>654.0</v>
      </c>
      <c r="H189" s="307"/>
      <c r="I189" s="301"/>
      <c r="J189" s="301"/>
      <c r="K189" s="301"/>
      <c r="L189" s="301"/>
      <c r="M189" s="301"/>
      <c r="N189" s="301"/>
      <c r="O189" s="301"/>
      <c r="P189" s="301"/>
      <c r="Q189" s="301"/>
      <c r="R189" s="301"/>
      <c r="S189" s="301"/>
      <c r="T189" s="301"/>
      <c r="U189" s="307"/>
      <c r="V189" s="301"/>
      <c r="W189" s="301"/>
      <c r="X189" s="307"/>
      <c r="Y189" s="301"/>
      <c r="Z189" s="301"/>
      <c r="AA189" s="301"/>
      <c r="AB189" s="301"/>
      <c r="AC189" s="301"/>
      <c r="AD189" s="301"/>
      <c r="AE189" s="301"/>
      <c r="AF189" s="301"/>
      <c r="AG189" s="301"/>
      <c r="AH189" s="307"/>
      <c r="AI189" s="307"/>
      <c r="AJ189" s="307"/>
      <c r="AK189" s="307"/>
      <c r="AL189" s="307"/>
      <c r="AM189" s="307"/>
      <c r="AN189" s="307"/>
      <c r="AO189" s="307"/>
      <c r="AP189" s="307"/>
      <c r="AQ189" s="307"/>
      <c r="AR189" s="307"/>
      <c r="AS189" s="307"/>
      <c r="AT189" s="307"/>
      <c r="AU189" s="307"/>
    </row>
    <row r="190" ht="12.0" customHeight="1">
      <c r="A190" s="301"/>
      <c r="B190" s="301"/>
      <c r="C190" s="301"/>
      <c r="D190" s="309" t="s">
        <v>2575</v>
      </c>
      <c r="E190" s="309" t="s">
        <v>2576</v>
      </c>
      <c r="F190" s="309" t="s">
        <v>2577</v>
      </c>
      <c r="G190" s="309">
        <v>659.0</v>
      </c>
      <c r="H190" s="307"/>
      <c r="I190" s="301"/>
      <c r="J190" s="301"/>
      <c r="K190" s="301"/>
      <c r="L190" s="301"/>
      <c r="M190" s="301"/>
      <c r="N190" s="301"/>
      <c r="O190" s="301"/>
      <c r="P190" s="301"/>
      <c r="Q190" s="301"/>
      <c r="R190" s="301"/>
      <c r="S190" s="301"/>
      <c r="T190" s="301"/>
      <c r="U190" s="307"/>
      <c r="V190" s="301"/>
      <c r="W190" s="301"/>
      <c r="X190" s="307"/>
      <c r="Y190" s="301"/>
      <c r="Z190" s="301"/>
      <c r="AA190" s="301"/>
      <c r="AB190" s="301"/>
      <c r="AC190" s="301"/>
      <c r="AD190" s="301"/>
      <c r="AE190" s="301"/>
      <c r="AF190" s="301"/>
      <c r="AG190" s="301"/>
      <c r="AH190" s="307"/>
      <c r="AI190" s="307"/>
      <c r="AJ190" s="307"/>
      <c r="AK190" s="307"/>
      <c r="AL190" s="307"/>
      <c r="AM190" s="307"/>
      <c r="AN190" s="307"/>
      <c r="AO190" s="307"/>
      <c r="AP190" s="307"/>
      <c r="AQ190" s="307"/>
      <c r="AR190" s="307"/>
      <c r="AS190" s="307"/>
      <c r="AT190" s="307"/>
      <c r="AU190" s="307"/>
    </row>
    <row r="191" ht="12.0" customHeight="1">
      <c r="A191" s="301"/>
      <c r="B191" s="301"/>
      <c r="C191" s="301"/>
      <c r="D191" s="309" t="s">
        <v>2578</v>
      </c>
      <c r="E191" s="309" t="s">
        <v>2579</v>
      </c>
      <c r="F191" s="309" t="s">
        <v>2580</v>
      </c>
      <c r="G191" s="309">
        <v>662.0</v>
      </c>
      <c r="H191" s="307"/>
      <c r="I191" s="301"/>
      <c r="J191" s="301"/>
      <c r="K191" s="301"/>
      <c r="L191" s="301"/>
      <c r="M191" s="301"/>
      <c r="N191" s="301"/>
      <c r="O191" s="301"/>
      <c r="P191" s="301"/>
      <c r="Q191" s="301"/>
      <c r="R191" s="301"/>
      <c r="S191" s="301"/>
      <c r="T191" s="301"/>
      <c r="U191" s="307"/>
      <c r="V191" s="301"/>
      <c r="W191" s="301"/>
      <c r="X191" s="307"/>
      <c r="Y191" s="301"/>
      <c r="Z191" s="301"/>
      <c r="AA191" s="301"/>
      <c r="AB191" s="301"/>
      <c r="AC191" s="301"/>
      <c r="AD191" s="301"/>
      <c r="AE191" s="301"/>
      <c r="AF191" s="301"/>
      <c r="AG191" s="301"/>
      <c r="AH191" s="307"/>
      <c r="AI191" s="307"/>
      <c r="AJ191" s="307"/>
      <c r="AK191" s="307"/>
      <c r="AL191" s="307"/>
      <c r="AM191" s="307"/>
      <c r="AN191" s="307"/>
      <c r="AO191" s="307"/>
      <c r="AP191" s="307"/>
      <c r="AQ191" s="307"/>
      <c r="AR191" s="307"/>
      <c r="AS191" s="307"/>
      <c r="AT191" s="307"/>
      <c r="AU191" s="307"/>
    </row>
    <row r="192" ht="12.0" customHeight="1">
      <c r="A192" s="301"/>
      <c r="B192" s="301"/>
      <c r="C192" s="301"/>
      <c r="D192" s="309" t="s">
        <v>2581</v>
      </c>
      <c r="E192" s="309" t="s">
        <v>2582</v>
      </c>
      <c r="F192" s="309" t="s">
        <v>2583</v>
      </c>
      <c r="G192" s="309">
        <v>663.0</v>
      </c>
      <c r="H192" s="307"/>
      <c r="I192" s="301"/>
      <c r="J192" s="301"/>
      <c r="K192" s="301"/>
      <c r="L192" s="301"/>
      <c r="M192" s="301"/>
      <c r="N192" s="301"/>
      <c r="O192" s="301"/>
      <c r="P192" s="301"/>
      <c r="Q192" s="301"/>
      <c r="R192" s="301"/>
      <c r="S192" s="301"/>
      <c r="T192" s="301"/>
      <c r="U192" s="307"/>
      <c r="V192" s="301"/>
      <c r="W192" s="301"/>
      <c r="X192" s="307"/>
      <c r="Y192" s="301"/>
      <c r="Z192" s="301"/>
      <c r="AA192" s="301"/>
      <c r="AB192" s="301"/>
      <c r="AC192" s="301"/>
      <c r="AD192" s="301"/>
      <c r="AE192" s="301"/>
      <c r="AF192" s="301"/>
      <c r="AG192" s="301"/>
      <c r="AH192" s="307"/>
      <c r="AI192" s="307"/>
      <c r="AJ192" s="307"/>
      <c r="AK192" s="307"/>
      <c r="AL192" s="307"/>
      <c r="AM192" s="307"/>
      <c r="AN192" s="307"/>
      <c r="AO192" s="307"/>
      <c r="AP192" s="307"/>
      <c r="AQ192" s="307"/>
      <c r="AR192" s="307"/>
      <c r="AS192" s="307"/>
      <c r="AT192" s="307"/>
      <c r="AU192" s="307"/>
    </row>
    <row r="193" ht="12.0" customHeight="1">
      <c r="A193" s="301"/>
      <c r="B193" s="301"/>
      <c r="C193" s="301"/>
      <c r="D193" s="309" t="s">
        <v>2584</v>
      </c>
      <c r="E193" s="309" t="s">
        <v>2585</v>
      </c>
      <c r="F193" s="309" t="s">
        <v>2586</v>
      </c>
      <c r="G193" s="309">
        <v>666.0</v>
      </c>
      <c r="H193" s="307"/>
      <c r="I193" s="301"/>
      <c r="J193" s="301"/>
      <c r="K193" s="301"/>
      <c r="L193" s="301"/>
      <c r="M193" s="301"/>
      <c r="N193" s="301"/>
      <c r="O193" s="301"/>
      <c r="P193" s="301"/>
      <c r="Q193" s="301"/>
      <c r="R193" s="301"/>
      <c r="S193" s="301"/>
      <c r="T193" s="301"/>
      <c r="U193" s="307"/>
      <c r="V193" s="301"/>
      <c r="W193" s="301"/>
      <c r="X193" s="307"/>
      <c r="Y193" s="301"/>
      <c r="Z193" s="301"/>
      <c r="AA193" s="301"/>
      <c r="AB193" s="301"/>
      <c r="AC193" s="301"/>
      <c r="AD193" s="301"/>
      <c r="AE193" s="301"/>
      <c r="AF193" s="301"/>
      <c r="AG193" s="301"/>
      <c r="AH193" s="307"/>
      <c r="AI193" s="307"/>
      <c r="AJ193" s="307"/>
      <c r="AK193" s="307"/>
      <c r="AL193" s="307"/>
      <c r="AM193" s="307"/>
      <c r="AN193" s="307"/>
      <c r="AO193" s="307"/>
      <c r="AP193" s="307"/>
      <c r="AQ193" s="307"/>
      <c r="AR193" s="307"/>
      <c r="AS193" s="307"/>
      <c r="AT193" s="307"/>
      <c r="AU193" s="307"/>
    </row>
    <row r="194" ht="12.0" customHeight="1">
      <c r="A194" s="301"/>
      <c r="B194" s="301"/>
      <c r="C194" s="301"/>
      <c r="D194" s="309" t="s">
        <v>2587</v>
      </c>
      <c r="E194" s="309" t="s">
        <v>2588</v>
      </c>
      <c r="F194" s="309" t="s">
        <v>2589</v>
      </c>
      <c r="G194" s="309">
        <v>670.0</v>
      </c>
      <c r="H194" s="307"/>
      <c r="I194" s="301"/>
      <c r="J194" s="301"/>
      <c r="K194" s="301"/>
      <c r="L194" s="301"/>
      <c r="M194" s="301"/>
      <c r="N194" s="301"/>
      <c r="O194" s="301"/>
      <c r="P194" s="301"/>
      <c r="Q194" s="301"/>
      <c r="R194" s="301"/>
      <c r="S194" s="301"/>
      <c r="T194" s="301"/>
      <c r="U194" s="307"/>
      <c r="V194" s="301"/>
      <c r="W194" s="301"/>
      <c r="X194" s="307"/>
      <c r="Y194" s="301"/>
      <c r="Z194" s="301"/>
      <c r="AA194" s="301"/>
      <c r="AB194" s="301"/>
      <c r="AC194" s="301"/>
      <c r="AD194" s="301"/>
      <c r="AE194" s="301"/>
      <c r="AF194" s="301"/>
      <c r="AG194" s="301"/>
      <c r="AH194" s="307"/>
      <c r="AI194" s="307"/>
      <c r="AJ194" s="307"/>
      <c r="AK194" s="307"/>
      <c r="AL194" s="307"/>
      <c r="AM194" s="307"/>
      <c r="AN194" s="307"/>
      <c r="AO194" s="307"/>
      <c r="AP194" s="307"/>
      <c r="AQ194" s="307"/>
      <c r="AR194" s="307"/>
      <c r="AS194" s="307"/>
      <c r="AT194" s="307"/>
      <c r="AU194" s="307"/>
    </row>
    <row r="195" ht="12.0" customHeight="1">
      <c r="A195" s="301"/>
      <c r="B195" s="301"/>
      <c r="C195" s="301"/>
      <c r="D195" s="309" t="s">
        <v>2590</v>
      </c>
      <c r="E195" s="309" t="s">
        <v>2591</v>
      </c>
      <c r="F195" s="309" t="s">
        <v>2592</v>
      </c>
      <c r="G195" s="309">
        <v>882.0</v>
      </c>
      <c r="H195" s="307"/>
      <c r="I195" s="301"/>
      <c r="J195" s="301"/>
      <c r="K195" s="301"/>
      <c r="L195" s="301"/>
      <c r="M195" s="301"/>
      <c r="N195" s="301"/>
      <c r="O195" s="301"/>
      <c r="P195" s="301"/>
      <c r="Q195" s="301"/>
      <c r="R195" s="301"/>
      <c r="S195" s="301"/>
      <c r="T195" s="301"/>
      <c r="U195" s="307"/>
      <c r="V195" s="301"/>
      <c r="W195" s="301"/>
      <c r="X195" s="307"/>
      <c r="Y195" s="301"/>
      <c r="Z195" s="301"/>
      <c r="AA195" s="301"/>
      <c r="AB195" s="301"/>
      <c r="AC195" s="301"/>
      <c r="AD195" s="301"/>
      <c r="AE195" s="301"/>
      <c r="AF195" s="301"/>
      <c r="AG195" s="301"/>
      <c r="AH195" s="307"/>
      <c r="AI195" s="307"/>
      <c r="AJ195" s="307"/>
      <c r="AK195" s="307"/>
      <c r="AL195" s="307"/>
      <c r="AM195" s="307"/>
      <c r="AN195" s="307"/>
      <c r="AO195" s="307"/>
      <c r="AP195" s="307"/>
      <c r="AQ195" s="307"/>
      <c r="AR195" s="307"/>
      <c r="AS195" s="307"/>
      <c r="AT195" s="307"/>
      <c r="AU195" s="307"/>
    </row>
    <row r="196" ht="12.0" customHeight="1">
      <c r="A196" s="301"/>
      <c r="B196" s="301"/>
      <c r="C196" s="301"/>
      <c r="D196" s="309" t="s">
        <v>2593</v>
      </c>
      <c r="E196" s="309" t="s">
        <v>2594</v>
      </c>
      <c r="F196" s="309" t="s">
        <v>2595</v>
      </c>
      <c r="G196" s="309">
        <v>674.0</v>
      </c>
      <c r="H196" s="307"/>
      <c r="I196" s="301"/>
      <c r="J196" s="301"/>
      <c r="K196" s="301"/>
      <c r="L196" s="301"/>
      <c r="M196" s="301"/>
      <c r="N196" s="301"/>
      <c r="O196" s="301"/>
      <c r="P196" s="301"/>
      <c r="Q196" s="301"/>
      <c r="R196" s="301"/>
      <c r="S196" s="301"/>
      <c r="T196" s="301"/>
      <c r="U196" s="307"/>
      <c r="V196" s="301"/>
      <c r="W196" s="301"/>
      <c r="X196" s="307"/>
      <c r="Y196" s="301"/>
      <c r="Z196" s="301"/>
      <c r="AA196" s="301"/>
      <c r="AB196" s="301"/>
      <c r="AC196" s="301"/>
      <c r="AD196" s="301"/>
      <c r="AE196" s="301"/>
      <c r="AF196" s="301"/>
      <c r="AG196" s="301"/>
      <c r="AH196" s="307"/>
      <c r="AI196" s="307"/>
      <c r="AJ196" s="307"/>
      <c r="AK196" s="307"/>
      <c r="AL196" s="307"/>
      <c r="AM196" s="307"/>
      <c r="AN196" s="307"/>
      <c r="AO196" s="307"/>
      <c r="AP196" s="307"/>
      <c r="AQ196" s="307"/>
      <c r="AR196" s="307"/>
      <c r="AS196" s="307"/>
      <c r="AT196" s="307"/>
      <c r="AU196" s="307"/>
    </row>
    <row r="197" ht="12.0" customHeight="1">
      <c r="A197" s="301"/>
      <c r="B197" s="301"/>
      <c r="C197" s="301"/>
      <c r="D197" s="309" t="s">
        <v>2596</v>
      </c>
      <c r="E197" s="309" t="s">
        <v>2597</v>
      </c>
      <c r="F197" s="309" t="s">
        <v>2598</v>
      </c>
      <c r="G197" s="309">
        <v>678.0</v>
      </c>
      <c r="H197" s="307"/>
      <c r="I197" s="301"/>
      <c r="J197" s="301"/>
      <c r="K197" s="301"/>
      <c r="L197" s="301"/>
      <c r="M197" s="301"/>
      <c r="N197" s="301"/>
      <c r="O197" s="301"/>
      <c r="P197" s="301"/>
      <c r="Q197" s="301"/>
      <c r="R197" s="301"/>
      <c r="S197" s="301"/>
      <c r="T197" s="301"/>
      <c r="U197" s="307"/>
      <c r="V197" s="301"/>
      <c r="W197" s="301"/>
      <c r="X197" s="307"/>
      <c r="Y197" s="301"/>
      <c r="Z197" s="301"/>
      <c r="AA197" s="301"/>
      <c r="AB197" s="301"/>
      <c r="AC197" s="301"/>
      <c r="AD197" s="301"/>
      <c r="AE197" s="301"/>
      <c r="AF197" s="301"/>
      <c r="AG197" s="301"/>
      <c r="AH197" s="307"/>
      <c r="AI197" s="307"/>
      <c r="AJ197" s="307"/>
      <c r="AK197" s="307"/>
      <c r="AL197" s="307"/>
      <c r="AM197" s="307"/>
      <c r="AN197" s="307"/>
      <c r="AO197" s="307"/>
      <c r="AP197" s="307"/>
      <c r="AQ197" s="307"/>
      <c r="AR197" s="307"/>
      <c r="AS197" s="307"/>
      <c r="AT197" s="307"/>
      <c r="AU197" s="307"/>
    </row>
    <row r="198" ht="12.0" customHeight="1">
      <c r="A198" s="301"/>
      <c r="B198" s="301"/>
      <c r="C198" s="301"/>
      <c r="D198" s="309" t="s">
        <v>2599</v>
      </c>
      <c r="E198" s="309" t="s">
        <v>2600</v>
      </c>
      <c r="F198" s="309" t="s">
        <v>2601</v>
      </c>
      <c r="G198" s="309">
        <v>682.0</v>
      </c>
      <c r="H198" s="307"/>
      <c r="I198" s="301"/>
      <c r="J198" s="301"/>
      <c r="K198" s="301"/>
      <c r="L198" s="301"/>
      <c r="M198" s="301"/>
      <c r="N198" s="301"/>
      <c r="O198" s="301"/>
      <c r="P198" s="301"/>
      <c r="Q198" s="301"/>
      <c r="R198" s="301"/>
      <c r="S198" s="301"/>
      <c r="T198" s="301"/>
      <c r="U198" s="307"/>
      <c r="V198" s="301"/>
      <c r="W198" s="301"/>
      <c r="X198" s="307"/>
      <c r="Y198" s="301"/>
      <c r="Z198" s="301"/>
      <c r="AA198" s="301"/>
      <c r="AB198" s="301"/>
      <c r="AC198" s="301"/>
      <c r="AD198" s="301"/>
      <c r="AE198" s="301"/>
      <c r="AF198" s="301"/>
      <c r="AG198" s="301"/>
      <c r="AH198" s="307"/>
      <c r="AI198" s="307"/>
      <c r="AJ198" s="307"/>
      <c r="AK198" s="307"/>
      <c r="AL198" s="307"/>
      <c r="AM198" s="307"/>
      <c r="AN198" s="307"/>
      <c r="AO198" s="307"/>
      <c r="AP198" s="307"/>
      <c r="AQ198" s="307"/>
      <c r="AR198" s="307"/>
      <c r="AS198" s="307"/>
      <c r="AT198" s="307"/>
      <c r="AU198" s="307"/>
    </row>
    <row r="199" ht="12.0" customHeight="1">
      <c r="A199" s="301"/>
      <c r="B199" s="301"/>
      <c r="C199" s="301"/>
      <c r="D199" s="309" t="s">
        <v>2602</v>
      </c>
      <c r="E199" s="309" t="s">
        <v>2603</v>
      </c>
      <c r="F199" s="309" t="s">
        <v>2604</v>
      </c>
      <c r="G199" s="309">
        <v>686.0</v>
      </c>
      <c r="H199" s="307"/>
      <c r="I199" s="301"/>
      <c r="J199" s="301"/>
      <c r="K199" s="301"/>
      <c r="L199" s="301"/>
      <c r="M199" s="301"/>
      <c r="N199" s="301"/>
      <c r="O199" s="301"/>
      <c r="P199" s="301"/>
      <c r="Q199" s="301"/>
      <c r="R199" s="301"/>
      <c r="S199" s="301"/>
      <c r="T199" s="301"/>
      <c r="U199" s="307"/>
      <c r="V199" s="301"/>
      <c r="W199" s="301"/>
      <c r="X199" s="307"/>
      <c r="Y199" s="301"/>
      <c r="Z199" s="301"/>
      <c r="AA199" s="301"/>
      <c r="AB199" s="301"/>
      <c r="AC199" s="301"/>
      <c r="AD199" s="301"/>
      <c r="AE199" s="301"/>
      <c r="AF199" s="301"/>
      <c r="AG199" s="301"/>
      <c r="AH199" s="307"/>
      <c r="AI199" s="307"/>
      <c r="AJ199" s="307"/>
      <c r="AK199" s="307"/>
      <c r="AL199" s="307"/>
      <c r="AM199" s="307"/>
      <c r="AN199" s="307"/>
      <c r="AO199" s="307"/>
      <c r="AP199" s="307"/>
      <c r="AQ199" s="307"/>
      <c r="AR199" s="307"/>
      <c r="AS199" s="307"/>
      <c r="AT199" s="307"/>
      <c r="AU199" s="307"/>
    </row>
    <row r="200" ht="12.0" customHeight="1">
      <c r="A200" s="301"/>
      <c r="B200" s="301"/>
      <c r="C200" s="301"/>
      <c r="D200" s="309" t="s">
        <v>2605</v>
      </c>
      <c r="E200" s="309" t="s">
        <v>2606</v>
      </c>
      <c r="F200" s="309" t="s">
        <v>2607</v>
      </c>
      <c r="G200" s="309">
        <v>688.0</v>
      </c>
      <c r="H200" s="307"/>
      <c r="I200" s="301"/>
      <c r="J200" s="301"/>
      <c r="K200" s="301"/>
      <c r="L200" s="301"/>
      <c r="M200" s="301"/>
      <c r="N200" s="301"/>
      <c r="O200" s="301"/>
      <c r="P200" s="301"/>
      <c r="Q200" s="301"/>
      <c r="R200" s="301"/>
      <c r="S200" s="301"/>
      <c r="T200" s="301"/>
      <c r="U200" s="307"/>
      <c r="V200" s="301"/>
      <c r="W200" s="301"/>
      <c r="X200" s="307"/>
      <c r="Y200" s="301"/>
      <c r="Z200" s="301"/>
      <c r="AA200" s="301"/>
      <c r="AB200" s="301"/>
      <c r="AC200" s="301"/>
      <c r="AD200" s="301"/>
      <c r="AE200" s="301"/>
      <c r="AF200" s="301"/>
      <c r="AG200" s="301"/>
      <c r="AH200" s="307"/>
      <c r="AI200" s="307"/>
      <c r="AJ200" s="307"/>
      <c r="AK200" s="307"/>
      <c r="AL200" s="307"/>
      <c r="AM200" s="307"/>
      <c r="AN200" s="307"/>
      <c r="AO200" s="307"/>
      <c r="AP200" s="307"/>
      <c r="AQ200" s="307"/>
      <c r="AR200" s="307"/>
      <c r="AS200" s="307"/>
      <c r="AT200" s="307"/>
      <c r="AU200" s="307"/>
    </row>
    <row r="201" ht="12.0" customHeight="1">
      <c r="A201" s="301"/>
      <c r="B201" s="301"/>
      <c r="C201" s="301"/>
      <c r="D201" s="309" t="s">
        <v>2608</v>
      </c>
      <c r="E201" s="309" t="s">
        <v>2609</v>
      </c>
      <c r="F201" s="309" t="s">
        <v>2610</v>
      </c>
      <c r="G201" s="309">
        <v>690.0</v>
      </c>
      <c r="H201" s="307"/>
      <c r="I201" s="301"/>
      <c r="J201" s="301"/>
      <c r="K201" s="301"/>
      <c r="L201" s="301"/>
      <c r="M201" s="301"/>
      <c r="N201" s="301"/>
      <c r="O201" s="301"/>
      <c r="P201" s="301"/>
      <c r="Q201" s="301"/>
      <c r="R201" s="301"/>
      <c r="S201" s="301"/>
      <c r="T201" s="301"/>
      <c r="U201" s="307"/>
      <c r="V201" s="301"/>
      <c r="W201" s="301"/>
      <c r="X201" s="307"/>
      <c r="Y201" s="301"/>
      <c r="Z201" s="301"/>
      <c r="AA201" s="301"/>
      <c r="AB201" s="301"/>
      <c r="AC201" s="301"/>
      <c r="AD201" s="301"/>
      <c r="AE201" s="301"/>
      <c r="AF201" s="301"/>
      <c r="AG201" s="301"/>
      <c r="AH201" s="307"/>
      <c r="AI201" s="307"/>
      <c r="AJ201" s="307"/>
      <c r="AK201" s="307"/>
      <c r="AL201" s="307"/>
      <c r="AM201" s="307"/>
      <c r="AN201" s="307"/>
      <c r="AO201" s="307"/>
      <c r="AP201" s="307"/>
      <c r="AQ201" s="307"/>
      <c r="AR201" s="307"/>
      <c r="AS201" s="307"/>
      <c r="AT201" s="307"/>
      <c r="AU201" s="307"/>
    </row>
    <row r="202" ht="12.0" customHeight="1">
      <c r="A202" s="301"/>
      <c r="B202" s="301"/>
      <c r="C202" s="301"/>
      <c r="D202" s="309" t="s">
        <v>2611</v>
      </c>
      <c r="E202" s="309" t="s">
        <v>2612</v>
      </c>
      <c r="F202" s="309" t="s">
        <v>2613</v>
      </c>
      <c r="G202" s="309">
        <v>694.0</v>
      </c>
      <c r="H202" s="307"/>
      <c r="I202" s="301"/>
      <c r="J202" s="301"/>
      <c r="K202" s="301"/>
      <c r="L202" s="301"/>
      <c r="M202" s="301"/>
      <c r="N202" s="301"/>
      <c r="O202" s="301"/>
      <c r="P202" s="301"/>
      <c r="Q202" s="301"/>
      <c r="R202" s="301"/>
      <c r="S202" s="301"/>
      <c r="T202" s="301"/>
      <c r="U202" s="307"/>
      <c r="V202" s="301"/>
      <c r="W202" s="301"/>
      <c r="X202" s="307"/>
      <c r="Y202" s="301"/>
      <c r="Z202" s="301"/>
      <c r="AA202" s="301"/>
      <c r="AB202" s="301"/>
      <c r="AC202" s="301"/>
      <c r="AD202" s="301"/>
      <c r="AE202" s="301"/>
      <c r="AF202" s="301"/>
      <c r="AG202" s="301"/>
      <c r="AH202" s="307"/>
      <c r="AI202" s="307"/>
      <c r="AJ202" s="307"/>
      <c r="AK202" s="307"/>
      <c r="AL202" s="307"/>
      <c r="AM202" s="307"/>
      <c r="AN202" s="307"/>
      <c r="AO202" s="307"/>
      <c r="AP202" s="307"/>
      <c r="AQ202" s="307"/>
      <c r="AR202" s="307"/>
      <c r="AS202" s="307"/>
      <c r="AT202" s="307"/>
      <c r="AU202" s="307"/>
    </row>
    <row r="203" ht="12.0" customHeight="1">
      <c r="A203" s="301"/>
      <c r="B203" s="301"/>
      <c r="C203" s="301"/>
      <c r="D203" s="309" t="s">
        <v>2614</v>
      </c>
      <c r="E203" s="309" t="s">
        <v>2615</v>
      </c>
      <c r="F203" s="309" t="s">
        <v>2616</v>
      </c>
      <c r="G203" s="309">
        <v>702.0</v>
      </c>
      <c r="H203" s="307"/>
      <c r="I203" s="301"/>
      <c r="J203" s="301"/>
      <c r="K203" s="301"/>
      <c r="L203" s="301"/>
      <c r="M203" s="301"/>
      <c r="N203" s="301"/>
      <c r="O203" s="301"/>
      <c r="P203" s="301"/>
      <c r="Q203" s="301"/>
      <c r="R203" s="301"/>
      <c r="S203" s="301"/>
      <c r="T203" s="301"/>
      <c r="U203" s="307"/>
      <c r="V203" s="301"/>
      <c r="W203" s="301"/>
      <c r="X203" s="307"/>
      <c r="Y203" s="301"/>
      <c r="Z203" s="301"/>
      <c r="AA203" s="301"/>
      <c r="AB203" s="301"/>
      <c r="AC203" s="301"/>
      <c r="AD203" s="301"/>
      <c r="AE203" s="301"/>
      <c r="AF203" s="301"/>
      <c r="AG203" s="301"/>
      <c r="AH203" s="307"/>
      <c r="AI203" s="307"/>
      <c r="AJ203" s="307"/>
      <c r="AK203" s="307"/>
      <c r="AL203" s="307"/>
      <c r="AM203" s="307"/>
      <c r="AN203" s="307"/>
      <c r="AO203" s="307"/>
      <c r="AP203" s="307"/>
      <c r="AQ203" s="307"/>
      <c r="AR203" s="307"/>
      <c r="AS203" s="307"/>
      <c r="AT203" s="307"/>
      <c r="AU203" s="307"/>
    </row>
    <row r="204" ht="12.0" customHeight="1">
      <c r="A204" s="301"/>
      <c r="B204" s="301"/>
      <c r="C204" s="301"/>
      <c r="D204" s="309" t="s">
        <v>2617</v>
      </c>
      <c r="E204" s="309" t="s">
        <v>2618</v>
      </c>
      <c r="F204" s="309" t="s">
        <v>2619</v>
      </c>
      <c r="G204" s="309">
        <v>534.0</v>
      </c>
      <c r="H204" s="307"/>
      <c r="I204" s="301"/>
      <c r="J204" s="301"/>
      <c r="K204" s="301"/>
      <c r="L204" s="301"/>
      <c r="M204" s="301"/>
      <c r="N204" s="301"/>
      <c r="O204" s="301"/>
      <c r="P204" s="301"/>
      <c r="Q204" s="301"/>
      <c r="R204" s="301"/>
      <c r="S204" s="301"/>
      <c r="T204" s="301"/>
      <c r="U204" s="307"/>
      <c r="V204" s="301"/>
      <c r="W204" s="301"/>
      <c r="X204" s="307"/>
      <c r="Y204" s="301"/>
      <c r="Z204" s="301"/>
      <c r="AA204" s="301"/>
      <c r="AB204" s="301"/>
      <c r="AC204" s="301"/>
      <c r="AD204" s="301"/>
      <c r="AE204" s="301"/>
      <c r="AF204" s="301"/>
      <c r="AG204" s="301"/>
      <c r="AH204" s="307"/>
      <c r="AI204" s="307"/>
      <c r="AJ204" s="307"/>
      <c r="AK204" s="307"/>
      <c r="AL204" s="307"/>
      <c r="AM204" s="307"/>
      <c r="AN204" s="307"/>
      <c r="AO204" s="307"/>
      <c r="AP204" s="307"/>
      <c r="AQ204" s="307"/>
      <c r="AR204" s="307"/>
      <c r="AS204" s="307"/>
      <c r="AT204" s="307"/>
      <c r="AU204" s="307"/>
    </row>
    <row r="205" ht="12.0" customHeight="1">
      <c r="A205" s="301"/>
      <c r="B205" s="301"/>
      <c r="C205" s="301"/>
      <c r="D205" s="309" t="s">
        <v>2620</v>
      </c>
      <c r="E205" s="309" t="s">
        <v>2621</v>
      </c>
      <c r="F205" s="309" t="s">
        <v>2622</v>
      </c>
      <c r="G205" s="309">
        <v>703.0</v>
      </c>
      <c r="H205" s="307"/>
      <c r="I205" s="301"/>
      <c r="J205" s="301"/>
      <c r="K205" s="301"/>
      <c r="L205" s="301"/>
      <c r="M205" s="301"/>
      <c r="N205" s="301"/>
      <c r="O205" s="301"/>
      <c r="P205" s="301"/>
      <c r="Q205" s="301"/>
      <c r="R205" s="301"/>
      <c r="S205" s="301"/>
      <c r="T205" s="301"/>
      <c r="U205" s="307"/>
      <c r="V205" s="301"/>
      <c r="W205" s="301"/>
      <c r="X205" s="307"/>
      <c r="Y205" s="301"/>
      <c r="Z205" s="301"/>
      <c r="AA205" s="301"/>
      <c r="AB205" s="301"/>
      <c r="AC205" s="301"/>
      <c r="AD205" s="301"/>
      <c r="AE205" s="301"/>
      <c r="AF205" s="301"/>
      <c r="AG205" s="301"/>
      <c r="AH205" s="307"/>
      <c r="AI205" s="307"/>
      <c r="AJ205" s="307"/>
      <c r="AK205" s="307"/>
      <c r="AL205" s="307"/>
      <c r="AM205" s="307"/>
      <c r="AN205" s="307"/>
      <c r="AO205" s="307"/>
      <c r="AP205" s="307"/>
      <c r="AQ205" s="307"/>
      <c r="AR205" s="307"/>
      <c r="AS205" s="307"/>
      <c r="AT205" s="307"/>
      <c r="AU205" s="307"/>
    </row>
    <row r="206" ht="12.0" customHeight="1">
      <c r="A206" s="301"/>
      <c r="B206" s="301"/>
      <c r="C206" s="301"/>
      <c r="D206" s="309" t="s">
        <v>2623</v>
      </c>
      <c r="E206" s="309" t="s">
        <v>2624</v>
      </c>
      <c r="F206" s="309" t="s">
        <v>2625</v>
      </c>
      <c r="G206" s="309">
        <v>705.0</v>
      </c>
      <c r="H206" s="307"/>
      <c r="I206" s="301"/>
      <c r="J206" s="301"/>
      <c r="K206" s="301"/>
      <c r="L206" s="301"/>
      <c r="M206" s="301"/>
      <c r="N206" s="301"/>
      <c r="O206" s="301"/>
      <c r="P206" s="301"/>
      <c r="Q206" s="301"/>
      <c r="R206" s="301"/>
      <c r="S206" s="301"/>
      <c r="T206" s="301"/>
      <c r="U206" s="307"/>
      <c r="V206" s="301"/>
      <c r="W206" s="301"/>
      <c r="X206" s="307"/>
      <c r="Y206" s="301"/>
      <c r="Z206" s="301"/>
      <c r="AA206" s="301"/>
      <c r="AB206" s="301"/>
      <c r="AC206" s="301"/>
      <c r="AD206" s="301"/>
      <c r="AE206" s="301"/>
      <c r="AF206" s="301"/>
      <c r="AG206" s="301"/>
      <c r="AH206" s="307"/>
      <c r="AI206" s="307"/>
      <c r="AJ206" s="307"/>
      <c r="AK206" s="307"/>
      <c r="AL206" s="307"/>
      <c r="AM206" s="307"/>
      <c r="AN206" s="307"/>
      <c r="AO206" s="307"/>
      <c r="AP206" s="307"/>
      <c r="AQ206" s="307"/>
      <c r="AR206" s="307"/>
      <c r="AS206" s="307"/>
      <c r="AT206" s="307"/>
      <c r="AU206" s="307"/>
    </row>
    <row r="207" ht="12.0" customHeight="1">
      <c r="A207" s="301"/>
      <c r="B207" s="301"/>
      <c r="C207" s="301"/>
      <c r="D207" s="309" t="s">
        <v>2626</v>
      </c>
      <c r="E207" s="309" t="s">
        <v>2627</v>
      </c>
      <c r="F207" s="309" t="s">
        <v>2628</v>
      </c>
      <c r="G207" s="309">
        <v>90.0</v>
      </c>
      <c r="H207" s="307"/>
      <c r="I207" s="301"/>
      <c r="J207" s="301"/>
      <c r="K207" s="301"/>
      <c r="L207" s="301"/>
      <c r="M207" s="301"/>
      <c r="N207" s="301"/>
      <c r="O207" s="301"/>
      <c r="P207" s="301"/>
      <c r="Q207" s="301"/>
      <c r="R207" s="301"/>
      <c r="S207" s="301"/>
      <c r="T207" s="301"/>
      <c r="U207" s="307"/>
      <c r="V207" s="301"/>
      <c r="W207" s="301"/>
      <c r="X207" s="307"/>
      <c r="Y207" s="301"/>
      <c r="Z207" s="301"/>
      <c r="AA207" s="301"/>
      <c r="AB207" s="301"/>
      <c r="AC207" s="301"/>
      <c r="AD207" s="301"/>
      <c r="AE207" s="301"/>
      <c r="AF207" s="301"/>
      <c r="AG207" s="301"/>
      <c r="AH207" s="307"/>
      <c r="AI207" s="307"/>
      <c r="AJ207" s="307"/>
      <c r="AK207" s="307"/>
      <c r="AL207" s="307"/>
      <c r="AM207" s="307"/>
      <c r="AN207" s="307"/>
      <c r="AO207" s="307"/>
      <c r="AP207" s="307"/>
      <c r="AQ207" s="307"/>
      <c r="AR207" s="307"/>
      <c r="AS207" s="307"/>
      <c r="AT207" s="307"/>
      <c r="AU207" s="307"/>
    </row>
    <row r="208" ht="12.0" customHeight="1">
      <c r="A208" s="301"/>
      <c r="B208" s="301"/>
      <c r="C208" s="301"/>
      <c r="D208" s="309" t="s">
        <v>2629</v>
      </c>
      <c r="E208" s="309" t="s">
        <v>2630</v>
      </c>
      <c r="F208" s="309" t="s">
        <v>2631</v>
      </c>
      <c r="G208" s="309">
        <v>706.0</v>
      </c>
      <c r="H208" s="307"/>
      <c r="I208" s="301"/>
      <c r="J208" s="301"/>
      <c r="K208" s="301"/>
      <c r="L208" s="301"/>
      <c r="M208" s="301"/>
      <c r="N208" s="301"/>
      <c r="O208" s="301"/>
      <c r="P208" s="301"/>
      <c r="Q208" s="301"/>
      <c r="R208" s="301"/>
      <c r="S208" s="301"/>
      <c r="T208" s="301"/>
      <c r="U208" s="307"/>
      <c r="V208" s="301"/>
      <c r="W208" s="301"/>
      <c r="X208" s="307"/>
      <c r="Y208" s="301"/>
      <c r="Z208" s="301"/>
      <c r="AA208" s="301"/>
      <c r="AB208" s="301"/>
      <c r="AC208" s="301"/>
      <c r="AD208" s="301"/>
      <c r="AE208" s="301"/>
      <c r="AF208" s="301"/>
      <c r="AG208" s="301"/>
      <c r="AH208" s="307"/>
      <c r="AI208" s="307"/>
      <c r="AJ208" s="307"/>
      <c r="AK208" s="307"/>
      <c r="AL208" s="307"/>
      <c r="AM208" s="307"/>
      <c r="AN208" s="307"/>
      <c r="AO208" s="307"/>
      <c r="AP208" s="307"/>
      <c r="AQ208" s="307"/>
      <c r="AR208" s="307"/>
      <c r="AS208" s="307"/>
      <c r="AT208" s="307"/>
      <c r="AU208" s="307"/>
    </row>
    <row r="209" ht="12.0" customHeight="1">
      <c r="A209" s="301"/>
      <c r="B209" s="301"/>
      <c r="C209" s="301"/>
      <c r="D209" s="309" t="s">
        <v>2632</v>
      </c>
      <c r="E209" s="309" t="s">
        <v>2633</v>
      </c>
      <c r="F209" s="309" t="s">
        <v>2634</v>
      </c>
      <c r="G209" s="309">
        <v>710.0</v>
      </c>
      <c r="H209" s="307"/>
      <c r="I209" s="301"/>
      <c r="J209" s="301"/>
      <c r="K209" s="301"/>
      <c r="L209" s="301"/>
      <c r="M209" s="301"/>
      <c r="N209" s="301"/>
      <c r="O209" s="301"/>
      <c r="P209" s="301"/>
      <c r="Q209" s="301"/>
      <c r="R209" s="301"/>
      <c r="S209" s="301"/>
      <c r="T209" s="301"/>
      <c r="U209" s="307"/>
      <c r="V209" s="301"/>
      <c r="W209" s="301"/>
      <c r="X209" s="307"/>
      <c r="Y209" s="301"/>
      <c r="Z209" s="301"/>
      <c r="AA209" s="301"/>
      <c r="AB209" s="301"/>
      <c r="AC209" s="301"/>
      <c r="AD209" s="301"/>
      <c r="AE209" s="301"/>
      <c r="AF209" s="301"/>
      <c r="AG209" s="301"/>
      <c r="AH209" s="307"/>
      <c r="AI209" s="307"/>
      <c r="AJ209" s="307"/>
      <c r="AK209" s="307"/>
      <c r="AL209" s="307"/>
      <c r="AM209" s="307"/>
      <c r="AN209" s="307"/>
      <c r="AO209" s="307"/>
      <c r="AP209" s="307"/>
      <c r="AQ209" s="307"/>
      <c r="AR209" s="307"/>
      <c r="AS209" s="307"/>
      <c r="AT209" s="307"/>
      <c r="AU209" s="307"/>
    </row>
    <row r="210" ht="12.0" customHeight="1">
      <c r="A210" s="301"/>
      <c r="B210" s="301"/>
      <c r="C210" s="301"/>
      <c r="D210" s="309" t="s">
        <v>2635</v>
      </c>
      <c r="E210" s="309" t="s">
        <v>2636</v>
      </c>
      <c r="F210" s="309" t="s">
        <v>2637</v>
      </c>
      <c r="G210" s="309">
        <v>239.0</v>
      </c>
      <c r="H210" s="307"/>
      <c r="I210" s="301"/>
      <c r="J210" s="301"/>
      <c r="K210" s="301"/>
      <c r="L210" s="301"/>
      <c r="M210" s="301"/>
      <c r="N210" s="301"/>
      <c r="O210" s="301"/>
      <c r="P210" s="301"/>
      <c r="Q210" s="301"/>
      <c r="R210" s="301"/>
      <c r="S210" s="301"/>
      <c r="T210" s="301"/>
      <c r="U210" s="307"/>
      <c r="V210" s="301"/>
      <c r="W210" s="301"/>
      <c r="X210" s="307"/>
      <c r="Y210" s="301"/>
      <c r="Z210" s="301"/>
      <c r="AA210" s="301"/>
      <c r="AB210" s="301"/>
      <c r="AC210" s="301"/>
      <c r="AD210" s="301"/>
      <c r="AE210" s="301"/>
      <c r="AF210" s="301"/>
      <c r="AG210" s="301"/>
      <c r="AH210" s="307"/>
      <c r="AI210" s="307"/>
      <c r="AJ210" s="307"/>
      <c r="AK210" s="307"/>
      <c r="AL210" s="307"/>
      <c r="AM210" s="307"/>
      <c r="AN210" s="307"/>
      <c r="AO210" s="307"/>
      <c r="AP210" s="307"/>
      <c r="AQ210" s="307"/>
      <c r="AR210" s="307"/>
      <c r="AS210" s="307"/>
      <c r="AT210" s="307"/>
      <c r="AU210" s="307"/>
    </row>
    <row r="211" ht="12.0" customHeight="1">
      <c r="A211" s="301"/>
      <c r="B211" s="301"/>
      <c r="C211" s="301"/>
      <c r="D211" s="309" t="s">
        <v>2638</v>
      </c>
      <c r="E211" s="309" t="s">
        <v>2639</v>
      </c>
      <c r="F211" s="309" t="s">
        <v>2640</v>
      </c>
      <c r="G211" s="309">
        <v>728.0</v>
      </c>
      <c r="H211" s="307"/>
      <c r="I211" s="301"/>
      <c r="J211" s="301"/>
      <c r="K211" s="301"/>
      <c r="L211" s="301"/>
      <c r="M211" s="301"/>
      <c r="N211" s="301"/>
      <c r="O211" s="301"/>
      <c r="P211" s="301"/>
      <c r="Q211" s="301"/>
      <c r="R211" s="301"/>
      <c r="S211" s="301"/>
      <c r="T211" s="301"/>
      <c r="U211" s="307"/>
      <c r="V211" s="301"/>
      <c r="W211" s="301"/>
      <c r="X211" s="307"/>
      <c r="Y211" s="301"/>
      <c r="Z211" s="301"/>
      <c r="AA211" s="301"/>
      <c r="AB211" s="301"/>
      <c r="AC211" s="301"/>
      <c r="AD211" s="301"/>
      <c r="AE211" s="301"/>
      <c r="AF211" s="301"/>
      <c r="AG211" s="301"/>
      <c r="AH211" s="307"/>
      <c r="AI211" s="307"/>
      <c r="AJ211" s="307"/>
      <c r="AK211" s="307"/>
      <c r="AL211" s="307"/>
      <c r="AM211" s="307"/>
      <c r="AN211" s="307"/>
      <c r="AO211" s="307"/>
      <c r="AP211" s="307"/>
      <c r="AQ211" s="307"/>
      <c r="AR211" s="307"/>
      <c r="AS211" s="307"/>
      <c r="AT211" s="307"/>
      <c r="AU211" s="307"/>
    </row>
    <row r="212" ht="12.0" customHeight="1">
      <c r="A212" s="301"/>
      <c r="B212" s="301"/>
      <c r="C212" s="301"/>
      <c r="D212" s="309" t="s">
        <v>2641</v>
      </c>
      <c r="E212" s="309" t="s">
        <v>2642</v>
      </c>
      <c r="F212" s="309" t="s">
        <v>2643</v>
      </c>
      <c r="G212" s="309">
        <v>724.0</v>
      </c>
      <c r="H212" s="307"/>
      <c r="I212" s="301"/>
      <c r="J212" s="301"/>
      <c r="K212" s="301"/>
      <c r="L212" s="301"/>
      <c r="M212" s="301"/>
      <c r="N212" s="301"/>
      <c r="O212" s="301"/>
      <c r="P212" s="301"/>
      <c r="Q212" s="301"/>
      <c r="R212" s="301"/>
      <c r="S212" s="301"/>
      <c r="T212" s="301"/>
      <c r="U212" s="307"/>
      <c r="V212" s="301"/>
      <c r="W212" s="301"/>
      <c r="X212" s="307"/>
      <c r="Y212" s="301"/>
      <c r="Z212" s="301"/>
      <c r="AA212" s="301"/>
      <c r="AB212" s="301"/>
      <c r="AC212" s="301"/>
      <c r="AD212" s="301"/>
      <c r="AE212" s="301"/>
      <c r="AF212" s="301"/>
      <c r="AG212" s="301"/>
      <c r="AH212" s="307"/>
      <c r="AI212" s="307"/>
      <c r="AJ212" s="307"/>
      <c r="AK212" s="307"/>
      <c r="AL212" s="307"/>
      <c r="AM212" s="307"/>
      <c r="AN212" s="307"/>
      <c r="AO212" s="307"/>
      <c r="AP212" s="307"/>
      <c r="AQ212" s="307"/>
      <c r="AR212" s="307"/>
      <c r="AS212" s="307"/>
      <c r="AT212" s="307"/>
      <c r="AU212" s="307"/>
    </row>
    <row r="213" ht="12.0" customHeight="1">
      <c r="A213" s="301"/>
      <c r="B213" s="301"/>
      <c r="C213" s="301"/>
      <c r="D213" s="309" t="s">
        <v>2644</v>
      </c>
      <c r="E213" s="309" t="s">
        <v>2645</v>
      </c>
      <c r="F213" s="309" t="s">
        <v>2646</v>
      </c>
      <c r="G213" s="309">
        <v>144.0</v>
      </c>
      <c r="H213" s="307"/>
      <c r="I213" s="301"/>
      <c r="J213" s="301"/>
      <c r="K213" s="301"/>
      <c r="L213" s="301"/>
      <c r="M213" s="301"/>
      <c r="N213" s="301"/>
      <c r="O213" s="301"/>
      <c r="P213" s="301"/>
      <c r="Q213" s="301"/>
      <c r="R213" s="301"/>
      <c r="S213" s="301"/>
      <c r="T213" s="301"/>
      <c r="U213" s="307"/>
      <c r="V213" s="301"/>
      <c r="W213" s="301"/>
      <c r="X213" s="307"/>
      <c r="Y213" s="301"/>
      <c r="Z213" s="301"/>
      <c r="AA213" s="301"/>
      <c r="AB213" s="301"/>
      <c r="AC213" s="301"/>
      <c r="AD213" s="301"/>
      <c r="AE213" s="301"/>
      <c r="AF213" s="301"/>
      <c r="AG213" s="301"/>
      <c r="AH213" s="307"/>
      <c r="AI213" s="307"/>
      <c r="AJ213" s="307"/>
      <c r="AK213" s="307"/>
      <c r="AL213" s="307"/>
      <c r="AM213" s="307"/>
      <c r="AN213" s="307"/>
      <c r="AO213" s="307"/>
      <c r="AP213" s="307"/>
      <c r="AQ213" s="307"/>
      <c r="AR213" s="307"/>
      <c r="AS213" s="307"/>
      <c r="AT213" s="307"/>
      <c r="AU213" s="307"/>
    </row>
    <row r="214" ht="12.0" customHeight="1">
      <c r="A214" s="301"/>
      <c r="B214" s="301"/>
      <c r="C214" s="301"/>
      <c r="D214" s="309" t="s">
        <v>2647</v>
      </c>
      <c r="E214" s="309" t="s">
        <v>2648</v>
      </c>
      <c r="F214" s="309" t="s">
        <v>2649</v>
      </c>
      <c r="G214" s="309">
        <v>729.0</v>
      </c>
      <c r="H214" s="307"/>
      <c r="I214" s="301"/>
      <c r="J214" s="301"/>
      <c r="K214" s="301"/>
      <c r="L214" s="301"/>
      <c r="M214" s="301"/>
      <c r="N214" s="301"/>
      <c r="O214" s="301"/>
      <c r="P214" s="301"/>
      <c r="Q214" s="301"/>
      <c r="R214" s="301"/>
      <c r="S214" s="301"/>
      <c r="T214" s="301"/>
      <c r="U214" s="307"/>
      <c r="V214" s="301"/>
      <c r="W214" s="301"/>
      <c r="X214" s="307"/>
      <c r="Y214" s="301"/>
      <c r="Z214" s="301"/>
      <c r="AA214" s="301"/>
      <c r="AB214" s="301"/>
      <c r="AC214" s="301"/>
      <c r="AD214" s="301"/>
      <c r="AE214" s="301"/>
      <c r="AF214" s="301"/>
      <c r="AG214" s="301"/>
      <c r="AH214" s="307"/>
      <c r="AI214" s="307"/>
      <c r="AJ214" s="307"/>
      <c r="AK214" s="307"/>
      <c r="AL214" s="307"/>
      <c r="AM214" s="307"/>
      <c r="AN214" s="307"/>
      <c r="AO214" s="307"/>
      <c r="AP214" s="307"/>
      <c r="AQ214" s="307"/>
      <c r="AR214" s="307"/>
      <c r="AS214" s="307"/>
      <c r="AT214" s="307"/>
      <c r="AU214" s="307"/>
    </row>
    <row r="215" ht="12.0" customHeight="1">
      <c r="A215" s="301"/>
      <c r="B215" s="301"/>
      <c r="C215" s="301"/>
      <c r="D215" s="309" t="s">
        <v>2650</v>
      </c>
      <c r="E215" s="309" t="s">
        <v>2651</v>
      </c>
      <c r="F215" s="309" t="s">
        <v>2652</v>
      </c>
      <c r="G215" s="309">
        <v>740.0</v>
      </c>
      <c r="H215" s="307"/>
      <c r="I215" s="301"/>
      <c r="J215" s="301"/>
      <c r="K215" s="301"/>
      <c r="L215" s="301"/>
      <c r="M215" s="301"/>
      <c r="N215" s="301"/>
      <c r="O215" s="301"/>
      <c r="P215" s="301"/>
      <c r="Q215" s="301"/>
      <c r="R215" s="301"/>
      <c r="S215" s="301"/>
      <c r="T215" s="301"/>
      <c r="U215" s="307"/>
      <c r="V215" s="301"/>
      <c r="W215" s="301"/>
      <c r="X215" s="307"/>
      <c r="Y215" s="301"/>
      <c r="Z215" s="301"/>
      <c r="AA215" s="301"/>
      <c r="AB215" s="301"/>
      <c r="AC215" s="301"/>
      <c r="AD215" s="301"/>
      <c r="AE215" s="301"/>
      <c r="AF215" s="301"/>
      <c r="AG215" s="301"/>
      <c r="AH215" s="307"/>
      <c r="AI215" s="307"/>
      <c r="AJ215" s="307"/>
      <c r="AK215" s="307"/>
      <c r="AL215" s="307"/>
      <c r="AM215" s="307"/>
      <c r="AN215" s="307"/>
      <c r="AO215" s="307"/>
      <c r="AP215" s="307"/>
      <c r="AQ215" s="307"/>
      <c r="AR215" s="307"/>
      <c r="AS215" s="307"/>
      <c r="AT215" s="307"/>
      <c r="AU215" s="307"/>
    </row>
    <row r="216" ht="12.0" customHeight="1">
      <c r="A216" s="301"/>
      <c r="B216" s="301"/>
      <c r="C216" s="301"/>
      <c r="D216" s="309" t="s">
        <v>2653</v>
      </c>
      <c r="E216" s="309" t="s">
        <v>2654</v>
      </c>
      <c r="F216" s="309" t="s">
        <v>2655</v>
      </c>
      <c r="G216" s="309">
        <v>744.0</v>
      </c>
      <c r="H216" s="307"/>
      <c r="I216" s="301"/>
      <c r="J216" s="301"/>
      <c r="K216" s="301"/>
      <c r="L216" s="301"/>
      <c r="M216" s="301"/>
      <c r="N216" s="301"/>
      <c r="O216" s="301"/>
      <c r="P216" s="301"/>
      <c r="Q216" s="301"/>
      <c r="R216" s="301"/>
      <c r="S216" s="301"/>
      <c r="T216" s="301"/>
      <c r="U216" s="307"/>
      <c r="V216" s="301"/>
      <c r="W216" s="301"/>
      <c r="X216" s="307"/>
      <c r="Y216" s="301"/>
      <c r="Z216" s="301"/>
      <c r="AA216" s="301"/>
      <c r="AB216" s="301"/>
      <c r="AC216" s="301"/>
      <c r="AD216" s="301"/>
      <c r="AE216" s="301"/>
      <c r="AF216" s="301"/>
      <c r="AG216" s="301"/>
      <c r="AH216" s="307"/>
      <c r="AI216" s="307"/>
      <c r="AJ216" s="307"/>
      <c r="AK216" s="307"/>
      <c r="AL216" s="307"/>
      <c r="AM216" s="307"/>
      <c r="AN216" s="307"/>
      <c r="AO216" s="307"/>
      <c r="AP216" s="307"/>
      <c r="AQ216" s="307"/>
      <c r="AR216" s="307"/>
      <c r="AS216" s="307"/>
      <c r="AT216" s="307"/>
      <c r="AU216" s="307"/>
    </row>
    <row r="217" ht="12.0" customHeight="1">
      <c r="A217" s="301"/>
      <c r="B217" s="301"/>
      <c r="C217" s="301"/>
      <c r="D217" s="309" t="s">
        <v>2656</v>
      </c>
      <c r="E217" s="309" t="s">
        <v>2657</v>
      </c>
      <c r="F217" s="309" t="s">
        <v>2658</v>
      </c>
      <c r="G217" s="309">
        <v>752.0</v>
      </c>
      <c r="H217" s="307"/>
      <c r="I217" s="301"/>
      <c r="J217" s="301"/>
      <c r="K217" s="301"/>
      <c r="L217" s="301"/>
      <c r="M217" s="301"/>
      <c r="N217" s="301"/>
      <c r="O217" s="301"/>
      <c r="P217" s="301"/>
      <c r="Q217" s="301"/>
      <c r="R217" s="301"/>
      <c r="S217" s="301"/>
      <c r="T217" s="301"/>
      <c r="U217" s="307"/>
      <c r="V217" s="301"/>
      <c r="W217" s="301"/>
      <c r="X217" s="307"/>
      <c r="Y217" s="301"/>
      <c r="Z217" s="301"/>
      <c r="AA217" s="301"/>
      <c r="AB217" s="301"/>
      <c r="AC217" s="301"/>
      <c r="AD217" s="301"/>
      <c r="AE217" s="301"/>
      <c r="AF217" s="301"/>
      <c r="AG217" s="301"/>
      <c r="AH217" s="307"/>
      <c r="AI217" s="307"/>
      <c r="AJ217" s="307"/>
      <c r="AK217" s="307"/>
      <c r="AL217" s="307"/>
      <c r="AM217" s="307"/>
      <c r="AN217" s="307"/>
      <c r="AO217" s="307"/>
      <c r="AP217" s="307"/>
      <c r="AQ217" s="307"/>
      <c r="AR217" s="307"/>
      <c r="AS217" s="307"/>
      <c r="AT217" s="307"/>
      <c r="AU217" s="307"/>
    </row>
    <row r="218" ht="12.0" customHeight="1">
      <c r="A218" s="301"/>
      <c r="B218" s="301"/>
      <c r="C218" s="301"/>
      <c r="D218" s="309" t="s">
        <v>2659</v>
      </c>
      <c r="E218" s="309" t="s">
        <v>2660</v>
      </c>
      <c r="F218" s="309" t="s">
        <v>2661</v>
      </c>
      <c r="G218" s="309">
        <v>756.0</v>
      </c>
      <c r="H218" s="307"/>
      <c r="I218" s="301"/>
      <c r="J218" s="301"/>
      <c r="K218" s="301"/>
      <c r="L218" s="301"/>
      <c r="M218" s="301"/>
      <c r="N218" s="301"/>
      <c r="O218" s="301"/>
      <c r="P218" s="301"/>
      <c r="Q218" s="301"/>
      <c r="R218" s="301"/>
      <c r="S218" s="301"/>
      <c r="T218" s="301"/>
      <c r="U218" s="307"/>
      <c r="V218" s="301"/>
      <c r="W218" s="301"/>
      <c r="X218" s="307"/>
      <c r="Y218" s="301"/>
      <c r="Z218" s="301"/>
      <c r="AA218" s="301"/>
      <c r="AB218" s="301"/>
      <c r="AC218" s="301"/>
      <c r="AD218" s="301"/>
      <c r="AE218" s="301"/>
      <c r="AF218" s="301"/>
      <c r="AG218" s="301"/>
      <c r="AH218" s="307"/>
      <c r="AI218" s="307"/>
      <c r="AJ218" s="307"/>
      <c r="AK218" s="307"/>
      <c r="AL218" s="307"/>
      <c r="AM218" s="307"/>
      <c r="AN218" s="307"/>
      <c r="AO218" s="307"/>
      <c r="AP218" s="307"/>
      <c r="AQ218" s="307"/>
      <c r="AR218" s="307"/>
      <c r="AS218" s="307"/>
      <c r="AT218" s="307"/>
      <c r="AU218" s="307"/>
    </row>
    <row r="219" ht="12.0" customHeight="1">
      <c r="A219" s="301"/>
      <c r="B219" s="301"/>
      <c r="C219" s="301"/>
      <c r="D219" s="309" t="s">
        <v>2662</v>
      </c>
      <c r="E219" s="309" t="s">
        <v>2663</v>
      </c>
      <c r="F219" s="309" t="s">
        <v>2664</v>
      </c>
      <c r="G219" s="309">
        <v>760.0</v>
      </c>
      <c r="H219" s="307"/>
      <c r="I219" s="301"/>
      <c r="J219" s="301"/>
      <c r="K219" s="301"/>
      <c r="L219" s="301"/>
      <c r="M219" s="301"/>
      <c r="N219" s="301"/>
      <c r="O219" s="301"/>
      <c r="P219" s="301"/>
      <c r="Q219" s="301"/>
      <c r="R219" s="301"/>
      <c r="S219" s="301"/>
      <c r="T219" s="301"/>
      <c r="U219" s="307"/>
      <c r="V219" s="301"/>
      <c r="W219" s="301"/>
      <c r="X219" s="307"/>
      <c r="Y219" s="301"/>
      <c r="Z219" s="301"/>
      <c r="AA219" s="301"/>
      <c r="AB219" s="301"/>
      <c r="AC219" s="301"/>
      <c r="AD219" s="301"/>
      <c r="AE219" s="301"/>
      <c r="AF219" s="301"/>
      <c r="AG219" s="301"/>
      <c r="AH219" s="307"/>
      <c r="AI219" s="307"/>
      <c r="AJ219" s="307"/>
      <c r="AK219" s="307"/>
      <c r="AL219" s="307"/>
      <c r="AM219" s="307"/>
      <c r="AN219" s="307"/>
      <c r="AO219" s="307"/>
      <c r="AP219" s="307"/>
      <c r="AQ219" s="307"/>
      <c r="AR219" s="307"/>
      <c r="AS219" s="307"/>
      <c r="AT219" s="307"/>
      <c r="AU219" s="307"/>
    </row>
    <row r="220" ht="12.0" customHeight="1">
      <c r="A220" s="301"/>
      <c r="B220" s="301"/>
      <c r="C220" s="301"/>
      <c r="D220" s="309" t="s">
        <v>2665</v>
      </c>
      <c r="E220" s="309" t="s">
        <v>2666</v>
      </c>
      <c r="F220" s="309" t="s">
        <v>2667</v>
      </c>
      <c r="G220" s="309">
        <v>158.0</v>
      </c>
      <c r="H220" s="307"/>
      <c r="I220" s="301"/>
      <c r="J220" s="301"/>
      <c r="K220" s="301"/>
      <c r="L220" s="301"/>
      <c r="M220" s="301"/>
      <c r="N220" s="301"/>
      <c r="O220" s="301"/>
      <c r="P220" s="301"/>
      <c r="Q220" s="301"/>
      <c r="R220" s="301"/>
      <c r="S220" s="301"/>
      <c r="T220" s="301"/>
      <c r="U220" s="307"/>
      <c r="V220" s="301"/>
      <c r="W220" s="301"/>
      <c r="X220" s="307"/>
      <c r="Y220" s="301"/>
      <c r="Z220" s="301"/>
      <c r="AA220" s="301"/>
      <c r="AB220" s="301"/>
      <c r="AC220" s="301"/>
      <c r="AD220" s="301"/>
      <c r="AE220" s="301"/>
      <c r="AF220" s="301"/>
      <c r="AG220" s="301"/>
      <c r="AH220" s="307"/>
      <c r="AI220" s="307"/>
      <c r="AJ220" s="307"/>
      <c r="AK220" s="307"/>
      <c r="AL220" s="307"/>
      <c r="AM220" s="307"/>
      <c r="AN220" s="307"/>
      <c r="AO220" s="307"/>
      <c r="AP220" s="307"/>
      <c r="AQ220" s="307"/>
      <c r="AR220" s="307"/>
      <c r="AS220" s="307"/>
      <c r="AT220" s="307"/>
      <c r="AU220" s="307"/>
    </row>
    <row r="221" ht="12.0" customHeight="1">
      <c r="A221" s="301"/>
      <c r="B221" s="301"/>
      <c r="C221" s="301"/>
      <c r="D221" s="309" t="s">
        <v>2668</v>
      </c>
      <c r="E221" s="309" t="s">
        <v>2669</v>
      </c>
      <c r="F221" s="309" t="s">
        <v>2670</v>
      </c>
      <c r="G221" s="309">
        <v>762.0</v>
      </c>
      <c r="H221" s="307"/>
      <c r="I221" s="301"/>
      <c r="J221" s="301"/>
      <c r="K221" s="301"/>
      <c r="L221" s="301"/>
      <c r="M221" s="301"/>
      <c r="N221" s="301"/>
      <c r="O221" s="301"/>
      <c r="P221" s="301"/>
      <c r="Q221" s="301"/>
      <c r="R221" s="301"/>
      <c r="S221" s="301"/>
      <c r="T221" s="301"/>
      <c r="U221" s="307"/>
      <c r="V221" s="301"/>
      <c r="W221" s="301"/>
      <c r="X221" s="307"/>
      <c r="Y221" s="301"/>
      <c r="Z221" s="301"/>
      <c r="AA221" s="301"/>
      <c r="AB221" s="301"/>
      <c r="AC221" s="301"/>
      <c r="AD221" s="301"/>
      <c r="AE221" s="301"/>
      <c r="AF221" s="301"/>
      <c r="AG221" s="301"/>
      <c r="AH221" s="307"/>
      <c r="AI221" s="307"/>
      <c r="AJ221" s="307"/>
      <c r="AK221" s="307"/>
      <c r="AL221" s="307"/>
      <c r="AM221" s="307"/>
      <c r="AN221" s="307"/>
      <c r="AO221" s="307"/>
      <c r="AP221" s="307"/>
      <c r="AQ221" s="307"/>
      <c r="AR221" s="307"/>
      <c r="AS221" s="307"/>
      <c r="AT221" s="307"/>
      <c r="AU221" s="307"/>
    </row>
    <row r="222" ht="12.0" customHeight="1">
      <c r="A222" s="301"/>
      <c r="B222" s="301"/>
      <c r="C222" s="301"/>
      <c r="D222" s="309" t="s">
        <v>2671</v>
      </c>
      <c r="E222" s="309" t="s">
        <v>2672</v>
      </c>
      <c r="F222" s="309" t="s">
        <v>2673</v>
      </c>
      <c r="G222" s="309">
        <v>834.0</v>
      </c>
      <c r="H222" s="307"/>
      <c r="I222" s="301"/>
      <c r="J222" s="301"/>
      <c r="K222" s="301"/>
      <c r="L222" s="301"/>
      <c r="M222" s="301"/>
      <c r="N222" s="301"/>
      <c r="O222" s="301"/>
      <c r="P222" s="301"/>
      <c r="Q222" s="301"/>
      <c r="R222" s="301"/>
      <c r="S222" s="301"/>
      <c r="T222" s="301"/>
      <c r="U222" s="307"/>
      <c r="V222" s="301"/>
      <c r="W222" s="301"/>
      <c r="X222" s="307"/>
      <c r="Y222" s="301"/>
      <c r="Z222" s="301"/>
      <c r="AA222" s="301"/>
      <c r="AB222" s="301"/>
      <c r="AC222" s="301"/>
      <c r="AD222" s="301"/>
      <c r="AE222" s="301"/>
      <c r="AF222" s="301"/>
      <c r="AG222" s="301"/>
      <c r="AH222" s="307"/>
      <c r="AI222" s="307"/>
      <c r="AJ222" s="307"/>
      <c r="AK222" s="307"/>
      <c r="AL222" s="307"/>
      <c r="AM222" s="307"/>
      <c r="AN222" s="307"/>
      <c r="AO222" s="307"/>
      <c r="AP222" s="307"/>
      <c r="AQ222" s="307"/>
      <c r="AR222" s="307"/>
      <c r="AS222" s="307"/>
      <c r="AT222" s="307"/>
      <c r="AU222" s="307"/>
    </row>
    <row r="223" ht="12.0" customHeight="1">
      <c r="A223" s="301"/>
      <c r="B223" s="301"/>
      <c r="C223" s="301"/>
      <c r="D223" s="309" t="s">
        <v>2674</v>
      </c>
      <c r="E223" s="309" t="s">
        <v>2675</v>
      </c>
      <c r="F223" s="309" t="s">
        <v>2676</v>
      </c>
      <c r="G223" s="309">
        <v>764.0</v>
      </c>
      <c r="H223" s="307"/>
      <c r="I223" s="301"/>
      <c r="J223" s="301"/>
      <c r="K223" s="301"/>
      <c r="L223" s="301"/>
      <c r="M223" s="301"/>
      <c r="N223" s="301"/>
      <c r="O223" s="301"/>
      <c r="P223" s="301"/>
      <c r="Q223" s="301"/>
      <c r="R223" s="301"/>
      <c r="S223" s="301"/>
      <c r="T223" s="301"/>
      <c r="U223" s="307"/>
      <c r="V223" s="301"/>
      <c r="W223" s="301"/>
      <c r="X223" s="307"/>
      <c r="Y223" s="301"/>
      <c r="Z223" s="301"/>
      <c r="AA223" s="301"/>
      <c r="AB223" s="301"/>
      <c r="AC223" s="301"/>
      <c r="AD223" s="301"/>
      <c r="AE223" s="301"/>
      <c r="AF223" s="301"/>
      <c r="AG223" s="301"/>
      <c r="AH223" s="307"/>
      <c r="AI223" s="307"/>
      <c r="AJ223" s="307"/>
      <c r="AK223" s="307"/>
      <c r="AL223" s="307"/>
      <c r="AM223" s="307"/>
      <c r="AN223" s="307"/>
      <c r="AO223" s="307"/>
      <c r="AP223" s="307"/>
      <c r="AQ223" s="307"/>
      <c r="AR223" s="307"/>
      <c r="AS223" s="307"/>
      <c r="AT223" s="307"/>
      <c r="AU223" s="307"/>
    </row>
    <row r="224" ht="12.0" customHeight="1">
      <c r="A224" s="301"/>
      <c r="B224" s="301"/>
      <c r="C224" s="301"/>
      <c r="D224" s="309" t="s">
        <v>2677</v>
      </c>
      <c r="E224" s="309" t="s">
        <v>2678</v>
      </c>
      <c r="F224" s="309" t="s">
        <v>2679</v>
      </c>
      <c r="G224" s="309">
        <v>626.0</v>
      </c>
      <c r="H224" s="307"/>
      <c r="I224" s="301"/>
      <c r="J224" s="301"/>
      <c r="K224" s="301"/>
      <c r="L224" s="301"/>
      <c r="M224" s="301"/>
      <c r="N224" s="301"/>
      <c r="O224" s="301"/>
      <c r="P224" s="301"/>
      <c r="Q224" s="301"/>
      <c r="R224" s="301"/>
      <c r="S224" s="301"/>
      <c r="T224" s="301"/>
      <c r="U224" s="307"/>
      <c r="V224" s="301"/>
      <c r="W224" s="301"/>
      <c r="X224" s="307"/>
      <c r="Y224" s="301"/>
      <c r="Z224" s="301"/>
      <c r="AA224" s="301"/>
      <c r="AB224" s="301"/>
      <c r="AC224" s="301"/>
      <c r="AD224" s="301"/>
      <c r="AE224" s="301"/>
      <c r="AF224" s="301"/>
      <c r="AG224" s="301"/>
      <c r="AH224" s="307"/>
      <c r="AI224" s="307"/>
      <c r="AJ224" s="307"/>
      <c r="AK224" s="307"/>
      <c r="AL224" s="307"/>
      <c r="AM224" s="307"/>
      <c r="AN224" s="307"/>
      <c r="AO224" s="307"/>
      <c r="AP224" s="307"/>
      <c r="AQ224" s="307"/>
      <c r="AR224" s="307"/>
      <c r="AS224" s="307"/>
      <c r="AT224" s="307"/>
      <c r="AU224" s="307"/>
    </row>
    <row r="225" ht="12.0" customHeight="1">
      <c r="A225" s="301"/>
      <c r="B225" s="301"/>
      <c r="C225" s="301"/>
      <c r="D225" s="309" t="s">
        <v>2680</v>
      </c>
      <c r="E225" s="309" t="s">
        <v>2681</v>
      </c>
      <c r="F225" s="309" t="s">
        <v>2682</v>
      </c>
      <c r="G225" s="309">
        <v>768.0</v>
      </c>
      <c r="H225" s="307"/>
      <c r="I225" s="301"/>
      <c r="J225" s="301"/>
      <c r="K225" s="301"/>
      <c r="L225" s="301"/>
      <c r="M225" s="301"/>
      <c r="N225" s="301"/>
      <c r="O225" s="301"/>
      <c r="P225" s="301"/>
      <c r="Q225" s="301"/>
      <c r="R225" s="301"/>
      <c r="S225" s="301"/>
      <c r="T225" s="301"/>
      <c r="U225" s="307"/>
      <c r="V225" s="301"/>
      <c r="W225" s="301"/>
      <c r="X225" s="307"/>
      <c r="Y225" s="301"/>
      <c r="Z225" s="301"/>
      <c r="AA225" s="301"/>
      <c r="AB225" s="301"/>
      <c r="AC225" s="301"/>
      <c r="AD225" s="301"/>
      <c r="AE225" s="301"/>
      <c r="AF225" s="301"/>
      <c r="AG225" s="301"/>
      <c r="AH225" s="307"/>
      <c r="AI225" s="307"/>
      <c r="AJ225" s="307"/>
      <c r="AK225" s="307"/>
      <c r="AL225" s="307"/>
      <c r="AM225" s="307"/>
      <c r="AN225" s="307"/>
      <c r="AO225" s="307"/>
      <c r="AP225" s="307"/>
      <c r="AQ225" s="307"/>
      <c r="AR225" s="307"/>
      <c r="AS225" s="307"/>
      <c r="AT225" s="307"/>
      <c r="AU225" s="307"/>
    </row>
    <row r="226" ht="12.0" customHeight="1">
      <c r="A226" s="301"/>
      <c r="B226" s="301"/>
      <c r="C226" s="301"/>
      <c r="D226" s="309" t="s">
        <v>2683</v>
      </c>
      <c r="E226" s="309" t="s">
        <v>2684</v>
      </c>
      <c r="F226" s="309" t="s">
        <v>2685</v>
      </c>
      <c r="G226" s="309">
        <v>772.0</v>
      </c>
      <c r="H226" s="307"/>
      <c r="I226" s="301"/>
      <c r="J226" s="301"/>
      <c r="K226" s="301"/>
      <c r="L226" s="301"/>
      <c r="M226" s="301"/>
      <c r="N226" s="301"/>
      <c r="O226" s="301"/>
      <c r="P226" s="301"/>
      <c r="Q226" s="301"/>
      <c r="R226" s="301"/>
      <c r="S226" s="301"/>
      <c r="T226" s="301"/>
      <c r="U226" s="307"/>
      <c r="V226" s="301"/>
      <c r="W226" s="301"/>
      <c r="X226" s="307"/>
      <c r="Y226" s="301"/>
      <c r="Z226" s="301"/>
      <c r="AA226" s="301"/>
      <c r="AB226" s="301"/>
      <c r="AC226" s="301"/>
      <c r="AD226" s="301"/>
      <c r="AE226" s="301"/>
      <c r="AF226" s="301"/>
      <c r="AG226" s="301"/>
      <c r="AH226" s="307"/>
      <c r="AI226" s="307"/>
      <c r="AJ226" s="307"/>
      <c r="AK226" s="307"/>
      <c r="AL226" s="307"/>
      <c r="AM226" s="307"/>
      <c r="AN226" s="307"/>
      <c r="AO226" s="307"/>
      <c r="AP226" s="307"/>
      <c r="AQ226" s="307"/>
      <c r="AR226" s="307"/>
      <c r="AS226" s="307"/>
      <c r="AT226" s="307"/>
      <c r="AU226" s="307"/>
    </row>
    <row r="227" ht="12.0" customHeight="1">
      <c r="A227" s="301"/>
      <c r="B227" s="301"/>
      <c r="C227" s="301"/>
      <c r="D227" s="309" t="s">
        <v>2686</v>
      </c>
      <c r="E227" s="309" t="s">
        <v>2687</v>
      </c>
      <c r="F227" s="309" t="s">
        <v>2688</v>
      </c>
      <c r="G227" s="309">
        <v>776.0</v>
      </c>
      <c r="H227" s="307"/>
      <c r="I227" s="301"/>
      <c r="J227" s="301"/>
      <c r="K227" s="301"/>
      <c r="L227" s="301"/>
      <c r="M227" s="301"/>
      <c r="N227" s="301"/>
      <c r="O227" s="301"/>
      <c r="P227" s="301"/>
      <c r="Q227" s="301"/>
      <c r="R227" s="301"/>
      <c r="S227" s="301"/>
      <c r="T227" s="301"/>
      <c r="U227" s="307"/>
      <c r="V227" s="301"/>
      <c r="W227" s="301"/>
      <c r="X227" s="307"/>
      <c r="Y227" s="301"/>
      <c r="Z227" s="301"/>
      <c r="AA227" s="301"/>
      <c r="AB227" s="301"/>
      <c r="AC227" s="301"/>
      <c r="AD227" s="301"/>
      <c r="AE227" s="301"/>
      <c r="AF227" s="301"/>
      <c r="AG227" s="301"/>
      <c r="AH227" s="307"/>
      <c r="AI227" s="307"/>
      <c r="AJ227" s="307"/>
      <c r="AK227" s="307"/>
      <c r="AL227" s="307"/>
      <c r="AM227" s="307"/>
      <c r="AN227" s="307"/>
      <c r="AO227" s="307"/>
      <c r="AP227" s="307"/>
      <c r="AQ227" s="307"/>
      <c r="AR227" s="307"/>
      <c r="AS227" s="307"/>
      <c r="AT227" s="307"/>
      <c r="AU227" s="307"/>
    </row>
    <row r="228" ht="12.0" customHeight="1">
      <c r="A228" s="301"/>
      <c r="B228" s="301"/>
      <c r="C228" s="301"/>
      <c r="D228" s="309" t="s">
        <v>2689</v>
      </c>
      <c r="E228" s="309" t="s">
        <v>2690</v>
      </c>
      <c r="F228" s="309" t="s">
        <v>2691</v>
      </c>
      <c r="G228" s="309">
        <v>780.0</v>
      </c>
      <c r="H228" s="307"/>
      <c r="I228" s="301"/>
      <c r="J228" s="301"/>
      <c r="K228" s="301"/>
      <c r="L228" s="301"/>
      <c r="M228" s="301"/>
      <c r="N228" s="301"/>
      <c r="O228" s="301"/>
      <c r="P228" s="301"/>
      <c r="Q228" s="301"/>
      <c r="R228" s="301"/>
      <c r="S228" s="301"/>
      <c r="T228" s="301"/>
      <c r="U228" s="307"/>
      <c r="V228" s="301"/>
      <c r="W228" s="301"/>
      <c r="X228" s="307"/>
      <c r="Y228" s="301"/>
      <c r="Z228" s="301"/>
      <c r="AA228" s="301"/>
      <c r="AB228" s="301"/>
      <c r="AC228" s="301"/>
      <c r="AD228" s="301"/>
      <c r="AE228" s="301"/>
      <c r="AF228" s="301"/>
      <c r="AG228" s="301"/>
      <c r="AH228" s="307"/>
      <c r="AI228" s="307"/>
      <c r="AJ228" s="307"/>
      <c r="AK228" s="307"/>
      <c r="AL228" s="307"/>
      <c r="AM228" s="307"/>
      <c r="AN228" s="307"/>
      <c r="AO228" s="307"/>
      <c r="AP228" s="307"/>
      <c r="AQ228" s="307"/>
      <c r="AR228" s="307"/>
      <c r="AS228" s="307"/>
      <c r="AT228" s="307"/>
      <c r="AU228" s="307"/>
    </row>
    <row r="229" ht="12.0" customHeight="1">
      <c r="A229" s="301"/>
      <c r="B229" s="301"/>
      <c r="C229" s="301"/>
      <c r="D229" s="309" t="s">
        <v>2692</v>
      </c>
      <c r="E229" s="309" t="s">
        <v>2693</v>
      </c>
      <c r="F229" s="309" t="s">
        <v>2694</v>
      </c>
      <c r="G229" s="309">
        <v>788.0</v>
      </c>
      <c r="H229" s="307"/>
      <c r="I229" s="301"/>
      <c r="J229" s="301"/>
      <c r="K229" s="301"/>
      <c r="L229" s="301"/>
      <c r="M229" s="301"/>
      <c r="N229" s="301"/>
      <c r="O229" s="301"/>
      <c r="P229" s="301"/>
      <c r="Q229" s="301"/>
      <c r="R229" s="301"/>
      <c r="S229" s="301"/>
      <c r="T229" s="301"/>
      <c r="U229" s="307"/>
      <c r="V229" s="301"/>
      <c r="W229" s="301"/>
      <c r="X229" s="307"/>
      <c r="Y229" s="301"/>
      <c r="Z229" s="301"/>
      <c r="AA229" s="301"/>
      <c r="AB229" s="301"/>
      <c r="AC229" s="301"/>
      <c r="AD229" s="301"/>
      <c r="AE229" s="301"/>
      <c r="AF229" s="301"/>
      <c r="AG229" s="301"/>
      <c r="AH229" s="307"/>
      <c r="AI229" s="307"/>
      <c r="AJ229" s="307"/>
      <c r="AK229" s="307"/>
      <c r="AL229" s="307"/>
      <c r="AM229" s="307"/>
      <c r="AN229" s="307"/>
      <c r="AO229" s="307"/>
      <c r="AP229" s="307"/>
      <c r="AQ229" s="307"/>
      <c r="AR229" s="307"/>
      <c r="AS229" s="307"/>
      <c r="AT229" s="307"/>
      <c r="AU229" s="307"/>
    </row>
    <row r="230" ht="12.0" customHeight="1">
      <c r="A230" s="301"/>
      <c r="B230" s="301"/>
      <c r="C230" s="301"/>
      <c r="D230" s="309" t="s">
        <v>2695</v>
      </c>
      <c r="E230" s="309" t="s">
        <v>2696</v>
      </c>
      <c r="F230" s="309" t="s">
        <v>2697</v>
      </c>
      <c r="G230" s="309">
        <v>792.0</v>
      </c>
      <c r="H230" s="307"/>
      <c r="I230" s="301"/>
      <c r="J230" s="301"/>
      <c r="K230" s="301"/>
      <c r="L230" s="301"/>
      <c r="M230" s="301"/>
      <c r="N230" s="301"/>
      <c r="O230" s="301"/>
      <c r="P230" s="301"/>
      <c r="Q230" s="301"/>
      <c r="R230" s="301"/>
      <c r="S230" s="301"/>
      <c r="T230" s="301"/>
      <c r="U230" s="307"/>
      <c r="V230" s="301"/>
      <c r="W230" s="301"/>
      <c r="X230" s="307"/>
      <c r="Y230" s="301"/>
      <c r="Z230" s="301"/>
      <c r="AA230" s="301"/>
      <c r="AB230" s="301"/>
      <c r="AC230" s="301"/>
      <c r="AD230" s="301"/>
      <c r="AE230" s="301"/>
      <c r="AF230" s="301"/>
      <c r="AG230" s="301"/>
      <c r="AH230" s="307"/>
      <c r="AI230" s="307"/>
      <c r="AJ230" s="307"/>
      <c r="AK230" s="307"/>
      <c r="AL230" s="307"/>
      <c r="AM230" s="307"/>
      <c r="AN230" s="307"/>
      <c r="AO230" s="307"/>
      <c r="AP230" s="307"/>
      <c r="AQ230" s="307"/>
      <c r="AR230" s="307"/>
      <c r="AS230" s="307"/>
      <c r="AT230" s="307"/>
      <c r="AU230" s="307"/>
    </row>
    <row r="231" ht="12.0" customHeight="1">
      <c r="A231" s="301"/>
      <c r="B231" s="301"/>
      <c r="C231" s="301"/>
      <c r="D231" s="309" t="s">
        <v>2698</v>
      </c>
      <c r="E231" s="309" t="s">
        <v>2699</v>
      </c>
      <c r="F231" s="309" t="s">
        <v>2700</v>
      </c>
      <c r="G231" s="309">
        <v>795.0</v>
      </c>
      <c r="H231" s="307"/>
      <c r="I231" s="301"/>
      <c r="J231" s="301"/>
      <c r="K231" s="301"/>
      <c r="L231" s="301"/>
      <c r="M231" s="301"/>
      <c r="N231" s="301"/>
      <c r="O231" s="301"/>
      <c r="P231" s="301"/>
      <c r="Q231" s="301"/>
      <c r="R231" s="301"/>
      <c r="S231" s="301"/>
      <c r="T231" s="301"/>
      <c r="U231" s="307"/>
      <c r="V231" s="301"/>
      <c r="W231" s="301"/>
      <c r="X231" s="307"/>
      <c r="Y231" s="301"/>
      <c r="Z231" s="301"/>
      <c r="AA231" s="301"/>
      <c r="AB231" s="301"/>
      <c r="AC231" s="301"/>
      <c r="AD231" s="301"/>
      <c r="AE231" s="301"/>
      <c r="AF231" s="301"/>
      <c r="AG231" s="301"/>
      <c r="AH231" s="307"/>
      <c r="AI231" s="307"/>
      <c r="AJ231" s="307"/>
      <c r="AK231" s="307"/>
      <c r="AL231" s="307"/>
      <c r="AM231" s="307"/>
      <c r="AN231" s="307"/>
      <c r="AO231" s="307"/>
      <c r="AP231" s="307"/>
      <c r="AQ231" s="307"/>
      <c r="AR231" s="307"/>
      <c r="AS231" s="307"/>
      <c r="AT231" s="307"/>
      <c r="AU231" s="307"/>
    </row>
    <row r="232" ht="12.0" customHeight="1">
      <c r="A232" s="301"/>
      <c r="B232" s="301"/>
      <c r="C232" s="301"/>
      <c r="D232" s="309" t="s">
        <v>2701</v>
      </c>
      <c r="E232" s="309" t="s">
        <v>2702</v>
      </c>
      <c r="F232" s="309" t="s">
        <v>2703</v>
      </c>
      <c r="G232" s="309">
        <v>796.0</v>
      </c>
      <c r="H232" s="307"/>
      <c r="I232" s="301"/>
      <c r="J232" s="301"/>
      <c r="K232" s="301"/>
      <c r="L232" s="301"/>
      <c r="M232" s="301"/>
      <c r="N232" s="301"/>
      <c r="O232" s="301"/>
      <c r="P232" s="301"/>
      <c r="Q232" s="301"/>
      <c r="R232" s="301"/>
      <c r="S232" s="301"/>
      <c r="T232" s="301"/>
      <c r="U232" s="307"/>
      <c r="V232" s="301"/>
      <c r="W232" s="301"/>
      <c r="X232" s="307"/>
      <c r="Y232" s="301"/>
      <c r="Z232" s="301"/>
      <c r="AA232" s="301"/>
      <c r="AB232" s="301"/>
      <c r="AC232" s="301"/>
      <c r="AD232" s="301"/>
      <c r="AE232" s="301"/>
      <c r="AF232" s="301"/>
      <c r="AG232" s="301"/>
      <c r="AH232" s="307"/>
      <c r="AI232" s="307"/>
      <c r="AJ232" s="307"/>
      <c r="AK232" s="307"/>
      <c r="AL232" s="307"/>
      <c r="AM232" s="307"/>
      <c r="AN232" s="307"/>
      <c r="AO232" s="307"/>
      <c r="AP232" s="307"/>
      <c r="AQ232" s="307"/>
      <c r="AR232" s="307"/>
      <c r="AS232" s="307"/>
      <c r="AT232" s="307"/>
      <c r="AU232" s="307"/>
    </row>
    <row r="233" ht="12.0" customHeight="1">
      <c r="A233" s="301"/>
      <c r="B233" s="301"/>
      <c r="C233" s="301"/>
      <c r="D233" s="309" t="s">
        <v>2704</v>
      </c>
      <c r="E233" s="309" t="s">
        <v>2705</v>
      </c>
      <c r="F233" s="309" t="s">
        <v>2706</v>
      </c>
      <c r="G233" s="309">
        <v>798.0</v>
      </c>
      <c r="H233" s="307"/>
      <c r="I233" s="301"/>
      <c r="J233" s="301"/>
      <c r="K233" s="301"/>
      <c r="L233" s="301"/>
      <c r="M233" s="301"/>
      <c r="N233" s="301"/>
      <c r="O233" s="301"/>
      <c r="P233" s="301"/>
      <c r="Q233" s="301"/>
      <c r="R233" s="301"/>
      <c r="S233" s="301"/>
      <c r="T233" s="301"/>
      <c r="U233" s="307"/>
      <c r="V233" s="301"/>
      <c r="W233" s="301"/>
      <c r="X233" s="307"/>
      <c r="Y233" s="301"/>
      <c r="Z233" s="301"/>
      <c r="AA233" s="301"/>
      <c r="AB233" s="301"/>
      <c r="AC233" s="301"/>
      <c r="AD233" s="301"/>
      <c r="AE233" s="301"/>
      <c r="AF233" s="301"/>
      <c r="AG233" s="301"/>
      <c r="AH233" s="307"/>
      <c r="AI233" s="307"/>
      <c r="AJ233" s="307"/>
      <c r="AK233" s="307"/>
      <c r="AL233" s="307"/>
      <c r="AM233" s="307"/>
      <c r="AN233" s="307"/>
      <c r="AO233" s="307"/>
      <c r="AP233" s="307"/>
      <c r="AQ233" s="307"/>
      <c r="AR233" s="307"/>
      <c r="AS233" s="307"/>
      <c r="AT233" s="307"/>
      <c r="AU233" s="307"/>
    </row>
    <row r="234" ht="12.0" customHeight="1">
      <c r="A234" s="301"/>
      <c r="B234" s="301"/>
      <c r="C234" s="301"/>
      <c r="D234" s="309" t="s">
        <v>2707</v>
      </c>
      <c r="E234" s="309" t="s">
        <v>2708</v>
      </c>
      <c r="F234" s="309" t="s">
        <v>2709</v>
      </c>
      <c r="G234" s="309">
        <v>800.0</v>
      </c>
      <c r="H234" s="307"/>
      <c r="I234" s="301"/>
      <c r="J234" s="301"/>
      <c r="K234" s="301"/>
      <c r="L234" s="301"/>
      <c r="M234" s="301"/>
      <c r="N234" s="301"/>
      <c r="O234" s="301"/>
      <c r="P234" s="301"/>
      <c r="Q234" s="301"/>
      <c r="R234" s="301"/>
      <c r="S234" s="301"/>
      <c r="T234" s="301"/>
      <c r="U234" s="307"/>
      <c r="V234" s="301"/>
      <c r="W234" s="301"/>
      <c r="X234" s="307"/>
      <c r="Y234" s="301"/>
      <c r="Z234" s="301"/>
      <c r="AA234" s="301"/>
      <c r="AB234" s="301"/>
      <c r="AC234" s="301"/>
      <c r="AD234" s="301"/>
      <c r="AE234" s="301"/>
      <c r="AF234" s="301"/>
      <c r="AG234" s="301"/>
      <c r="AH234" s="307"/>
      <c r="AI234" s="307"/>
      <c r="AJ234" s="307"/>
      <c r="AK234" s="307"/>
      <c r="AL234" s="307"/>
      <c r="AM234" s="307"/>
      <c r="AN234" s="307"/>
      <c r="AO234" s="307"/>
      <c r="AP234" s="307"/>
      <c r="AQ234" s="307"/>
      <c r="AR234" s="307"/>
      <c r="AS234" s="307"/>
      <c r="AT234" s="307"/>
      <c r="AU234" s="307"/>
    </row>
    <row r="235" ht="12.0" customHeight="1">
      <c r="A235" s="301"/>
      <c r="B235" s="301"/>
      <c r="C235" s="301"/>
      <c r="D235" s="309" t="s">
        <v>2710</v>
      </c>
      <c r="E235" s="309" t="s">
        <v>2711</v>
      </c>
      <c r="F235" s="309" t="s">
        <v>2712</v>
      </c>
      <c r="G235" s="309">
        <v>804.0</v>
      </c>
      <c r="H235" s="307"/>
      <c r="I235" s="301"/>
      <c r="J235" s="301"/>
      <c r="K235" s="301"/>
      <c r="L235" s="301"/>
      <c r="M235" s="301"/>
      <c r="N235" s="301"/>
      <c r="O235" s="301"/>
      <c r="P235" s="301"/>
      <c r="Q235" s="301"/>
      <c r="R235" s="301"/>
      <c r="S235" s="301"/>
      <c r="T235" s="301"/>
      <c r="U235" s="307"/>
      <c r="V235" s="301"/>
      <c r="W235" s="301"/>
      <c r="X235" s="307"/>
      <c r="Y235" s="301"/>
      <c r="Z235" s="301"/>
      <c r="AA235" s="301"/>
      <c r="AB235" s="301"/>
      <c r="AC235" s="301"/>
      <c r="AD235" s="301"/>
      <c r="AE235" s="301"/>
      <c r="AF235" s="301"/>
      <c r="AG235" s="301"/>
      <c r="AH235" s="307"/>
      <c r="AI235" s="307"/>
      <c r="AJ235" s="307"/>
      <c r="AK235" s="307"/>
      <c r="AL235" s="307"/>
      <c r="AM235" s="307"/>
      <c r="AN235" s="307"/>
      <c r="AO235" s="307"/>
      <c r="AP235" s="307"/>
      <c r="AQ235" s="307"/>
      <c r="AR235" s="307"/>
      <c r="AS235" s="307"/>
      <c r="AT235" s="307"/>
      <c r="AU235" s="307"/>
    </row>
    <row r="236" ht="12.0" customHeight="1">
      <c r="A236" s="301"/>
      <c r="B236" s="301"/>
      <c r="C236" s="301"/>
      <c r="D236" s="309" t="s">
        <v>2713</v>
      </c>
      <c r="E236" s="309" t="s">
        <v>2714</v>
      </c>
      <c r="F236" s="309" t="s">
        <v>2715</v>
      </c>
      <c r="G236" s="309">
        <v>784.0</v>
      </c>
      <c r="H236" s="307"/>
      <c r="I236" s="301"/>
      <c r="J236" s="301"/>
      <c r="K236" s="301"/>
      <c r="L236" s="301"/>
      <c r="M236" s="301"/>
      <c r="N236" s="301"/>
      <c r="O236" s="301"/>
      <c r="P236" s="301"/>
      <c r="Q236" s="301"/>
      <c r="R236" s="301"/>
      <c r="S236" s="301"/>
      <c r="T236" s="301"/>
      <c r="U236" s="307"/>
      <c r="V236" s="301"/>
      <c r="W236" s="301"/>
      <c r="X236" s="307"/>
      <c r="Y236" s="301"/>
      <c r="Z236" s="301"/>
      <c r="AA236" s="301"/>
      <c r="AB236" s="301"/>
      <c r="AC236" s="301"/>
      <c r="AD236" s="301"/>
      <c r="AE236" s="301"/>
      <c r="AF236" s="301"/>
      <c r="AG236" s="301"/>
      <c r="AH236" s="307"/>
      <c r="AI236" s="307"/>
      <c r="AJ236" s="307"/>
      <c r="AK236" s="307"/>
      <c r="AL236" s="307"/>
      <c r="AM236" s="307"/>
      <c r="AN236" s="307"/>
      <c r="AO236" s="307"/>
      <c r="AP236" s="307"/>
      <c r="AQ236" s="307"/>
      <c r="AR236" s="307"/>
      <c r="AS236" s="307"/>
      <c r="AT236" s="307"/>
      <c r="AU236" s="307"/>
    </row>
    <row r="237" ht="12.0" customHeight="1">
      <c r="A237" s="301"/>
      <c r="B237" s="301"/>
      <c r="C237" s="301"/>
      <c r="D237" s="309" t="s">
        <v>2716</v>
      </c>
      <c r="E237" s="309" t="s">
        <v>2717</v>
      </c>
      <c r="F237" s="309" t="s">
        <v>2718</v>
      </c>
      <c r="G237" s="309">
        <v>826.0</v>
      </c>
      <c r="H237" s="307"/>
      <c r="I237" s="301"/>
      <c r="J237" s="301"/>
      <c r="K237" s="301"/>
      <c r="L237" s="301"/>
      <c r="M237" s="301"/>
      <c r="N237" s="301"/>
      <c r="O237" s="301"/>
      <c r="P237" s="301"/>
      <c r="Q237" s="301"/>
      <c r="R237" s="301"/>
      <c r="S237" s="301"/>
      <c r="T237" s="301"/>
      <c r="U237" s="307"/>
      <c r="V237" s="301"/>
      <c r="W237" s="301"/>
      <c r="X237" s="307"/>
      <c r="Y237" s="301"/>
      <c r="Z237" s="301"/>
      <c r="AA237" s="301"/>
      <c r="AB237" s="301"/>
      <c r="AC237" s="301"/>
      <c r="AD237" s="301"/>
      <c r="AE237" s="301"/>
      <c r="AF237" s="301"/>
      <c r="AG237" s="301"/>
      <c r="AH237" s="307"/>
      <c r="AI237" s="307"/>
      <c r="AJ237" s="307"/>
      <c r="AK237" s="307"/>
      <c r="AL237" s="307"/>
      <c r="AM237" s="307"/>
      <c r="AN237" s="307"/>
      <c r="AO237" s="307"/>
      <c r="AP237" s="307"/>
      <c r="AQ237" s="307"/>
      <c r="AR237" s="307"/>
      <c r="AS237" s="307"/>
      <c r="AT237" s="307"/>
      <c r="AU237" s="307"/>
    </row>
    <row r="238" ht="12.0" customHeight="1">
      <c r="A238" s="301"/>
      <c r="B238" s="301"/>
      <c r="C238" s="301"/>
      <c r="D238" s="309" t="s">
        <v>2719</v>
      </c>
      <c r="E238" s="309" t="s">
        <v>2720</v>
      </c>
      <c r="F238" s="309" t="s">
        <v>2721</v>
      </c>
      <c r="G238" s="309">
        <v>581.0</v>
      </c>
      <c r="H238" s="307"/>
      <c r="I238" s="301"/>
      <c r="J238" s="301"/>
      <c r="K238" s="301"/>
      <c r="L238" s="301"/>
      <c r="M238" s="301"/>
      <c r="N238" s="301"/>
      <c r="O238" s="301"/>
      <c r="P238" s="301"/>
      <c r="Q238" s="301"/>
      <c r="R238" s="301"/>
      <c r="S238" s="301"/>
      <c r="T238" s="301"/>
      <c r="U238" s="307"/>
      <c r="V238" s="301"/>
      <c r="W238" s="301"/>
      <c r="X238" s="307"/>
      <c r="Y238" s="301"/>
      <c r="Z238" s="301"/>
      <c r="AA238" s="301"/>
      <c r="AB238" s="301"/>
      <c r="AC238" s="301"/>
      <c r="AD238" s="301"/>
      <c r="AE238" s="301"/>
      <c r="AF238" s="301"/>
      <c r="AG238" s="301"/>
      <c r="AH238" s="307"/>
      <c r="AI238" s="307"/>
      <c r="AJ238" s="307"/>
      <c r="AK238" s="307"/>
      <c r="AL238" s="307"/>
      <c r="AM238" s="307"/>
      <c r="AN238" s="307"/>
      <c r="AO238" s="307"/>
      <c r="AP238" s="307"/>
      <c r="AQ238" s="307"/>
      <c r="AR238" s="307"/>
      <c r="AS238" s="307"/>
      <c r="AT238" s="307"/>
      <c r="AU238" s="307"/>
    </row>
    <row r="239" ht="12.0" customHeight="1">
      <c r="A239" s="301"/>
      <c r="B239" s="301"/>
      <c r="C239" s="301"/>
      <c r="D239" s="309" t="s">
        <v>2722</v>
      </c>
      <c r="E239" s="309" t="s">
        <v>2723</v>
      </c>
      <c r="F239" s="309" t="s">
        <v>2724</v>
      </c>
      <c r="G239" s="309">
        <v>840.0</v>
      </c>
      <c r="H239" s="307"/>
      <c r="I239" s="301"/>
      <c r="J239" s="301"/>
      <c r="K239" s="301"/>
      <c r="L239" s="301"/>
      <c r="M239" s="301"/>
      <c r="N239" s="301"/>
      <c r="O239" s="301"/>
      <c r="P239" s="301"/>
      <c r="Q239" s="301"/>
      <c r="R239" s="301"/>
      <c r="S239" s="301"/>
      <c r="T239" s="301"/>
      <c r="U239" s="307"/>
      <c r="V239" s="301"/>
      <c r="W239" s="301"/>
      <c r="X239" s="307"/>
      <c r="Y239" s="301"/>
      <c r="Z239" s="301"/>
      <c r="AA239" s="301"/>
      <c r="AB239" s="301"/>
      <c r="AC239" s="301"/>
      <c r="AD239" s="301"/>
      <c r="AE239" s="301"/>
      <c r="AF239" s="301"/>
      <c r="AG239" s="301"/>
      <c r="AH239" s="307"/>
      <c r="AI239" s="307"/>
      <c r="AJ239" s="307"/>
      <c r="AK239" s="307"/>
      <c r="AL239" s="307"/>
      <c r="AM239" s="307"/>
      <c r="AN239" s="307"/>
      <c r="AO239" s="307"/>
      <c r="AP239" s="307"/>
      <c r="AQ239" s="307"/>
      <c r="AR239" s="307"/>
      <c r="AS239" s="307"/>
      <c r="AT239" s="307"/>
      <c r="AU239" s="307"/>
    </row>
    <row r="240" ht="12.0" customHeight="1">
      <c r="A240" s="301"/>
      <c r="B240" s="301"/>
      <c r="C240" s="301"/>
      <c r="D240" s="309" t="s">
        <v>2725</v>
      </c>
      <c r="E240" s="309" t="s">
        <v>2726</v>
      </c>
      <c r="F240" s="309" t="s">
        <v>2727</v>
      </c>
      <c r="G240" s="309">
        <v>858.0</v>
      </c>
      <c r="H240" s="307"/>
      <c r="I240" s="301"/>
      <c r="J240" s="301"/>
      <c r="K240" s="301"/>
      <c r="L240" s="301"/>
      <c r="M240" s="301"/>
      <c r="N240" s="301"/>
      <c r="O240" s="301"/>
      <c r="P240" s="301"/>
      <c r="Q240" s="301"/>
      <c r="R240" s="301"/>
      <c r="S240" s="301"/>
      <c r="T240" s="301"/>
      <c r="U240" s="307"/>
      <c r="V240" s="301"/>
      <c r="W240" s="301"/>
      <c r="X240" s="307"/>
      <c r="Y240" s="301"/>
      <c r="Z240" s="301"/>
      <c r="AA240" s="301"/>
      <c r="AB240" s="301"/>
      <c r="AC240" s="301"/>
      <c r="AD240" s="301"/>
      <c r="AE240" s="301"/>
      <c r="AF240" s="301"/>
      <c r="AG240" s="301"/>
      <c r="AH240" s="307"/>
      <c r="AI240" s="307"/>
      <c r="AJ240" s="307"/>
      <c r="AK240" s="307"/>
      <c r="AL240" s="307"/>
      <c r="AM240" s="307"/>
      <c r="AN240" s="307"/>
      <c r="AO240" s="307"/>
      <c r="AP240" s="307"/>
      <c r="AQ240" s="307"/>
      <c r="AR240" s="307"/>
      <c r="AS240" s="307"/>
      <c r="AT240" s="307"/>
      <c r="AU240" s="307"/>
    </row>
    <row r="241" ht="12.0" customHeight="1">
      <c r="A241" s="301"/>
      <c r="B241" s="301"/>
      <c r="C241" s="301"/>
      <c r="D241" s="309" t="s">
        <v>2728</v>
      </c>
      <c r="E241" s="309" t="s">
        <v>2729</v>
      </c>
      <c r="F241" s="309" t="s">
        <v>2730</v>
      </c>
      <c r="G241" s="309">
        <v>860.0</v>
      </c>
      <c r="H241" s="307"/>
      <c r="I241" s="301"/>
      <c r="J241" s="301"/>
      <c r="K241" s="301"/>
      <c r="L241" s="301"/>
      <c r="M241" s="301"/>
      <c r="N241" s="301"/>
      <c r="O241" s="301"/>
      <c r="P241" s="301"/>
      <c r="Q241" s="301"/>
      <c r="R241" s="301"/>
      <c r="S241" s="301"/>
      <c r="T241" s="301"/>
      <c r="U241" s="307"/>
      <c r="V241" s="301"/>
      <c r="W241" s="301"/>
      <c r="X241" s="307"/>
      <c r="Y241" s="301"/>
      <c r="Z241" s="301"/>
      <c r="AA241" s="301"/>
      <c r="AB241" s="301"/>
      <c r="AC241" s="301"/>
      <c r="AD241" s="301"/>
      <c r="AE241" s="301"/>
      <c r="AF241" s="301"/>
      <c r="AG241" s="301"/>
      <c r="AH241" s="307"/>
      <c r="AI241" s="307"/>
      <c r="AJ241" s="307"/>
      <c r="AK241" s="307"/>
      <c r="AL241" s="307"/>
      <c r="AM241" s="307"/>
      <c r="AN241" s="307"/>
      <c r="AO241" s="307"/>
      <c r="AP241" s="307"/>
      <c r="AQ241" s="307"/>
      <c r="AR241" s="307"/>
      <c r="AS241" s="307"/>
      <c r="AT241" s="307"/>
      <c r="AU241" s="307"/>
    </row>
    <row r="242" ht="12.0" customHeight="1">
      <c r="A242" s="301"/>
      <c r="B242" s="301"/>
      <c r="C242" s="301"/>
      <c r="D242" s="309" t="s">
        <v>2731</v>
      </c>
      <c r="E242" s="309" t="s">
        <v>2732</v>
      </c>
      <c r="F242" s="309" t="s">
        <v>2733</v>
      </c>
      <c r="G242" s="309">
        <v>548.0</v>
      </c>
      <c r="H242" s="307"/>
      <c r="I242" s="301"/>
      <c r="J242" s="301"/>
      <c r="K242" s="301"/>
      <c r="L242" s="301"/>
      <c r="M242" s="301"/>
      <c r="N242" s="301"/>
      <c r="O242" s="301"/>
      <c r="P242" s="301"/>
      <c r="Q242" s="301"/>
      <c r="R242" s="301"/>
      <c r="S242" s="301"/>
      <c r="T242" s="301"/>
      <c r="U242" s="307"/>
      <c r="V242" s="301"/>
      <c r="W242" s="301"/>
      <c r="X242" s="307"/>
      <c r="Y242" s="301"/>
      <c r="Z242" s="301"/>
      <c r="AA242" s="301"/>
      <c r="AB242" s="301"/>
      <c r="AC242" s="301"/>
      <c r="AD242" s="301"/>
      <c r="AE242" s="301"/>
      <c r="AF242" s="301"/>
      <c r="AG242" s="301"/>
      <c r="AH242" s="307"/>
      <c r="AI242" s="307"/>
      <c r="AJ242" s="307"/>
      <c r="AK242" s="307"/>
      <c r="AL242" s="307"/>
      <c r="AM242" s="307"/>
      <c r="AN242" s="307"/>
      <c r="AO242" s="307"/>
      <c r="AP242" s="307"/>
      <c r="AQ242" s="307"/>
      <c r="AR242" s="307"/>
      <c r="AS242" s="307"/>
      <c r="AT242" s="307"/>
      <c r="AU242" s="307"/>
    </row>
    <row r="243" ht="12.0" customHeight="1">
      <c r="A243" s="301"/>
      <c r="B243" s="301"/>
      <c r="C243" s="301"/>
      <c r="D243" s="309" t="s">
        <v>2734</v>
      </c>
      <c r="E243" s="309" t="s">
        <v>2735</v>
      </c>
      <c r="F243" s="309" t="s">
        <v>2736</v>
      </c>
      <c r="G243" s="309">
        <v>862.0</v>
      </c>
      <c r="H243" s="307"/>
      <c r="I243" s="301"/>
      <c r="J243" s="301"/>
      <c r="K243" s="301"/>
      <c r="L243" s="301"/>
      <c r="M243" s="301"/>
      <c r="N243" s="301"/>
      <c r="O243" s="301"/>
      <c r="P243" s="301"/>
      <c r="Q243" s="301"/>
      <c r="R243" s="301"/>
      <c r="S243" s="301"/>
      <c r="T243" s="301"/>
      <c r="U243" s="307"/>
      <c r="V243" s="301"/>
      <c r="W243" s="301"/>
      <c r="X243" s="307"/>
      <c r="Y243" s="301"/>
      <c r="Z243" s="301"/>
      <c r="AA243" s="301"/>
      <c r="AB243" s="301"/>
      <c r="AC243" s="301"/>
      <c r="AD243" s="301"/>
      <c r="AE243" s="301"/>
      <c r="AF243" s="301"/>
      <c r="AG243" s="301"/>
      <c r="AH243" s="307"/>
      <c r="AI243" s="307"/>
      <c r="AJ243" s="307"/>
      <c r="AK243" s="307"/>
      <c r="AL243" s="307"/>
      <c r="AM243" s="307"/>
      <c r="AN243" s="307"/>
      <c r="AO243" s="307"/>
      <c r="AP243" s="307"/>
      <c r="AQ243" s="307"/>
      <c r="AR243" s="307"/>
      <c r="AS243" s="307"/>
      <c r="AT243" s="307"/>
      <c r="AU243" s="307"/>
    </row>
    <row r="244" ht="12.0" customHeight="1">
      <c r="A244" s="301"/>
      <c r="B244" s="301"/>
      <c r="C244" s="301"/>
      <c r="D244" s="309" t="s">
        <v>2737</v>
      </c>
      <c r="E244" s="309" t="s">
        <v>2738</v>
      </c>
      <c r="F244" s="309" t="s">
        <v>2739</v>
      </c>
      <c r="G244" s="309">
        <v>704.0</v>
      </c>
      <c r="H244" s="307"/>
      <c r="I244" s="301"/>
      <c r="J244" s="301"/>
      <c r="K244" s="301"/>
      <c r="L244" s="301"/>
      <c r="M244" s="301"/>
      <c r="N244" s="301"/>
      <c r="O244" s="301"/>
      <c r="P244" s="301"/>
      <c r="Q244" s="301"/>
      <c r="R244" s="301"/>
      <c r="S244" s="301"/>
      <c r="T244" s="301"/>
      <c r="U244" s="307"/>
      <c r="V244" s="301"/>
      <c r="W244" s="301"/>
      <c r="X244" s="307"/>
      <c r="Y244" s="301"/>
      <c r="Z244" s="301"/>
      <c r="AA244" s="301"/>
      <c r="AB244" s="301"/>
      <c r="AC244" s="301"/>
      <c r="AD244" s="301"/>
      <c r="AE244" s="301"/>
      <c r="AF244" s="301"/>
      <c r="AG244" s="301"/>
      <c r="AH244" s="307"/>
      <c r="AI244" s="307"/>
      <c r="AJ244" s="307"/>
      <c r="AK244" s="307"/>
      <c r="AL244" s="307"/>
      <c r="AM244" s="307"/>
      <c r="AN244" s="307"/>
      <c r="AO244" s="307"/>
      <c r="AP244" s="307"/>
      <c r="AQ244" s="307"/>
      <c r="AR244" s="307"/>
      <c r="AS244" s="307"/>
      <c r="AT244" s="307"/>
      <c r="AU244" s="307"/>
    </row>
    <row r="245" ht="12.0" customHeight="1">
      <c r="A245" s="301"/>
      <c r="B245" s="301"/>
      <c r="C245" s="301"/>
      <c r="D245" s="309" t="s">
        <v>2740</v>
      </c>
      <c r="E245" s="309" t="s">
        <v>2741</v>
      </c>
      <c r="F245" s="309" t="s">
        <v>2742</v>
      </c>
      <c r="G245" s="309">
        <v>92.0</v>
      </c>
      <c r="H245" s="307"/>
      <c r="I245" s="301"/>
      <c r="J245" s="301"/>
      <c r="K245" s="301"/>
      <c r="L245" s="301"/>
      <c r="M245" s="301"/>
      <c r="N245" s="301"/>
      <c r="O245" s="301"/>
      <c r="P245" s="301"/>
      <c r="Q245" s="301"/>
      <c r="R245" s="301"/>
      <c r="S245" s="301"/>
      <c r="T245" s="301"/>
      <c r="U245" s="307"/>
      <c r="V245" s="301"/>
      <c r="W245" s="301"/>
      <c r="X245" s="307"/>
      <c r="Y245" s="301"/>
      <c r="Z245" s="301"/>
      <c r="AA245" s="301"/>
      <c r="AB245" s="301"/>
      <c r="AC245" s="301"/>
      <c r="AD245" s="301"/>
      <c r="AE245" s="301"/>
      <c r="AF245" s="301"/>
      <c r="AG245" s="301"/>
      <c r="AH245" s="307"/>
      <c r="AI245" s="307"/>
      <c r="AJ245" s="307"/>
      <c r="AK245" s="307"/>
      <c r="AL245" s="307"/>
      <c r="AM245" s="307"/>
      <c r="AN245" s="307"/>
      <c r="AO245" s="307"/>
      <c r="AP245" s="307"/>
      <c r="AQ245" s="307"/>
      <c r="AR245" s="307"/>
      <c r="AS245" s="307"/>
      <c r="AT245" s="307"/>
      <c r="AU245" s="307"/>
    </row>
    <row r="246" ht="12.0" customHeight="1">
      <c r="A246" s="301"/>
      <c r="B246" s="301"/>
      <c r="C246" s="301"/>
      <c r="D246" s="309" t="s">
        <v>2743</v>
      </c>
      <c r="E246" s="309" t="s">
        <v>2744</v>
      </c>
      <c r="F246" s="309" t="s">
        <v>2745</v>
      </c>
      <c r="G246" s="309">
        <v>850.0</v>
      </c>
      <c r="H246" s="307"/>
      <c r="I246" s="301"/>
      <c r="J246" s="301"/>
      <c r="K246" s="301"/>
      <c r="L246" s="301"/>
      <c r="M246" s="301"/>
      <c r="N246" s="301"/>
      <c r="O246" s="301"/>
      <c r="P246" s="301"/>
      <c r="Q246" s="301"/>
      <c r="R246" s="301"/>
      <c r="S246" s="301"/>
      <c r="T246" s="301"/>
      <c r="U246" s="307"/>
      <c r="V246" s="301"/>
      <c r="W246" s="301"/>
      <c r="X246" s="307"/>
      <c r="Y246" s="301"/>
      <c r="Z246" s="301"/>
      <c r="AA246" s="301"/>
      <c r="AB246" s="301"/>
      <c r="AC246" s="301"/>
      <c r="AD246" s="301"/>
      <c r="AE246" s="301"/>
      <c r="AF246" s="301"/>
      <c r="AG246" s="301"/>
      <c r="AH246" s="307"/>
      <c r="AI246" s="307"/>
      <c r="AJ246" s="307"/>
      <c r="AK246" s="307"/>
      <c r="AL246" s="307"/>
      <c r="AM246" s="307"/>
      <c r="AN246" s="307"/>
      <c r="AO246" s="307"/>
      <c r="AP246" s="307"/>
      <c r="AQ246" s="307"/>
      <c r="AR246" s="307"/>
      <c r="AS246" s="307"/>
      <c r="AT246" s="307"/>
      <c r="AU246" s="307"/>
    </row>
    <row r="247" ht="12.0" customHeight="1">
      <c r="A247" s="301"/>
      <c r="B247" s="301"/>
      <c r="C247" s="301"/>
      <c r="D247" s="309" t="s">
        <v>2746</v>
      </c>
      <c r="E247" s="309" t="s">
        <v>2747</v>
      </c>
      <c r="F247" s="309" t="s">
        <v>2748</v>
      </c>
      <c r="G247" s="309">
        <v>876.0</v>
      </c>
      <c r="H247" s="307"/>
      <c r="I247" s="301"/>
      <c r="J247" s="301"/>
      <c r="K247" s="301"/>
      <c r="L247" s="301"/>
      <c r="M247" s="301"/>
      <c r="N247" s="301"/>
      <c r="O247" s="301"/>
      <c r="P247" s="301"/>
      <c r="Q247" s="301"/>
      <c r="R247" s="301"/>
      <c r="S247" s="301"/>
      <c r="T247" s="301"/>
      <c r="U247" s="307"/>
      <c r="V247" s="301"/>
      <c r="W247" s="301"/>
      <c r="X247" s="307"/>
      <c r="Y247" s="301"/>
      <c r="Z247" s="301"/>
      <c r="AA247" s="301"/>
      <c r="AB247" s="301"/>
      <c r="AC247" s="301"/>
      <c r="AD247" s="301"/>
      <c r="AE247" s="301"/>
      <c r="AF247" s="301"/>
      <c r="AG247" s="301"/>
      <c r="AH247" s="307"/>
      <c r="AI247" s="307"/>
      <c r="AJ247" s="307"/>
      <c r="AK247" s="307"/>
      <c r="AL247" s="307"/>
      <c r="AM247" s="307"/>
      <c r="AN247" s="307"/>
      <c r="AO247" s="307"/>
      <c r="AP247" s="307"/>
      <c r="AQ247" s="307"/>
      <c r="AR247" s="307"/>
      <c r="AS247" s="307"/>
      <c r="AT247" s="307"/>
      <c r="AU247" s="307"/>
    </row>
    <row r="248" ht="12.0" customHeight="1">
      <c r="A248" s="301"/>
      <c r="B248" s="301"/>
      <c r="C248" s="301"/>
      <c r="D248" s="309" t="s">
        <v>2749</v>
      </c>
      <c r="E248" s="309" t="s">
        <v>2750</v>
      </c>
      <c r="F248" s="309" t="s">
        <v>2751</v>
      </c>
      <c r="G248" s="309">
        <v>732.0</v>
      </c>
      <c r="H248" s="307"/>
      <c r="I248" s="301"/>
      <c r="J248" s="301"/>
      <c r="K248" s="301"/>
      <c r="L248" s="301"/>
      <c r="M248" s="301"/>
      <c r="N248" s="301"/>
      <c r="O248" s="301"/>
      <c r="P248" s="301"/>
      <c r="Q248" s="301"/>
      <c r="R248" s="301"/>
      <c r="S248" s="301"/>
      <c r="T248" s="301"/>
      <c r="U248" s="307"/>
      <c r="V248" s="301"/>
      <c r="W248" s="301"/>
      <c r="X248" s="307"/>
      <c r="Y248" s="301"/>
      <c r="Z248" s="301"/>
      <c r="AA248" s="301"/>
      <c r="AB248" s="301"/>
      <c r="AC248" s="301"/>
      <c r="AD248" s="301"/>
      <c r="AE248" s="301"/>
      <c r="AF248" s="301"/>
      <c r="AG248" s="301"/>
      <c r="AH248" s="307"/>
      <c r="AI248" s="307"/>
      <c r="AJ248" s="307"/>
      <c r="AK248" s="307"/>
      <c r="AL248" s="307"/>
      <c r="AM248" s="307"/>
      <c r="AN248" s="307"/>
      <c r="AO248" s="307"/>
      <c r="AP248" s="307"/>
      <c r="AQ248" s="307"/>
      <c r="AR248" s="307"/>
      <c r="AS248" s="307"/>
      <c r="AT248" s="307"/>
      <c r="AU248" s="307"/>
    </row>
    <row r="249" ht="12.0" customHeight="1">
      <c r="A249" s="301"/>
      <c r="B249" s="301"/>
      <c r="C249" s="301"/>
      <c r="D249" s="309" t="s">
        <v>2752</v>
      </c>
      <c r="E249" s="309" t="s">
        <v>2753</v>
      </c>
      <c r="F249" s="309" t="s">
        <v>2754</v>
      </c>
      <c r="G249" s="309">
        <v>887.0</v>
      </c>
      <c r="H249" s="307"/>
      <c r="I249" s="301"/>
      <c r="J249" s="301"/>
      <c r="K249" s="301"/>
      <c r="L249" s="301"/>
      <c r="M249" s="301"/>
      <c r="N249" s="301"/>
      <c r="O249" s="301"/>
      <c r="P249" s="301"/>
      <c r="Q249" s="301"/>
      <c r="R249" s="301"/>
      <c r="S249" s="301"/>
      <c r="T249" s="301"/>
      <c r="U249" s="307"/>
      <c r="V249" s="301"/>
      <c r="W249" s="301"/>
      <c r="X249" s="307"/>
      <c r="Y249" s="301"/>
      <c r="Z249" s="301"/>
      <c r="AA249" s="301"/>
      <c r="AB249" s="301"/>
      <c r="AC249" s="301"/>
      <c r="AD249" s="301"/>
      <c r="AE249" s="301"/>
      <c r="AF249" s="301"/>
      <c r="AG249" s="301"/>
      <c r="AH249" s="307"/>
      <c r="AI249" s="307"/>
      <c r="AJ249" s="307"/>
      <c r="AK249" s="307"/>
      <c r="AL249" s="307"/>
      <c r="AM249" s="307"/>
      <c r="AN249" s="307"/>
      <c r="AO249" s="307"/>
      <c r="AP249" s="307"/>
      <c r="AQ249" s="307"/>
      <c r="AR249" s="307"/>
      <c r="AS249" s="307"/>
      <c r="AT249" s="307"/>
      <c r="AU249" s="307"/>
    </row>
    <row r="250" ht="12.0" customHeight="1">
      <c r="A250" s="301"/>
      <c r="B250" s="301"/>
      <c r="C250" s="301"/>
      <c r="D250" s="309" t="s">
        <v>2755</v>
      </c>
      <c r="E250" s="309" t="s">
        <v>2756</v>
      </c>
      <c r="F250" s="309" t="s">
        <v>2757</v>
      </c>
      <c r="G250" s="309">
        <v>894.0</v>
      </c>
      <c r="H250" s="307"/>
      <c r="I250" s="301"/>
      <c r="J250" s="301"/>
      <c r="K250" s="301"/>
      <c r="L250" s="301"/>
      <c r="M250" s="301"/>
      <c r="N250" s="301"/>
      <c r="O250" s="301"/>
      <c r="P250" s="301"/>
      <c r="Q250" s="301"/>
      <c r="R250" s="301"/>
      <c r="S250" s="301"/>
      <c r="T250" s="301"/>
      <c r="U250" s="307"/>
      <c r="V250" s="301"/>
      <c r="W250" s="301"/>
      <c r="X250" s="307"/>
      <c r="Y250" s="301"/>
      <c r="Z250" s="301"/>
      <c r="AA250" s="301"/>
      <c r="AB250" s="301"/>
      <c r="AC250" s="301"/>
      <c r="AD250" s="301"/>
      <c r="AE250" s="301"/>
      <c r="AF250" s="301"/>
      <c r="AG250" s="301"/>
      <c r="AH250" s="307"/>
      <c r="AI250" s="307"/>
      <c r="AJ250" s="307"/>
      <c r="AK250" s="307"/>
      <c r="AL250" s="307"/>
      <c r="AM250" s="307"/>
      <c r="AN250" s="307"/>
      <c r="AO250" s="307"/>
      <c r="AP250" s="307"/>
      <c r="AQ250" s="307"/>
      <c r="AR250" s="307"/>
      <c r="AS250" s="307"/>
      <c r="AT250" s="307"/>
      <c r="AU250" s="307"/>
    </row>
    <row r="251" ht="12.0" customHeight="1">
      <c r="A251" s="301"/>
      <c r="B251" s="301"/>
      <c r="C251" s="301"/>
      <c r="D251" s="309" t="s">
        <v>2758</v>
      </c>
      <c r="E251" s="309" t="s">
        <v>2759</v>
      </c>
      <c r="F251" s="309" t="s">
        <v>2760</v>
      </c>
      <c r="G251" s="309">
        <v>716.0</v>
      </c>
      <c r="H251" s="307"/>
      <c r="I251" s="301"/>
      <c r="J251" s="301"/>
      <c r="K251" s="301"/>
      <c r="L251" s="301"/>
      <c r="M251" s="301"/>
      <c r="N251" s="301"/>
      <c r="O251" s="301"/>
      <c r="P251" s="301"/>
      <c r="Q251" s="301"/>
      <c r="R251" s="301"/>
      <c r="S251" s="301"/>
      <c r="T251" s="301"/>
      <c r="U251" s="307"/>
      <c r="V251" s="301"/>
      <c r="W251" s="301"/>
      <c r="X251" s="307"/>
      <c r="Y251" s="301"/>
      <c r="Z251" s="301"/>
      <c r="AA251" s="301"/>
      <c r="AB251" s="301"/>
      <c r="AC251" s="301"/>
      <c r="AD251" s="301"/>
      <c r="AE251" s="301"/>
      <c r="AF251" s="301"/>
      <c r="AG251" s="301"/>
      <c r="AH251" s="307"/>
      <c r="AI251" s="307"/>
      <c r="AJ251" s="307"/>
      <c r="AK251" s="307"/>
      <c r="AL251" s="307"/>
      <c r="AM251" s="307"/>
      <c r="AN251" s="307"/>
      <c r="AO251" s="307"/>
      <c r="AP251" s="307"/>
      <c r="AQ251" s="307"/>
      <c r="AR251" s="307"/>
      <c r="AS251" s="307"/>
      <c r="AT251" s="307"/>
      <c r="AU251" s="307"/>
    </row>
    <row r="252" ht="12.0" customHeight="1">
      <c r="A252" s="301"/>
      <c r="B252" s="301"/>
      <c r="C252" s="301"/>
      <c r="D252" s="309" t="s">
        <v>2761</v>
      </c>
      <c r="E252" s="309" t="s">
        <v>2762</v>
      </c>
      <c r="F252" s="309" t="s">
        <v>2763</v>
      </c>
      <c r="G252" s="309">
        <v>248.0</v>
      </c>
      <c r="H252" s="307"/>
      <c r="I252" s="301"/>
      <c r="J252" s="301"/>
      <c r="K252" s="301"/>
      <c r="L252" s="301"/>
      <c r="M252" s="301"/>
      <c r="N252" s="301"/>
      <c r="O252" s="301"/>
      <c r="P252" s="301"/>
      <c r="Q252" s="301"/>
      <c r="R252" s="301"/>
      <c r="S252" s="301"/>
      <c r="T252" s="301"/>
      <c r="U252" s="307"/>
      <c r="V252" s="301"/>
      <c r="W252" s="301"/>
      <c r="X252" s="307"/>
      <c r="Y252" s="301"/>
      <c r="Z252" s="301"/>
      <c r="AA252" s="301"/>
      <c r="AB252" s="301"/>
      <c r="AC252" s="301"/>
      <c r="AD252" s="301"/>
      <c r="AE252" s="301"/>
      <c r="AF252" s="301"/>
      <c r="AG252" s="301"/>
      <c r="AH252" s="307"/>
      <c r="AI252" s="307"/>
      <c r="AJ252" s="307"/>
      <c r="AK252" s="307"/>
      <c r="AL252" s="307"/>
      <c r="AM252" s="307"/>
      <c r="AN252" s="307"/>
      <c r="AO252" s="307"/>
      <c r="AP252" s="307"/>
      <c r="AQ252" s="307"/>
      <c r="AR252" s="307"/>
      <c r="AS252" s="307"/>
      <c r="AT252" s="307"/>
      <c r="AU252" s="307"/>
    </row>
    <row r="253" ht="12.0" customHeight="1">
      <c r="A253" s="301"/>
      <c r="B253" s="301"/>
      <c r="C253" s="301"/>
      <c r="D253" s="301"/>
      <c r="E253" s="301"/>
      <c r="F253" s="301"/>
      <c r="G253" s="301"/>
      <c r="H253" s="307"/>
      <c r="I253" s="301"/>
      <c r="J253" s="301"/>
      <c r="K253" s="301"/>
      <c r="L253" s="301"/>
      <c r="M253" s="301"/>
      <c r="N253" s="301"/>
      <c r="O253" s="301"/>
      <c r="P253" s="301"/>
      <c r="Q253" s="301"/>
      <c r="R253" s="301"/>
      <c r="S253" s="301"/>
      <c r="T253" s="301"/>
      <c r="U253" s="307"/>
      <c r="V253" s="301"/>
      <c r="W253" s="301"/>
      <c r="X253" s="307"/>
      <c r="Y253" s="301"/>
      <c r="Z253" s="301"/>
      <c r="AA253" s="301"/>
      <c r="AB253" s="301"/>
      <c r="AC253" s="301"/>
      <c r="AD253" s="301"/>
      <c r="AE253" s="301"/>
      <c r="AF253" s="301"/>
      <c r="AG253" s="301"/>
      <c r="AH253" s="307"/>
      <c r="AI253" s="307"/>
      <c r="AJ253" s="307"/>
      <c r="AK253" s="307"/>
      <c r="AL253" s="307"/>
      <c r="AM253" s="307"/>
      <c r="AN253" s="307"/>
      <c r="AO253" s="307"/>
      <c r="AP253" s="307"/>
      <c r="AQ253" s="307"/>
      <c r="AR253" s="307"/>
      <c r="AS253" s="307"/>
      <c r="AT253" s="307"/>
      <c r="AU253" s="307"/>
    </row>
    <row r="254" ht="12.0" customHeight="1">
      <c r="A254" s="301"/>
      <c r="B254" s="301"/>
      <c r="C254" s="301"/>
      <c r="D254" s="301"/>
      <c r="E254" s="301"/>
      <c r="F254" s="301"/>
      <c r="G254" s="301"/>
      <c r="H254" s="307"/>
      <c r="I254" s="301"/>
      <c r="J254" s="301"/>
      <c r="K254" s="301"/>
      <c r="L254" s="301"/>
      <c r="M254" s="301"/>
      <c r="N254" s="301"/>
      <c r="O254" s="301"/>
      <c r="P254" s="301"/>
      <c r="Q254" s="301"/>
      <c r="R254" s="301"/>
      <c r="S254" s="301"/>
      <c r="T254" s="301"/>
      <c r="U254" s="307"/>
      <c r="V254" s="301"/>
      <c r="W254" s="301"/>
      <c r="X254" s="307"/>
      <c r="Y254" s="301"/>
      <c r="Z254" s="301"/>
      <c r="AA254" s="301"/>
      <c r="AB254" s="301"/>
      <c r="AC254" s="301"/>
      <c r="AD254" s="301"/>
      <c r="AE254" s="301"/>
      <c r="AF254" s="301"/>
      <c r="AG254" s="301"/>
      <c r="AH254" s="307"/>
      <c r="AI254" s="307"/>
      <c r="AJ254" s="307"/>
      <c r="AK254" s="307"/>
      <c r="AL254" s="307"/>
      <c r="AM254" s="307"/>
      <c r="AN254" s="307"/>
      <c r="AO254" s="307"/>
      <c r="AP254" s="307"/>
      <c r="AQ254" s="307"/>
      <c r="AR254" s="307"/>
      <c r="AS254" s="307"/>
      <c r="AT254" s="307"/>
      <c r="AU254" s="307"/>
    </row>
    <row r="255" ht="12.0" customHeight="1">
      <c r="A255" s="301"/>
      <c r="B255" s="301"/>
      <c r="C255" s="301"/>
      <c r="D255" s="301"/>
      <c r="E255" s="301"/>
      <c r="F255" s="301"/>
      <c r="G255" s="301"/>
      <c r="H255" s="307"/>
      <c r="I255" s="301"/>
      <c r="J255" s="301"/>
      <c r="K255" s="301"/>
      <c r="L255" s="301"/>
      <c r="M255" s="301"/>
      <c r="N255" s="301"/>
      <c r="O255" s="301"/>
      <c r="P255" s="301"/>
      <c r="Q255" s="301"/>
      <c r="R255" s="301"/>
      <c r="S255" s="301"/>
      <c r="T255" s="301"/>
      <c r="U255" s="307"/>
      <c r="V255" s="301"/>
      <c r="W255" s="301"/>
      <c r="X255" s="307"/>
      <c r="Y255" s="301"/>
      <c r="Z255" s="301"/>
      <c r="AA255" s="301"/>
      <c r="AB255" s="301"/>
      <c r="AC255" s="301"/>
      <c r="AD255" s="301"/>
      <c r="AE255" s="301"/>
      <c r="AF255" s="301"/>
      <c r="AG255" s="301"/>
      <c r="AH255" s="307"/>
      <c r="AI255" s="307"/>
      <c r="AJ255" s="307"/>
      <c r="AK255" s="307"/>
      <c r="AL255" s="307"/>
      <c r="AM255" s="307"/>
      <c r="AN255" s="307"/>
      <c r="AO255" s="307"/>
      <c r="AP255" s="307"/>
      <c r="AQ255" s="307"/>
      <c r="AR255" s="307"/>
      <c r="AS255" s="307"/>
      <c r="AT255" s="307"/>
      <c r="AU255" s="307"/>
    </row>
    <row r="256" ht="12.0" customHeight="1">
      <c r="A256" s="301"/>
      <c r="B256" s="301"/>
      <c r="C256" s="301"/>
      <c r="D256" s="301"/>
      <c r="E256" s="301"/>
      <c r="F256" s="301"/>
      <c r="G256" s="301"/>
      <c r="H256" s="307"/>
      <c r="I256" s="301"/>
      <c r="J256" s="301"/>
      <c r="K256" s="301"/>
      <c r="L256" s="301"/>
      <c r="M256" s="301"/>
      <c r="N256" s="301"/>
      <c r="O256" s="301"/>
      <c r="P256" s="301"/>
      <c r="Q256" s="301"/>
      <c r="R256" s="301"/>
      <c r="S256" s="301"/>
      <c r="T256" s="301"/>
      <c r="U256" s="307"/>
      <c r="V256" s="301"/>
      <c r="W256" s="301"/>
      <c r="X256" s="307"/>
      <c r="Y256" s="301"/>
      <c r="Z256" s="301"/>
      <c r="AA256" s="301"/>
      <c r="AB256" s="301"/>
      <c r="AC256" s="301"/>
      <c r="AD256" s="301"/>
      <c r="AE256" s="301"/>
      <c r="AF256" s="301"/>
      <c r="AG256" s="301"/>
      <c r="AH256" s="307"/>
      <c r="AI256" s="307"/>
      <c r="AJ256" s="307"/>
      <c r="AK256" s="307"/>
      <c r="AL256" s="307"/>
      <c r="AM256" s="307"/>
      <c r="AN256" s="307"/>
      <c r="AO256" s="307"/>
      <c r="AP256" s="307"/>
      <c r="AQ256" s="307"/>
      <c r="AR256" s="307"/>
      <c r="AS256" s="307"/>
      <c r="AT256" s="307"/>
      <c r="AU256" s="307"/>
    </row>
    <row r="257" ht="12.0" customHeight="1">
      <c r="A257" s="301"/>
      <c r="B257" s="301"/>
      <c r="C257" s="301"/>
      <c r="D257" s="301"/>
      <c r="E257" s="301"/>
      <c r="F257" s="301"/>
      <c r="G257" s="301"/>
      <c r="H257" s="307"/>
      <c r="I257" s="301"/>
      <c r="J257" s="301"/>
      <c r="K257" s="301"/>
      <c r="L257" s="301"/>
      <c r="M257" s="301"/>
      <c r="N257" s="301"/>
      <c r="O257" s="301"/>
      <c r="P257" s="301"/>
      <c r="Q257" s="301"/>
      <c r="R257" s="301"/>
      <c r="S257" s="301"/>
      <c r="T257" s="301"/>
      <c r="U257" s="307"/>
      <c r="V257" s="301"/>
      <c r="W257" s="301"/>
      <c r="X257" s="307"/>
      <c r="Y257" s="301"/>
      <c r="Z257" s="301"/>
      <c r="AA257" s="301"/>
      <c r="AB257" s="301"/>
      <c r="AC257" s="301"/>
      <c r="AD257" s="301"/>
      <c r="AE257" s="301"/>
      <c r="AF257" s="301"/>
      <c r="AG257" s="301"/>
      <c r="AH257" s="307"/>
      <c r="AI257" s="307"/>
      <c r="AJ257" s="307"/>
      <c r="AK257" s="307"/>
      <c r="AL257" s="307"/>
      <c r="AM257" s="307"/>
      <c r="AN257" s="307"/>
      <c r="AO257" s="307"/>
      <c r="AP257" s="307"/>
      <c r="AQ257" s="307"/>
      <c r="AR257" s="307"/>
      <c r="AS257" s="307"/>
      <c r="AT257" s="307"/>
      <c r="AU257" s="307"/>
    </row>
    <row r="258" ht="12.0" customHeight="1">
      <c r="A258" s="301"/>
      <c r="B258" s="301"/>
      <c r="C258" s="301"/>
      <c r="D258" s="301"/>
      <c r="E258" s="301"/>
      <c r="F258" s="301"/>
      <c r="G258" s="301"/>
      <c r="H258" s="307"/>
      <c r="I258" s="301"/>
      <c r="J258" s="301"/>
      <c r="K258" s="301"/>
      <c r="L258" s="301"/>
      <c r="M258" s="301"/>
      <c r="N258" s="301"/>
      <c r="O258" s="301"/>
      <c r="P258" s="301"/>
      <c r="Q258" s="301"/>
      <c r="R258" s="301"/>
      <c r="S258" s="301"/>
      <c r="T258" s="301"/>
      <c r="U258" s="307"/>
      <c r="V258" s="301"/>
      <c r="W258" s="301"/>
      <c r="X258" s="307"/>
      <c r="Y258" s="301"/>
      <c r="Z258" s="301"/>
      <c r="AA258" s="301"/>
      <c r="AB258" s="301"/>
      <c r="AC258" s="301"/>
      <c r="AD258" s="301"/>
      <c r="AE258" s="301"/>
      <c r="AF258" s="301"/>
      <c r="AG258" s="301"/>
      <c r="AH258" s="307"/>
      <c r="AI258" s="307"/>
      <c r="AJ258" s="307"/>
      <c r="AK258" s="307"/>
      <c r="AL258" s="307"/>
      <c r="AM258" s="307"/>
      <c r="AN258" s="307"/>
      <c r="AO258" s="307"/>
      <c r="AP258" s="307"/>
      <c r="AQ258" s="307"/>
      <c r="AR258" s="307"/>
      <c r="AS258" s="307"/>
      <c r="AT258" s="307"/>
      <c r="AU258" s="307"/>
    </row>
    <row r="259" ht="12.0" customHeight="1">
      <c r="A259" s="301"/>
      <c r="B259" s="301"/>
      <c r="C259" s="301"/>
      <c r="D259" s="301"/>
      <c r="E259" s="301"/>
      <c r="F259" s="301"/>
      <c r="G259" s="301"/>
      <c r="H259" s="307"/>
      <c r="I259" s="301"/>
      <c r="J259" s="301"/>
      <c r="K259" s="301"/>
      <c r="L259" s="301"/>
      <c r="M259" s="301"/>
      <c r="N259" s="301"/>
      <c r="O259" s="301"/>
      <c r="P259" s="301"/>
      <c r="Q259" s="301"/>
      <c r="R259" s="301"/>
      <c r="S259" s="301"/>
      <c r="T259" s="301"/>
      <c r="U259" s="307"/>
      <c r="V259" s="301"/>
      <c r="W259" s="301"/>
      <c r="X259" s="307"/>
      <c r="Y259" s="301"/>
      <c r="Z259" s="301"/>
      <c r="AA259" s="301"/>
      <c r="AB259" s="301"/>
      <c r="AC259" s="301"/>
      <c r="AD259" s="301"/>
      <c r="AE259" s="301"/>
      <c r="AF259" s="301"/>
      <c r="AG259" s="301"/>
      <c r="AH259" s="307"/>
      <c r="AI259" s="307"/>
      <c r="AJ259" s="307"/>
      <c r="AK259" s="307"/>
      <c r="AL259" s="307"/>
      <c r="AM259" s="307"/>
      <c r="AN259" s="307"/>
      <c r="AO259" s="307"/>
      <c r="AP259" s="307"/>
      <c r="AQ259" s="307"/>
      <c r="AR259" s="307"/>
      <c r="AS259" s="307"/>
      <c r="AT259" s="307"/>
      <c r="AU259" s="307"/>
    </row>
    <row r="260" ht="12.0" customHeight="1">
      <c r="A260" s="301"/>
      <c r="B260" s="301"/>
      <c r="C260" s="301"/>
      <c r="D260" s="301"/>
      <c r="E260" s="301"/>
      <c r="F260" s="301"/>
      <c r="G260" s="301"/>
      <c r="H260" s="307"/>
      <c r="I260" s="301"/>
      <c r="J260" s="301"/>
      <c r="K260" s="301"/>
      <c r="L260" s="301"/>
      <c r="M260" s="301"/>
      <c r="N260" s="301"/>
      <c r="O260" s="301"/>
      <c r="P260" s="301"/>
      <c r="Q260" s="301"/>
      <c r="R260" s="301"/>
      <c r="S260" s="301"/>
      <c r="T260" s="301"/>
      <c r="U260" s="307"/>
      <c r="V260" s="301"/>
      <c r="W260" s="301"/>
      <c r="X260" s="307"/>
      <c r="Y260" s="301"/>
      <c r="Z260" s="301"/>
      <c r="AA260" s="301"/>
      <c r="AB260" s="301"/>
      <c r="AC260" s="301"/>
      <c r="AD260" s="301"/>
      <c r="AE260" s="301"/>
      <c r="AF260" s="301"/>
      <c r="AG260" s="301"/>
      <c r="AH260" s="307"/>
      <c r="AI260" s="307"/>
      <c r="AJ260" s="307"/>
      <c r="AK260" s="307"/>
      <c r="AL260" s="307"/>
      <c r="AM260" s="307"/>
      <c r="AN260" s="307"/>
      <c r="AO260" s="307"/>
      <c r="AP260" s="307"/>
      <c r="AQ260" s="307"/>
      <c r="AR260" s="307"/>
      <c r="AS260" s="307"/>
      <c r="AT260" s="307"/>
      <c r="AU260" s="307"/>
    </row>
    <row r="261" ht="12.0" customHeight="1">
      <c r="A261" s="301"/>
      <c r="B261" s="301"/>
      <c r="C261" s="301"/>
      <c r="D261" s="301"/>
      <c r="E261" s="301"/>
      <c r="F261" s="301"/>
      <c r="G261" s="301"/>
      <c r="H261" s="307"/>
      <c r="I261" s="301"/>
      <c r="J261" s="301"/>
      <c r="K261" s="301"/>
      <c r="L261" s="301"/>
      <c r="M261" s="301"/>
      <c r="N261" s="301"/>
      <c r="O261" s="301"/>
      <c r="P261" s="301"/>
      <c r="Q261" s="301"/>
      <c r="R261" s="301"/>
      <c r="S261" s="301"/>
      <c r="T261" s="301"/>
      <c r="U261" s="307"/>
      <c r="V261" s="301"/>
      <c r="W261" s="301"/>
      <c r="X261" s="307"/>
      <c r="Y261" s="301"/>
      <c r="Z261" s="301"/>
      <c r="AA261" s="301"/>
      <c r="AB261" s="301"/>
      <c r="AC261" s="301"/>
      <c r="AD261" s="301"/>
      <c r="AE261" s="301"/>
      <c r="AF261" s="301"/>
      <c r="AG261" s="301"/>
      <c r="AH261" s="307"/>
      <c r="AI261" s="307"/>
      <c r="AJ261" s="307"/>
      <c r="AK261" s="307"/>
      <c r="AL261" s="307"/>
      <c r="AM261" s="307"/>
      <c r="AN261" s="307"/>
      <c r="AO261" s="307"/>
      <c r="AP261" s="307"/>
      <c r="AQ261" s="307"/>
      <c r="AR261" s="307"/>
      <c r="AS261" s="307"/>
      <c r="AT261" s="307"/>
      <c r="AU261" s="307"/>
    </row>
    <row r="262" ht="12.0" customHeight="1">
      <c r="A262" s="301"/>
      <c r="B262" s="301"/>
      <c r="C262" s="301"/>
      <c r="D262" s="301"/>
      <c r="E262" s="301"/>
      <c r="F262" s="301"/>
      <c r="G262" s="301"/>
      <c r="H262" s="307"/>
      <c r="I262" s="301"/>
      <c r="J262" s="301"/>
      <c r="K262" s="301"/>
      <c r="L262" s="301"/>
      <c r="M262" s="301"/>
      <c r="N262" s="301"/>
      <c r="O262" s="301"/>
      <c r="P262" s="301"/>
      <c r="Q262" s="301"/>
      <c r="R262" s="301"/>
      <c r="S262" s="301"/>
      <c r="T262" s="301"/>
      <c r="U262" s="307"/>
      <c r="V262" s="301"/>
      <c r="W262" s="301"/>
      <c r="X262" s="307"/>
      <c r="Y262" s="301"/>
      <c r="Z262" s="301"/>
      <c r="AA262" s="301"/>
      <c r="AB262" s="301"/>
      <c r="AC262" s="301"/>
      <c r="AD262" s="301"/>
      <c r="AE262" s="301"/>
      <c r="AF262" s="301"/>
      <c r="AG262" s="301"/>
      <c r="AH262" s="307"/>
      <c r="AI262" s="307"/>
      <c r="AJ262" s="307"/>
      <c r="AK262" s="307"/>
      <c r="AL262" s="307"/>
      <c r="AM262" s="307"/>
      <c r="AN262" s="307"/>
      <c r="AO262" s="307"/>
      <c r="AP262" s="307"/>
      <c r="AQ262" s="307"/>
      <c r="AR262" s="307"/>
      <c r="AS262" s="307"/>
      <c r="AT262" s="307"/>
      <c r="AU262" s="307"/>
    </row>
    <row r="263" ht="12.0" customHeight="1">
      <c r="A263" s="301"/>
      <c r="B263" s="301"/>
      <c r="C263" s="301"/>
      <c r="D263" s="301"/>
      <c r="E263" s="301"/>
      <c r="F263" s="301"/>
      <c r="G263" s="301"/>
      <c r="H263" s="307"/>
      <c r="I263" s="301"/>
      <c r="J263" s="301"/>
      <c r="K263" s="301"/>
      <c r="L263" s="301"/>
      <c r="M263" s="301"/>
      <c r="N263" s="301"/>
      <c r="O263" s="301"/>
      <c r="P263" s="301"/>
      <c r="Q263" s="301"/>
      <c r="R263" s="301"/>
      <c r="S263" s="301"/>
      <c r="T263" s="301"/>
      <c r="U263" s="307"/>
      <c r="V263" s="301"/>
      <c r="W263" s="301"/>
      <c r="X263" s="307"/>
      <c r="Y263" s="301"/>
      <c r="Z263" s="301"/>
      <c r="AA263" s="301"/>
      <c r="AB263" s="301"/>
      <c r="AC263" s="301"/>
      <c r="AD263" s="301"/>
      <c r="AE263" s="301"/>
      <c r="AF263" s="301"/>
      <c r="AG263" s="301"/>
      <c r="AH263" s="307"/>
      <c r="AI263" s="307"/>
      <c r="AJ263" s="307"/>
      <c r="AK263" s="307"/>
      <c r="AL263" s="307"/>
      <c r="AM263" s="307"/>
      <c r="AN263" s="307"/>
      <c r="AO263" s="307"/>
      <c r="AP263" s="307"/>
      <c r="AQ263" s="307"/>
      <c r="AR263" s="307"/>
      <c r="AS263" s="307"/>
      <c r="AT263" s="307"/>
      <c r="AU263" s="307"/>
    </row>
    <row r="264" ht="12.0" customHeight="1">
      <c r="A264" s="301"/>
      <c r="B264" s="301"/>
      <c r="C264" s="301"/>
      <c r="D264" s="301"/>
      <c r="E264" s="301"/>
      <c r="F264" s="301"/>
      <c r="G264" s="301"/>
      <c r="H264" s="307"/>
      <c r="I264" s="301"/>
      <c r="J264" s="301"/>
      <c r="K264" s="301"/>
      <c r="L264" s="301"/>
      <c r="M264" s="301"/>
      <c r="N264" s="301"/>
      <c r="O264" s="301"/>
      <c r="P264" s="301"/>
      <c r="Q264" s="301"/>
      <c r="R264" s="301"/>
      <c r="S264" s="301"/>
      <c r="T264" s="301"/>
      <c r="U264" s="307"/>
      <c r="V264" s="301"/>
      <c r="W264" s="301"/>
      <c r="X264" s="307"/>
      <c r="Y264" s="301"/>
      <c r="Z264" s="301"/>
      <c r="AA264" s="301"/>
      <c r="AB264" s="301"/>
      <c r="AC264" s="301"/>
      <c r="AD264" s="301"/>
      <c r="AE264" s="301"/>
      <c r="AF264" s="301"/>
      <c r="AG264" s="301"/>
      <c r="AH264" s="307"/>
      <c r="AI264" s="307"/>
      <c r="AJ264" s="307"/>
      <c r="AK264" s="307"/>
      <c r="AL264" s="307"/>
      <c r="AM264" s="307"/>
      <c r="AN264" s="307"/>
      <c r="AO264" s="307"/>
      <c r="AP264" s="307"/>
      <c r="AQ264" s="307"/>
      <c r="AR264" s="307"/>
      <c r="AS264" s="307"/>
      <c r="AT264" s="307"/>
      <c r="AU264" s="307"/>
    </row>
    <row r="265" ht="12.0" customHeight="1">
      <c r="A265" s="301"/>
      <c r="B265" s="301"/>
      <c r="C265" s="301"/>
      <c r="D265" s="301"/>
      <c r="E265" s="301"/>
      <c r="F265" s="301"/>
      <c r="G265" s="301"/>
      <c r="H265" s="307"/>
      <c r="I265" s="301"/>
      <c r="J265" s="301"/>
      <c r="K265" s="301"/>
      <c r="L265" s="301"/>
      <c r="M265" s="301"/>
      <c r="N265" s="301"/>
      <c r="O265" s="301"/>
      <c r="P265" s="301"/>
      <c r="Q265" s="301"/>
      <c r="R265" s="301"/>
      <c r="S265" s="301"/>
      <c r="T265" s="301"/>
      <c r="U265" s="307"/>
      <c r="V265" s="301"/>
      <c r="W265" s="301"/>
      <c r="X265" s="307"/>
      <c r="Y265" s="301"/>
      <c r="Z265" s="301"/>
      <c r="AA265" s="301"/>
      <c r="AB265" s="301"/>
      <c r="AC265" s="301"/>
      <c r="AD265" s="301"/>
      <c r="AE265" s="301"/>
      <c r="AF265" s="301"/>
      <c r="AG265" s="301"/>
      <c r="AH265" s="307"/>
      <c r="AI265" s="307"/>
      <c r="AJ265" s="307"/>
      <c r="AK265" s="307"/>
      <c r="AL265" s="307"/>
      <c r="AM265" s="307"/>
      <c r="AN265" s="307"/>
      <c r="AO265" s="307"/>
      <c r="AP265" s="307"/>
      <c r="AQ265" s="307"/>
      <c r="AR265" s="307"/>
      <c r="AS265" s="307"/>
      <c r="AT265" s="307"/>
      <c r="AU265" s="307"/>
    </row>
    <row r="266" ht="12.0" customHeight="1">
      <c r="A266" s="301"/>
      <c r="B266" s="301"/>
      <c r="C266" s="301"/>
      <c r="D266" s="301"/>
      <c r="E266" s="301"/>
      <c r="F266" s="301"/>
      <c r="G266" s="301"/>
      <c r="H266" s="307"/>
      <c r="I266" s="301"/>
      <c r="J266" s="301"/>
      <c r="K266" s="301"/>
      <c r="L266" s="301"/>
      <c r="M266" s="301"/>
      <c r="N266" s="301"/>
      <c r="O266" s="301"/>
      <c r="P266" s="301"/>
      <c r="Q266" s="301"/>
      <c r="R266" s="301"/>
      <c r="S266" s="301"/>
      <c r="T266" s="301"/>
      <c r="U266" s="307"/>
      <c r="V266" s="301"/>
      <c r="W266" s="301"/>
      <c r="X266" s="307"/>
      <c r="Y266" s="301"/>
      <c r="Z266" s="301"/>
      <c r="AA266" s="301"/>
      <c r="AB266" s="301"/>
      <c r="AC266" s="301"/>
      <c r="AD266" s="301"/>
      <c r="AE266" s="301"/>
      <c r="AF266" s="301"/>
      <c r="AG266" s="301"/>
      <c r="AH266" s="307"/>
      <c r="AI266" s="307"/>
      <c r="AJ266" s="307"/>
      <c r="AK266" s="307"/>
      <c r="AL266" s="307"/>
      <c r="AM266" s="307"/>
      <c r="AN266" s="307"/>
      <c r="AO266" s="307"/>
      <c r="AP266" s="307"/>
      <c r="AQ266" s="307"/>
      <c r="AR266" s="307"/>
      <c r="AS266" s="307"/>
      <c r="AT266" s="307"/>
      <c r="AU266" s="307"/>
    </row>
    <row r="267" ht="12.0" customHeight="1">
      <c r="A267" s="301"/>
      <c r="B267" s="301"/>
      <c r="C267" s="301"/>
      <c r="D267" s="301"/>
      <c r="E267" s="301"/>
      <c r="F267" s="301"/>
      <c r="G267" s="301"/>
      <c r="H267" s="307"/>
      <c r="I267" s="301"/>
      <c r="J267" s="301"/>
      <c r="K267" s="301"/>
      <c r="L267" s="301"/>
      <c r="M267" s="301"/>
      <c r="N267" s="301"/>
      <c r="O267" s="301"/>
      <c r="P267" s="301"/>
      <c r="Q267" s="301"/>
      <c r="R267" s="301"/>
      <c r="S267" s="301"/>
      <c r="T267" s="301"/>
      <c r="U267" s="307"/>
      <c r="V267" s="301"/>
      <c r="W267" s="301"/>
      <c r="X267" s="307"/>
      <c r="Y267" s="301"/>
      <c r="Z267" s="301"/>
      <c r="AA267" s="301"/>
      <c r="AB267" s="301"/>
      <c r="AC267" s="301"/>
      <c r="AD267" s="301"/>
      <c r="AE267" s="301"/>
      <c r="AF267" s="301"/>
      <c r="AG267" s="301"/>
      <c r="AH267" s="307"/>
      <c r="AI267" s="307"/>
      <c r="AJ267" s="307"/>
      <c r="AK267" s="307"/>
      <c r="AL267" s="307"/>
      <c r="AM267" s="307"/>
      <c r="AN267" s="307"/>
      <c r="AO267" s="307"/>
      <c r="AP267" s="307"/>
      <c r="AQ267" s="307"/>
      <c r="AR267" s="307"/>
      <c r="AS267" s="307"/>
      <c r="AT267" s="307"/>
      <c r="AU267" s="307"/>
    </row>
    <row r="268" ht="12.0" customHeight="1">
      <c r="A268" s="301"/>
      <c r="B268" s="301"/>
      <c r="C268" s="301"/>
      <c r="D268" s="301"/>
      <c r="E268" s="301"/>
      <c r="F268" s="301"/>
      <c r="G268" s="301"/>
      <c r="H268" s="307"/>
      <c r="I268" s="301"/>
      <c r="J268" s="301"/>
      <c r="K268" s="301"/>
      <c r="L268" s="301"/>
      <c r="M268" s="301"/>
      <c r="N268" s="301"/>
      <c r="O268" s="301"/>
      <c r="P268" s="301"/>
      <c r="Q268" s="301"/>
      <c r="R268" s="301"/>
      <c r="S268" s="301"/>
      <c r="T268" s="301"/>
      <c r="U268" s="307"/>
      <c r="V268" s="301"/>
      <c r="W268" s="301"/>
      <c r="X268" s="307"/>
      <c r="Y268" s="301"/>
      <c r="Z268" s="301"/>
      <c r="AA268" s="301"/>
      <c r="AB268" s="301"/>
      <c r="AC268" s="301"/>
      <c r="AD268" s="301"/>
      <c r="AE268" s="301"/>
      <c r="AF268" s="301"/>
      <c r="AG268" s="301"/>
      <c r="AH268" s="307"/>
      <c r="AI268" s="307"/>
      <c r="AJ268" s="307"/>
      <c r="AK268" s="307"/>
      <c r="AL268" s="307"/>
      <c r="AM268" s="307"/>
      <c r="AN268" s="307"/>
      <c r="AO268" s="307"/>
      <c r="AP268" s="307"/>
      <c r="AQ268" s="307"/>
      <c r="AR268" s="307"/>
      <c r="AS268" s="307"/>
      <c r="AT268" s="307"/>
      <c r="AU268" s="307"/>
    </row>
    <row r="269" ht="12.0" customHeight="1">
      <c r="A269" s="301"/>
      <c r="B269" s="301"/>
      <c r="C269" s="301"/>
      <c r="D269" s="301"/>
      <c r="E269" s="301"/>
      <c r="F269" s="301"/>
      <c r="G269" s="301"/>
      <c r="H269" s="307"/>
      <c r="I269" s="301"/>
      <c r="J269" s="301"/>
      <c r="K269" s="301"/>
      <c r="L269" s="301"/>
      <c r="M269" s="301"/>
      <c r="N269" s="301"/>
      <c r="O269" s="301"/>
      <c r="P269" s="301"/>
      <c r="Q269" s="301"/>
      <c r="R269" s="301"/>
      <c r="S269" s="301"/>
      <c r="T269" s="301"/>
      <c r="U269" s="307"/>
      <c r="V269" s="301"/>
      <c r="W269" s="301"/>
      <c r="X269" s="307"/>
      <c r="Y269" s="301"/>
      <c r="Z269" s="301"/>
      <c r="AA269" s="301"/>
      <c r="AB269" s="301"/>
      <c r="AC269" s="301"/>
      <c r="AD269" s="301"/>
      <c r="AE269" s="301"/>
      <c r="AF269" s="301"/>
      <c r="AG269" s="301"/>
      <c r="AH269" s="307"/>
      <c r="AI269" s="307"/>
      <c r="AJ269" s="307"/>
      <c r="AK269" s="307"/>
      <c r="AL269" s="307"/>
      <c r="AM269" s="307"/>
      <c r="AN269" s="307"/>
      <c r="AO269" s="307"/>
      <c r="AP269" s="307"/>
      <c r="AQ269" s="307"/>
      <c r="AR269" s="307"/>
      <c r="AS269" s="307"/>
      <c r="AT269" s="307"/>
      <c r="AU269" s="307"/>
    </row>
    <row r="270" ht="12.0" customHeight="1">
      <c r="A270" s="301"/>
      <c r="B270" s="301"/>
      <c r="C270" s="301"/>
      <c r="D270" s="301"/>
      <c r="E270" s="301"/>
      <c r="F270" s="301"/>
      <c r="G270" s="301"/>
      <c r="H270" s="307"/>
      <c r="I270" s="301"/>
      <c r="J270" s="301"/>
      <c r="K270" s="301"/>
      <c r="L270" s="301"/>
      <c r="M270" s="301"/>
      <c r="N270" s="301"/>
      <c r="O270" s="301"/>
      <c r="P270" s="301"/>
      <c r="Q270" s="301"/>
      <c r="R270" s="301"/>
      <c r="S270" s="301"/>
      <c r="T270" s="301"/>
      <c r="U270" s="307"/>
      <c r="V270" s="301"/>
      <c r="W270" s="301"/>
      <c r="X270" s="307"/>
      <c r="Y270" s="301"/>
      <c r="Z270" s="301"/>
      <c r="AA270" s="301"/>
      <c r="AB270" s="301"/>
      <c r="AC270" s="301"/>
      <c r="AD270" s="301"/>
      <c r="AE270" s="301"/>
      <c r="AF270" s="301"/>
      <c r="AG270" s="301"/>
      <c r="AH270" s="307"/>
      <c r="AI270" s="307"/>
      <c r="AJ270" s="307"/>
      <c r="AK270" s="307"/>
      <c r="AL270" s="307"/>
      <c r="AM270" s="307"/>
      <c r="AN270" s="307"/>
      <c r="AO270" s="307"/>
      <c r="AP270" s="307"/>
      <c r="AQ270" s="307"/>
      <c r="AR270" s="307"/>
      <c r="AS270" s="307"/>
      <c r="AT270" s="307"/>
      <c r="AU270" s="307"/>
    </row>
    <row r="271" ht="12.0" customHeight="1">
      <c r="A271" s="301"/>
      <c r="B271" s="301"/>
      <c r="C271" s="301"/>
      <c r="D271" s="301"/>
      <c r="E271" s="301"/>
      <c r="F271" s="301"/>
      <c r="G271" s="301"/>
      <c r="H271" s="307"/>
      <c r="I271" s="301"/>
      <c r="J271" s="301"/>
      <c r="K271" s="301"/>
      <c r="L271" s="301"/>
      <c r="M271" s="301"/>
      <c r="N271" s="301"/>
      <c r="O271" s="301"/>
      <c r="P271" s="301"/>
      <c r="Q271" s="301"/>
      <c r="R271" s="301"/>
      <c r="S271" s="301"/>
      <c r="T271" s="301"/>
      <c r="U271" s="307"/>
      <c r="V271" s="301"/>
      <c r="W271" s="301"/>
      <c r="X271" s="307"/>
      <c r="Y271" s="301"/>
      <c r="Z271" s="301"/>
      <c r="AA271" s="301"/>
      <c r="AB271" s="301"/>
      <c r="AC271" s="301"/>
      <c r="AD271" s="301"/>
      <c r="AE271" s="301"/>
      <c r="AF271" s="301"/>
      <c r="AG271" s="301"/>
      <c r="AH271" s="307"/>
      <c r="AI271" s="307"/>
      <c r="AJ271" s="307"/>
      <c r="AK271" s="307"/>
      <c r="AL271" s="307"/>
      <c r="AM271" s="307"/>
      <c r="AN271" s="307"/>
      <c r="AO271" s="307"/>
      <c r="AP271" s="307"/>
      <c r="AQ271" s="307"/>
      <c r="AR271" s="307"/>
      <c r="AS271" s="307"/>
      <c r="AT271" s="307"/>
      <c r="AU271" s="307"/>
    </row>
    <row r="272" ht="12.0" customHeight="1">
      <c r="A272" s="301"/>
      <c r="B272" s="301"/>
      <c r="C272" s="301"/>
      <c r="D272" s="301"/>
      <c r="E272" s="301"/>
      <c r="F272" s="301"/>
      <c r="G272" s="301"/>
      <c r="H272" s="307"/>
      <c r="I272" s="301"/>
      <c r="J272" s="301"/>
      <c r="K272" s="301"/>
      <c r="L272" s="301"/>
      <c r="M272" s="301"/>
      <c r="N272" s="301"/>
      <c r="O272" s="301"/>
      <c r="P272" s="301"/>
      <c r="Q272" s="301"/>
      <c r="R272" s="301"/>
      <c r="S272" s="301"/>
      <c r="T272" s="301"/>
      <c r="U272" s="307"/>
      <c r="V272" s="301"/>
      <c r="W272" s="301"/>
      <c r="X272" s="307"/>
      <c r="Y272" s="301"/>
      <c r="Z272" s="301"/>
      <c r="AA272" s="301"/>
      <c r="AB272" s="301"/>
      <c r="AC272" s="301"/>
      <c r="AD272" s="301"/>
      <c r="AE272" s="301"/>
      <c r="AF272" s="301"/>
      <c r="AG272" s="301"/>
      <c r="AH272" s="307"/>
      <c r="AI272" s="307"/>
      <c r="AJ272" s="307"/>
      <c r="AK272" s="307"/>
      <c r="AL272" s="307"/>
      <c r="AM272" s="307"/>
      <c r="AN272" s="307"/>
      <c r="AO272" s="307"/>
      <c r="AP272" s="307"/>
      <c r="AQ272" s="307"/>
      <c r="AR272" s="307"/>
      <c r="AS272" s="307"/>
      <c r="AT272" s="307"/>
      <c r="AU272" s="307"/>
    </row>
    <row r="273" ht="12.0" customHeight="1">
      <c r="A273" s="301"/>
      <c r="B273" s="301"/>
      <c r="C273" s="301"/>
      <c r="D273" s="301"/>
      <c r="E273" s="301"/>
      <c r="F273" s="301"/>
      <c r="G273" s="301"/>
      <c r="H273" s="307"/>
      <c r="I273" s="301"/>
      <c r="J273" s="301"/>
      <c r="K273" s="301"/>
      <c r="L273" s="301"/>
      <c r="M273" s="301"/>
      <c r="N273" s="301"/>
      <c r="O273" s="301"/>
      <c r="P273" s="301"/>
      <c r="Q273" s="301"/>
      <c r="R273" s="301"/>
      <c r="S273" s="301"/>
      <c r="T273" s="301"/>
      <c r="U273" s="307"/>
      <c r="V273" s="301"/>
      <c r="W273" s="301"/>
      <c r="X273" s="307"/>
      <c r="Y273" s="301"/>
      <c r="Z273" s="301"/>
      <c r="AA273" s="301"/>
      <c r="AB273" s="301"/>
      <c r="AC273" s="301"/>
      <c r="AD273" s="301"/>
      <c r="AE273" s="301"/>
      <c r="AF273" s="301"/>
      <c r="AG273" s="301"/>
      <c r="AH273" s="307"/>
      <c r="AI273" s="307"/>
      <c r="AJ273" s="307"/>
      <c r="AK273" s="307"/>
      <c r="AL273" s="307"/>
      <c r="AM273" s="307"/>
      <c r="AN273" s="307"/>
      <c r="AO273" s="307"/>
      <c r="AP273" s="307"/>
      <c r="AQ273" s="307"/>
      <c r="AR273" s="307"/>
      <c r="AS273" s="307"/>
      <c r="AT273" s="307"/>
      <c r="AU273" s="307"/>
    </row>
    <row r="274" ht="12.0" customHeight="1">
      <c r="A274" s="301"/>
      <c r="B274" s="301"/>
      <c r="C274" s="301"/>
      <c r="D274" s="301"/>
      <c r="E274" s="301"/>
      <c r="F274" s="301"/>
      <c r="G274" s="301"/>
      <c r="H274" s="307"/>
      <c r="I274" s="301"/>
      <c r="J274" s="301"/>
      <c r="K274" s="301"/>
      <c r="L274" s="301"/>
      <c r="M274" s="301"/>
      <c r="N274" s="301"/>
      <c r="O274" s="301"/>
      <c r="P274" s="301"/>
      <c r="Q274" s="301"/>
      <c r="R274" s="301"/>
      <c r="S274" s="301"/>
      <c r="T274" s="301"/>
      <c r="U274" s="307"/>
      <c r="V274" s="301"/>
      <c r="W274" s="301"/>
      <c r="X274" s="307"/>
      <c r="Y274" s="301"/>
      <c r="Z274" s="301"/>
      <c r="AA274" s="301"/>
      <c r="AB274" s="301"/>
      <c r="AC274" s="301"/>
      <c r="AD274" s="301"/>
      <c r="AE274" s="301"/>
      <c r="AF274" s="301"/>
      <c r="AG274" s="301"/>
      <c r="AH274" s="307"/>
      <c r="AI274" s="307"/>
      <c r="AJ274" s="307"/>
      <c r="AK274" s="307"/>
      <c r="AL274" s="307"/>
      <c r="AM274" s="307"/>
      <c r="AN274" s="307"/>
      <c r="AO274" s="307"/>
      <c r="AP274" s="307"/>
      <c r="AQ274" s="307"/>
      <c r="AR274" s="307"/>
      <c r="AS274" s="307"/>
      <c r="AT274" s="307"/>
      <c r="AU274" s="307"/>
    </row>
    <row r="275" ht="12.0" customHeight="1">
      <c r="A275" s="301"/>
      <c r="B275" s="301"/>
      <c r="C275" s="301"/>
      <c r="D275" s="301"/>
      <c r="E275" s="301"/>
      <c r="F275" s="301"/>
      <c r="G275" s="301"/>
      <c r="H275" s="307"/>
      <c r="I275" s="301"/>
      <c r="J275" s="301"/>
      <c r="K275" s="301"/>
      <c r="L275" s="301"/>
      <c r="M275" s="301"/>
      <c r="N275" s="301"/>
      <c r="O275" s="301"/>
      <c r="P275" s="301"/>
      <c r="Q275" s="301"/>
      <c r="R275" s="301"/>
      <c r="S275" s="301"/>
      <c r="T275" s="301"/>
      <c r="U275" s="307"/>
      <c r="V275" s="301"/>
      <c r="W275" s="301"/>
      <c r="X275" s="307"/>
      <c r="Y275" s="301"/>
      <c r="Z275" s="301"/>
      <c r="AA275" s="301"/>
      <c r="AB275" s="301"/>
      <c r="AC275" s="301"/>
      <c r="AD275" s="301"/>
      <c r="AE275" s="301"/>
      <c r="AF275" s="301"/>
      <c r="AG275" s="301"/>
      <c r="AH275" s="307"/>
      <c r="AI275" s="307"/>
      <c r="AJ275" s="307"/>
      <c r="AK275" s="307"/>
      <c r="AL275" s="307"/>
      <c r="AM275" s="307"/>
      <c r="AN275" s="307"/>
      <c r="AO275" s="307"/>
      <c r="AP275" s="307"/>
      <c r="AQ275" s="307"/>
      <c r="AR275" s="307"/>
      <c r="AS275" s="307"/>
      <c r="AT275" s="307"/>
      <c r="AU275" s="307"/>
    </row>
    <row r="276" ht="12.0" customHeight="1">
      <c r="A276" s="301"/>
      <c r="B276" s="301"/>
      <c r="C276" s="301"/>
      <c r="D276" s="301"/>
      <c r="E276" s="301"/>
      <c r="F276" s="301"/>
      <c r="G276" s="301"/>
      <c r="H276" s="307"/>
      <c r="I276" s="301"/>
      <c r="J276" s="301"/>
      <c r="K276" s="301"/>
      <c r="L276" s="301"/>
      <c r="M276" s="301"/>
      <c r="N276" s="301"/>
      <c r="O276" s="301"/>
      <c r="P276" s="301"/>
      <c r="Q276" s="301"/>
      <c r="R276" s="301"/>
      <c r="S276" s="301"/>
      <c r="T276" s="301"/>
      <c r="U276" s="307"/>
      <c r="V276" s="301"/>
      <c r="W276" s="301"/>
      <c r="X276" s="307"/>
      <c r="Y276" s="301"/>
      <c r="Z276" s="301"/>
      <c r="AA276" s="301"/>
      <c r="AB276" s="301"/>
      <c r="AC276" s="301"/>
      <c r="AD276" s="301"/>
      <c r="AE276" s="301"/>
      <c r="AF276" s="301"/>
      <c r="AG276" s="301"/>
      <c r="AH276" s="307"/>
      <c r="AI276" s="307"/>
      <c r="AJ276" s="307"/>
      <c r="AK276" s="307"/>
      <c r="AL276" s="307"/>
      <c r="AM276" s="307"/>
      <c r="AN276" s="307"/>
      <c r="AO276" s="307"/>
      <c r="AP276" s="307"/>
      <c r="AQ276" s="307"/>
      <c r="AR276" s="307"/>
      <c r="AS276" s="307"/>
      <c r="AT276" s="307"/>
      <c r="AU276" s="307"/>
    </row>
    <row r="277" ht="12.0" customHeight="1">
      <c r="A277" s="301"/>
      <c r="B277" s="301"/>
      <c r="C277" s="301"/>
      <c r="D277" s="301"/>
      <c r="E277" s="301"/>
      <c r="F277" s="301"/>
      <c r="G277" s="301"/>
      <c r="H277" s="307"/>
      <c r="I277" s="301"/>
      <c r="J277" s="301"/>
      <c r="K277" s="301"/>
      <c r="L277" s="301"/>
      <c r="M277" s="301"/>
      <c r="N277" s="301"/>
      <c r="O277" s="301"/>
      <c r="P277" s="301"/>
      <c r="Q277" s="301"/>
      <c r="R277" s="301"/>
      <c r="S277" s="301"/>
      <c r="T277" s="301"/>
      <c r="U277" s="307"/>
      <c r="V277" s="301"/>
      <c r="W277" s="301"/>
      <c r="X277" s="307"/>
      <c r="Y277" s="301"/>
      <c r="Z277" s="301"/>
      <c r="AA277" s="301"/>
      <c r="AB277" s="301"/>
      <c r="AC277" s="301"/>
      <c r="AD277" s="301"/>
      <c r="AE277" s="301"/>
      <c r="AF277" s="301"/>
      <c r="AG277" s="301"/>
      <c r="AH277" s="307"/>
      <c r="AI277" s="307"/>
      <c r="AJ277" s="307"/>
      <c r="AK277" s="307"/>
      <c r="AL277" s="307"/>
      <c r="AM277" s="307"/>
      <c r="AN277" s="307"/>
      <c r="AO277" s="307"/>
      <c r="AP277" s="307"/>
      <c r="AQ277" s="307"/>
      <c r="AR277" s="307"/>
      <c r="AS277" s="307"/>
      <c r="AT277" s="307"/>
      <c r="AU277" s="307"/>
    </row>
    <row r="278" ht="12.0" customHeight="1">
      <c r="A278" s="301"/>
      <c r="B278" s="301"/>
      <c r="C278" s="301"/>
      <c r="D278" s="301"/>
      <c r="E278" s="301"/>
      <c r="F278" s="301"/>
      <c r="G278" s="301"/>
      <c r="H278" s="307"/>
      <c r="I278" s="301"/>
      <c r="J278" s="301"/>
      <c r="K278" s="301"/>
      <c r="L278" s="301"/>
      <c r="M278" s="301"/>
      <c r="N278" s="301"/>
      <c r="O278" s="301"/>
      <c r="P278" s="301"/>
      <c r="Q278" s="301"/>
      <c r="R278" s="301"/>
      <c r="S278" s="301"/>
      <c r="T278" s="301"/>
      <c r="U278" s="307"/>
      <c r="V278" s="301"/>
      <c r="W278" s="301"/>
      <c r="X278" s="307"/>
      <c r="Y278" s="301"/>
      <c r="Z278" s="301"/>
      <c r="AA278" s="301"/>
      <c r="AB278" s="301"/>
      <c r="AC278" s="301"/>
      <c r="AD278" s="301"/>
      <c r="AE278" s="301"/>
      <c r="AF278" s="301"/>
      <c r="AG278" s="301"/>
      <c r="AH278" s="307"/>
      <c r="AI278" s="307"/>
      <c r="AJ278" s="307"/>
      <c r="AK278" s="307"/>
      <c r="AL278" s="307"/>
      <c r="AM278" s="307"/>
      <c r="AN278" s="307"/>
      <c r="AO278" s="307"/>
      <c r="AP278" s="307"/>
      <c r="AQ278" s="307"/>
      <c r="AR278" s="307"/>
      <c r="AS278" s="307"/>
      <c r="AT278" s="307"/>
      <c r="AU278" s="307"/>
    </row>
    <row r="279" ht="12.0" customHeight="1">
      <c r="A279" s="301"/>
      <c r="B279" s="301"/>
      <c r="C279" s="301"/>
      <c r="D279" s="301"/>
      <c r="E279" s="301"/>
      <c r="F279" s="301"/>
      <c r="G279" s="301"/>
      <c r="H279" s="307"/>
      <c r="I279" s="301"/>
      <c r="J279" s="301"/>
      <c r="K279" s="301"/>
      <c r="L279" s="301"/>
      <c r="M279" s="301"/>
      <c r="N279" s="301"/>
      <c r="O279" s="301"/>
      <c r="P279" s="301"/>
      <c r="Q279" s="301"/>
      <c r="R279" s="301"/>
      <c r="S279" s="301"/>
      <c r="T279" s="301"/>
      <c r="U279" s="307"/>
      <c r="V279" s="301"/>
      <c r="W279" s="301"/>
      <c r="X279" s="307"/>
      <c r="Y279" s="301"/>
      <c r="Z279" s="301"/>
      <c r="AA279" s="301"/>
      <c r="AB279" s="301"/>
      <c r="AC279" s="301"/>
      <c r="AD279" s="301"/>
      <c r="AE279" s="301"/>
      <c r="AF279" s="301"/>
      <c r="AG279" s="301"/>
      <c r="AH279" s="307"/>
      <c r="AI279" s="307"/>
      <c r="AJ279" s="307"/>
      <c r="AK279" s="307"/>
      <c r="AL279" s="307"/>
      <c r="AM279" s="307"/>
      <c r="AN279" s="307"/>
      <c r="AO279" s="307"/>
      <c r="AP279" s="307"/>
      <c r="AQ279" s="307"/>
      <c r="AR279" s="307"/>
      <c r="AS279" s="307"/>
      <c r="AT279" s="307"/>
      <c r="AU279" s="307"/>
    </row>
    <row r="280" ht="12.0" customHeight="1">
      <c r="A280" s="301"/>
      <c r="B280" s="301"/>
      <c r="C280" s="301"/>
      <c r="D280" s="301"/>
      <c r="E280" s="301"/>
      <c r="F280" s="301"/>
      <c r="G280" s="301"/>
      <c r="H280" s="307"/>
      <c r="I280" s="301"/>
      <c r="J280" s="301"/>
      <c r="K280" s="301"/>
      <c r="L280" s="301"/>
      <c r="M280" s="301"/>
      <c r="N280" s="301"/>
      <c r="O280" s="301"/>
      <c r="P280" s="301"/>
      <c r="Q280" s="301"/>
      <c r="R280" s="301"/>
      <c r="S280" s="301"/>
      <c r="T280" s="301"/>
      <c r="U280" s="307"/>
      <c r="V280" s="301"/>
      <c r="W280" s="301"/>
      <c r="X280" s="307"/>
      <c r="Y280" s="301"/>
      <c r="Z280" s="301"/>
      <c r="AA280" s="301"/>
      <c r="AB280" s="301"/>
      <c r="AC280" s="301"/>
      <c r="AD280" s="301"/>
      <c r="AE280" s="301"/>
      <c r="AF280" s="301"/>
      <c r="AG280" s="301"/>
      <c r="AH280" s="307"/>
      <c r="AI280" s="307"/>
      <c r="AJ280" s="307"/>
      <c r="AK280" s="307"/>
      <c r="AL280" s="307"/>
      <c r="AM280" s="307"/>
      <c r="AN280" s="307"/>
      <c r="AO280" s="307"/>
      <c r="AP280" s="307"/>
      <c r="AQ280" s="307"/>
      <c r="AR280" s="307"/>
      <c r="AS280" s="307"/>
      <c r="AT280" s="307"/>
      <c r="AU280" s="307"/>
    </row>
    <row r="281" ht="12.0" customHeight="1">
      <c r="A281" s="301"/>
      <c r="B281" s="301"/>
      <c r="C281" s="301"/>
      <c r="D281" s="301"/>
      <c r="E281" s="301"/>
      <c r="F281" s="301"/>
      <c r="G281" s="301"/>
      <c r="H281" s="307"/>
      <c r="I281" s="301"/>
      <c r="J281" s="301"/>
      <c r="K281" s="301"/>
      <c r="L281" s="301"/>
      <c r="M281" s="301"/>
      <c r="N281" s="301"/>
      <c r="O281" s="301"/>
      <c r="P281" s="301"/>
      <c r="Q281" s="301"/>
      <c r="R281" s="301"/>
      <c r="S281" s="301"/>
      <c r="T281" s="301"/>
      <c r="U281" s="307"/>
      <c r="V281" s="301"/>
      <c r="W281" s="301"/>
      <c r="X281" s="307"/>
      <c r="Y281" s="301"/>
      <c r="Z281" s="301"/>
      <c r="AA281" s="301"/>
      <c r="AB281" s="301"/>
      <c r="AC281" s="301"/>
      <c r="AD281" s="301"/>
      <c r="AE281" s="301"/>
      <c r="AF281" s="301"/>
      <c r="AG281" s="301"/>
      <c r="AH281" s="307"/>
      <c r="AI281" s="307"/>
      <c r="AJ281" s="307"/>
      <c r="AK281" s="307"/>
      <c r="AL281" s="307"/>
      <c r="AM281" s="307"/>
      <c r="AN281" s="307"/>
      <c r="AO281" s="307"/>
      <c r="AP281" s="307"/>
      <c r="AQ281" s="307"/>
      <c r="AR281" s="307"/>
      <c r="AS281" s="307"/>
      <c r="AT281" s="307"/>
      <c r="AU281" s="307"/>
    </row>
    <row r="282" ht="12.0" customHeight="1">
      <c r="A282" s="301"/>
      <c r="B282" s="301"/>
      <c r="C282" s="301"/>
      <c r="D282" s="301"/>
      <c r="E282" s="301"/>
      <c r="F282" s="301"/>
      <c r="G282" s="301"/>
      <c r="H282" s="307"/>
      <c r="I282" s="301"/>
      <c r="J282" s="301"/>
      <c r="K282" s="301"/>
      <c r="L282" s="301"/>
      <c r="M282" s="301"/>
      <c r="N282" s="301"/>
      <c r="O282" s="301"/>
      <c r="P282" s="301"/>
      <c r="Q282" s="301"/>
      <c r="R282" s="301"/>
      <c r="S282" s="301"/>
      <c r="T282" s="301"/>
      <c r="U282" s="307"/>
      <c r="V282" s="301"/>
      <c r="W282" s="301"/>
      <c r="X282" s="307"/>
      <c r="Y282" s="301"/>
      <c r="Z282" s="301"/>
      <c r="AA282" s="301"/>
      <c r="AB282" s="301"/>
      <c r="AC282" s="301"/>
      <c r="AD282" s="301"/>
      <c r="AE282" s="301"/>
      <c r="AF282" s="301"/>
      <c r="AG282" s="301"/>
      <c r="AH282" s="307"/>
      <c r="AI282" s="307"/>
      <c r="AJ282" s="307"/>
      <c r="AK282" s="307"/>
      <c r="AL282" s="307"/>
      <c r="AM282" s="307"/>
      <c r="AN282" s="307"/>
      <c r="AO282" s="307"/>
      <c r="AP282" s="307"/>
      <c r="AQ282" s="307"/>
      <c r="AR282" s="307"/>
      <c r="AS282" s="307"/>
      <c r="AT282" s="307"/>
      <c r="AU282" s="307"/>
    </row>
    <row r="283" ht="12.0" customHeight="1">
      <c r="A283" s="301"/>
      <c r="B283" s="301"/>
      <c r="C283" s="301"/>
      <c r="D283" s="301"/>
      <c r="E283" s="301"/>
      <c r="F283" s="301"/>
      <c r="G283" s="301"/>
      <c r="H283" s="307"/>
      <c r="I283" s="301"/>
      <c r="J283" s="301"/>
      <c r="K283" s="301"/>
      <c r="L283" s="301"/>
      <c r="M283" s="301"/>
      <c r="N283" s="301"/>
      <c r="O283" s="301"/>
      <c r="P283" s="301"/>
      <c r="Q283" s="301"/>
      <c r="R283" s="301"/>
      <c r="S283" s="301"/>
      <c r="T283" s="301"/>
      <c r="U283" s="307"/>
      <c r="V283" s="301"/>
      <c r="W283" s="301"/>
      <c r="X283" s="307"/>
      <c r="Y283" s="301"/>
      <c r="Z283" s="301"/>
      <c r="AA283" s="301"/>
      <c r="AB283" s="301"/>
      <c r="AC283" s="301"/>
      <c r="AD283" s="301"/>
      <c r="AE283" s="301"/>
      <c r="AF283" s="301"/>
      <c r="AG283" s="301"/>
      <c r="AH283" s="307"/>
      <c r="AI283" s="307"/>
      <c r="AJ283" s="307"/>
      <c r="AK283" s="307"/>
      <c r="AL283" s="307"/>
      <c r="AM283" s="307"/>
      <c r="AN283" s="307"/>
      <c r="AO283" s="307"/>
      <c r="AP283" s="307"/>
      <c r="AQ283" s="307"/>
      <c r="AR283" s="307"/>
      <c r="AS283" s="307"/>
      <c r="AT283" s="307"/>
      <c r="AU283" s="307"/>
    </row>
    <row r="284" ht="12.0" customHeight="1">
      <c r="A284" s="301"/>
      <c r="B284" s="301"/>
      <c r="C284" s="301"/>
      <c r="D284" s="301"/>
      <c r="E284" s="301"/>
      <c r="F284" s="301"/>
      <c r="G284" s="301"/>
      <c r="H284" s="307"/>
      <c r="I284" s="301"/>
      <c r="J284" s="301"/>
      <c r="K284" s="301"/>
      <c r="L284" s="301"/>
      <c r="M284" s="301"/>
      <c r="N284" s="301"/>
      <c r="O284" s="301"/>
      <c r="P284" s="301"/>
      <c r="Q284" s="301"/>
      <c r="R284" s="301"/>
      <c r="S284" s="301"/>
      <c r="T284" s="301"/>
      <c r="U284" s="307"/>
      <c r="V284" s="301"/>
      <c r="W284" s="301"/>
      <c r="X284" s="307"/>
      <c r="Y284" s="301"/>
      <c r="Z284" s="301"/>
      <c r="AA284" s="301"/>
      <c r="AB284" s="301"/>
      <c r="AC284" s="301"/>
      <c r="AD284" s="301"/>
      <c r="AE284" s="301"/>
      <c r="AF284" s="301"/>
      <c r="AG284" s="301"/>
      <c r="AH284" s="307"/>
      <c r="AI284" s="307"/>
      <c r="AJ284" s="307"/>
      <c r="AK284" s="307"/>
      <c r="AL284" s="307"/>
      <c r="AM284" s="307"/>
      <c r="AN284" s="307"/>
      <c r="AO284" s="307"/>
      <c r="AP284" s="307"/>
      <c r="AQ284" s="307"/>
      <c r="AR284" s="307"/>
      <c r="AS284" s="307"/>
      <c r="AT284" s="307"/>
      <c r="AU284" s="307"/>
    </row>
    <row r="285" ht="12.0" customHeight="1">
      <c r="A285" s="301"/>
      <c r="B285" s="301"/>
      <c r="C285" s="301"/>
      <c r="D285" s="301"/>
      <c r="E285" s="301"/>
      <c r="F285" s="301"/>
      <c r="G285" s="301"/>
      <c r="H285" s="307"/>
      <c r="I285" s="301"/>
      <c r="J285" s="301"/>
      <c r="K285" s="301"/>
      <c r="L285" s="301"/>
      <c r="M285" s="301"/>
      <c r="N285" s="301"/>
      <c r="O285" s="301"/>
      <c r="P285" s="301"/>
      <c r="Q285" s="301"/>
      <c r="R285" s="301"/>
      <c r="S285" s="301"/>
      <c r="T285" s="301"/>
      <c r="U285" s="307"/>
      <c r="V285" s="301"/>
      <c r="W285" s="301"/>
      <c r="X285" s="307"/>
      <c r="Y285" s="301"/>
      <c r="Z285" s="301"/>
      <c r="AA285" s="301"/>
      <c r="AB285" s="301"/>
      <c r="AC285" s="301"/>
      <c r="AD285" s="301"/>
      <c r="AE285" s="301"/>
      <c r="AF285" s="301"/>
      <c r="AG285" s="301"/>
      <c r="AH285" s="307"/>
      <c r="AI285" s="307"/>
      <c r="AJ285" s="307"/>
      <c r="AK285" s="307"/>
      <c r="AL285" s="307"/>
      <c r="AM285" s="307"/>
      <c r="AN285" s="307"/>
      <c r="AO285" s="307"/>
      <c r="AP285" s="307"/>
      <c r="AQ285" s="307"/>
      <c r="AR285" s="307"/>
      <c r="AS285" s="307"/>
      <c r="AT285" s="307"/>
      <c r="AU285" s="307"/>
    </row>
    <row r="286" ht="12.0" customHeight="1">
      <c r="A286" s="301"/>
      <c r="B286" s="301"/>
      <c r="C286" s="301"/>
      <c r="D286" s="301"/>
      <c r="E286" s="301"/>
      <c r="F286" s="301"/>
      <c r="G286" s="301"/>
      <c r="H286" s="307"/>
      <c r="I286" s="301"/>
      <c r="J286" s="301"/>
      <c r="K286" s="301"/>
      <c r="L286" s="301"/>
      <c r="M286" s="301"/>
      <c r="N286" s="301"/>
      <c r="O286" s="301"/>
      <c r="P286" s="301"/>
      <c r="Q286" s="301"/>
      <c r="R286" s="301"/>
      <c r="S286" s="301"/>
      <c r="T286" s="301"/>
      <c r="U286" s="307"/>
      <c r="V286" s="301"/>
      <c r="W286" s="301"/>
      <c r="X286" s="307"/>
      <c r="Y286" s="301"/>
      <c r="Z286" s="301"/>
      <c r="AA286" s="301"/>
      <c r="AB286" s="301"/>
      <c r="AC286" s="301"/>
      <c r="AD286" s="301"/>
      <c r="AE286" s="301"/>
      <c r="AF286" s="301"/>
      <c r="AG286" s="301"/>
      <c r="AH286" s="307"/>
      <c r="AI286" s="307"/>
      <c r="AJ286" s="307"/>
      <c r="AK286" s="307"/>
      <c r="AL286" s="307"/>
      <c r="AM286" s="307"/>
      <c r="AN286" s="307"/>
      <c r="AO286" s="307"/>
      <c r="AP286" s="307"/>
      <c r="AQ286" s="307"/>
      <c r="AR286" s="307"/>
      <c r="AS286" s="307"/>
      <c r="AT286" s="307"/>
      <c r="AU286" s="307"/>
    </row>
    <row r="287" ht="12.0" customHeight="1">
      <c r="A287" s="301"/>
      <c r="B287" s="301"/>
      <c r="C287" s="301"/>
      <c r="D287" s="301"/>
      <c r="E287" s="301"/>
      <c r="F287" s="301"/>
      <c r="G287" s="301"/>
      <c r="H287" s="307"/>
      <c r="I287" s="301"/>
      <c r="J287" s="301"/>
      <c r="K287" s="301"/>
      <c r="L287" s="301"/>
      <c r="M287" s="301"/>
      <c r="N287" s="301"/>
      <c r="O287" s="301"/>
      <c r="P287" s="301"/>
      <c r="Q287" s="301"/>
      <c r="R287" s="301"/>
      <c r="S287" s="301"/>
      <c r="T287" s="301"/>
      <c r="U287" s="307"/>
      <c r="V287" s="301"/>
      <c r="W287" s="301"/>
      <c r="X287" s="307"/>
      <c r="Y287" s="301"/>
      <c r="Z287" s="301"/>
      <c r="AA287" s="301"/>
      <c r="AB287" s="301"/>
      <c r="AC287" s="301"/>
      <c r="AD287" s="301"/>
      <c r="AE287" s="301"/>
      <c r="AF287" s="301"/>
      <c r="AG287" s="301"/>
      <c r="AH287" s="307"/>
      <c r="AI287" s="307"/>
      <c r="AJ287" s="307"/>
      <c r="AK287" s="307"/>
      <c r="AL287" s="307"/>
      <c r="AM287" s="307"/>
      <c r="AN287" s="307"/>
      <c r="AO287" s="307"/>
      <c r="AP287" s="307"/>
      <c r="AQ287" s="307"/>
      <c r="AR287" s="307"/>
      <c r="AS287" s="307"/>
      <c r="AT287" s="307"/>
      <c r="AU287" s="307"/>
    </row>
    <row r="288" ht="12.0" customHeight="1">
      <c r="A288" s="301"/>
      <c r="B288" s="301"/>
      <c r="C288" s="301"/>
      <c r="D288" s="301"/>
      <c r="E288" s="301"/>
      <c r="F288" s="301"/>
      <c r="G288" s="301"/>
      <c r="H288" s="307"/>
      <c r="I288" s="301"/>
      <c r="J288" s="301"/>
      <c r="K288" s="301"/>
      <c r="L288" s="301"/>
      <c r="M288" s="301"/>
      <c r="N288" s="301"/>
      <c r="O288" s="301"/>
      <c r="P288" s="301"/>
      <c r="Q288" s="301"/>
      <c r="R288" s="301"/>
      <c r="S288" s="301"/>
      <c r="T288" s="301"/>
      <c r="U288" s="307"/>
      <c r="V288" s="301"/>
      <c r="W288" s="301"/>
      <c r="X288" s="307"/>
      <c r="Y288" s="301"/>
      <c r="Z288" s="301"/>
      <c r="AA288" s="301"/>
      <c r="AB288" s="301"/>
      <c r="AC288" s="301"/>
      <c r="AD288" s="301"/>
      <c r="AE288" s="301"/>
      <c r="AF288" s="301"/>
      <c r="AG288" s="301"/>
      <c r="AH288" s="307"/>
      <c r="AI288" s="307"/>
      <c r="AJ288" s="307"/>
      <c r="AK288" s="307"/>
      <c r="AL288" s="307"/>
      <c r="AM288" s="307"/>
      <c r="AN288" s="307"/>
      <c r="AO288" s="307"/>
      <c r="AP288" s="307"/>
      <c r="AQ288" s="307"/>
      <c r="AR288" s="307"/>
      <c r="AS288" s="307"/>
      <c r="AT288" s="307"/>
      <c r="AU288" s="307"/>
    </row>
    <row r="289" ht="12.0" customHeight="1">
      <c r="A289" s="301"/>
      <c r="B289" s="301"/>
      <c r="C289" s="301"/>
      <c r="D289" s="301"/>
      <c r="E289" s="301"/>
      <c r="F289" s="301"/>
      <c r="G289" s="301"/>
      <c r="H289" s="307"/>
      <c r="I289" s="301"/>
      <c r="J289" s="301"/>
      <c r="K289" s="301"/>
      <c r="L289" s="301"/>
      <c r="M289" s="301"/>
      <c r="N289" s="301"/>
      <c r="O289" s="301"/>
      <c r="P289" s="301"/>
      <c r="Q289" s="301"/>
      <c r="R289" s="301"/>
      <c r="S289" s="301"/>
      <c r="T289" s="301"/>
      <c r="U289" s="307"/>
      <c r="V289" s="301"/>
      <c r="W289" s="301"/>
      <c r="X289" s="307"/>
      <c r="Y289" s="301"/>
      <c r="Z289" s="301"/>
      <c r="AA289" s="301"/>
      <c r="AB289" s="301"/>
      <c r="AC289" s="301"/>
      <c r="AD289" s="301"/>
      <c r="AE289" s="301"/>
      <c r="AF289" s="301"/>
      <c r="AG289" s="301"/>
      <c r="AH289" s="307"/>
      <c r="AI289" s="307"/>
      <c r="AJ289" s="307"/>
      <c r="AK289" s="307"/>
      <c r="AL289" s="307"/>
      <c r="AM289" s="307"/>
      <c r="AN289" s="307"/>
      <c r="AO289" s="307"/>
      <c r="AP289" s="307"/>
      <c r="AQ289" s="307"/>
      <c r="AR289" s="307"/>
      <c r="AS289" s="307"/>
      <c r="AT289" s="307"/>
      <c r="AU289" s="307"/>
    </row>
    <row r="290" ht="12.0" customHeight="1">
      <c r="A290" s="301"/>
      <c r="B290" s="301"/>
      <c r="C290" s="301"/>
      <c r="D290" s="301"/>
      <c r="E290" s="301"/>
      <c r="F290" s="301"/>
      <c r="G290" s="301"/>
      <c r="H290" s="307"/>
      <c r="I290" s="301"/>
      <c r="J290" s="301"/>
      <c r="K290" s="301"/>
      <c r="L290" s="301"/>
      <c r="M290" s="301"/>
      <c r="N290" s="301"/>
      <c r="O290" s="301"/>
      <c r="P290" s="301"/>
      <c r="Q290" s="301"/>
      <c r="R290" s="301"/>
      <c r="S290" s="301"/>
      <c r="T290" s="301"/>
      <c r="U290" s="307"/>
      <c r="V290" s="301"/>
      <c r="W290" s="301"/>
      <c r="X290" s="307"/>
      <c r="Y290" s="301"/>
      <c r="Z290" s="301"/>
      <c r="AA290" s="301"/>
      <c r="AB290" s="301"/>
      <c r="AC290" s="301"/>
      <c r="AD290" s="301"/>
      <c r="AE290" s="301"/>
      <c r="AF290" s="301"/>
      <c r="AG290" s="301"/>
      <c r="AH290" s="307"/>
      <c r="AI290" s="307"/>
      <c r="AJ290" s="307"/>
      <c r="AK290" s="307"/>
      <c r="AL290" s="307"/>
      <c r="AM290" s="307"/>
      <c r="AN290" s="307"/>
      <c r="AO290" s="307"/>
      <c r="AP290" s="307"/>
      <c r="AQ290" s="307"/>
      <c r="AR290" s="307"/>
      <c r="AS290" s="307"/>
      <c r="AT290" s="307"/>
      <c r="AU290" s="307"/>
    </row>
    <row r="291" ht="12.0" customHeight="1">
      <c r="A291" s="301"/>
      <c r="B291" s="301"/>
      <c r="C291" s="301"/>
      <c r="D291" s="301"/>
      <c r="E291" s="301"/>
      <c r="F291" s="301"/>
      <c r="G291" s="301"/>
      <c r="H291" s="307"/>
      <c r="I291" s="301"/>
      <c r="J291" s="301"/>
      <c r="K291" s="301"/>
      <c r="L291" s="301"/>
      <c r="M291" s="301"/>
      <c r="N291" s="301"/>
      <c r="O291" s="301"/>
      <c r="P291" s="301"/>
      <c r="Q291" s="301"/>
      <c r="R291" s="301"/>
      <c r="S291" s="301"/>
      <c r="T291" s="301"/>
      <c r="U291" s="307"/>
      <c r="V291" s="301"/>
      <c r="W291" s="301"/>
      <c r="X291" s="307"/>
      <c r="Y291" s="301"/>
      <c r="Z291" s="301"/>
      <c r="AA291" s="301"/>
      <c r="AB291" s="301"/>
      <c r="AC291" s="301"/>
      <c r="AD291" s="301"/>
      <c r="AE291" s="301"/>
      <c r="AF291" s="301"/>
      <c r="AG291" s="301"/>
      <c r="AH291" s="307"/>
      <c r="AI291" s="307"/>
      <c r="AJ291" s="307"/>
      <c r="AK291" s="307"/>
      <c r="AL291" s="307"/>
      <c r="AM291" s="307"/>
      <c r="AN291" s="307"/>
      <c r="AO291" s="307"/>
      <c r="AP291" s="307"/>
      <c r="AQ291" s="307"/>
      <c r="AR291" s="307"/>
      <c r="AS291" s="307"/>
      <c r="AT291" s="307"/>
      <c r="AU291" s="307"/>
    </row>
    <row r="292" ht="12.0" customHeight="1">
      <c r="A292" s="301"/>
      <c r="B292" s="301"/>
      <c r="C292" s="301"/>
      <c r="D292" s="301"/>
      <c r="E292" s="301"/>
      <c r="F292" s="301"/>
      <c r="G292" s="301"/>
      <c r="H292" s="307"/>
      <c r="I292" s="301"/>
      <c r="J292" s="301"/>
      <c r="K292" s="301"/>
      <c r="L292" s="301"/>
      <c r="M292" s="301"/>
      <c r="N292" s="301"/>
      <c r="O292" s="301"/>
      <c r="P292" s="301"/>
      <c r="Q292" s="301"/>
      <c r="R292" s="301"/>
      <c r="S292" s="301"/>
      <c r="T292" s="301"/>
      <c r="U292" s="307"/>
      <c r="V292" s="301"/>
      <c r="W292" s="301"/>
      <c r="X292" s="307"/>
      <c r="Y292" s="301"/>
      <c r="Z292" s="301"/>
      <c r="AA292" s="301"/>
      <c r="AB292" s="301"/>
      <c r="AC292" s="301"/>
      <c r="AD292" s="301"/>
      <c r="AE292" s="301"/>
      <c r="AF292" s="301"/>
      <c r="AG292" s="301"/>
      <c r="AH292" s="307"/>
      <c r="AI292" s="307"/>
      <c r="AJ292" s="307"/>
      <c r="AK292" s="307"/>
      <c r="AL292" s="307"/>
      <c r="AM292" s="307"/>
      <c r="AN292" s="307"/>
      <c r="AO292" s="307"/>
      <c r="AP292" s="307"/>
      <c r="AQ292" s="307"/>
      <c r="AR292" s="307"/>
      <c r="AS292" s="307"/>
      <c r="AT292" s="307"/>
      <c r="AU292" s="307"/>
    </row>
    <row r="293" ht="12.0" customHeight="1">
      <c r="A293" s="301"/>
      <c r="B293" s="301"/>
      <c r="C293" s="301"/>
      <c r="D293" s="301"/>
      <c r="E293" s="301"/>
      <c r="F293" s="301"/>
      <c r="G293" s="301"/>
      <c r="H293" s="307"/>
      <c r="I293" s="301"/>
      <c r="J293" s="301"/>
      <c r="K293" s="301"/>
      <c r="L293" s="301"/>
      <c r="M293" s="301"/>
      <c r="N293" s="301"/>
      <c r="O293" s="301"/>
      <c r="P293" s="301"/>
      <c r="Q293" s="301"/>
      <c r="R293" s="301"/>
      <c r="S293" s="301"/>
      <c r="T293" s="301"/>
      <c r="U293" s="307"/>
      <c r="V293" s="301"/>
      <c r="W293" s="301"/>
      <c r="X293" s="307"/>
      <c r="Y293" s="301"/>
      <c r="Z293" s="301"/>
      <c r="AA293" s="301"/>
      <c r="AB293" s="301"/>
      <c r="AC293" s="301"/>
      <c r="AD293" s="301"/>
      <c r="AE293" s="301"/>
      <c r="AF293" s="301"/>
      <c r="AG293" s="301"/>
      <c r="AH293" s="307"/>
      <c r="AI293" s="307"/>
      <c r="AJ293" s="307"/>
      <c r="AK293" s="307"/>
      <c r="AL293" s="307"/>
      <c r="AM293" s="307"/>
      <c r="AN293" s="307"/>
      <c r="AO293" s="307"/>
      <c r="AP293" s="307"/>
      <c r="AQ293" s="307"/>
      <c r="AR293" s="307"/>
      <c r="AS293" s="307"/>
      <c r="AT293" s="307"/>
      <c r="AU293" s="307"/>
    </row>
    <row r="294" ht="12.0" customHeight="1">
      <c r="A294" s="301"/>
      <c r="B294" s="301"/>
      <c r="C294" s="301"/>
      <c r="D294" s="301"/>
      <c r="E294" s="301"/>
      <c r="F294" s="301"/>
      <c r="G294" s="301"/>
      <c r="H294" s="307"/>
      <c r="I294" s="301"/>
      <c r="J294" s="301"/>
      <c r="K294" s="301"/>
      <c r="L294" s="301"/>
      <c r="M294" s="301"/>
      <c r="N294" s="301"/>
      <c r="O294" s="301"/>
      <c r="P294" s="301"/>
      <c r="Q294" s="301"/>
      <c r="R294" s="301"/>
      <c r="S294" s="301"/>
      <c r="T294" s="301"/>
      <c r="U294" s="307"/>
      <c r="V294" s="301"/>
      <c r="W294" s="301"/>
      <c r="X294" s="307"/>
      <c r="Y294" s="301"/>
      <c r="Z294" s="301"/>
      <c r="AA294" s="301"/>
      <c r="AB294" s="301"/>
      <c r="AC294" s="301"/>
      <c r="AD294" s="301"/>
      <c r="AE294" s="301"/>
      <c r="AF294" s="301"/>
      <c r="AG294" s="301"/>
      <c r="AH294" s="307"/>
      <c r="AI294" s="307"/>
      <c r="AJ294" s="307"/>
      <c r="AK294" s="307"/>
      <c r="AL294" s="307"/>
      <c r="AM294" s="307"/>
      <c r="AN294" s="307"/>
      <c r="AO294" s="307"/>
      <c r="AP294" s="307"/>
      <c r="AQ294" s="307"/>
      <c r="AR294" s="307"/>
      <c r="AS294" s="307"/>
      <c r="AT294" s="307"/>
      <c r="AU294" s="307"/>
    </row>
    <row r="295" ht="12.0" customHeight="1">
      <c r="A295" s="301"/>
      <c r="B295" s="301"/>
      <c r="C295" s="301"/>
      <c r="D295" s="301"/>
      <c r="E295" s="301"/>
      <c r="F295" s="301"/>
      <c r="G295" s="301"/>
      <c r="H295" s="307"/>
      <c r="I295" s="301"/>
      <c r="J295" s="301"/>
      <c r="K295" s="301"/>
      <c r="L295" s="301"/>
      <c r="M295" s="301"/>
      <c r="N295" s="301"/>
      <c r="O295" s="301"/>
      <c r="P295" s="301"/>
      <c r="Q295" s="301"/>
      <c r="R295" s="301"/>
      <c r="S295" s="301"/>
      <c r="T295" s="301"/>
      <c r="U295" s="307"/>
      <c r="V295" s="301"/>
      <c r="W295" s="301"/>
      <c r="X295" s="307"/>
      <c r="Y295" s="301"/>
      <c r="Z295" s="301"/>
      <c r="AA295" s="301"/>
      <c r="AB295" s="301"/>
      <c r="AC295" s="301"/>
      <c r="AD295" s="301"/>
      <c r="AE295" s="301"/>
      <c r="AF295" s="301"/>
      <c r="AG295" s="301"/>
      <c r="AH295" s="307"/>
      <c r="AI295" s="307"/>
      <c r="AJ295" s="307"/>
      <c r="AK295" s="307"/>
      <c r="AL295" s="307"/>
      <c r="AM295" s="307"/>
      <c r="AN295" s="307"/>
      <c r="AO295" s="307"/>
      <c r="AP295" s="307"/>
      <c r="AQ295" s="307"/>
      <c r="AR295" s="307"/>
      <c r="AS295" s="307"/>
      <c r="AT295" s="307"/>
      <c r="AU295" s="307"/>
    </row>
    <row r="296" ht="12.0" customHeight="1">
      <c r="A296" s="301"/>
      <c r="B296" s="301"/>
      <c r="C296" s="301"/>
      <c r="D296" s="301"/>
      <c r="E296" s="301"/>
      <c r="F296" s="301"/>
      <c r="G296" s="301"/>
      <c r="H296" s="307"/>
      <c r="I296" s="301"/>
      <c r="J296" s="301"/>
      <c r="K296" s="301"/>
      <c r="L296" s="301"/>
      <c r="M296" s="301"/>
      <c r="N296" s="301"/>
      <c r="O296" s="301"/>
      <c r="P296" s="301"/>
      <c r="Q296" s="301"/>
      <c r="R296" s="301"/>
      <c r="S296" s="301"/>
      <c r="T296" s="301"/>
      <c r="U296" s="307"/>
      <c r="V296" s="301"/>
      <c r="W296" s="301"/>
      <c r="X296" s="307"/>
      <c r="Y296" s="301"/>
      <c r="Z296" s="301"/>
      <c r="AA296" s="301"/>
      <c r="AB296" s="301"/>
      <c r="AC296" s="301"/>
      <c r="AD296" s="301"/>
      <c r="AE296" s="301"/>
      <c r="AF296" s="301"/>
      <c r="AG296" s="301"/>
      <c r="AH296" s="307"/>
      <c r="AI296" s="307"/>
      <c r="AJ296" s="307"/>
      <c r="AK296" s="307"/>
      <c r="AL296" s="307"/>
      <c r="AM296" s="307"/>
      <c r="AN296" s="307"/>
      <c r="AO296" s="307"/>
      <c r="AP296" s="307"/>
      <c r="AQ296" s="307"/>
      <c r="AR296" s="307"/>
      <c r="AS296" s="307"/>
      <c r="AT296" s="307"/>
      <c r="AU296" s="307"/>
    </row>
    <row r="297" ht="12.0" customHeight="1">
      <c r="A297" s="301"/>
      <c r="B297" s="301"/>
      <c r="C297" s="301"/>
      <c r="D297" s="301"/>
      <c r="E297" s="301"/>
      <c r="F297" s="301"/>
      <c r="G297" s="301"/>
      <c r="H297" s="307"/>
      <c r="I297" s="301"/>
      <c r="J297" s="301"/>
      <c r="K297" s="301"/>
      <c r="L297" s="301"/>
      <c r="M297" s="301"/>
      <c r="N297" s="301"/>
      <c r="O297" s="301"/>
      <c r="P297" s="301"/>
      <c r="Q297" s="301"/>
      <c r="R297" s="301"/>
      <c r="S297" s="301"/>
      <c r="T297" s="301"/>
      <c r="U297" s="307"/>
      <c r="V297" s="301"/>
      <c r="W297" s="301"/>
      <c r="X297" s="307"/>
      <c r="Y297" s="301"/>
      <c r="Z297" s="301"/>
      <c r="AA297" s="301"/>
      <c r="AB297" s="301"/>
      <c r="AC297" s="301"/>
      <c r="AD297" s="301"/>
      <c r="AE297" s="301"/>
      <c r="AF297" s="301"/>
      <c r="AG297" s="301"/>
      <c r="AH297" s="307"/>
      <c r="AI297" s="307"/>
      <c r="AJ297" s="307"/>
      <c r="AK297" s="307"/>
      <c r="AL297" s="307"/>
      <c r="AM297" s="307"/>
      <c r="AN297" s="307"/>
      <c r="AO297" s="307"/>
      <c r="AP297" s="307"/>
      <c r="AQ297" s="307"/>
      <c r="AR297" s="307"/>
      <c r="AS297" s="307"/>
      <c r="AT297" s="307"/>
      <c r="AU297" s="307"/>
    </row>
    <row r="298" ht="12.0" customHeight="1">
      <c r="A298" s="301"/>
      <c r="B298" s="301"/>
      <c r="C298" s="301"/>
      <c r="D298" s="301"/>
      <c r="E298" s="301"/>
      <c r="F298" s="301"/>
      <c r="G298" s="301"/>
      <c r="H298" s="307"/>
      <c r="I298" s="301"/>
      <c r="J298" s="301"/>
      <c r="K298" s="301"/>
      <c r="L298" s="301"/>
      <c r="M298" s="301"/>
      <c r="N298" s="301"/>
      <c r="O298" s="301"/>
      <c r="P298" s="301"/>
      <c r="Q298" s="301"/>
      <c r="R298" s="301"/>
      <c r="S298" s="301"/>
      <c r="T298" s="301"/>
      <c r="U298" s="307"/>
      <c r="V298" s="301"/>
      <c r="W298" s="301"/>
      <c r="X298" s="307"/>
      <c r="Y298" s="301"/>
      <c r="Z298" s="301"/>
      <c r="AA298" s="301"/>
      <c r="AB298" s="301"/>
      <c r="AC298" s="301"/>
      <c r="AD298" s="301"/>
      <c r="AE298" s="301"/>
      <c r="AF298" s="301"/>
      <c r="AG298" s="301"/>
      <c r="AH298" s="307"/>
      <c r="AI298" s="307"/>
      <c r="AJ298" s="307"/>
      <c r="AK298" s="307"/>
      <c r="AL298" s="307"/>
      <c r="AM298" s="307"/>
      <c r="AN298" s="307"/>
      <c r="AO298" s="307"/>
      <c r="AP298" s="307"/>
      <c r="AQ298" s="307"/>
      <c r="AR298" s="307"/>
      <c r="AS298" s="307"/>
      <c r="AT298" s="307"/>
      <c r="AU298" s="307"/>
    </row>
    <row r="299" ht="12.0" customHeight="1">
      <c r="A299" s="301"/>
      <c r="B299" s="301"/>
      <c r="C299" s="301"/>
      <c r="D299" s="301"/>
      <c r="E299" s="301"/>
      <c r="F299" s="301"/>
      <c r="G299" s="301"/>
      <c r="H299" s="307"/>
      <c r="I299" s="301"/>
      <c r="J299" s="301"/>
      <c r="K299" s="301"/>
      <c r="L299" s="301"/>
      <c r="M299" s="301"/>
      <c r="N299" s="301"/>
      <c r="O299" s="301"/>
      <c r="P299" s="301"/>
      <c r="Q299" s="301"/>
      <c r="R299" s="301"/>
      <c r="S299" s="301"/>
      <c r="T299" s="301"/>
      <c r="U299" s="307"/>
      <c r="V299" s="301"/>
      <c r="W299" s="301"/>
      <c r="X299" s="307"/>
      <c r="Y299" s="301"/>
      <c r="Z299" s="301"/>
      <c r="AA299" s="301"/>
      <c r="AB299" s="301"/>
      <c r="AC299" s="301"/>
      <c r="AD299" s="301"/>
      <c r="AE299" s="301"/>
      <c r="AF299" s="301"/>
      <c r="AG299" s="301"/>
      <c r="AH299" s="307"/>
      <c r="AI299" s="307"/>
      <c r="AJ299" s="307"/>
      <c r="AK299" s="307"/>
      <c r="AL299" s="307"/>
      <c r="AM299" s="307"/>
      <c r="AN299" s="307"/>
      <c r="AO299" s="307"/>
      <c r="AP299" s="307"/>
      <c r="AQ299" s="307"/>
      <c r="AR299" s="307"/>
      <c r="AS299" s="307"/>
      <c r="AT299" s="307"/>
      <c r="AU299" s="307"/>
    </row>
    <row r="300" ht="12.0" customHeight="1">
      <c r="A300" s="301"/>
      <c r="B300" s="301"/>
      <c r="C300" s="301"/>
      <c r="D300" s="301"/>
      <c r="E300" s="301"/>
      <c r="F300" s="301"/>
      <c r="G300" s="301"/>
      <c r="H300" s="307"/>
      <c r="I300" s="301"/>
      <c r="J300" s="301"/>
      <c r="K300" s="301"/>
      <c r="L300" s="301"/>
      <c r="M300" s="301"/>
      <c r="N300" s="301"/>
      <c r="O300" s="301"/>
      <c r="P300" s="301"/>
      <c r="Q300" s="301"/>
      <c r="R300" s="301"/>
      <c r="S300" s="301"/>
      <c r="T300" s="301"/>
      <c r="U300" s="307"/>
      <c r="V300" s="301"/>
      <c r="W300" s="301"/>
      <c r="X300" s="307"/>
      <c r="Y300" s="301"/>
      <c r="Z300" s="301"/>
      <c r="AA300" s="301"/>
      <c r="AB300" s="301"/>
      <c r="AC300" s="301"/>
      <c r="AD300" s="301"/>
      <c r="AE300" s="301"/>
      <c r="AF300" s="301"/>
      <c r="AG300" s="301"/>
      <c r="AH300" s="307"/>
      <c r="AI300" s="307"/>
      <c r="AJ300" s="307"/>
      <c r="AK300" s="307"/>
      <c r="AL300" s="307"/>
      <c r="AM300" s="307"/>
      <c r="AN300" s="307"/>
      <c r="AO300" s="307"/>
      <c r="AP300" s="307"/>
      <c r="AQ300" s="307"/>
      <c r="AR300" s="307"/>
      <c r="AS300" s="307"/>
      <c r="AT300" s="307"/>
      <c r="AU300" s="307"/>
    </row>
    <row r="301" ht="12.0" customHeight="1">
      <c r="A301" s="301"/>
      <c r="B301" s="301"/>
      <c r="C301" s="301"/>
      <c r="D301" s="301"/>
      <c r="E301" s="301"/>
      <c r="F301" s="301"/>
      <c r="G301" s="301"/>
      <c r="H301" s="307"/>
      <c r="I301" s="301"/>
      <c r="J301" s="301"/>
      <c r="K301" s="301"/>
      <c r="L301" s="301"/>
      <c r="M301" s="301"/>
      <c r="N301" s="301"/>
      <c r="O301" s="301"/>
      <c r="P301" s="301"/>
      <c r="Q301" s="301"/>
      <c r="R301" s="301"/>
      <c r="S301" s="301"/>
      <c r="T301" s="301"/>
      <c r="U301" s="307"/>
      <c r="V301" s="301"/>
      <c r="W301" s="301"/>
      <c r="X301" s="307"/>
      <c r="Y301" s="301"/>
      <c r="Z301" s="301"/>
      <c r="AA301" s="301"/>
      <c r="AB301" s="301"/>
      <c r="AC301" s="301"/>
      <c r="AD301" s="301"/>
      <c r="AE301" s="301"/>
      <c r="AF301" s="301"/>
      <c r="AG301" s="301"/>
      <c r="AH301" s="307"/>
      <c r="AI301" s="307"/>
      <c r="AJ301" s="307"/>
      <c r="AK301" s="307"/>
      <c r="AL301" s="307"/>
      <c r="AM301" s="307"/>
      <c r="AN301" s="307"/>
      <c r="AO301" s="307"/>
      <c r="AP301" s="307"/>
      <c r="AQ301" s="307"/>
      <c r="AR301" s="307"/>
      <c r="AS301" s="307"/>
      <c r="AT301" s="307"/>
      <c r="AU301" s="307"/>
    </row>
    <row r="302" ht="12.0" customHeight="1">
      <c r="A302" s="301"/>
      <c r="B302" s="301"/>
      <c r="C302" s="301"/>
      <c r="D302" s="301"/>
      <c r="E302" s="301"/>
      <c r="F302" s="301"/>
      <c r="G302" s="301"/>
      <c r="H302" s="307"/>
      <c r="I302" s="301"/>
      <c r="J302" s="301"/>
      <c r="K302" s="301"/>
      <c r="L302" s="301"/>
      <c r="M302" s="301"/>
      <c r="N302" s="301"/>
      <c r="O302" s="301"/>
      <c r="P302" s="301"/>
      <c r="Q302" s="301"/>
      <c r="R302" s="301"/>
      <c r="S302" s="301"/>
      <c r="T302" s="301"/>
      <c r="U302" s="307"/>
      <c r="V302" s="301"/>
      <c r="W302" s="301"/>
      <c r="X302" s="307"/>
      <c r="Y302" s="301"/>
      <c r="Z302" s="301"/>
      <c r="AA302" s="301"/>
      <c r="AB302" s="301"/>
      <c r="AC302" s="301"/>
      <c r="AD302" s="301"/>
      <c r="AE302" s="301"/>
      <c r="AF302" s="301"/>
      <c r="AG302" s="301"/>
      <c r="AH302" s="307"/>
      <c r="AI302" s="307"/>
      <c r="AJ302" s="307"/>
      <c r="AK302" s="307"/>
      <c r="AL302" s="307"/>
      <c r="AM302" s="307"/>
      <c r="AN302" s="307"/>
      <c r="AO302" s="307"/>
      <c r="AP302" s="307"/>
      <c r="AQ302" s="307"/>
      <c r="AR302" s="307"/>
      <c r="AS302" s="307"/>
      <c r="AT302" s="307"/>
      <c r="AU302" s="307"/>
    </row>
    <row r="303" ht="12.0" customHeight="1">
      <c r="A303" s="301"/>
      <c r="B303" s="301"/>
      <c r="C303" s="301"/>
      <c r="D303" s="301"/>
      <c r="E303" s="301"/>
      <c r="F303" s="301"/>
      <c r="G303" s="301"/>
      <c r="H303" s="307"/>
      <c r="I303" s="301"/>
      <c r="J303" s="301"/>
      <c r="K303" s="301"/>
      <c r="L303" s="301"/>
      <c r="M303" s="301"/>
      <c r="N303" s="301"/>
      <c r="O303" s="301"/>
      <c r="P303" s="301"/>
      <c r="Q303" s="301"/>
      <c r="R303" s="301"/>
      <c r="S303" s="301"/>
      <c r="T303" s="301"/>
      <c r="U303" s="307"/>
      <c r="V303" s="301"/>
      <c r="W303" s="301"/>
      <c r="X303" s="307"/>
      <c r="Y303" s="301"/>
      <c r="Z303" s="301"/>
      <c r="AA303" s="301"/>
      <c r="AB303" s="301"/>
      <c r="AC303" s="301"/>
      <c r="AD303" s="301"/>
      <c r="AE303" s="301"/>
      <c r="AF303" s="301"/>
      <c r="AG303" s="301"/>
      <c r="AH303" s="307"/>
      <c r="AI303" s="307"/>
      <c r="AJ303" s="307"/>
      <c r="AK303" s="307"/>
      <c r="AL303" s="307"/>
      <c r="AM303" s="307"/>
      <c r="AN303" s="307"/>
      <c r="AO303" s="307"/>
      <c r="AP303" s="307"/>
      <c r="AQ303" s="307"/>
      <c r="AR303" s="307"/>
      <c r="AS303" s="307"/>
      <c r="AT303" s="307"/>
      <c r="AU303" s="307"/>
    </row>
    <row r="304" ht="12.0" customHeight="1">
      <c r="A304" s="301"/>
      <c r="B304" s="301"/>
      <c r="C304" s="301"/>
      <c r="D304" s="301"/>
      <c r="E304" s="301"/>
      <c r="F304" s="301"/>
      <c r="G304" s="301"/>
      <c r="H304" s="307"/>
      <c r="I304" s="301"/>
      <c r="J304" s="301"/>
      <c r="K304" s="301"/>
      <c r="L304" s="301"/>
      <c r="M304" s="301"/>
      <c r="N304" s="301"/>
      <c r="O304" s="301"/>
      <c r="P304" s="301"/>
      <c r="Q304" s="301"/>
      <c r="R304" s="301"/>
      <c r="S304" s="301"/>
      <c r="T304" s="301"/>
      <c r="U304" s="307"/>
      <c r="V304" s="301"/>
      <c r="W304" s="301"/>
      <c r="X304" s="307"/>
      <c r="Y304" s="301"/>
      <c r="Z304" s="301"/>
      <c r="AA304" s="301"/>
      <c r="AB304" s="301"/>
      <c r="AC304" s="301"/>
      <c r="AD304" s="301"/>
      <c r="AE304" s="301"/>
      <c r="AF304" s="301"/>
      <c r="AG304" s="301"/>
      <c r="AH304" s="307"/>
      <c r="AI304" s="307"/>
      <c r="AJ304" s="307"/>
      <c r="AK304" s="307"/>
      <c r="AL304" s="307"/>
      <c r="AM304" s="307"/>
      <c r="AN304" s="307"/>
      <c r="AO304" s="307"/>
      <c r="AP304" s="307"/>
      <c r="AQ304" s="307"/>
      <c r="AR304" s="307"/>
      <c r="AS304" s="307"/>
      <c r="AT304" s="307"/>
      <c r="AU304" s="307"/>
    </row>
    <row r="305" ht="12.0" customHeight="1">
      <c r="A305" s="301"/>
      <c r="B305" s="301"/>
      <c r="C305" s="301"/>
      <c r="D305" s="301"/>
      <c r="E305" s="301"/>
      <c r="F305" s="301"/>
      <c r="G305" s="301"/>
      <c r="H305" s="307"/>
      <c r="I305" s="301"/>
      <c r="J305" s="301"/>
      <c r="K305" s="301"/>
      <c r="L305" s="301"/>
      <c r="M305" s="301"/>
      <c r="N305" s="301"/>
      <c r="O305" s="301"/>
      <c r="P305" s="301"/>
      <c r="Q305" s="301"/>
      <c r="R305" s="301"/>
      <c r="S305" s="301"/>
      <c r="T305" s="301"/>
      <c r="U305" s="307"/>
      <c r="V305" s="301"/>
      <c r="W305" s="301"/>
      <c r="X305" s="307"/>
      <c r="Y305" s="301"/>
      <c r="Z305" s="301"/>
      <c r="AA305" s="301"/>
      <c r="AB305" s="301"/>
      <c r="AC305" s="301"/>
      <c r="AD305" s="301"/>
      <c r="AE305" s="301"/>
      <c r="AF305" s="301"/>
      <c r="AG305" s="301"/>
      <c r="AH305" s="307"/>
      <c r="AI305" s="307"/>
      <c r="AJ305" s="307"/>
      <c r="AK305" s="307"/>
      <c r="AL305" s="307"/>
      <c r="AM305" s="307"/>
      <c r="AN305" s="307"/>
      <c r="AO305" s="307"/>
      <c r="AP305" s="307"/>
      <c r="AQ305" s="307"/>
      <c r="AR305" s="307"/>
      <c r="AS305" s="307"/>
      <c r="AT305" s="307"/>
      <c r="AU305" s="307"/>
    </row>
    <row r="306" ht="12.0" customHeight="1">
      <c r="A306" s="301"/>
      <c r="B306" s="301"/>
      <c r="C306" s="301"/>
      <c r="D306" s="301"/>
      <c r="E306" s="301"/>
      <c r="F306" s="301"/>
      <c r="G306" s="301"/>
      <c r="H306" s="307"/>
      <c r="I306" s="301"/>
      <c r="J306" s="301"/>
      <c r="K306" s="301"/>
      <c r="L306" s="301"/>
      <c r="M306" s="301"/>
      <c r="N306" s="301"/>
      <c r="O306" s="301"/>
      <c r="P306" s="301"/>
      <c r="Q306" s="301"/>
      <c r="R306" s="301"/>
      <c r="S306" s="301"/>
      <c r="T306" s="301"/>
      <c r="U306" s="307"/>
      <c r="V306" s="301"/>
      <c r="W306" s="301"/>
      <c r="X306" s="307"/>
      <c r="Y306" s="301"/>
      <c r="Z306" s="301"/>
      <c r="AA306" s="301"/>
      <c r="AB306" s="301"/>
      <c r="AC306" s="301"/>
      <c r="AD306" s="301"/>
      <c r="AE306" s="301"/>
      <c r="AF306" s="301"/>
      <c r="AG306" s="301"/>
      <c r="AH306" s="307"/>
      <c r="AI306" s="307"/>
      <c r="AJ306" s="307"/>
      <c r="AK306" s="307"/>
      <c r="AL306" s="307"/>
      <c r="AM306" s="307"/>
      <c r="AN306" s="307"/>
      <c r="AO306" s="307"/>
      <c r="AP306" s="307"/>
      <c r="AQ306" s="307"/>
      <c r="AR306" s="307"/>
      <c r="AS306" s="307"/>
      <c r="AT306" s="307"/>
      <c r="AU306" s="307"/>
    </row>
    <row r="307" ht="12.0" customHeight="1">
      <c r="A307" s="301"/>
      <c r="B307" s="301"/>
      <c r="C307" s="301"/>
      <c r="D307" s="301"/>
      <c r="E307" s="301"/>
      <c r="F307" s="301"/>
      <c r="G307" s="301"/>
      <c r="H307" s="307"/>
      <c r="I307" s="301"/>
      <c r="J307" s="301"/>
      <c r="K307" s="301"/>
      <c r="L307" s="301"/>
      <c r="M307" s="301"/>
      <c r="N307" s="301"/>
      <c r="O307" s="301"/>
      <c r="P307" s="301"/>
      <c r="Q307" s="301"/>
      <c r="R307" s="301"/>
      <c r="S307" s="301"/>
      <c r="T307" s="301"/>
      <c r="U307" s="307"/>
      <c r="V307" s="301"/>
      <c r="W307" s="301"/>
      <c r="X307" s="307"/>
      <c r="Y307" s="301"/>
      <c r="Z307" s="301"/>
      <c r="AA307" s="301"/>
      <c r="AB307" s="301"/>
      <c r="AC307" s="301"/>
      <c r="AD307" s="301"/>
      <c r="AE307" s="301"/>
      <c r="AF307" s="301"/>
      <c r="AG307" s="301"/>
      <c r="AH307" s="307"/>
      <c r="AI307" s="307"/>
      <c r="AJ307" s="307"/>
      <c r="AK307" s="307"/>
      <c r="AL307" s="307"/>
      <c r="AM307" s="307"/>
      <c r="AN307" s="307"/>
      <c r="AO307" s="307"/>
      <c r="AP307" s="307"/>
      <c r="AQ307" s="307"/>
      <c r="AR307" s="307"/>
      <c r="AS307" s="307"/>
      <c r="AT307" s="307"/>
      <c r="AU307" s="307"/>
    </row>
    <row r="308" ht="12.0" customHeight="1">
      <c r="A308" s="301"/>
      <c r="B308" s="301"/>
      <c r="C308" s="301"/>
      <c r="D308" s="301"/>
      <c r="E308" s="301"/>
      <c r="F308" s="301"/>
      <c r="G308" s="301"/>
      <c r="H308" s="307"/>
      <c r="I308" s="301"/>
      <c r="J308" s="301"/>
      <c r="K308" s="301"/>
      <c r="L308" s="301"/>
      <c r="M308" s="301"/>
      <c r="N308" s="301"/>
      <c r="O308" s="301"/>
      <c r="P308" s="301"/>
      <c r="Q308" s="301"/>
      <c r="R308" s="301"/>
      <c r="S308" s="301"/>
      <c r="T308" s="301"/>
      <c r="U308" s="307"/>
      <c r="V308" s="301"/>
      <c r="W308" s="301"/>
      <c r="X308" s="307"/>
      <c r="Y308" s="301"/>
      <c r="Z308" s="301"/>
      <c r="AA308" s="301"/>
      <c r="AB308" s="301"/>
      <c r="AC308" s="301"/>
      <c r="AD308" s="301"/>
      <c r="AE308" s="301"/>
      <c r="AF308" s="301"/>
      <c r="AG308" s="301"/>
      <c r="AH308" s="307"/>
      <c r="AI308" s="307"/>
      <c r="AJ308" s="307"/>
      <c r="AK308" s="307"/>
      <c r="AL308" s="307"/>
      <c r="AM308" s="307"/>
      <c r="AN308" s="307"/>
      <c r="AO308" s="307"/>
      <c r="AP308" s="307"/>
      <c r="AQ308" s="307"/>
      <c r="AR308" s="307"/>
      <c r="AS308" s="307"/>
      <c r="AT308" s="307"/>
      <c r="AU308" s="307"/>
    </row>
    <row r="309" ht="12.0" customHeight="1">
      <c r="A309" s="301"/>
      <c r="B309" s="301"/>
      <c r="C309" s="301"/>
      <c r="D309" s="301"/>
      <c r="E309" s="301"/>
      <c r="F309" s="301"/>
      <c r="G309" s="301"/>
      <c r="H309" s="307"/>
      <c r="I309" s="301"/>
      <c r="J309" s="301"/>
      <c r="K309" s="301"/>
      <c r="L309" s="301"/>
      <c r="M309" s="301"/>
      <c r="N309" s="301"/>
      <c r="O309" s="301"/>
      <c r="P309" s="301"/>
      <c r="Q309" s="301"/>
      <c r="R309" s="301"/>
      <c r="S309" s="301"/>
      <c r="T309" s="301"/>
      <c r="U309" s="307"/>
      <c r="V309" s="301"/>
      <c r="W309" s="301"/>
      <c r="X309" s="307"/>
      <c r="Y309" s="301"/>
      <c r="Z309" s="301"/>
      <c r="AA309" s="301"/>
      <c r="AB309" s="301"/>
      <c r="AC309" s="301"/>
      <c r="AD309" s="301"/>
      <c r="AE309" s="301"/>
      <c r="AF309" s="301"/>
      <c r="AG309" s="301"/>
      <c r="AH309" s="307"/>
      <c r="AI309" s="307"/>
      <c r="AJ309" s="307"/>
      <c r="AK309" s="307"/>
      <c r="AL309" s="307"/>
      <c r="AM309" s="307"/>
      <c r="AN309" s="307"/>
      <c r="AO309" s="307"/>
      <c r="AP309" s="307"/>
      <c r="AQ309" s="307"/>
      <c r="AR309" s="307"/>
      <c r="AS309" s="307"/>
      <c r="AT309" s="307"/>
      <c r="AU309" s="307"/>
    </row>
    <row r="310" ht="12.0" customHeight="1">
      <c r="A310" s="301"/>
      <c r="B310" s="301"/>
      <c r="C310" s="301"/>
      <c r="D310" s="301"/>
      <c r="E310" s="301"/>
      <c r="F310" s="301"/>
      <c r="G310" s="301"/>
      <c r="H310" s="307"/>
      <c r="I310" s="301"/>
      <c r="J310" s="301"/>
      <c r="K310" s="301"/>
      <c r="L310" s="301"/>
      <c r="M310" s="301"/>
      <c r="N310" s="301"/>
      <c r="O310" s="301"/>
      <c r="P310" s="301"/>
      <c r="Q310" s="301"/>
      <c r="R310" s="301"/>
      <c r="S310" s="301"/>
      <c r="T310" s="301"/>
      <c r="U310" s="307"/>
      <c r="V310" s="301"/>
      <c r="W310" s="301"/>
      <c r="X310" s="307"/>
      <c r="Y310" s="301"/>
      <c r="Z310" s="301"/>
      <c r="AA310" s="301"/>
      <c r="AB310" s="301"/>
      <c r="AC310" s="301"/>
      <c r="AD310" s="301"/>
      <c r="AE310" s="301"/>
      <c r="AF310" s="301"/>
      <c r="AG310" s="301"/>
      <c r="AH310" s="307"/>
      <c r="AI310" s="307"/>
      <c r="AJ310" s="307"/>
      <c r="AK310" s="307"/>
      <c r="AL310" s="307"/>
      <c r="AM310" s="307"/>
      <c r="AN310" s="307"/>
      <c r="AO310" s="307"/>
      <c r="AP310" s="307"/>
      <c r="AQ310" s="307"/>
      <c r="AR310" s="307"/>
      <c r="AS310" s="307"/>
      <c r="AT310" s="307"/>
      <c r="AU310" s="307"/>
    </row>
    <row r="311" ht="12.0" customHeight="1">
      <c r="A311" s="301"/>
      <c r="B311" s="301"/>
      <c r="C311" s="301"/>
      <c r="D311" s="301"/>
      <c r="E311" s="301"/>
      <c r="F311" s="301"/>
      <c r="G311" s="301"/>
      <c r="H311" s="307"/>
      <c r="I311" s="301"/>
      <c r="J311" s="301"/>
      <c r="K311" s="301"/>
      <c r="L311" s="301"/>
      <c r="M311" s="301"/>
      <c r="N311" s="301"/>
      <c r="O311" s="301"/>
      <c r="P311" s="301"/>
      <c r="Q311" s="301"/>
      <c r="R311" s="301"/>
      <c r="S311" s="301"/>
      <c r="T311" s="301"/>
      <c r="U311" s="307"/>
      <c r="V311" s="301"/>
      <c r="W311" s="301"/>
      <c r="X311" s="307"/>
      <c r="Y311" s="301"/>
      <c r="Z311" s="301"/>
      <c r="AA311" s="301"/>
      <c r="AB311" s="301"/>
      <c r="AC311" s="301"/>
      <c r="AD311" s="301"/>
      <c r="AE311" s="301"/>
      <c r="AF311" s="301"/>
      <c r="AG311" s="301"/>
      <c r="AH311" s="307"/>
      <c r="AI311" s="307"/>
      <c r="AJ311" s="307"/>
      <c r="AK311" s="307"/>
      <c r="AL311" s="307"/>
      <c r="AM311" s="307"/>
      <c r="AN311" s="307"/>
      <c r="AO311" s="307"/>
      <c r="AP311" s="307"/>
      <c r="AQ311" s="307"/>
      <c r="AR311" s="307"/>
      <c r="AS311" s="307"/>
      <c r="AT311" s="307"/>
      <c r="AU311" s="307"/>
    </row>
    <row r="312" ht="12.0" customHeight="1">
      <c r="A312" s="301"/>
      <c r="B312" s="301"/>
      <c r="C312" s="301"/>
      <c r="D312" s="301"/>
      <c r="E312" s="301"/>
      <c r="F312" s="301"/>
      <c r="G312" s="301"/>
      <c r="H312" s="307"/>
      <c r="I312" s="301"/>
      <c r="J312" s="301"/>
      <c r="K312" s="301"/>
      <c r="L312" s="301"/>
      <c r="M312" s="301"/>
      <c r="N312" s="301"/>
      <c r="O312" s="301"/>
      <c r="P312" s="301"/>
      <c r="Q312" s="301"/>
      <c r="R312" s="301"/>
      <c r="S312" s="301"/>
      <c r="T312" s="301"/>
      <c r="U312" s="307"/>
      <c r="V312" s="301"/>
      <c r="W312" s="301"/>
      <c r="X312" s="307"/>
      <c r="Y312" s="301"/>
      <c r="Z312" s="301"/>
      <c r="AA312" s="301"/>
      <c r="AB312" s="301"/>
      <c r="AC312" s="301"/>
      <c r="AD312" s="301"/>
      <c r="AE312" s="301"/>
      <c r="AF312" s="301"/>
      <c r="AG312" s="301"/>
      <c r="AH312" s="307"/>
      <c r="AI312" s="307"/>
      <c r="AJ312" s="307"/>
      <c r="AK312" s="307"/>
      <c r="AL312" s="307"/>
      <c r="AM312" s="307"/>
      <c r="AN312" s="307"/>
      <c r="AO312" s="307"/>
      <c r="AP312" s="307"/>
      <c r="AQ312" s="307"/>
      <c r="AR312" s="307"/>
      <c r="AS312" s="307"/>
      <c r="AT312" s="307"/>
      <c r="AU312" s="307"/>
    </row>
    <row r="313" ht="12.0" customHeight="1">
      <c r="A313" s="301"/>
      <c r="B313" s="301"/>
      <c r="C313" s="301"/>
      <c r="D313" s="301"/>
      <c r="E313" s="301"/>
      <c r="F313" s="301"/>
      <c r="G313" s="301"/>
      <c r="H313" s="307"/>
      <c r="I313" s="301"/>
      <c r="J313" s="301"/>
      <c r="K313" s="301"/>
      <c r="L313" s="301"/>
      <c r="M313" s="301"/>
      <c r="N313" s="301"/>
      <c r="O313" s="301"/>
      <c r="P313" s="301"/>
      <c r="Q313" s="301"/>
      <c r="R313" s="301"/>
      <c r="S313" s="301"/>
      <c r="T313" s="301"/>
      <c r="U313" s="307"/>
      <c r="V313" s="301"/>
      <c r="W313" s="301"/>
      <c r="X313" s="307"/>
      <c r="Y313" s="301"/>
      <c r="Z313" s="301"/>
      <c r="AA313" s="301"/>
      <c r="AB313" s="301"/>
      <c r="AC313" s="301"/>
      <c r="AD313" s="301"/>
      <c r="AE313" s="301"/>
      <c r="AF313" s="301"/>
      <c r="AG313" s="301"/>
      <c r="AH313" s="307"/>
      <c r="AI313" s="307"/>
      <c r="AJ313" s="307"/>
      <c r="AK313" s="307"/>
      <c r="AL313" s="307"/>
      <c r="AM313" s="307"/>
      <c r="AN313" s="307"/>
      <c r="AO313" s="307"/>
      <c r="AP313" s="307"/>
      <c r="AQ313" s="307"/>
      <c r="AR313" s="307"/>
      <c r="AS313" s="307"/>
      <c r="AT313" s="307"/>
      <c r="AU313" s="307"/>
    </row>
    <row r="314" ht="12.0" customHeight="1">
      <c r="A314" s="301"/>
      <c r="B314" s="301"/>
      <c r="C314" s="301"/>
      <c r="D314" s="301"/>
      <c r="E314" s="301"/>
      <c r="F314" s="301"/>
      <c r="G314" s="301"/>
      <c r="H314" s="307"/>
      <c r="I314" s="301"/>
      <c r="J314" s="301"/>
      <c r="K314" s="301"/>
      <c r="L314" s="301"/>
      <c r="M314" s="301"/>
      <c r="N314" s="301"/>
      <c r="O314" s="301"/>
      <c r="P314" s="301"/>
      <c r="Q314" s="301"/>
      <c r="R314" s="301"/>
      <c r="S314" s="301"/>
      <c r="T314" s="301"/>
      <c r="U314" s="307"/>
      <c r="V314" s="301"/>
      <c r="W314" s="301"/>
      <c r="X314" s="307"/>
      <c r="Y314" s="301"/>
      <c r="Z314" s="301"/>
      <c r="AA314" s="301"/>
      <c r="AB314" s="301"/>
      <c r="AC314" s="301"/>
      <c r="AD314" s="301"/>
      <c r="AE314" s="301"/>
      <c r="AF314" s="301"/>
      <c r="AG314" s="301"/>
      <c r="AH314" s="307"/>
      <c r="AI314" s="307"/>
      <c r="AJ314" s="307"/>
      <c r="AK314" s="307"/>
      <c r="AL314" s="307"/>
      <c r="AM314" s="307"/>
      <c r="AN314" s="307"/>
      <c r="AO314" s="307"/>
      <c r="AP314" s="307"/>
      <c r="AQ314" s="307"/>
      <c r="AR314" s="307"/>
      <c r="AS314" s="307"/>
      <c r="AT314" s="307"/>
      <c r="AU314" s="307"/>
    </row>
    <row r="315" ht="12.0" customHeight="1">
      <c r="A315" s="301"/>
      <c r="B315" s="301"/>
      <c r="C315" s="301"/>
      <c r="D315" s="301"/>
      <c r="E315" s="301"/>
      <c r="F315" s="301"/>
      <c r="G315" s="301"/>
      <c r="H315" s="307"/>
      <c r="I315" s="301"/>
      <c r="J315" s="301"/>
      <c r="K315" s="301"/>
      <c r="L315" s="301"/>
      <c r="M315" s="301"/>
      <c r="N315" s="301"/>
      <c r="O315" s="301"/>
      <c r="P315" s="301"/>
      <c r="Q315" s="301"/>
      <c r="R315" s="301"/>
      <c r="S315" s="301"/>
      <c r="T315" s="301"/>
      <c r="U315" s="307"/>
      <c r="V315" s="301"/>
      <c r="W315" s="301"/>
      <c r="X315" s="307"/>
      <c r="Y315" s="301"/>
      <c r="Z315" s="301"/>
      <c r="AA315" s="301"/>
      <c r="AB315" s="301"/>
      <c r="AC315" s="301"/>
      <c r="AD315" s="301"/>
      <c r="AE315" s="301"/>
      <c r="AF315" s="301"/>
      <c r="AG315" s="301"/>
      <c r="AH315" s="307"/>
      <c r="AI315" s="307"/>
      <c r="AJ315" s="307"/>
      <c r="AK315" s="307"/>
      <c r="AL315" s="307"/>
      <c r="AM315" s="307"/>
      <c r="AN315" s="307"/>
      <c r="AO315" s="307"/>
      <c r="AP315" s="307"/>
      <c r="AQ315" s="307"/>
      <c r="AR315" s="307"/>
      <c r="AS315" s="307"/>
      <c r="AT315" s="307"/>
      <c r="AU315" s="307"/>
    </row>
    <row r="316" ht="12.0" customHeight="1">
      <c r="A316" s="301"/>
      <c r="B316" s="301"/>
      <c r="C316" s="301"/>
      <c r="D316" s="301"/>
      <c r="E316" s="301"/>
      <c r="F316" s="301"/>
      <c r="G316" s="301"/>
      <c r="H316" s="307"/>
      <c r="I316" s="301"/>
      <c r="J316" s="301"/>
      <c r="K316" s="301"/>
      <c r="L316" s="301"/>
      <c r="M316" s="301"/>
      <c r="N316" s="301"/>
      <c r="O316" s="301"/>
      <c r="P316" s="301"/>
      <c r="Q316" s="301"/>
      <c r="R316" s="301"/>
      <c r="S316" s="301"/>
      <c r="T316" s="301"/>
      <c r="U316" s="307"/>
      <c r="V316" s="301"/>
      <c r="W316" s="301"/>
      <c r="X316" s="307"/>
      <c r="Y316" s="301"/>
      <c r="Z316" s="301"/>
      <c r="AA316" s="301"/>
      <c r="AB316" s="301"/>
      <c r="AC316" s="301"/>
      <c r="AD316" s="301"/>
      <c r="AE316" s="301"/>
      <c r="AF316" s="301"/>
      <c r="AG316" s="301"/>
      <c r="AH316" s="307"/>
      <c r="AI316" s="307"/>
      <c r="AJ316" s="307"/>
      <c r="AK316" s="307"/>
      <c r="AL316" s="307"/>
      <c r="AM316" s="307"/>
      <c r="AN316" s="307"/>
      <c r="AO316" s="307"/>
      <c r="AP316" s="307"/>
      <c r="AQ316" s="307"/>
      <c r="AR316" s="307"/>
      <c r="AS316" s="307"/>
      <c r="AT316" s="307"/>
      <c r="AU316" s="307"/>
    </row>
    <row r="317" ht="12.0" customHeight="1">
      <c r="A317" s="301"/>
      <c r="B317" s="301"/>
      <c r="C317" s="301"/>
      <c r="D317" s="301"/>
      <c r="E317" s="301"/>
      <c r="F317" s="301"/>
      <c r="G317" s="301"/>
      <c r="H317" s="307"/>
      <c r="I317" s="301"/>
      <c r="J317" s="301"/>
      <c r="K317" s="301"/>
      <c r="L317" s="301"/>
      <c r="M317" s="301"/>
      <c r="N317" s="301"/>
      <c r="O317" s="301"/>
      <c r="P317" s="301"/>
      <c r="Q317" s="301"/>
      <c r="R317" s="301"/>
      <c r="S317" s="301"/>
      <c r="T317" s="301"/>
      <c r="U317" s="307"/>
      <c r="V317" s="301"/>
      <c r="W317" s="301"/>
      <c r="X317" s="307"/>
      <c r="Y317" s="301"/>
      <c r="Z317" s="301"/>
      <c r="AA317" s="301"/>
      <c r="AB317" s="301"/>
      <c r="AC317" s="301"/>
      <c r="AD317" s="301"/>
      <c r="AE317" s="301"/>
      <c r="AF317" s="301"/>
      <c r="AG317" s="301"/>
      <c r="AH317" s="307"/>
      <c r="AI317" s="307"/>
      <c r="AJ317" s="307"/>
      <c r="AK317" s="307"/>
      <c r="AL317" s="307"/>
      <c r="AM317" s="307"/>
      <c r="AN317" s="307"/>
      <c r="AO317" s="307"/>
      <c r="AP317" s="307"/>
      <c r="AQ317" s="307"/>
      <c r="AR317" s="307"/>
      <c r="AS317" s="307"/>
      <c r="AT317" s="307"/>
      <c r="AU317" s="307"/>
    </row>
    <row r="318" ht="12.0" customHeight="1">
      <c r="A318" s="301"/>
      <c r="B318" s="301"/>
      <c r="C318" s="301"/>
      <c r="D318" s="301"/>
      <c r="E318" s="301"/>
      <c r="F318" s="301"/>
      <c r="G318" s="301"/>
      <c r="H318" s="307"/>
      <c r="I318" s="301"/>
      <c r="J318" s="301"/>
      <c r="K318" s="301"/>
      <c r="L318" s="301"/>
      <c r="M318" s="301"/>
      <c r="N318" s="301"/>
      <c r="O318" s="301"/>
      <c r="P318" s="301"/>
      <c r="Q318" s="301"/>
      <c r="R318" s="301"/>
      <c r="S318" s="301"/>
      <c r="T318" s="301"/>
      <c r="U318" s="307"/>
      <c r="V318" s="301"/>
      <c r="W318" s="301"/>
      <c r="X318" s="307"/>
      <c r="Y318" s="301"/>
      <c r="Z318" s="301"/>
      <c r="AA318" s="301"/>
      <c r="AB318" s="301"/>
      <c r="AC318" s="301"/>
      <c r="AD318" s="301"/>
      <c r="AE318" s="301"/>
      <c r="AF318" s="301"/>
      <c r="AG318" s="301"/>
      <c r="AH318" s="307"/>
      <c r="AI318" s="307"/>
      <c r="AJ318" s="307"/>
      <c r="AK318" s="307"/>
      <c r="AL318" s="307"/>
      <c r="AM318" s="307"/>
      <c r="AN318" s="307"/>
      <c r="AO318" s="307"/>
      <c r="AP318" s="307"/>
      <c r="AQ318" s="307"/>
      <c r="AR318" s="307"/>
      <c r="AS318" s="307"/>
      <c r="AT318" s="307"/>
      <c r="AU318" s="307"/>
    </row>
    <row r="319" ht="12.0" customHeight="1">
      <c r="A319" s="301"/>
      <c r="B319" s="301"/>
      <c r="C319" s="301"/>
      <c r="D319" s="301"/>
      <c r="E319" s="301"/>
      <c r="F319" s="301"/>
      <c r="G319" s="301"/>
      <c r="H319" s="307"/>
      <c r="I319" s="301"/>
      <c r="J319" s="301"/>
      <c r="K319" s="301"/>
      <c r="L319" s="301"/>
      <c r="M319" s="301"/>
      <c r="N319" s="301"/>
      <c r="O319" s="301"/>
      <c r="P319" s="301"/>
      <c r="Q319" s="301"/>
      <c r="R319" s="301"/>
      <c r="S319" s="301"/>
      <c r="T319" s="301"/>
      <c r="U319" s="307"/>
      <c r="V319" s="301"/>
      <c r="W319" s="301"/>
      <c r="X319" s="307"/>
      <c r="Y319" s="301"/>
      <c r="Z319" s="301"/>
      <c r="AA319" s="301"/>
      <c r="AB319" s="301"/>
      <c r="AC319" s="301"/>
      <c r="AD319" s="301"/>
      <c r="AE319" s="301"/>
      <c r="AF319" s="301"/>
      <c r="AG319" s="301"/>
      <c r="AH319" s="307"/>
      <c r="AI319" s="307"/>
      <c r="AJ319" s="307"/>
      <c r="AK319" s="307"/>
      <c r="AL319" s="307"/>
      <c r="AM319" s="307"/>
      <c r="AN319" s="307"/>
      <c r="AO319" s="307"/>
      <c r="AP319" s="307"/>
      <c r="AQ319" s="307"/>
      <c r="AR319" s="307"/>
      <c r="AS319" s="307"/>
      <c r="AT319" s="307"/>
      <c r="AU319" s="307"/>
    </row>
    <row r="320" ht="12.0" customHeight="1">
      <c r="A320" s="301"/>
      <c r="B320" s="301"/>
      <c r="C320" s="301"/>
      <c r="D320" s="301"/>
      <c r="E320" s="301"/>
      <c r="F320" s="301"/>
      <c r="G320" s="301"/>
      <c r="H320" s="307"/>
      <c r="I320" s="301"/>
      <c r="J320" s="301"/>
      <c r="K320" s="301"/>
      <c r="L320" s="301"/>
      <c r="M320" s="301"/>
      <c r="N320" s="301"/>
      <c r="O320" s="301"/>
      <c r="P320" s="301"/>
      <c r="Q320" s="301"/>
      <c r="R320" s="301"/>
      <c r="S320" s="301"/>
      <c r="T320" s="301"/>
      <c r="U320" s="307"/>
      <c r="V320" s="301"/>
      <c r="W320" s="301"/>
      <c r="X320" s="307"/>
      <c r="Y320" s="301"/>
      <c r="Z320" s="301"/>
      <c r="AA320" s="301"/>
      <c r="AB320" s="301"/>
      <c r="AC320" s="301"/>
      <c r="AD320" s="301"/>
      <c r="AE320" s="301"/>
      <c r="AF320" s="301"/>
      <c r="AG320" s="301"/>
      <c r="AH320" s="307"/>
      <c r="AI320" s="307"/>
      <c r="AJ320" s="307"/>
      <c r="AK320" s="307"/>
      <c r="AL320" s="307"/>
      <c r="AM320" s="307"/>
      <c r="AN320" s="307"/>
      <c r="AO320" s="307"/>
      <c r="AP320" s="307"/>
      <c r="AQ320" s="307"/>
      <c r="AR320" s="307"/>
      <c r="AS320" s="307"/>
      <c r="AT320" s="307"/>
      <c r="AU320" s="307"/>
    </row>
    <row r="321" ht="12.0" customHeight="1">
      <c r="A321" s="301"/>
      <c r="B321" s="301"/>
      <c r="C321" s="301"/>
      <c r="D321" s="301"/>
      <c r="E321" s="301"/>
      <c r="F321" s="301"/>
      <c r="G321" s="301"/>
      <c r="H321" s="307"/>
      <c r="I321" s="301"/>
      <c r="J321" s="301"/>
      <c r="K321" s="301"/>
      <c r="L321" s="301"/>
      <c r="M321" s="301"/>
      <c r="N321" s="301"/>
      <c r="O321" s="301"/>
      <c r="P321" s="301"/>
      <c r="Q321" s="301"/>
      <c r="R321" s="301"/>
      <c r="S321" s="301"/>
      <c r="T321" s="301"/>
      <c r="U321" s="307"/>
      <c r="V321" s="301"/>
      <c r="W321" s="301"/>
      <c r="X321" s="307"/>
      <c r="Y321" s="301"/>
      <c r="Z321" s="301"/>
      <c r="AA321" s="301"/>
      <c r="AB321" s="301"/>
      <c r="AC321" s="301"/>
      <c r="AD321" s="301"/>
      <c r="AE321" s="301"/>
      <c r="AF321" s="301"/>
      <c r="AG321" s="301"/>
      <c r="AH321" s="307"/>
      <c r="AI321" s="307"/>
      <c r="AJ321" s="307"/>
      <c r="AK321" s="307"/>
      <c r="AL321" s="307"/>
      <c r="AM321" s="307"/>
      <c r="AN321" s="307"/>
      <c r="AO321" s="307"/>
      <c r="AP321" s="307"/>
      <c r="AQ321" s="307"/>
      <c r="AR321" s="307"/>
      <c r="AS321" s="307"/>
      <c r="AT321" s="307"/>
      <c r="AU321" s="307"/>
    </row>
    <row r="322" ht="12.0" customHeight="1">
      <c r="A322" s="301"/>
      <c r="B322" s="301"/>
      <c r="C322" s="301"/>
      <c r="D322" s="301"/>
      <c r="E322" s="301"/>
      <c r="F322" s="301"/>
      <c r="G322" s="301"/>
      <c r="H322" s="307"/>
      <c r="I322" s="301"/>
      <c r="J322" s="301"/>
      <c r="K322" s="301"/>
      <c r="L322" s="301"/>
      <c r="M322" s="301"/>
      <c r="N322" s="301"/>
      <c r="O322" s="301"/>
      <c r="P322" s="301"/>
      <c r="Q322" s="301"/>
      <c r="R322" s="301"/>
      <c r="S322" s="301"/>
      <c r="T322" s="301"/>
      <c r="U322" s="307"/>
      <c r="V322" s="301"/>
      <c r="W322" s="301"/>
      <c r="X322" s="307"/>
      <c r="Y322" s="301"/>
      <c r="Z322" s="301"/>
      <c r="AA322" s="301"/>
      <c r="AB322" s="301"/>
      <c r="AC322" s="301"/>
      <c r="AD322" s="301"/>
      <c r="AE322" s="301"/>
      <c r="AF322" s="301"/>
      <c r="AG322" s="301"/>
      <c r="AH322" s="307"/>
      <c r="AI322" s="307"/>
      <c r="AJ322" s="307"/>
      <c r="AK322" s="307"/>
      <c r="AL322" s="307"/>
      <c r="AM322" s="307"/>
      <c r="AN322" s="307"/>
      <c r="AO322" s="307"/>
      <c r="AP322" s="307"/>
      <c r="AQ322" s="307"/>
      <c r="AR322" s="307"/>
      <c r="AS322" s="307"/>
      <c r="AT322" s="307"/>
      <c r="AU322" s="307"/>
    </row>
    <row r="323" ht="12.0" customHeight="1">
      <c r="A323" s="301"/>
      <c r="B323" s="301"/>
      <c r="C323" s="301"/>
      <c r="D323" s="301"/>
      <c r="E323" s="301"/>
      <c r="F323" s="301"/>
      <c r="G323" s="301"/>
      <c r="H323" s="307"/>
      <c r="I323" s="301"/>
      <c r="J323" s="301"/>
      <c r="K323" s="301"/>
      <c r="L323" s="301"/>
      <c r="M323" s="301"/>
      <c r="N323" s="301"/>
      <c r="O323" s="301"/>
      <c r="P323" s="301"/>
      <c r="Q323" s="301"/>
      <c r="R323" s="301"/>
      <c r="S323" s="301"/>
      <c r="T323" s="301"/>
      <c r="U323" s="307"/>
      <c r="V323" s="301"/>
      <c r="W323" s="301"/>
      <c r="X323" s="307"/>
      <c r="Y323" s="301"/>
      <c r="Z323" s="301"/>
      <c r="AA323" s="301"/>
      <c r="AB323" s="301"/>
      <c r="AC323" s="301"/>
      <c r="AD323" s="301"/>
      <c r="AE323" s="301"/>
      <c r="AF323" s="301"/>
      <c r="AG323" s="301"/>
      <c r="AH323" s="307"/>
      <c r="AI323" s="307"/>
      <c r="AJ323" s="307"/>
      <c r="AK323" s="307"/>
      <c r="AL323" s="307"/>
      <c r="AM323" s="307"/>
      <c r="AN323" s="307"/>
      <c r="AO323" s="307"/>
      <c r="AP323" s="307"/>
      <c r="AQ323" s="307"/>
      <c r="AR323" s="307"/>
      <c r="AS323" s="307"/>
      <c r="AT323" s="307"/>
      <c r="AU323" s="307"/>
    </row>
    <row r="324" ht="12.0" customHeight="1">
      <c r="A324" s="301"/>
      <c r="B324" s="301"/>
      <c r="C324" s="301"/>
      <c r="D324" s="301"/>
      <c r="E324" s="301"/>
      <c r="F324" s="301"/>
      <c r="G324" s="301"/>
      <c r="H324" s="307"/>
      <c r="I324" s="301"/>
      <c r="J324" s="301"/>
      <c r="K324" s="301"/>
      <c r="L324" s="301"/>
      <c r="M324" s="301"/>
      <c r="N324" s="301"/>
      <c r="O324" s="301"/>
      <c r="P324" s="301"/>
      <c r="Q324" s="301"/>
      <c r="R324" s="301"/>
      <c r="S324" s="301"/>
      <c r="T324" s="301"/>
      <c r="U324" s="307"/>
      <c r="V324" s="301"/>
      <c r="W324" s="301"/>
      <c r="X324" s="307"/>
      <c r="Y324" s="301"/>
      <c r="Z324" s="301"/>
      <c r="AA324" s="301"/>
      <c r="AB324" s="301"/>
      <c r="AC324" s="301"/>
      <c r="AD324" s="301"/>
      <c r="AE324" s="301"/>
      <c r="AF324" s="301"/>
      <c r="AG324" s="301"/>
      <c r="AH324" s="307"/>
      <c r="AI324" s="307"/>
      <c r="AJ324" s="307"/>
      <c r="AK324" s="307"/>
      <c r="AL324" s="307"/>
      <c r="AM324" s="307"/>
      <c r="AN324" s="307"/>
      <c r="AO324" s="307"/>
      <c r="AP324" s="307"/>
      <c r="AQ324" s="307"/>
      <c r="AR324" s="307"/>
      <c r="AS324" s="307"/>
      <c r="AT324" s="307"/>
      <c r="AU324" s="307"/>
    </row>
    <row r="325" ht="12.0" customHeight="1">
      <c r="A325" s="301"/>
      <c r="B325" s="301"/>
      <c r="C325" s="301"/>
      <c r="D325" s="301"/>
      <c r="E325" s="301"/>
      <c r="F325" s="301"/>
      <c r="G325" s="301"/>
      <c r="H325" s="307"/>
      <c r="I325" s="301"/>
      <c r="J325" s="301"/>
      <c r="K325" s="301"/>
      <c r="L325" s="301"/>
      <c r="M325" s="301"/>
      <c r="N325" s="301"/>
      <c r="O325" s="301"/>
      <c r="P325" s="301"/>
      <c r="Q325" s="301"/>
      <c r="R325" s="301"/>
      <c r="S325" s="301"/>
      <c r="T325" s="301"/>
      <c r="U325" s="307"/>
      <c r="V325" s="301"/>
      <c r="W325" s="301"/>
      <c r="X325" s="307"/>
      <c r="Y325" s="301"/>
      <c r="Z325" s="301"/>
      <c r="AA325" s="301"/>
      <c r="AB325" s="301"/>
      <c r="AC325" s="301"/>
      <c r="AD325" s="301"/>
      <c r="AE325" s="301"/>
      <c r="AF325" s="301"/>
      <c r="AG325" s="301"/>
      <c r="AH325" s="307"/>
      <c r="AI325" s="307"/>
      <c r="AJ325" s="307"/>
      <c r="AK325" s="307"/>
      <c r="AL325" s="307"/>
      <c r="AM325" s="307"/>
      <c r="AN325" s="307"/>
      <c r="AO325" s="307"/>
      <c r="AP325" s="307"/>
      <c r="AQ325" s="307"/>
      <c r="AR325" s="307"/>
      <c r="AS325" s="307"/>
      <c r="AT325" s="307"/>
      <c r="AU325" s="307"/>
    </row>
    <row r="326" ht="12.0" customHeight="1">
      <c r="A326" s="301"/>
      <c r="B326" s="301"/>
      <c r="C326" s="301"/>
      <c r="D326" s="301"/>
      <c r="E326" s="301"/>
      <c r="F326" s="301"/>
      <c r="G326" s="301"/>
      <c r="H326" s="307"/>
      <c r="I326" s="301"/>
      <c r="J326" s="301"/>
      <c r="K326" s="301"/>
      <c r="L326" s="301"/>
      <c r="M326" s="301"/>
      <c r="N326" s="301"/>
      <c r="O326" s="301"/>
      <c r="P326" s="301"/>
      <c r="Q326" s="301"/>
      <c r="R326" s="301"/>
      <c r="S326" s="301"/>
      <c r="T326" s="301"/>
      <c r="U326" s="307"/>
      <c r="V326" s="301"/>
      <c r="W326" s="301"/>
      <c r="X326" s="307"/>
      <c r="Y326" s="301"/>
      <c r="Z326" s="301"/>
      <c r="AA326" s="301"/>
      <c r="AB326" s="301"/>
      <c r="AC326" s="301"/>
      <c r="AD326" s="301"/>
      <c r="AE326" s="301"/>
      <c r="AF326" s="301"/>
      <c r="AG326" s="301"/>
      <c r="AH326" s="307"/>
      <c r="AI326" s="307"/>
      <c r="AJ326" s="307"/>
      <c r="AK326" s="307"/>
      <c r="AL326" s="307"/>
      <c r="AM326" s="307"/>
      <c r="AN326" s="307"/>
      <c r="AO326" s="307"/>
      <c r="AP326" s="307"/>
      <c r="AQ326" s="307"/>
      <c r="AR326" s="307"/>
      <c r="AS326" s="307"/>
      <c r="AT326" s="307"/>
      <c r="AU326" s="307"/>
    </row>
    <row r="327" ht="12.0" customHeight="1">
      <c r="A327" s="301"/>
      <c r="B327" s="301"/>
      <c r="C327" s="301"/>
      <c r="D327" s="301"/>
      <c r="E327" s="301"/>
      <c r="F327" s="301"/>
      <c r="G327" s="301"/>
      <c r="H327" s="307"/>
      <c r="I327" s="301"/>
      <c r="J327" s="301"/>
      <c r="K327" s="301"/>
      <c r="L327" s="301"/>
      <c r="M327" s="301"/>
      <c r="N327" s="301"/>
      <c r="O327" s="301"/>
      <c r="P327" s="301"/>
      <c r="Q327" s="301"/>
      <c r="R327" s="301"/>
      <c r="S327" s="301"/>
      <c r="T327" s="301"/>
      <c r="U327" s="307"/>
      <c r="V327" s="301"/>
      <c r="W327" s="301"/>
      <c r="X327" s="307"/>
      <c r="Y327" s="301"/>
      <c r="Z327" s="301"/>
      <c r="AA327" s="301"/>
      <c r="AB327" s="301"/>
      <c r="AC327" s="301"/>
      <c r="AD327" s="301"/>
      <c r="AE327" s="301"/>
      <c r="AF327" s="301"/>
      <c r="AG327" s="301"/>
      <c r="AH327" s="307"/>
      <c r="AI327" s="307"/>
      <c r="AJ327" s="307"/>
      <c r="AK327" s="307"/>
      <c r="AL327" s="307"/>
      <c r="AM327" s="307"/>
      <c r="AN327" s="307"/>
      <c r="AO327" s="307"/>
      <c r="AP327" s="307"/>
      <c r="AQ327" s="307"/>
      <c r="AR327" s="307"/>
      <c r="AS327" s="307"/>
      <c r="AT327" s="307"/>
      <c r="AU327" s="307"/>
    </row>
    <row r="328" ht="12.0" customHeight="1">
      <c r="A328" s="301"/>
      <c r="B328" s="301"/>
      <c r="C328" s="301"/>
      <c r="D328" s="301"/>
      <c r="E328" s="301"/>
      <c r="F328" s="301"/>
      <c r="G328" s="301"/>
      <c r="H328" s="307"/>
      <c r="I328" s="301"/>
      <c r="J328" s="301"/>
      <c r="K328" s="301"/>
      <c r="L328" s="301"/>
      <c r="M328" s="301"/>
      <c r="N328" s="301"/>
      <c r="O328" s="301"/>
      <c r="P328" s="301"/>
      <c r="Q328" s="301"/>
      <c r="R328" s="301"/>
      <c r="S328" s="301"/>
      <c r="T328" s="301"/>
      <c r="U328" s="307"/>
      <c r="V328" s="301"/>
      <c r="W328" s="301"/>
      <c r="X328" s="307"/>
      <c r="Y328" s="301"/>
      <c r="Z328" s="301"/>
      <c r="AA328" s="301"/>
      <c r="AB328" s="301"/>
      <c r="AC328" s="301"/>
      <c r="AD328" s="301"/>
      <c r="AE328" s="301"/>
      <c r="AF328" s="301"/>
      <c r="AG328" s="301"/>
      <c r="AH328" s="307"/>
      <c r="AI328" s="307"/>
      <c r="AJ328" s="307"/>
      <c r="AK328" s="307"/>
      <c r="AL328" s="307"/>
      <c r="AM328" s="307"/>
      <c r="AN328" s="307"/>
      <c r="AO328" s="307"/>
      <c r="AP328" s="307"/>
      <c r="AQ328" s="307"/>
      <c r="AR328" s="307"/>
      <c r="AS328" s="307"/>
      <c r="AT328" s="307"/>
      <c r="AU328" s="307"/>
    </row>
    <row r="329" ht="12.0" customHeight="1">
      <c r="A329" s="301"/>
      <c r="B329" s="301"/>
      <c r="C329" s="301"/>
      <c r="D329" s="301"/>
      <c r="E329" s="301"/>
      <c r="F329" s="301"/>
      <c r="G329" s="301"/>
      <c r="H329" s="307"/>
      <c r="I329" s="301"/>
      <c r="J329" s="301"/>
      <c r="K329" s="301"/>
      <c r="L329" s="301"/>
      <c r="M329" s="301"/>
      <c r="N329" s="301"/>
      <c r="O329" s="301"/>
      <c r="P329" s="301"/>
      <c r="Q329" s="301"/>
      <c r="R329" s="301"/>
      <c r="S329" s="301"/>
      <c r="T329" s="301"/>
      <c r="U329" s="307"/>
      <c r="V329" s="301"/>
      <c r="W329" s="301"/>
      <c r="X329" s="307"/>
      <c r="Y329" s="301"/>
      <c r="Z329" s="301"/>
      <c r="AA329" s="301"/>
      <c r="AB329" s="301"/>
      <c r="AC329" s="301"/>
      <c r="AD329" s="301"/>
      <c r="AE329" s="301"/>
      <c r="AF329" s="301"/>
      <c r="AG329" s="301"/>
      <c r="AH329" s="307"/>
      <c r="AI329" s="307"/>
      <c r="AJ329" s="307"/>
      <c r="AK329" s="307"/>
      <c r="AL329" s="307"/>
      <c r="AM329" s="307"/>
      <c r="AN329" s="307"/>
      <c r="AO329" s="307"/>
      <c r="AP329" s="307"/>
      <c r="AQ329" s="307"/>
      <c r="AR329" s="307"/>
      <c r="AS329" s="307"/>
      <c r="AT329" s="307"/>
      <c r="AU329" s="307"/>
    </row>
    <row r="330" ht="12.0" customHeight="1">
      <c r="A330" s="301"/>
      <c r="B330" s="301"/>
      <c r="C330" s="301"/>
      <c r="D330" s="301"/>
      <c r="E330" s="301"/>
      <c r="F330" s="301"/>
      <c r="G330" s="301"/>
      <c r="H330" s="307"/>
      <c r="I330" s="301"/>
      <c r="J330" s="301"/>
      <c r="K330" s="301"/>
      <c r="L330" s="301"/>
      <c r="M330" s="301"/>
      <c r="N330" s="301"/>
      <c r="O330" s="301"/>
      <c r="P330" s="301"/>
      <c r="Q330" s="301"/>
      <c r="R330" s="301"/>
      <c r="S330" s="301"/>
      <c r="T330" s="301"/>
      <c r="U330" s="307"/>
      <c r="V330" s="301"/>
      <c r="W330" s="301"/>
      <c r="X330" s="307"/>
      <c r="Y330" s="301"/>
      <c r="Z330" s="301"/>
      <c r="AA330" s="301"/>
      <c r="AB330" s="301"/>
      <c r="AC330" s="301"/>
      <c r="AD330" s="301"/>
      <c r="AE330" s="301"/>
      <c r="AF330" s="301"/>
      <c r="AG330" s="301"/>
      <c r="AH330" s="307"/>
      <c r="AI330" s="307"/>
      <c r="AJ330" s="307"/>
      <c r="AK330" s="307"/>
      <c r="AL330" s="307"/>
      <c r="AM330" s="307"/>
      <c r="AN330" s="307"/>
      <c r="AO330" s="307"/>
      <c r="AP330" s="307"/>
      <c r="AQ330" s="307"/>
      <c r="AR330" s="307"/>
      <c r="AS330" s="307"/>
      <c r="AT330" s="307"/>
      <c r="AU330" s="307"/>
    </row>
    <row r="331" ht="12.0" customHeight="1">
      <c r="A331" s="301"/>
      <c r="B331" s="301"/>
      <c r="C331" s="301"/>
      <c r="D331" s="301"/>
      <c r="E331" s="301"/>
      <c r="F331" s="301"/>
      <c r="G331" s="301"/>
      <c r="H331" s="307"/>
      <c r="I331" s="301"/>
      <c r="J331" s="301"/>
      <c r="K331" s="301"/>
      <c r="L331" s="301"/>
      <c r="M331" s="301"/>
      <c r="N331" s="301"/>
      <c r="O331" s="301"/>
      <c r="P331" s="301"/>
      <c r="Q331" s="301"/>
      <c r="R331" s="301"/>
      <c r="S331" s="301"/>
      <c r="T331" s="301"/>
      <c r="U331" s="307"/>
      <c r="V331" s="301"/>
      <c r="W331" s="301"/>
      <c r="X331" s="307"/>
      <c r="Y331" s="301"/>
      <c r="Z331" s="301"/>
      <c r="AA331" s="301"/>
      <c r="AB331" s="301"/>
      <c r="AC331" s="301"/>
      <c r="AD331" s="301"/>
      <c r="AE331" s="301"/>
      <c r="AF331" s="301"/>
      <c r="AG331" s="301"/>
      <c r="AH331" s="307"/>
      <c r="AI331" s="307"/>
      <c r="AJ331" s="307"/>
      <c r="AK331" s="307"/>
      <c r="AL331" s="307"/>
      <c r="AM331" s="307"/>
      <c r="AN331" s="307"/>
      <c r="AO331" s="307"/>
      <c r="AP331" s="307"/>
      <c r="AQ331" s="307"/>
      <c r="AR331" s="307"/>
      <c r="AS331" s="307"/>
      <c r="AT331" s="307"/>
      <c r="AU331" s="307"/>
    </row>
    <row r="332" ht="12.0" customHeight="1">
      <c r="A332" s="301"/>
      <c r="B332" s="301"/>
      <c r="C332" s="301"/>
      <c r="D332" s="301"/>
      <c r="E332" s="301"/>
      <c r="F332" s="301"/>
      <c r="G332" s="301"/>
      <c r="H332" s="307"/>
      <c r="I332" s="301"/>
      <c r="J332" s="301"/>
      <c r="K332" s="301"/>
      <c r="L332" s="301"/>
      <c r="M332" s="301"/>
      <c r="N332" s="301"/>
      <c r="O332" s="301"/>
      <c r="P332" s="301"/>
      <c r="Q332" s="301"/>
      <c r="R332" s="301"/>
      <c r="S332" s="301"/>
      <c r="T332" s="301"/>
      <c r="U332" s="307"/>
      <c r="V332" s="301"/>
      <c r="W332" s="301"/>
      <c r="X332" s="307"/>
      <c r="Y332" s="301"/>
      <c r="Z332" s="301"/>
      <c r="AA332" s="301"/>
      <c r="AB332" s="301"/>
      <c r="AC332" s="301"/>
      <c r="AD332" s="301"/>
      <c r="AE332" s="301"/>
      <c r="AF332" s="301"/>
      <c r="AG332" s="301"/>
      <c r="AH332" s="307"/>
      <c r="AI332" s="307"/>
      <c r="AJ332" s="307"/>
      <c r="AK332" s="307"/>
      <c r="AL332" s="307"/>
      <c r="AM332" s="307"/>
      <c r="AN332" s="307"/>
      <c r="AO332" s="307"/>
      <c r="AP332" s="307"/>
      <c r="AQ332" s="307"/>
      <c r="AR332" s="307"/>
      <c r="AS332" s="307"/>
      <c r="AT332" s="307"/>
      <c r="AU332" s="307"/>
    </row>
    <row r="333" ht="12.0" customHeight="1">
      <c r="A333" s="301"/>
      <c r="B333" s="301"/>
      <c r="C333" s="301"/>
      <c r="D333" s="301"/>
      <c r="E333" s="301"/>
      <c r="F333" s="301"/>
      <c r="G333" s="301"/>
      <c r="H333" s="307"/>
      <c r="I333" s="301"/>
      <c r="J333" s="301"/>
      <c r="K333" s="301"/>
      <c r="L333" s="301"/>
      <c r="M333" s="301"/>
      <c r="N333" s="301"/>
      <c r="O333" s="301"/>
      <c r="P333" s="301"/>
      <c r="Q333" s="301"/>
      <c r="R333" s="301"/>
      <c r="S333" s="301"/>
      <c r="T333" s="301"/>
      <c r="U333" s="307"/>
      <c r="V333" s="301"/>
      <c r="W333" s="301"/>
      <c r="X333" s="307"/>
      <c r="Y333" s="301"/>
      <c r="Z333" s="301"/>
      <c r="AA333" s="301"/>
      <c r="AB333" s="301"/>
      <c r="AC333" s="301"/>
      <c r="AD333" s="301"/>
      <c r="AE333" s="301"/>
      <c r="AF333" s="301"/>
      <c r="AG333" s="301"/>
      <c r="AH333" s="307"/>
      <c r="AI333" s="307"/>
      <c r="AJ333" s="307"/>
      <c r="AK333" s="307"/>
      <c r="AL333" s="307"/>
      <c r="AM333" s="307"/>
      <c r="AN333" s="307"/>
      <c r="AO333" s="307"/>
      <c r="AP333" s="307"/>
      <c r="AQ333" s="307"/>
      <c r="AR333" s="307"/>
      <c r="AS333" s="307"/>
      <c r="AT333" s="307"/>
      <c r="AU333" s="307"/>
    </row>
    <row r="334" ht="12.0" customHeight="1">
      <c r="A334" s="301"/>
      <c r="B334" s="301"/>
      <c r="C334" s="301"/>
      <c r="D334" s="301"/>
      <c r="E334" s="301"/>
      <c r="F334" s="301"/>
      <c r="G334" s="301"/>
      <c r="H334" s="307"/>
      <c r="I334" s="301"/>
      <c r="J334" s="301"/>
      <c r="K334" s="301"/>
      <c r="L334" s="301"/>
      <c r="M334" s="301"/>
      <c r="N334" s="301"/>
      <c r="O334" s="301"/>
      <c r="P334" s="301"/>
      <c r="Q334" s="301"/>
      <c r="R334" s="301"/>
      <c r="S334" s="301"/>
      <c r="T334" s="301"/>
      <c r="U334" s="307"/>
      <c r="V334" s="301"/>
      <c r="W334" s="301"/>
      <c r="X334" s="307"/>
      <c r="Y334" s="301"/>
      <c r="Z334" s="301"/>
      <c r="AA334" s="301"/>
      <c r="AB334" s="301"/>
      <c r="AC334" s="301"/>
      <c r="AD334" s="301"/>
      <c r="AE334" s="301"/>
      <c r="AF334" s="301"/>
      <c r="AG334" s="301"/>
      <c r="AH334" s="307"/>
      <c r="AI334" s="307"/>
      <c r="AJ334" s="307"/>
      <c r="AK334" s="307"/>
      <c r="AL334" s="307"/>
      <c r="AM334" s="307"/>
      <c r="AN334" s="307"/>
      <c r="AO334" s="307"/>
      <c r="AP334" s="307"/>
      <c r="AQ334" s="307"/>
      <c r="AR334" s="307"/>
      <c r="AS334" s="307"/>
      <c r="AT334" s="307"/>
      <c r="AU334" s="307"/>
    </row>
    <row r="335" ht="12.0" customHeight="1">
      <c r="A335" s="301"/>
      <c r="B335" s="301"/>
      <c r="C335" s="301"/>
      <c r="D335" s="301"/>
      <c r="E335" s="301"/>
      <c r="F335" s="301"/>
      <c r="G335" s="301"/>
      <c r="H335" s="307"/>
      <c r="I335" s="301"/>
      <c r="J335" s="301"/>
      <c r="K335" s="301"/>
      <c r="L335" s="301"/>
      <c r="M335" s="301"/>
      <c r="N335" s="301"/>
      <c r="O335" s="301"/>
      <c r="P335" s="301"/>
      <c r="Q335" s="301"/>
      <c r="R335" s="301"/>
      <c r="S335" s="301"/>
      <c r="T335" s="301"/>
      <c r="U335" s="307"/>
      <c r="V335" s="301"/>
      <c r="W335" s="301"/>
      <c r="X335" s="307"/>
      <c r="Y335" s="301"/>
      <c r="Z335" s="301"/>
      <c r="AA335" s="301"/>
      <c r="AB335" s="301"/>
      <c r="AC335" s="301"/>
      <c r="AD335" s="301"/>
      <c r="AE335" s="301"/>
      <c r="AF335" s="301"/>
      <c r="AG335" s="301"/>
      <c r="AH335" s="307"/>
      <c r="AI335" s="307"/>
      <c r="AJ335" s="307"/>
      <c r="AK335" s="307"/>
      <c r="AL335" s="307"/>
      <c r="AM335" s="307"/>
      <c r="AN335" s="307"/>
      <c r="AO335" s="307"/>
      <c r="AP335" s="307"/>
      <c r="AQ335" s="307"/>
      <c r="AR335" s="307"/>
      <c r="AS335" s="307"/>
      <c r="AT335" s="307"/>
      <c r="AU335" s="307"/>
    </row>
    <row r="336" ht="12.0" customHeight="1">
      <c r="A336" s="301"/>
      <c r="B336" s="301"/>
      <c r="C336" s="301"/>
      <c r="D336" s="301"/>
      <c r="E336" s="301"/>
      <c r="F336" s="301"/>
      <c r="G336" s="301"/>
      <c r="H336" s="307"/>
      <c r="I336" s="301"/>
      <c r="J336" s="301"/>
      <c r="K336" s="301"/>
      <c r="L336" s="301"/>
      <c r="M336" s="301"/>
      <c r="N336" s="301"/>
      <c r="O336" s="301"/>
      <c r="P336" s="301"/>
      <c r="Q336" s="301"/>
      <c r="R336" s="301"/>
      <c r="S336" s="301"/>
      <c r="T336" s="301"/>
      <c r="U336" s="307"/>
      <c r="V336" s="301"/>
      <c r="W336" s="301"/>
      <c r="X336" s="307"/>
      <c r="Y336" s="301"/>
      <c r="Z336" s="301"/>
      <c r="AA336" s="301"/>
      <c r="AB336" s="301"/>
      <c r="AC336" s="301"/>
      <c r="AD336" s="301"/>
      <c r="AE336" s="301"/>
      <c r="AF336" s="301"/>
      <c r="AG336" s="301"/>
      <c r="AH336" s="307"/>
      <c r="AI336" s="307"/>
      <c r="AJ336" s="307"/>
      <c r="AK336" s="307"/>
      <c r="AL336" s="307"/>
      <c r="AM336" s="307"/>
      <c r="AN336" s="307"/>
      <c r="AO336" s="307"/>
      <c r="AP336" s="307"/>
      <c r="AQ336" s="307"/>
      <c r="AR336" s="307"/>
      <c r="AS336" s="307"/>
      <c r="AT336" s="307"/>
      <c r="AU336" s="307"/>
    </row>
    <row r="337" ht="12.0" customHeight="1">
      <c r="A337" s="301"/>
      <c r="B337" s="301"/>
      <c r="C337" s="301"/>
      <c r="D337" s="301"/>
      <c r="E337" s="301"/>
      <c r="F337" s="301"/>
      <c r="G337" s="301"/>
      <c r="H337" s="307"/>
      <c r="I337" s="301"/>
      <c r="J337" s="301"/>
      <c r="K337" s="301"/>
      <c r="L337" s="301"/>
      <c r="M337" s="301"/>
      <c r="N337" s="301"/>
      <c r="O337" s="301"/>
      <c r="P337" s="301"/>
      <c r="Q337" s="301"/>
      <c r="R337" s="301"/>
      <c r="S337" s="301"/>
      <c r="T337" s="301"/>
      <c r="U337" s="307"/>
      <c r="V337" s="301"/>
      <c r="W337" s="301"/>
      <c r="X337" s="307"/>
      <c r="Y337" s="301"/>
      <c r="Z337" s="301"/>
      <c r="AA337" s="301"/>
      <c r="AB337" s="301"/>
      <c r="AC337" s="301"/>
      <c r="AD337" s="301"/>
      <c r="AE337" s="301"/>
      <c r="AF337" s="301"/>
      <c r="AG337" s="301"/>
      <c r="AH337" s="307"/>
      <c r="AI337" s="307"/>
      <c r="AJ337" s="307"/>
      <c r="AK337" s="307"/>
      <c r="AL337" s="307"/>
      <c r="AM337" s="307"/>
      <c r="AN337" s="307"/>
      <c r="AO337" s="307"/>
      <c r="AP337" s="307"/>
      <c r="AQ337" s="307"/>
      <c r="AR337" s="307"/>
      <c r="AS337" s="307"/>
      <c r="AT337" s="307"/>
      <c r="AU337" s="307"/>
    </row>
    <row r="338" ht="12.0" customHeight="1">
      <c r="A338" s="301"/>
      <c r="B338" s="301"/>
      <c r="C338" s="301"/>
      <c r="D338" s="301"/>
      <c r="E338" s="301"/>
      <c r="F338" s="301"/>
      <c r="G338" s="301"/>
      <c r="H338" s="307"/>
      <c r="I338" s="301"/>
      <c r="J338" s="301"/>
      <c r="K338" s="301"/>
      <c r="L338" s="301"/>
      <c r="M338" s="301"/>
      <c r="N338" s="301"/>
      <c r="O338" s="301"/>
      <c r="P338" s="301"/>
      <c r="Q338" s="301"/>
      <c r="R338" s="301"/>
      <c r="S338" s="301"/>
      <c r="T338" s="301"/>
      <c r="U338" s="307"/>
      <c r="V338" s="301"/>
      <c r="W338" s="301"/>
      <c r="X338" s="307"/>
      <c r="Y338" s="301"/>
      <c r="Z338" s="301"/>
      <c r="AA338" s="301"/>
      <c r="AB338" s="301"/>
      <c r="AC338" s="301"/>
      <c r="AD338" s="301"/>
      <c r="AE338" s="301"/>
      <c r="AF338" s="301"/>
      <c r="AG338" s="301"/>
      <c r="AH338" s="307"/>
      <c r="AI338" s="307"/>
      <c r="AJ338" s="307"/>
      <c r="AK338" s="307"/>
      <c r="AL338" s="307"/>
      <c r="AM338" s="307"/>
      <c r="AN338" s="307"/>
      <c r="AO338" s="307"/>
      <c r="AP338" s="307"/>
      <c r="AQ338" s="307"/>
      <c r="AR338" s="307"/>
      <c r="AS338" s="307"/>
      <c r="AT338" s="307"/>
      <c r="AU338" s="307"/>
    </row>
    <row r="339" ht="12.0" customHeight="1">
      <c r="A339" s="301"/>
      <c r="B339" s="301"/>
      <c r="C339" s="301"/>
      <c r="D339" s="301"/>
      <c r="E339" s="301"/>
      <c r="F339" s="301"/>
      <c r="G339" s="301"/>
      <c r="H339" s="307"/>
      <c r="I339" s="301"/>
      <c r="J339" s="301"/>
      <c r="K339" s="301"/>
      <c r="L339" s="301"/>
      <c r="M339" s="301"/>
      <c r="N339" s="301"/>
      <c r="O339" s="301"/>
      <c r="P339" s="301"/>
      <c r="Q339" s="301"/>
      <c r="R339" s="301"/>
      <c r="S339" s="301"/>
      <c r="T339" s="301"/>
      <c r="U339" s="307"/>
      <c r="V339" s="301"/>
      <c r="W339" s="301"/>
      <c r="X339" s="307"/>
      <c r="Y339" s="301"/>
      <c r="Z339" s="301"/>
      <c r="AA339" s="301"/>
      <c r="AB339" s="301"/>
      <c r="AC339" s="301"/>
      <c r="AD339" s="301"/>
      <c r="AE339" s="301"/>
      <c r="AF339" s="301"/>
      <c r="AG339" s="301"/>
      <c r="AH339" s="307"/>
      <c r="AI339" s="307"/>
      <c r="AJ339" s="307"/>
      <c r="AK339" s="307"/>
      <c r="AL339" s="307"/>
      <c r="AM339" s="307"/>
      <c r="AN339" s="307"/>
      <c r="AO339" s="307"/>
      <c r="AP339" s="307"/>
      <c r="AQ339" s="307"/>
      <c r="AR339" s="307"/>
      <c r="AS339" s="307"/>
      <c r="AT339" s="307"/>
      <c r="AU339" s="307"/>
    </row>
    <row r="340" ht="12.0" customHeight="1">
      <c r="A340" s="301"/>
      <c r="B340" s="301"/>
      <c r="C340" s="301"/>
      <c r="D340" s="301"/>
      <c r="E340" s="301"/>
      <c r="F340" s="301"/>
      <c r="G340" s="301"/>
      <c r="H340" s="307"/>
      <c r="I340" s="301"/>
      <c r="J340" s="301"/>
      <c r="K340" s="301"/>
      <c r="L340" s="301"/>
      <c r="M340" s="301"/>
      <c r="N340" s="301"/>
      <c r="O340" s="301"/>
      <c r="P340" s="301"/>
      <c r="Q340" s="301"/>
      <c r="R340" s="301"/>
      <c r="S340" s="301"/>
      <c r="T340" s="301"/>
      <c r="U340" s="307"/>
      <c r="V340" s="301"/>
      <c r="W340" s="301"/>
      <c r="X340" s="307"/>
      <c r="Y340" s="301"/>
      <c r="Z340" s="301"/>
      <c r="AA340" s="301"/>
      <c r="AB340" s="301"/>
      <c r="AC340" s="301"/>
      <c r="AD340" s="301"/>
      <c r="AE340" s="301"/>
      <c r="AF340" s="301"/>
      <c r="AG340" s="301"/>
      <c r="AH340" s="307"/>
      <c r="AI340" s="307"/>
      <c r="AJ340" s="307"/>
      <c r="AK340" s="307"/>
      <c r="AL340" s="307"/>
      <c r="AM340" s="307"/>
      <c r="AN340" s="307"/>
      <c r="AO340" s="307"/>
      <c r="AP340" s="307"/>
      <c r="AQ340" s="307"/>
      <c r="AR340" s="307"/>
      <c r="AS340" s="307"/>
      <c r="AT340" s="307"/>
      <c r="AU340" s="307"/>
    </row>
    <row r="341" ht="12.0" customHeight="1">
      <c r="A341" s="301"/>
      <c r="B341" s="301"/>
      <c r="C341" s="301"/>
      <c r="D341" s="301"/>
      <c r="E341" s="301"/>
      <c r="F341" s="301"/>
      <c r="G341" s="301"/>
      <c r="H341" s="307"/>
      <c r="I341" s="301"/>
      <c r="J341" s="301"/>
      <c r="K341" s="301"/>
      <c r="L341" s="301"/>
      <c r="M341" s="301"/>
      <c r="N341" s="301"/>
      <c r="O341" s="301"/>
      <c r="P341" s="301"/>
      <c r="Q341" s="301"/>
      <c r="R341" s="301"/>
      <c r="S341" s="301"/>
      <c r="T341" s="301"/>
      <c r="U341" s="307"/>
      <c r="V341" s="301"/>
      <c r="W341" s="301"/>
      <c r="X341" s="307"/>
      <c r="Y341" s="301"/>
      <c r="Z341" s="301"/>
      <c r="AA341" s="301"/>
      <c r="AB341" s="301"/>
      <c r="AC341" s="301"/>
      <c r="AD341" s="301"/>
      <c r="AE341" s="301"/>
      <c r="AF341" s="301"/>
      <c r="AG341" s="301"/>
      <c r="AH341" s="307"/>
      <c r="AI341" s="307"/>
      <c r="AJ341" s="307"/>
      <c r="AK341" s="307"/>
      <c r="AL341" s="307"/>
      <c r="AM341" s="307"/>
      <c r="AN341" s="307"/>
      <c r="AO341" s="307"/>
      <c r="AP341" s="307"/>
      <c r="AQ341" s="307"/>
      <c r="AR341" s="307"/>
      <c r="AS341" s="307"/>
      <c r="AT341" s="307"/>
      <c r="AU341" s="307"/>
    </row>
    <row r="342" ht="12.0" customHeight="1">
      <c r="A342" s="301"/>
      <c r="B342" s="301"/>
      <c r="C342" s="301"/>
      <c r="D342" s="301"/>
      <c r="E342" s="301"/>
      <c r="F342" s="301"/>
      <c r="G342" s="301"/>
      <c r="H342" s="307"/>
      <c r="I342" s="301"/>
      <c r="J342" s="301"/>
      <c r="K342" s="301"/>
      <c r="L342" s="301"/>
      <c r="M342" s="301"/>
      <c r="N342" s="301"/>
      <c r="O342" s="301"/>
      <c r="P342" s="301"/>
      <c r="Q342" s="301"/>
      <c r="R342" s="301"/>
      <c r="S342" s="301"/>
      <c r="T342" s="301"/>
      <c r="U342" s="307"/>
      <c r="V342" s="301"/>
      <c r="W342" s="301"/>
      <c r="X342" s="307"/>
      <c r="Y342" s="301"/>
      <c r="Z342" s="301"/>
      <c r="AA342" s="301"/>
      <c r="AB342" s="301"/>
      <c r="AC342" s="301"/>
      <c r="AD342" s="301"/>
      <c r="AE342" s="301"/>
      <c r="AF342" s="301"/>
      <c r="AG342" s="301"/>
      <c r="AH342" s="307"/>
      <c r="AI342" s="307"/>
      <c r="AJ342" s="307"/>
      <c r="AK342" s="307"/>
      <c r="AL342" s="307"/>
      <c r="AM342" s="307"/>
      <c r="AN342" s="307"/>
      <c r="AO342" s="307"/>
      <c r="AP342" s="307"/>
      <c r="AQ342" s="307"/>
      <c r="AR342" s="307"/>
      <c r="AS342" s="307"/>
      <c r="AT342" s="307"/>
      <c r="AU342" s="307"/>
    </row>
    <row r="343" ht="12.0" customHeight="1">
      <c r="A343" s="301"/>
      <c r="B343" s="301"/>
      <c r="C343" s="301"/>
      <c r="D343" s="301"/>
      <c r="E343" s="301"/>
      <c r="F343" s="301"/>
      <c r="G343" s="301"/>
      <c r="H343" s="307"/>
      <c r="I343" s="301"/>
      <c r="J343" s="301"/>
      <c r="K343" s="301"/>
      <c r="L343" s="301"/>
      <c r="M343" s="301"/>
      <c r="N343" s="301"/>
      <c r="O343" s="301"/>
      <c r="P343" s="301"/>
      <c r="Q343" s="301"/>
      <c r="R343" s="301"/>
      <c r="S343" s="301"/>
      <c r="T343" s="301"/>
      <c r="U343" s="307"/>
      <c r="V343" s="301"/>
      <c r="W343" s="301"/>
      <c r="X343" s="307"/>
      <c r="Y343" s="301"/>
      <c r="Z343" s="301"/>
      <c r="AA343" s="301"/>
      <c r="AB343" s="301"/>
      <c r="AC343" s="301"/>
      <c r="AD343" s="301"/>
      <c r="AE343" s="301"/>
      <c r="AF343" s="301"/>
      <c r="AG343" s="301"/>
      <c r="AH343" s="307"/>
      <c r="AI343" s="307"/>
      <c r="AJ343" s="307"/>
      <c r="AK343" s="307"/>
      <c r="AL343" s="307"/>
      <c r="AM343" s="307"/>
      <c r="AN343" s="307"/>
      <c r="AO343" s="307"/>
      <c r="AP343" s="307"/>
      <c r="AQ343" s="307"/>
      <c r="AR343" s="307"/>
      <c r="AS343" s="307"/>
      <c r="AT343" s="307"/>
      <c r="AU343" s="307"/>
    </row>
    <row r="344" ht="12.0" customHeight="1">
      <c r="A344" s="301"/>
      <c r="B344" s="301"/>
      <c r="C344" s="301"/>
      <c r="D344" s="301"/>
      <c r="E344" s="301"/>
      <c r="F344" s="301"/>
      <c r="G344" s="301"/>
      <c r="H344" s="307"/>
      <c r="I344" s="301"/>
      <c r="J344" s="301"/>
      <c r="K344" s="301"/>
      <c r="L344" s="301"/>
      <c r="M344" s="301"/>
      <c r="N344" s="301"/>
      <c r="O344" s="301"/>
      <c r="P344" s="301"/>
      <c r="Q344" s="301"/>
      <c r="R344" s="301"/>
      <c r="S344" s="301"/>
      <c r="T344" s="301"/>
      <c r="U344" s="307"/>
      <c r="V344" s="301"/>
      <c r="W344" s="301"/>
      <c r="X344" s="307"/>
      <c r="Y344" s="301"/>
      <c r="Z344" s="301"/>
      <c r="AA344" s="301"/>
      <c r="AB344" s="301"/>
      <c r="AC344" s="301"/>
      <c r="AD344" s="301"/>
      <c r="AE344" s="301"/>
      <c r="AF344" s="301"/>
      <c r="AG344" s="301"/>
      <c r="AH344" s="307"/>
      <c r="AI344" s="307"/>
      <c r="AJ344" s="307"/>
      <c r="AK344" s="307"/>
      <c r="AL344" s="307"/>
      <c r="AM344" s="307"/>
      <c r="AN344" s="307"/>
      <c r="AO344" s="307"/>
      <c r="AP344" s="307"/>
      <c r="AQ344" s="307"/>
      <c r="AR344" s="307"/>
      <c r="AS344" s="307"/>
      <c r="AT344" s="307"/>
      <c r="AU344" s="307"/>
    </row>
    <row r="345" ht="12.0" customHeight="1">
      <c r="A345" s="301"/>
      <c r="B345" s="301"/>
      <c r="C345" s="301"/>
      <c r="D345" s="301"/>
      <c r="E345" s="301"/>
      <c r="F345" s="301"/>
      <c r="G345" s="301"/>
      <c r="H345" s="307"/>
      <c r="I345" s="301"/>
      <c r="J345" s="301"/>
      <c r="K345" s="301"/>
      <c r="L345" s="301"/>
      <c r="M345" s="301"/>
      <c r="N345" s="301"/>
      <c r="O345" s="301"/>
      <c r="P345" s="301"/>
      <c r="Q345" s="301"/>
      <c r="R345" s="301"/>
      <c r="S345" s="301"/>
      <c r="T345" s="301"/>
      <c r="U345" s="307"/>
      <c r="V345" s="301"/>
      <c r="W345" s="301"/>
      <c r="X345" s="307"/>
      <c r="Y345" s="301"/>
      <c r="Z345" s="301"/>
      <c r="AA345" s="301"/>
      <c r="AB345" s="301"/>
      <c r="AC345" s="301"/>
      <c r="AD345" s="301"/>
      <c r="AE345" s="301"/>
      <c r="AF345" s="301"/>
      <c r="AG345" s="301"/>
      <c r="AH345" s="307"/>
      <c r="AI345" s="307"/>
      <c r="AJ345" s="307"/>
      <c r="AK345" s="307"/>
      <c r="AL345" s="307"/>
      <c r="AM345" s="307"/>
      <c r="AN345" s="307"/>
      <c r="AO345" s="307"/>
      <c r="AP345" s="307"/>
      <c r="AQ345" s="307"/>
      <c r="AR345" s="307"/>
      <c r="AS345" s="307"/>
      <c r="AT345" s="307"/>
      <c r="AU345" s="307"/>
    </row>
    <row r="346" ht="12.0" customHeight="1">
      <c r="A346" s="301"/>
      <c r="B346" s="301"/>
      <c r="C346" s="301"/>
      <c r="D346" s="301"/>
      <c r="E346" s="301"/>
      <c r="F346" s="301"/>
      <c r="G346" s="301"/>
      <c r="H346" s="307"/>
      <c r="I346" s="301"/>
      <c r="J346" s="301"/>
      <c r="K346" s="301"/>
      <c r="L346" s="301"/>
      <c r="M346" s="301"/>
      <c r="N346" s="301"/>
      <c r="O346" s="301"/>
      <c r="P346" s="301"/>
      <c r="Q346" s="301"/>
      <c r="R346" s="301"/>
      <c r="S346" s="301"/>
      <c r="T346" s="301"/>
      <c r="U346" s="307"/>
      <c r="V346" s="301"/>
      <c r="W346" s="301"/>
      <c r="X346" s="307"/>
      <c r="Y346" s="301"/>
      <c r="Z346" s="301"/>
      <c r="AA346" s="301"/>
      <c r="AB346" s="301"/>
      <c r="AC346" s="301"/>
      <c r="AD346" s="301"/>
      <c r="AE346" s="301"/>
      <c r="AF346" s="301"/>
      <c r="AG346" s="301"/>
      <c r="AH346" s="307"/>
      <c r="AI346" s="307"/>
      <c r="AJ346" s="307"/>
      <c r="AK346" s="307"/>
      <c r="AL346" s="307"/>
      <c r="AM346" s="307"/>
      <c r="AN346" s="307"/>
      <c r="AO346" s="307"/>
      <c r="AP346" s="307"/>
      <c r="AQ346" s="307"/>
      <c r="AR346" s="307"/>
      <c r="AS346" s="307"/>
      <c r="AT346" s="307"/>
      <c r="AU346" s="307"/>
    </row>
    <row r="347" ht="12.0" customHeight="1">
      <c r="A347" s="301"/>
      <c r="B347" s="301"/>
      <c r="C347" s="301"/>
      <c r="D347" s="301"/>
      <c r="E347" s="301"/>
      <c r="F347" s="301"/>
      <c r="G347" s="301"/>
      <c r="H347" s="307"/>
      <c r="I347" s="301"/>
      <c r="J347" s="301"/>
      <c r="K347" s="301"/>
      <c r="L347" s="301"/>
      <c r="M347" s="301"/>
      <c r="N347" s="301"/>
      <c r="O347" s="301"/>
      <c r="P347" s="301"/>
      <c r="Q347" s="301"/>
      <c r="R347" s="301"/>
      <c r="S347" s="301"/>
      <c r="T347" s="301"/>
      <c r="U347" s="307"/>
      <c r="V347" s="301"/>
      <c r="W347" s="301"/>
      <c r="X347" s="307"/>
      <c r="Y347" s="301"/>
      <c r="Z347" s="301"/>
      <c r="AA347" s="301"/>
      <c r="AB347" s="301"/>
      <c r="AC347" s="301"/>
      <c r="AD347" s="301"/>
      <c r="AE347" s="301"/>
      <c r="AF347" s="301"/>
      <c r="AG347" s="301"/>
      <c r="AH347" s="307"/>
      <c r="AI347" s="307"/>
      <c r="AJ347" s="307"/>
      <c r="AK347" s="307"/>
      <c r="AL347" s="307"/>
      <c r="AM347" s="307"/>
      <c r="AN347" s="307"/>
      <c r="AO347" s="307"/>
      <c r="AP347" s="307"/>
      <c r="AQ347" s="307"/>
      <c r="AR347" s="307"/>
      <c r="AS347" s="307"/>
      <c r="AT347" s="307"/>
      <c r="AU347" s="307"/>
    </row>
    <row r="348" ht="12.0" customHeight="1">
      <c r="A348" s="301"/>
      <c r="B348" s="301"/>
      <c r="C348" s="301"/>
      <c r="D348" s="301"/>
      <c r="E348" s="301"/>
      <c r="F348" s="301"/>
      <c r="G348" s="301"/>
      <c r="H348" s="307"/>
      <c r="I348" s="301"/>
      <c r="J348" s="301"/>
      <c r="K348" s="301"/>
      <c r="L348" s="301"/>
      <c r="M348" s="301"/>
      <c r="N348" s="301"/>
      <c r="O348" s="301"/>
      <c r="P348" s="301"/>
      <c r="Q348" s="301"/>
      <c r="R348" s="301"/>
      <c r="S348" s="301"/>
      <c r="T348" s="301"/>
      <c r="U348" s="307"/>
      <c r="V348" s="301"/>
      <c r="W348" s="301"/>
      <c r="X348" s="307"/>
      <c r="Y348" s="301"/>
      <c r="Z348" s="301"/>
      <c r="AA348" s="301"/>
      <c r="AB348" s="301"/>
      <c r="AC348" s="301"/>
      <c r="AD348" s="301"/>
      <c r="AE348" s="301"/>
      <c r="AF348" s="301"/>
      <c r="AG348" s="301"/>
      <c r="AH348" s="307"/>
      <c r="AI348" s="307"/>
      <c r="AJ348" s="307"/>
      <c r="AK348" s="307"/>
      <c r="AL348" s="307"/>
      <c r="AM348" s="307"/>
      <c r="AN348" s="307"/>
      <c r="AO348" s="307"/>
      <c r="AP348" s="307"/>
      <c r="AQ348" s="307"/>
      <c r="AR348" s="307"/>
      <c r="AS348" s="307"/>
      <c r="AT348" s="307"/>
      <c r="AU348" s="307"/>
    </row>
    <row r="349" ht="12.0" customHeight="1">
      <c r="A349" s="301"/>
      <c r="B349" s="301"/>
      <c r="C349" s="301"/>
      <c r="D349" s="301"/>
      <c r="E349" s="301"/>
      <c r="F349" s="301"/>
      <c r="G349" s="301"/>
      <c r="H349" s="307"/>
      <c r="I349" s="301"/>
      <c r="J349" s="301"/>
      <c r="K349" s="301"/>
      <c r="L349" s="301"/>
      <c r="M349" s="301"/>
      <c r="N349" s="301"/>
      <c r="O349" s="301"/>
      <c r="P349" s="301"/>
      <c r="Q349" s="301"/>
      <c r="R349" s="301"/>
      <c r="S349" s="301"/>
      <c r="T349" s="301"/>
      <c r="U349" s="307"/>
      <c r="V349" s="301"/>
      <c r="W349" s="301"/>
      <c r="X349" s="307"/>
      <c r="Y349" s="301"/>
      <c r="Z349" s="301"/>
      <c r="AA349" s="301"/>
      <c r="AB349" s="301"/>
      <c r="AC349" s="301"/>
      <c r="AD349" s="301"/>
      <c r="AE349" s="301"/>
      <c r="AF349" s="301"/>
      <c r="AG349" s="301"/>
      <c r="AH349" s="307"/>
      <c r="AI349" s="307"/>
      <c r="AJ349" s="307"/>
      <c r="AK349" s="307"/>
      <c r="AL349" s="307"/>
      <c r="AM349" s="307"/>
      <c r="AN349" s="307"/>
      <c r="AO349" s="307"/>
      <c r="AP349" s="307"/>
      <c r="AQ349" s="307"/>
      <c r="AR349" s="307"/>
      <c r="AS349" s="307"/>
      <c r="AT349" s="307"/>
      <c r="AU349" s="307"/>
    </row>
    <row r="350" ht="12.0" customHeight="1">
      <c r="A350" s="301"/>
      <c r="B350" s="301"/>
      <c r="C350" s="301"/>
      <c r="D350" s="301"/>
      <c r="E350" s="301"/>
      <c r="F350" s="301"/>
      <c r="G350" s="301"/>
      <c r="H350" s="307"/>
      <c r="I350" s="301"/>
      <c r="J350" s="301"/>
      <c r="K350" s="301"/>
      <c r="L350" s="301"/>
      <c r="M350" s="301"/>
      <c r="N350" s="301"/>
      <c r="O350" s="301"/>
      <c r="P350" s="301"/>
      <c r="Q350" s="301"/>
      <c r="R350" s="301"/>
      <c r="S350" s="301"/>
      <c r="T350" s="301"/>
      <c r="U350" s="307"/>
      <c r="V350" s="301"/>
      <c r="W350" s="301"/>
      <c r="X350" s="307"/>
      <c r="Y350" s="301"/>
      <c r="Z350" s="301"/>
      <c r="AA350" s="301"/>
      <c r="AB350" s="301"/>
      <c r="AC350" s="301"/>
      <c r="AD350" s="301"/>
      <c r="AE350" s="301"/>
      <c r="AF350" s="301"/>
      <c r="AG350" s="301"/>
      <c r="AH350" s="307"/>
      <c r="AI350" s="307"/>
      <c r="AJ350" s="307"/>
      <c r="AK350" s="307"/>
      <c r="AL350" s="307"/>
      <c r="AM350" s="307"/>
      <c r="AN350" s="307"/>
      <c r="AO350" s="307"/>
      <c r="AP350" s="307"/>
      <c r="AQ350" s="307"/>
      <c r="AR350" s="307"/>
      <c r="AS350" s="307"/>
      <c r="AT350" s="307"/>
      <c r="AU350" s="307"/>
    </row>
    <row r="351" ht="12.0" customHeight="1">
      <c r="A351" s="301"/>
      <c r="B351" s="301"/>
      <c r="C351" s="301"/>
      <c r="D351" s="301"/>
      <c r="E351" s="301"/>
      <c r="F351" s="301"/>
      <c r="G351" s="301"/>
      <c r="H351" s="307"/>
      <c r="I351" s="301"/>
      <c r="J351" s="301"/>
      <c r="K351" s="301"/>
      <c r="L351" s="301"/>
      <c r="M351" s="301"/>
      <c r="N351" s="301"/>
      <c r="O351" s="301"/>
      <c r="P351" s="301"/>
      <c r="Q351" s="301"/>
      <c r="R351" s="301"/>
      <c r="S351" s="301"/>
      <c r="T351" s="301"/>
      <c r="U351" s="307"/>
      <c r="V351" s="301"/>
      <c r="W351" s="301"/>
      <c r="X351" s="307"/>
      <c r="Y351" s="301"/>
      <c r="Z351" s="301"/>
      <c r="AA351" s="301"/>
      <c r="AB351" s="301"/>
      <c r="AC351" s="301"/>
      <c r="AD351" s="301"/>
      <c r="AE351" s="301"/>
      <c r="AF351" s="301"/>
      <c r="AG351" s="301"/>
      <c r="AH351" s="307"/>
      <c r="AI351" s="307"/>
      <c r="AJ351" s="307"/>
      <c r="AK351" s="307"/>
      <c r="AL351" s="307"/>
      <c r="AM351" s="307"/>
      <c r="AN351" s="307"/>
      <c r="AO351" s="307"/>
      <c r="AP351" s="307"/>
      <c r="AQ351" s="307"/>
      <c r="AR351" s="307"/>
      <c r="AS351" s="307"/>
      <c r="AT351" s="307"/>
      <c r="AU351" s="307"/>
    </row>
    <row r="352" ht="12.0" customHeight="1">
      <c r="A352" s="301"/>
      <c r="B352" s="301"/>
      <c r="C352" s="301"/>
      <c r="D352" s="301"/>
      <c r="E352" s="301"/>
      <c r="F352" s="301"/>
      <c r="G352" s="301"/>
      <c r="H352" s="307"/>
      <c r="I352" s="301"/>
      <c r="J352" s="301"/>
      <c r="K352" s="301"/>
      <c r="L352" s="301"/>
      <c r="M352" s="301"/>
      <c r="N352" s="301"/>
      <c r="O352" s="301"/>
      <c r="P352" s="301"/>
      <c r="Q352" s="301"/>
      <c r="R352" s="301"/>
      <c r="S352" s="301"/>
      <c r="T352" s="301"/>
      <c r="U352" s="307"/>
      <c r="V352" s="301"/>
      <c r="W352" s="301"/>
      <c r="X352" s="307"/>
      <c r="Y352" s="301"/>
      <c r="Z352" s="301"/>
      <c r="AA352" s="301"/>
      <c r="AB352" s="301"/>
      <c r="AC352" s="301"/>
      <c r="AD352" s="301"/>
      <c r="AE352" s="301"/>
      <c r="AF352" s="301"/>
      <c r="AG352" s="301"/>
      <c r="AH352" s="307"/>
      <c r="AI352" s="307"/>
      <c r="AJ352" s="307"/>
      <c r="AK352" s="307"/>
      <c r="AL352" s="307"/>
      <c r="AM352" s="307"/>
      <c r="AN352" s="307"/>
      <c r="AO352" s="307"/>
      <c r="AP352" s="307"/>
      <c r="AQ352" s="307"/>
      <c r="AR352" s="307"/>
      <c r="AS352" s="307"/>
      <c r="AT352" s="307"/>
      <c r="AU352" s="307"/>
    </row>
    <row r="353" ht="12.0" customHeight="1">
      <c r="A353" s="301"/>
      <c r="B353" s="301"/>
      <c r="C353" s="301"/>
      <c r="D353" s="301"/>
      <c r="E353" s="301"/>
      <c r="F353" s="301"/>
      <c r="G353" s="301"/>
      <c r="H353" s="307"/>
      <c r="I353" s="301"/>
      <c r="J353" s="301"/>
      <c r="K353" s="301"/>
      <c r="L353" s="301"/>
      <c r="M353" s="301"/>
      <c r="N353" s="301"/>
      <c r="O353" s="301"/>
      <c r="P353" s="301"/>
      <c r="Q353" s="301"/>
      <c r="R353" s="301"/>
      <c r="S353" s="301"/>
      <c r="T353" s="301"/>
      <c r="U353" s="307"/>
      <c r="V353" s="301"/>
      <c r="W353" s="301"/>
      <c r="X353" s="307"/>
      <c r="Y353" s="301"/>
      <c r="Z353" s="301"/>
      <c r="AA353" s="301"/>
      <c r="AB353" s="301"/>
      <c r="AC353" s="301"/>
      <c r="AD353" s="301"/>
      <c r="AE353" s="301"/>
      <c r="AF353" s="301"/>
      <c r="AG353" s="301"/>
      <c r="AH353" s="307"/>
      <c r="AI353" s="307"/>
      <c r="AJ353" s="307"/>
      <c r="AK353" s="307"/>
      <c r="AL353" s="307"/>
      <c r="AM353" s="307"/>
      <c r="AN353" s="307"/>
      <c r="AO353" s="307"/>
      <c r="AP353" s="307"/>
      <c r="AQ353" s="307"/>
      <c r="AR353" s="307"/>
      <c r="AS353" s="307"/>
      <c r="AT353" s="307"/>
      <c r="AU353" s="307"/>
    </row>
    <row r="354" ht="12.0" customHeight="1">
      <c r="A354" s="301"/>
      <c r="B354" s="301"/>
      <c r="C354" s="301"/>
      <c r="D354" s="301"/>
      <c r="E354" s="301"/>
      <c r="F354" s="301"/>
      <c r="G354" s="301"/>
      <c r="H354" s="307"/>
      <c r="I354" s="301"/>
      <c r="J354" s="301"/>
      <c r="K354" s="301"/>
      <c r="L354" s="301"/>
      <c r="M354" s="301"/>
      <c r="N354" s="301"/>
      <c r="O354" s="301"/>
      <c r="P354" s="301"/>
      <c r="Q354" s="301"/>
      <c r="R354" s="301"/>
      <c r="S354" s="301"/>
      <c r="T354" s="301"/>
      <c r="U354" s="307"/>
      <c r="V354" s="301"/>
      <c r="W354" s="301"/>
      <c r="X354" s="307"/>
      <c r="Y354" s="301"/>
      <c r="Z354" s="301"/>
      <c r="AA354" s="301"/>
      <c r="AB354" s="301"/>
      <c r="AC354" s="301"/>
      <c r="AD354" s="301"/>
      <c r="AE354" s="301"/>
      <c r="AF354" s="301"/>
      <c r="AG354" s="301"/>
      <c r="AH354" s="307"/>
      <c r="AI354" s="307"/>
      <c r="AJ354" s="307"/>
      <c r="AK354" s="307"/>
      <c r="AL354" s="307"/>
      <c r="AM354" s="307"/>
      <c r="AN354" s="307"/>
      <c r="AO354" s="307"/>
      <c r="AP354" s="307"/>
      <c r="AQ354" s="307"/>
      <c r="AR354" s="307"/>
      <c r="AS354" s="307"/>
      <c r="AT354" s="307"/>
      <c r="AU354" s="307"/>
    </row>
    <row r="355" ht="12.0" customHeight="1">
      <c r="A355" s="301"/>
      <c r="B355" s="301"/>
      <c r="C355" s="301"/>
      <c r="D355" s="301"/>
      <c r="E355" s="301"/>
      <c r="F355" s="301"/>
      <c r="G355" s="301"/>
      <c r="H355" s="307"/>
      <c r="I355" s="301"/>
      <c r="J355" s="301"/>
      <c r="K355" s="301"/>
      <c r="L355" s="301"/>
      <c r="M355" s="301"/>
      <c r="N355" s="301"/>
      <c r="O355" s="301"/>
      <c r="P355" s="301"/>
      <c r="Q355" s="301"/>
      <c r="R355" s="301"/>
      <c r="S355" s="301"/>
      <c r="T355" s="301"/>
      <c r="U355" s="307"/>
      <c r="V355" s="301"/>
      <c r="W355" s="301"/>
      <c r="X355" s="307"/>
      <c r="Y355" s="301"/>
      <c r="Z355" s="301"/>
      <c r="AA355" s="301"/>
      <c r="AB355" s="301"/>
      <c r="AC355" s="301"/>
      <c r="AD355" s="301"/>
      <c r="AE355" s="301"/>
      <c r="AF355" s="301"/>
      <c r="AG355" s="301"/>
      <c r="AH355" s="307"/>
      <c r="AI355" s="307"/>
      <c r="AJ355" s="307"/>
      <c r="AK355" s="307"/>
      <c r="AL355" s="307"/>
      <c r="AM355" s="307"/>
      <c r="AN355" s="307"/>
      <c r="AO355" s="307"/>
      <c r="AP355" s="307"/>
      <c r="AQ355" s="307"/>
      <c r="AR355" s="307"/>
      <c r="AS355" s="307"/>
      <c r="AT355" s="307"/>
      <c r="AU355" s="307"/>
    </row>
    <row r="356" ht="12.0" customHeight="1">
      <c r="A356" s="301"/>
      <c r="B356" s="301"/>
      <c r="C356" s="301"/>
      <c r="D356" s="301"/>
      <c r="E356" s="301"/>
      <c r="F356" s="301"/>
      <c r="G356" s="301"/>
      <c r="H356" s="307"/>
      <c r="I356" s="301"/>
      <c r="J356" s="301"/>
      <c r="K356" s="301"/>
      <c r="L356" s="301"/>
      <c r="M356" s="301"/>
      <c r="N356" s="301"/>
      <c r="O356" s="301"/>
      <c r="P356" s="301"/>
      <c r="Q356" s="301"/>
      <c r="R356" s="301"/>
      <c r="S356" s="301"/>
      <c r="T356" s="301"/>
      <c r="U356" s="307"/>
      <c r="V356" s="301"/>
      <c r="W356" s="301"/>
      <c r="X356" s="307"/>
      <c r="Y356" s="301"/>
      <c r="Z356" s="301"/>
      <c r="AA356" s="301"/>
      <c r="AB356" s="301"/>
      <c r="AC356" s="301"/>
      <c r="AD356" s="301"/>
      <c r="AE356" s="301"/>
      <c r="AF356" s="301"/>
      <c r="AG356" s="301"/>
      <c r="AH356" s="307"/>
      <c r="AI356" s="307"/>
      <c r="AJ356" s="307"/>
      <c r="AK356" s="307"/>
      <c r="AL356" s="307"/>
      <c r="AM356" s="307"/>
      <c r="AN356" s="307"/>
      <c r="AO356" s="307"/>
      <c r="AP356" s="307"/>
      <c r="AQ356" s="307"/>
      <c r="AR356" s="307"/>
      <c r="AS356" s="307"/>
      <c r="AT356" s="307"/>
      <c r="AU356" s="307"/>
    </row>
    <row r="357" ht="12.0" customHeight="1">
      <c r="A357" s="301"/>
      <c r="B357" s="301"/>
      <c r="C357" s="301"/>
      <c r="D357" s="301"/>
      <c r="E357" s="301"/>
      <c r="F357" s="301"/>
      <c r="G357" s="301"/>
      <c r="H357" s="307"/>
      <c r="I357" s="301"/>
      <c r="J357" s="301"/>
      <c r="K357" s="301"/>
      <c r="L357" s="301"/>
      <c r="M357" s="301"/>
      <c r="N357" s="301"/>
      <c r="O357" s="301"/>
      <c r="P357" s="301"/>
      <c r="Q357" s="301"/>
      <c r="R357" s="301"/>
      <c r="S357" s="301"/>
      <c r="T357" s="301"/>
      <c r="U357" s="307"/>
      <c r="V357" s="301"/>
      <c r="W357" s="301"/>
      <c r="X357" s="307"/>
      <c r="Y357" s="301"/>
      <c r="Z357" s="301"/>
      <c r="AA357" s="301"/>
      <c r="AB357" s="301"/>
      <c r="AC357" s="301"/>
      <c r="AD357" s="301"/>
      <c r="AE357" s="301"/>
      <c r="AF357" s="301"/>
      <c r="AG357" s="301"/>
      <c r="AH357" s="307"/>
      <c r="AI357" s="307"/>
      <c r="AJ357" s="307"/>
      <c r="AK357" s="307"/>
      <c r="AL357" s="307"/>
      <c r="AM357" s="307"/>
      <c r="AN357" s="307"/>
      <c r="AO357" s="307"/>
      <c r="AP357" s="307"/>
      <c r="AQ357" s="307"/>
      <c r="AR357" s="307"/>
      <c r="AS357" s="307"/>
      <c r="AT357" s="307"/>
      <c r="AU357" s="307"/>
    </row>
    <row r="358" ht="12.0" customHeight="1">
      <c r="A358" s="301"/>
      <c r="B358" s="301"/>
      <c r="C358" s="301"/>
      <c r="D358" s="301"/>
      <c r="E358" s="301"/>
      <c r="F358" s="301"/>
      <c r="G358" s="301"/>
      <c r="H358" s="307"/>
      <c r="I358" s="301"/>
      <c r="J358" s="301"/>
      <c r="K358" s="301"/>
      <c r="L358" s="301"/>
      <c r="M358" s="301"/>
      <c r="N358" s="301"/>
      <c r="O358" s="301"/>
      <c r="P358" s="301"/>
      <c r="Q358" s="301"/>
      <c r="R358" s="301"/>
      <c r="S358" s="301"/>
      <c r="T358" s="301"/>
      <c r="U358" s="307"/>
      <c r="V358" s="301"/>
      <c r="W358" s="301"/>
      <c r="X358" s="307"/>
      <c r="Y358" s="301"/>
      <c r="Z358" s="301"/>
      <c r="AA358" s="301"/>
      <c r="AB358" s="301"/>
      <c r="AC358" s="301"/>
      <c r="AD358" s="301"/>
      <c r="AE358" s="301"/>
      <c r="AF358" s="301"/>
      <c r="AG358" s="301"/>
      <c r="AH358" s="307"/>
      <c r="AI358" s="307"/>
      <c r="AJ358" s="307"/>
      <c r="AK358" s="307"/>
      <c r="AL358" s="307"/>
      <c r="AM358" s="307"/>
      <c r="AN358" s="307"/>
      <c r="AO358" s="307"/>
      <c r="AP358" s="307"/>
      <c r="AQ358" s="307"/>
      <c r="AR358" s="307"/>
      <c r="AS358" s="307"/>
      <c r="AT358" s="307"/>
      <c r="AU358" s="307"/>
    </row>
    <row r="359" ht="12.0" customHeight="1">
      <c r="A359" s="301"/>
      <c r="B359" s="301"/>
      <c r="C359" s="301"/>
      <c r="D359" s="301"/>
      <c r="E359" s="301"/>
      <c r="F359" s="301"/>
      <c r="G359" s="301"/>
      <c r="H359" s="307"/>
      <c r="I359" s="301"/>
      <c r="J359" s="301"/>
      <c r="K359" s="301"/>
      <c r="L359" s="301"/>
      <c r="M359" s="301"/>
      <c r="N359" s="301"/>
      <c r="O359" s="301"/>
      <c r="P359" s="301"/>
      <c r="Q359" s="301"/>
      <c r="R359" s="301"/>
      <c r="S359" s="301"/>
      <c r="T359" s="301"/>
      <c r="U359" s="307"/>
      <c r="V359" s="301"/>
      <c r="W359" s="301"/>
      <c r="X359" s="307"/>
      <c r="Y359" s="301"/>
      <c r="Z359" s="301"/>
      <c r="AA359" s="301"/>
      <c r="AB359" s="301"/>
      <c r="AC359" s="301"/>
      <c r="AD359" s="301"/>
      <c r="AE359" s="301"/>
      <c r="AF359" s="301"/>
      <c r="AG359" s="301"/>
      <c r="AH359" s="307"/>
      <c r="AI359" s="307"/>
      <c r="AJ359" s="307"/>
      <c r="AK359" s="307"/>
      <c r="AL359" s="307"/>
      <c r="AM359" s="307"/>
      <c r="AN359" s="307"/>
      <c r="AO359" s="307"/>
      <c r="AP359" s="307"/>
      <c r="AQ359" s="307"/>
      <c r="AR359" s="307"/>
      <c r="AS359" s="307"/>
      <c r="AT359" s="307"/>
      <c r="AU359" s="307"/>
    </row>
    <row r="360" ht="12.0" customHeight="1">
      <c r="A360" s="301"/>
      <c r="B360" s="301"/>
      <c r="C360" s="301"/>
      <c r="D360" s="301"/>
      <c r="E360" s="301"/>
      <c r="F360" s="301"/>
      <c r="G360" s="301"/>
      <c r="H360" s="307"/>
      <c r="I360" s="301"/>
      <c r="J360" s="301"/>
      <c r="K360" s="301"/>
      <c r="L360" s="301"/>
      <c r="M360" s="301"/>
      <c r="N360" s="301"/>
      <c r="O360" s="301"/>
      <c r="P360" s="301"/>
      <c r="Q360" s="301"/>
      <c r="R360" s="301"/>
      <c r="S360" s="301"/>
      <c r="T360" s="301"/>
      <c r="U360" s="307"/>
      <c r="V360" s="301"/>
      <c r="W360" s="301"/>
      <c r="X360" s="307"/>
      <c r="Y360" s="301"/>
      <c r="Z360" s="301"/>
      <c r="AA360" s="301"/>
      <c r="AB360" s="301"/>
      <c r="AC360" s="301"/>
      <c r="AD360" s="301"/>
      <c r="AE360" s="301"/>
      <c r="AF360" s="301"/>
      <c r="AG360" s="301"/>
      <c r="AH360" s="307"/>
      <c r="AI360" s="307"/>
      <c r="AJ360" s="307"/>
      <c r="AK360" s="307"/>
      <c r="AL360" s="307"/>
      <c r="AM360" s="307"/>
      <c r="AN360" s="307"/>
      <c r="AO360" s="307"/>
      <c r="AP360" s="307"/>
      <c r="AQ360" s="307"/>
      <c r="AR360" s="307"/>
      <c r="AS360" s="307"/>
      <c r="AT360" s="307"/>
      <c r="AU360" s="307"/>
    </row>
    <row r="361" ht="12.0" customHeight="1">
      <c r="A361" s="301"/>
      <c r="B361" s="301"/>
      <c r="C361" s="301"/>
      <c r="D361" s="301"/>
      <c r="E361" s="301"/>
      <c r="F361" s="301"/>
      <c r="G361" s="301"/>
      <c r="H361" s="307"/>
      <c r="I361" s="301"/>
      <c r="J361" s="301"/>
      <c r="K361" s="301"/>
      <c r="L361" s="301"/>
      <c r="M361" s="301"/>
      <c r="N361" s="301"/>
      <c r="O361" s="301"/>
      <c r="P361" s="301"/>
      <c r="Q361" s="301"/>
      <c r="R361" s="301"/>
      <c r="S361" s="301"/>
      <c r="T361" s="301"/>
      <c r="U361" s="307"/>
      <c r="V361" s="301"/>
      <c r="W361" s="301"/>
      <c r="X361" s="307"/>
      <c r="Y361" s="301"/>
      <c r="Z361" s="301"/>
      <c r="AA361" s="301"/>
      <c r="AB361" s="301"/>
      <c r="AC361" s="301"/>
      <c r="AD361" s="301"/>
      <c r="AE361" s="301"/>
      <c r="AF361" s="301"/>
      <c r="AG361" s="301"/>
      <c r="AH361" s="307"/>
      <c r="AI361" s="307"/>
      <c r="AJ361" s="307"/>
      <c r="AK361" s="307"/>
      <c r="AL361" s="307"/>
      <c r="AM361" s="307"/>
      <c r="AN361" s="307"/>
      <c r="AO361" s="307"/>
      <c r="AP361" s="307"/>
      <c r="AQ361" s="307"/>
      <c r="AR361" s="307"/>
      <c r="AS361" s="307"/>
      <c r="AT361" s="307"/>
      <c r="AU361" s="307"/>
    </row>
    <row r="362" ht="12.0" customHeight="1">
      <c r="A362" s="301"/>
      <c r="B362" s="301"/>
      <c r="C362" s="301"/>
      <c r="D362" s="301"/>
      <c r="E362" s="301"/>
      <c r="F362" s="301"/>
      <c r="G362" s="301"/>
      <c r="H362" s="307"/>
      <c r="I362" s="301"/>
      <c r="J362" s="301"/>
      <c r="K362" s="301"/>
      <c r="L362" s="301"/>
      <c r="M362" s="301"/>
      <c r="N362" s="301"/>
      <c r="O362" s="301"/>
      <c r="P362" s="301"/>
      <c r="Q362" s="301"/>
      <c r="R362" s="301"/>
      <c r="S362" s="301"/>
      <c r="T362" s="301"/>
      <c r="U362" s="307"/>
      <c r="V362" s="301"/>
      <c r="W362" s="301"/>
      <c r="X362" s="307"/>
      <c r="Y362" s="301"/>
      <c r="Z362" s="301"/>
      <c r="AA362" s="301"/>
      <c r="AB362" s="301"/>
      <c r="AC362" s="301"/>
      <c r="AD362" s="301"/>
      <c r="AE362" s="301"/>
      <c r="AF362" s="301"/>
      <c r="AG362" s="301"/>
      <c r="AH362" s="307"/>
      <c r="AI362" s="307"/>
      <c r="AJ362" s="307"/>
      <c r="AK362" s="307"/>
      <c r="AL362" s="307"/>
      <c r="AM362" s="307"/>
      <c r="AN362" s="307"/>
      <c r="AO362" s="307"/>
      <c r="AP362" s="307"/>
      <c r="AQ362" s="307"/>
      <c r="AR362" s="307"/>
      <c r="AS362" s="307"/>
      <c r="AT362" s="307"/>
      <c r="AU362" s="307"/>
    </row>
    <row r="363" ht="12.0" customHeight="1">
      <c r="A363" s="301"/>
      <c r="B363" s="301"/>
      <c r="C363" s="301"/>
      <c r="D363" s="301"/>
      <c r="E363" s="301"/>
      <c r="F363" s="301"/>
      <c r="G363" s="301"/>
      <c r="H363" s="307"/>
      <c r="I363" s="301"/>
      <c r="J363" s="301"/>
      <c r="K363" s="301"/>
      <c r="L363" s="301"/>
      <c r="M363" s="301"/>
      <c r="N363" s="301"/>
      <c r="O363" s="301"/>
      <c r="P363" s="301"/>
      <c r="Q363" s="301"/>
      <c r="R363" s="301"/>
      <c r="S363" s="301"/>
      <c r="T363" s="301"/>
      <c r="U363" s="307"/>
      <c r="V363" s="301"/>
      <c r="W363" s="301"/>
      <c r="X363" s="307"/>
      <c r="Y363" s="301"/>
      <c r="Z363" s="301"/>
      <c r="AA363" s="301"/>
      <c r="AB363" s="301"/>
      <c r="AC363" s="301"/>
      <c r="AD363" s="301"/>
      <c r="AE363" s="301"/>
      <c r="AF363" s="301"/>
      <c r="AG363" s="301"/>
      <c r="AH363" s="307"/>
      <c r="AI363" s="307"/>
      <c r="AJ363" s="307"/>
      <c r="AK363" s="307"/>
      <c r="AL363" s="307"/>
      <c r="AM363" s="307"/>
      <c r="AN363" s="307"/>
      <c r="AO363" s="307"/>
      <c r="AP363" s="307"/>
      <c r="AQ363" s="307"/>
      <c r="AR363" s="307"/>
      <c r="AS363" s="307"/>
      <c r="AT363" s="307"/>
      <c r="AU363" s="307"/>
    </row>
    <row r="364" ht="12.0" customHeight="1">
      <c r="A364" s="301"/>
      <c r="B364" s="301"/>
      <c r="C364" s="301"/>
      <c r="D364" s="301"/>
      <c r="E364" s="301"/>
      <c r="F364" s="301"/>
      <c r="G364" s="301"/>
      <c r="H364" s="307"/>
      <c r="I364" s="301"/>
      <c r="J364" s="301"/>
      <c r="K364" s="301"/>
      <c r="L364" s="301"/>
      <c r="M364" s="301"/>
      <c r="N364" s="301"/>
      <c r="O364" s="301"/>
      <c r="P364" s="301"/>
      <c r="Q364" s="301"/>
      <c r="R364" s="301"/>
      <c r="S364" s="301"/>
      <c r="T364" s="301"/>
      <c r="U364" s="307"/>
      <c r="V364" s="301"/>
      <c r="W364" s="301"/>
      <c r="X364" s="307"/>
      <c r="Y364" s="301"/>
      <c r="Z364" s="301"/>
      <c r="AA364" s="301"/>
      <c r="AB364" s="301"/>
      <c r="AC364" s="301"/>
      <c r="AD364" s="301"/>
      <c r="AE364" s="301"/>
      <c r="AF364" s="301"/>
      <c r="AG364" s="301"/>
      <c r="AH364" s="307"/>
      <c r="AI364" s="307"/>
      <c r="AJ364" s="307"/>
      <c r="AK364" s="307"/>
      <c r="AL364" s="307"/>
      <c r="AM364" s="307"/>
      <c r="AN364" s="307"/>
      <c r="AO364" s="307"/>
      <c r="AP364" s="307"/>
      <c r="AQ364" s="307"/>
      <c r="AR364" s="307"/>
      <c r="AS364" s="307"/>
      <c r="AT364" s="307"/>
      <c r="AU364" s="307"/>
    </row>
    <row r="365" ht="12.0" customHeight="1">
      <c r="A365" s="301"/>
      <c r="B365" s="301"/>
      <c r="C365" s="301"/>
      <c r="D365" s="301"/>
      <c r="E365" s="301"/>
      <c r="F365" s="301"/>
      <c r="G365" s="301"/>
      <c r="H365" s="307"/>
      <c r="I365" s="301"/>
      <c r="J365" s="301"/>
      <c r="K365" s="301"/>
      <c r="L365" s="301"/>
      <c r="M365" s="301"/>
      <c r="N365" s="301"/>
      <c r="O365" s="301"/>
      <c r="P365" s="301"/>
      <c r="Q365" s="301"/>
      <c r="R365" s="301"/>
      <c r="S365" s="301"/>
      <c r="T365" s="301"/>
      <c r="U365" s="307"/>
      <c r="V365" s="301"/>
      <c r="W365" s="301"/>
      <c r="X365" s="307"/>
      <c r="Y365" s="301"/>
      <c r="Z365" s="301"/>
      <c r="AA365" s="301"/>
      <c r="AB365" s="301"/>
      <c r="AC365" s="301"/>
      <c r="AD365" s="301"/>
      <c r="AE365" s="301"/>
      <c r="AF365" s="301"/>
      <c r="AG365" s="301"/>
      <c r="AH365" s="307"/>
      <c r="AI365" s="307"/>
      <c r="AJ365" s="307"/>
      <c r="AK365" s="307"/>
      <c r="AL365" s="307"/>
      <c r="AM365" s="307"/>
      <c r="AN365" s="307"/>
      <c r="AO365" s="307"/>
      <c r="AP365" s="307"/>
      <c r="AQ365" s="307"/>
      <c r="AR365" s="307"/>
      <c r="AS365" s="307"/>
      <c r="AT365" s="307"/>
      <c r="AU365" s="307"/>
    </row>
    <row r="366" ht="12.0" customHeight="1">
      <c r="A366" s="301"/>
      <c r="B366" s="301"/>
      <c r="C366" s="301"/>
      <c r="D366" s="301"/>
      <c r="E366" s="301"/>
      <c r="F366" s="301"/>
      <c r="G366" s="301"/>
      <c r="H366" s="307"/>
      <c r="I366" s="301"/>
      <c r="J366" s="301"/>
      <c r="K366" s="301"/>
      <c r="L366" s="301"/>
      <c r="M366" s="301"/>
      <c r="N366" s="301"/>
      <c r="O366" s="301"/>
      <c r="P366" s="301"/>
      <c r="Q366" s="301"/>
      <c r="R366" s="301"/>
      <c r="S366" s="301"/>
      <c r="T366" s="301"/>
      <c r="U366" s="307"/>
      <c r="V366" s="301"/>
      <c r="W366" s="301"/>
      <c r="X366" s="307"/>
      <c r="Y366" s="301"/>
      <c r="Z366" s="301"/>
      <c r="AA366" s="301"/>
      <c r="AB366" s="301"/>
      <c r="AC366" s="301"/>
      <c r="AD366" s="301"/>
      <c r="AE366" s="301"/>
      <c r="AF366" s="301"/>
      <c r="AG366" s="301"/>
      <c r="AH366" s="307"/>
      <c r="AI366" s="307"/>
      <c r="AJ366" s="307"/>
      <c r="AK366" s="307"/>
      <c r="AL366" s="307"/>
      <c r="AM366" s="307"/>
      <c r="AN366" s="307"/>
      <c r="AO366" s="307"/>
      <c r="AP366" s="307"/>
      <c r="AQ366" s="307"/>
      <c r="AR366" s="307"/>
      <c r="AS366" s="307"/>
      <c r="AT366" s="307"/>
      <c r="AU366" s="307"/>
    </row>
    <row r="367" ht="12.0" customHeight="1">
      <c r="A367" s="301"/>
      <c r="B367" s="301"/>
      <c r="C367" s="301"/>
      <c r="D367" s="301"/>
      <c r="E367" s="301"/>
      <c r="F367" s="301"/>
      <c r="G367" s="301"/>
      <c r="H367" s="307"/>
      <c r="I367" s="301"/>
      <c r="J367" s="301"/>
      <c r="K367" s="301"/>
      <c r="L367" s="301"/>
      <c r="M367" s="301"/>
      <c r="N367" s="301"/>
      <c r="O367" s="301"/>
      <c r="P367" s="301"/>
      <c r="Q367" s="301"/>
      <c r="R367" s="301"/>
      <c r="S367" s="301"/>
      <c r="T367" s="301"/>
      <c r="U367" s="307"/>
      <c r="V367" s="301"/>
      <c r="W367" s="301"/>
      <c r="X367" s="307"/>
      <c r="Y367" s="301"/>
      <c r="Z367" s="301"/>
      <c r="AA367" s="301"/>
      <c r="AB367" s="301"/>
      <c r="AC367" s="301"/>
      <c r="AD367" s="301"/>
      <c r="AE367" s="301"/>
      <c r="AF367" s="301"/>
      <c r="AG367" s="301"/>
      <c r="AH367" s="307"/>
      <c r="AI367" s="307"/>
      <c r="AJ367" s="307"/>
      <c r="AK367" s="307"/>
      <c r="AL367" s="307"/>
      <c r="AM367" s="307"/>
      <c r="AN367" s="307"/>
      <c r="AO367" s="307"/>
      <c r="AP367" s="307"/>
      <c r="AQ367" s="307"/>
      <c r="AR367" s="307"/>
      <c r="AS367" s="307"/>
      <c r="AT367" s="307"/>
      <c r="AU367" s="307"/>
    </row>
    <row r="368" ht="12.0" customHeight="1">
      <c r="A368" s="301"/>
      <c r="B368" s="301"/>
      <c r="C368" s="301"/>
      <c r="D368" s="301"/>
      <c r="E368" s="301"/>
      <c r="F368" s="301"/>
      <c r="G368" s="301"/>
      <c r="H368" s="307"/>
      <c r="I368" s="301"/>
      <c r="J368" s="301"/>
      <c r="K368" s="301"/>
      <c r="L368" s="301"/>
      <c r="M368" s="301"/>
      <c r="N368" s="301"/>
      <c r="O368" s="301"/>
      <c r="P368" s="301"/>
      <c r="Q368" s="301"/>
      <c r="R368" s="301"/>
      <c r="S368" s="301"/>
      <c r="T368" s="301"/>
      <c r="U368" s="307"/>
      <c r="V368" s="301"/>
      <c r="W368" s="301"/>
      <c r="X368" s="307"/>
      <c r="Y368" s="301"/>
      <c r="Z368" s="301"/>
      <c r="AA368" s="301"/>
      <c r="AB368" s="301"/>
      <c r="AC368" s="301"/>
      <c r="AD368" s="301"/>
      <c r="AE368" s="301"/>
      <c r="AF368" s="301"/>
      <c r="AG368" s="301"/>
      <c r="AH368" s="307"/>
      <c r="AI368" s="307"/>
      <c r="AJ368" s="307"/>
      <c r="AK368" s="307"/>
      <c r="AL368" s="307"/>
      <c r="AM368" s="307"/>
      <c r="AN368" s="307"/>
      <c r="AO368" s="307"/>
      <c r="AP368" s="307"/>
      <c r="AQ368" s="307"/>
      <c r="AR368" s="307"/>
      <c r="AS368" s="307"/>
      <c r="AT368" s="307"/>
      <c r="AU368" s="307"/>
    </row>
    <row r="369" ht="12.0" customHeight="1">
      <c r="A369" s="301"/>
      <c r="B369" s="301"/>
      <c r="C369" s="301"/>
      <c r="D369" s="301"/>
      <c r="E369" s="301"/>
      <c r="F369" s="301"/>
      <c r="G369" s="301"/>
      <c r="H369" s="307"/>
      <c r="I369" s="301"/>
      <c r="J369" s="301"/>
      <c r="K369" s="301"/>
      <c r="L369" s="301"/>
      <c r="M369" s="301"/>
      <c r="N369" s="301"/>
      <c r="O369" s="301"/>
      <c r="P369" s="301"/>
      <c r="Q369" s="301"/>
      <c r="R369" s="301"/>
      <c r="S369" s="301"/>
      <c r="T369" s="301"/>
      <c r="U369" s="307"/>
      <c r="V369" s="301"/>
      <c r="W369" s="301"/>
      <c r="X369" s="307"/>
      <c r="Y369" s="301"/>
      <c r="Z369" s="301"/>
      <c r="AA369" s="301"/>
      <c r="AB369" s="301"/>
      <c r="AC369" s="301"/>
      <c r="AD369" s="301"/>
      <c r="AE369" s="301"/>
      <c r="AF369" s="301"/>
      <c r="AG369" s="301"/>
      <c r="AH369" s="307"/>
      <c r="AI369" s="307"/>
      <c r="AJ369" s="307"/>
      <c r="AK369" s="307"/>
      <c r="AL369" s="307"/>
      <c r="AM369" s="307"/>
      <c r="AN369" s="307"/>
      <c r="AO369" s="307"/>
      <c r="AP369" s="307"/>
      <c r="AQ369" s="307"/>
      <c r="AR369" s="307"/>
      <c r="AS369" s="307"/>
      <c r="AT369" s="307"/>
      <c r="AU369" s="307"/>
    </row>
    <row r="370" ht="12.0" customHeight="1">
      <c r="A370" s="301"/>
      <c r="B370" s="301"/>
      <c r="C370" s="301"/>
      <c r="D370" s="301"/>
      <c r="E370" s="301"/>
      <c r="F370" s="301"/>
      <c r="G370" s="301"/>
      <c r="H370" s="307"/>
      <c r="I370" s="301"/>
      <c r="J370" s="301"/>
      <c r="K370" s="301"/>
      <c r="L370" s="301"/>
      <c r="M370" s="301"/>
      <c r="N370" s="301"/>
      <c r="O370" s="301"/>
      <c r="P370" s="301"/>
      <c r="Q370" s="301"/>
      <c r="R370" s="301"/>
      <c r="S370" s="301"/>
      <c r="T370" s="301"/>
      <c r="U370" s="307"/>
      <c r="V370" s="301"/>
      <c r="W370" s="301"/>
      <c r="X370" s="307"/>
      <c r="Y370" s="301"/>
      <c r="Z370" s="301"/>
      <c r="AA370" s="301"/>
      <c r="AB370" s="301"/>
      <c r="AC370" s="301"/>
      <c r="AD370" s="301"/>
      <c r="AE370" s="301"/>
      <c r="AF370" s="301"/>
      <c r="AG370" s="301"/>
      <c r="AH370" s="307"/>
      <c r="AI370" s="307"/>
      <c r="AJ370" s="307"/>
      <c r="AK370" s="307"/>
      <c r="AL370" s="307"/>
      <c r="AM370" s="307"/>
      <c r="AN370" s="307"/>
      <c r="AO370" s="307"/>
      <c r="AP370" s="307"/>
      <c r="AQ370" s="307"/>
      <c r="AR370" s="307"/>
      <c r="AS370" s="307"/>
      <c r="AT370" s="307"/>
      <c r="AU370" s="307"/>
    </row>
    <row r="371" ht="12.0" customHeight="1">
      <c r="A371" s="301"/>
      <c r="B371" s="301"/>
      <c r="C371" s="301"/>
      <c r="D371" s="301"/>
      <c r="E371" s="301"/>
      <c r="F371" s="301"/>
      <c r="G371" s="301"/>
      <c r="H371" s="307"/>
      <c r="I371" s="301"/>
      <c r="J371" s="301"/>
      <c r="K371" s="301"/>
      <c r="L371" s="301"/>
      <c r="M371" s="301"/>
      <c r="N371" s="301"/>
      <c r="O371" s="301"/>
      <c r="P371" s="301"/>
      <c r="Q371" s="301"/>
      <c r="R371" s="301"/>
      <c r="S371" s="301"/>
      <c r="T371" s="301"/>
      <c r="U371" s="307"/>
      <c r="V371" s="301"/>
      <c r="W371" s="301"/>
      <c r="X371" s="307"/>
      <c r="Y371" s="301"/>
      <c r="Z371" s="301"/>
      <c r="AA371" s="301"/>
      <c r="AB371" s="301"/>
      <c r="AC371" s="301"/>
      <c r="AD371" s="301"/>
      <c r="AE371" s="301"/>
      <c r="AF371" s="301"/>
      <c r="AG371" s="301"/>
      <c r="AH371" s="307"/>
      <c r="AI371" s="307"/>
      <c r="AJ371" s="307"/>
      <c r="AK371" s="307"/>
      <c r="AL371" s="307"/>
      <c r="AM371" s="307"/>
      <c r="AN371" s="307"/>
      <c r="AO371" s="307"/>
      <c r="AP371" s="307"/>
      <c r="AQ371" s="307"/>
      <c r="AR371" s="307"/>
      <c r="AS371" s="307"/>
      <c r="AT371" s="307"/>
      <c r="AU371" s="307"/>
    </row>
    <row r="372" ht="12.0" customHeight="1">
      <c r="A372" s="301"/>
      <c r="B372" s="301"/>
      <c r="C372" s="301"/>
      <c r="D372" s="301"/>
      <c r="E372" s="301"/>
      <c r="F372" s="301"/>
      <c r="G372" s="301"/>
      <c r="H372" s="307"/>
      <c r="I372" s="301"/>
      <c r="J372" s="301"/>
      <c r="K372" s="301"/>
      <c r="L372" s="301"/>
      <c r="M372" s="301"/>
      <c r="N372" s="301"/>
      <c r="O372" s="301"/>
      <c r="P372" s="301"/>
      <c r="Q372" s="301"/>
      <c r="R372" s="301"/>
      <c r="S372" s="301"/>
      <c r="T372" s="301"/>
      <c r="U372" s="307"/>
      <c r="V372" s="301"/>
      <c r="W372" s="301"/>
      <c r="X372" s="307"/>
      <c r="Y372" s="301"/>
      <c r="Z372" s="301"/>
      <c r="AA372" s="301"/>
      <c r="AB372" s="301"/>
      <c r="AC372" s="301"/>
      <c r="AD372" s="301"/>
      <c r="AE372" s="301"/>
      <c r="AF372" s="301"/>
      <c r="AG372" s="301"/>
      <c r="AH372" s="307"/>
      <c r="AI372" s="307"/>
      <c r="AJ372" s="307"/>
      <c r="AK372" s="307"/>
      <c r="AL372" s="307"/>
      <c r="AM372" s="307"/>
      <c r="AN372" s="307"/>
      <c r="AO372" s="307"/>
      <c r="AP372" s="307"/>
      <c r="AQ372" s="307"/>
      <c r="AR372" s="307"/>
      <c r="AS372" s="307"/>
      <c r="AT372" s="307"/>
      <c r="AU372" s="307"/>
    </row>
    <row r="373" ht="12.0" customHeight="1">
      <c r="A373" s="301"/>
      <c r="B373" s="301"/>
      <c r="C373" s="301"/>
      <c r="D373" s="301"/>
      <c r="E373" s="301"/>
      <c r="F373" s="301"/>
      <c r="G373" s="301"/>
      <c r="H373" s="307"/>
      <c r="I373" s="301"/>
      <c r="J373" s="301"/>
      <c r="K373" s="301"/>
      <c r="L373" s="301"/>
      <c r="M373" s="301"/>
      <c r="N373" s="301"/>
      <c r="O373" s="301"/>
      <c r="P373" s="301"/>
      <c r="Q373" s="301"/>
      <c r="R373" s="301"/>
      <c r="S373" s="301"/>
      <c r="T373" s="301"/>
      <c r="U373" s="307"/>
      <c r="V373" s="301"/>
      <c r="W373" s="301"/>
      <c r="X373" s="307"/>
      <c r="Y373" s="301"/>
      <c r="Z373" s="301"/>
      <c r="AA373" s="301"/>
      <c r="AB373" s="301"/>
      <c r="AC373" s="301"/>
      <c r="AD373" s="301"/>
      <c r="AE373" s="301"/>
      <c r="AF373" s="301"/>
      <c r="AG373" s="301"/>
      <c r="AH373" s="307"/>
      <c r="AI373" s="307"/>
      <c r="AJ373" s="307"/>
      <c r="AK373" s="307"/>
      <c r="AL373" s="307"/>
      <c r="AM373" s="307"/>
      <c r="AN373" s="307"/>
      <c r="AO373" s="307"/>
      <c r="AP373" s="307"/>
      <c r="AQ373" s="307"/>
      <c r="AR373" s="307"/>
      <c r="AS373" s="307"/>
      <c r="AT373" s="307"/>
      <c r="AU373" s="307"/>
    </row>
    <row r="374" ht="12.0" customHeight="1">
      <c r="A374" s="301"/>
      <c r="B374" s="301"/>
      <c r="C374" s="301"/>
      <c r="D374" s="301"/>
      <c r="E374" s="301"/>
      <c r="F374" s="301"/>
      <c r="G374" s="301"/>
      <c r="H374" s="307"/>
      <c r="I374" s="301"/>
      <c r="J374" s="301"/>
      <c r="K374" s="301"/>
      <c r="L374" s="301"/>
      <c r="M374" s="301"/>
      <c r="N374" s="301"/>
      <c r="O374" s="301"/>
      <c r="P374" s="301"/>
      <c r="Q374" s="301"/>
      <c r="R374" s="301"/>
      <c r="S374" s="301"/>
      <c r="T374" s="301"/>
      <c r="U374" s="307"/>
      <c r="V374" s="301"/>
      <c r="W374" s="301"/>
      <c r="X374" s="307"/>
      <c r="Y374" s="301"/>
      <c r="Z374" s="301"/>
      <c r="AA374" s="301"/>
      <c r="AB374" s="301"/>
      <c r="AC374" s="301"/>
      <c r="AD374" s="301"/>
      <c r="AE374" s="301"/>
      <c r="AF374" s="301"/>
      <c r="AG374" s="301"/>
      <c r="AH374" s="307"/>
      <c r="AI374" s="307"/>
      <c r="AJ374" s="307"/>
      <c r="AK374" s="307"/>
      <c r="AL374" s="307"/>
      <c r="AM374" s="307"/>
      <c r="AN374" s="307"/>
      <c r="AO374" s="307"/>
      <c r="AP374" s="307"/>
      <c r="AQ374" s="307"/>
      <c r="AR374" s="307"/>
      <c r="AS374" s="307"/>
      <c r="AT374" s="307"/>
      <c r="AU374" s="307"/>
    </row>
    <row r="375" ht="12.0" customHeight="1">
      <c r="A375" s="301"/>
      <c r="B375" s="301"/>
      <c r="C375" s="301"/>
      <c r="D375" s="301"/>
      <c r="E375" s="301"/>
      <c r="F375" s="301"/>
      <c r="G375" s="301"/>
      <c r="H375" s="307"/>
      <c r="I375" s="301"/>
      <c r="J375" s="301"/>
      <c r="K375" s="301"/>
      <c r="L375" s="301"/>
      <c r="M375" s="301"/>
      <c r="N375" s="301"/>
      <c r="O375" s="301"/>
      <c r="P375" s="301"/>
      <c r="Q375" s="301"/>
      <c r="R375" s="301"/>
      <c r="S375" s="301"/>
      <c r="T375" s="301"/>
      <c r="U375" s="307"/>
      <c r="V375" s="301"/>
      <c r="W375" s="301"/>
      <c r="X375" s="307"/>
      <c r="Y375" s="301"/>
      <c r="Z375" s="301"/>
      <c r="AA375" s="301"/>
      <c r="AB375" s="301"/>
      <c r="AC375" s="301"/>
      <c r="AD375" s="301"/>
      <c r="AE375" s="301"/>
      <c r="AF375" s="301"/>
      <c r="AG375" s="301"/>
      <c r="AH375" s="307"/>
      <c r="AI375" s="307"/>
      <c r="AJ375" s="307"/>
      <c r="AK375" s="307"/>
      <c r="AL375" s="307"/>
      <c r="AM375" s="307"/>
      <c r="AN375" s="307"/>
      <c r="AO375" s="307"/>
      <c r="AP375" s="307"/>
      <c r="AQ375" s="307"/>
      <c r="AR375" s="307"/>
      <c r="AS375" s="307"/>
      <c r="AT375" s="307"/>
      <c r="AU375" s="307"/>
    </row>
    <row r="376" ht="12.0" customHeight="1">
      <c r="A376" s="301"/>
      <c r="B376" s="301"/>
      <c r="C376" s="301"/>
      <c r="D376" s="301"/>
      <c r="E376" s="301"/>
      <c r="F376" s="301"/>
      <c r="G376" s="301"/>
      <c r="H376" s="307"/>
      <c r="I376" s="301"/>
      <c r="J376" s="301"/>
      <c r="K376" s="301"/>
      <c r="L376" s="301"/>
      <c r="M376" s="301"/>
      <c r="N376" s="301"/>
      <c r="O376" s="301"/>
      <c r="P376" s="301"/>
      <c r="Q376" s="301"/>
      <c r="R376" s="301"/>
      <c r="S376" s="301"/>
      <c r="T376" s="301"/>
      <c r="U376" s="307"/>
      <c r="V376" s="301"/>
      <c r="W376" s="301"/>
      <c r="X376" s="307"/>
      <c r="Y376" s="301"/>
      <c r="Z376" s="301"/>
      <c r="AA376" s="301"/>
      <c r="AB376" s="301"/>
      <c r="AC376" s="301"/>
      <c r="AD376" s="301"/>
      <c r="AE376" s="301"/>
      <c r="AF376" s="301"/>
      <c r="AG376" s="301"/>
      <c r="AH376" s="307"/>
      <c r="AI376" s="307"/>
      <c r="AJ376" s="307"/>
      <c r="AK376" s="307"/>
      <c r="AL376" s="307"/>
      <c r="AM376" s="307"/>
      <c r="AN376" s="307"/>
      <c r="AO376" s="307"/>
      <c r="AP376" s="307"/>
      <c r="AQ376" s="307"/>
      <c r="AR376" s="307"/>
      <c r="AS376" s="307"/>
      <c r="AT376" s="307"/>
      <c r="AU376" s="307"/>
    </row>
    <row r="377" ht="12.0" customHeight="1">
      <c r="A377" s="301"/>
      <c r="B377" s="301"/>
      <c r="C377" s="301"/>
      <c r="D377" s="301"/>
      <c r="E377" s="301"/>
      <c r="F377" s="301"/>
      <c r="G377" s="301"/>
      <c r="H377" s="307"/>
      <c r="I377" s="301"/>
      <c r="J377" s="301"/>
      <c r="K377" s="301"/>
      <c r="L377" s="301"/>
      <c r="M377" s="301"/>
      <c r="N377" s="301"/>
      <c r="O377" s="301"/>
      <c r="P377" s="301"/>
      <c r="Q377" s="301"/>
      <c r="R377" s="301"/>
      <c r="S377" s="301"/>
      <c r="T377" s="301"/>
      <c r="U377" s="307"/>
      <c r="V377" s="301"/>
      <c r="W377" s="301"/>
      <c r="X377" s="307"/>
      <c r="Y377" s="301"/>
      <c r="Z377" s="301"/>
      <c r="AA377" s="301"/>
      <c r="AB377" s="301"/>
      <c r="AC377" s="301"/>
      <c r="AD377" s="301"/>
      <c r="AE377" s="301"/>
      <c r="AF377" s="301"/>
      <c r="AG377" s="301"/>
      <c r="AH377" s="307"/>
      <c r="AI377" s="307"/>
      <c r="AJ377" s="307"/>
      <c r="AK377" s="307"/>
      <c r="AL377" s="307"/>
      <c r="AM377" s="307"/>
      <c r="AN377" s="307"/>
      <c r="AO377" s="307"/>
      <c r="AP377" s="307"/>
      <c r="AQ377" s="307"/>
      <c r="AR377" s="307"/>
      <c r="AS377" s="307"/>
      <c r="AT377" s="307"/>
      <c r="AU377" s="307"/>
    </row>
    <row r="378" ht="12.0" customHeight="1">
      <c r="A378" s="301"/>
      <c r="B378" s="301"/>
      <c r="C378" s="301"/>
      <c r="D378" s="301"/>
      <c r="E378" s="301"/>
      <c r="F378" s="301"/>
      <c r="G378" s="301"/>
      <c r="H378" s="307"/>
      <c r="I378" s="301"/>
      <c r="J378" s="301"/>
      <c r="K378" s="301"/>
      <c r="L378" s="301"/>
      <c r="M378" s="301"/>
      <c r="N378" s="301"/>
      <c r="O378" s="301"/>
      <c r="P378" s="301"/>
      <c r="Q378" s="301"/>
      <c r="R378" s="301"/>
      <c r="S378" s="301"/>
      <c r="T378" s="301"/>
      <c r="U378" s="307"/>
      <c r="V378" s="301"/>
      <c r="W378" s="301"/>
      <c r="X378" s="307"/>
      <c r="Y378" s="301"/>
      <c r="Z378" s="301"/>
      <c r="AA378" s="301"/>
      <c r="AB378" s="301"/>
      <c r="AC378" s="301"/>
      <c r="AD378" s="301"/>
      <c r="AE378" s="301"/>
      <c r="AF378" s="301"/>
      <c r="AG378" s="301"/>
      <c r="AH378" s="307"/>
      <c r="AI378" s="307"/>
      <c r="AJ378" s="307"/>
      <c r="AK378" s="307"/>
      <c r="AL378" s="307"/>
      <c r="AM378" s="307"/>
      <c r="AN378" s="307"/>
      <c r="AO378" s="307"/>
      <c r="AP378" s="307"/>
      <c r="AQ378" s="307"/>
      <c r="AR378" s="307"/>
      <c r="AS378" s="307"/>
      <c r="AT378" s="307"/>
      <c r="AU378" s="307"/>
    </row>
    <row r="379" ht="12.0" customHeight="1">
      <c r="A379" s="301"/>
      <c r="B379" s="301"/>
      <c r="C379" s="301"/>
      <c r="D379" s="301"/>
      <c r="E379" s="301"/>
      <c r="F379" s="301"/>
      <c r="G379" s="301"/>
      <c r="H379" s="307"/>
      <c r="I379" s="301"/>
      <c r="J379" s="301"/>
      <c r="K379" s="301"/>
      <c r="L379" s="301"/>
      <c r="M379" s="301"/>
      <c r="N379" s="301"/>
      <c r="O379" s="301"/>
      <c r="P379" s="301"/>
      <c r="Q379" s="301"/>
      <c r="R379" s="301"/>
      <c r="S379" s="301"/>
      <c r="T379" s="301"/>
      <c r="U379" s="307"/>
      <c r="V379" s="301"/>
      <c r="W379" s="301"/>
      <c r="X379" s="307"/>
      <c r="Y379" s="301"/>
      <c r="Z379" s="301"/>
      <c r="AA379" s="301"/>
      <c r="AB379" s="301"/>
      <c r="AC379" s="301"/>
      <c r="AD379" s="301"/>
      <c r="AE379" s="301"/>
      <c r="AF379" s="301"/>
      <c r="AG379" s="301"/>
      <c r="AH379" s="307"/>
      <c r="AI379" s="307"/>
      <c r="AJ379" s="307"/>
      <c r="AK379" s="307"/>
      <c r="AL379" s="307"/>
      <c r="AM379" s="307"/>
      <c r="AN379" s="307"/>
      <c r="AO379" s="307"/>
      <c r="AP379" s="307"/>
      <c r="AQ379" s="307"/>
      <c r="AR379" s="307"/>
      <c r="AS379" s="307"/>
      <c r="AT379" s="307"/>
      <c r="AU379" s="307"/>
    </row>
    <row r="380" ht="12.0" customHeight="1">
      <c r="A380" s="301"/>
      <c r="B380" s="301"/>
      <c r="C380" s="301"/>
      <c r="D380" s="301"/>
      <c r="E380" s="301"/>
      <c r="F380" s="301"/>
      <c r="G380" s="301"/>
      <c r="H380" s="307"/>
      <c r="I380" s="301"/>
      <c r="J380" s="301"/>
      <c r="K380" s="301"/>
      <c r="L380" s="301"/>
      <c r="M380" s="301"/>
      <c r="N380" s="301"/>
      <c r="O380" s="301"/>
      <c r="P380" s="301"/>
      <c r="Q380" s="301"/>
      <c r="R380" s="301"/>
      <c r="S380" s="301"/>
      <c r="T380" s="301"/>
      <c r="U380" s="307"/>
      <c r="V380" s="301"/>
      <c r="W380" s="301"/>
      <c r="X380" s="307"/>
      <c r="Y380" s="301"/>
      <c r="Z380" s="301"/>
      <c r="AA380" s="301"/>
      <c r="AB380" s="301"/>
      <c r="AC380" s="301"/>
      <c r="AD380" s="301"/>
      <c r="AE380" s="301"/>
      <c r="AF380" s="301"/>
      <c r="AG380" s="301"/>
      <c r="AH380" s="307"/>
      <c r="AI380" s="307"/>
      <c r="AJ380" s="307"/>
      <c r="AK380" s="307"/>
      <c r="AL380" s="307"/>
      <c r="AM380" s="307"/>
      <c r="AN380" s="307"/>
      <c r="AO380" s="307"/>
      <c r="AP380" s="307"/>
      <c r="AQ380" s="307"/>
      <c r="AR380" s="307"/>
      <c r="AS380" s="307"/>
      <c r="AT380" s="307"/>
      <c r="AU380" s="307"/>
    </row>
    <row r="381" ht="12.0" customHeight="1">
      <c r="A381" s="301"/>
      <c r="B381" s="301"/>
      <c r="C381" s="301"/>
      <c r="D381" s="301"/>
      <c r="E381" s="301"/>
      <c r="F381" s="301"/>
      <c r="G381" s="301"/>
      <c r="H381" s="307"/>
      <c r="I381" s="301"/>
      <c r="J381" s="301"/>
      <c r="K381" s="301"/>
      <c r="L381" s="301"/>
      <c r="M381" s="301"/>
      <c r="N381" s="301"/>
      <c r="O381" s="301"/>
      <c r="P381" s="301"/>
      <c r="Q381" s="301"/>
      <c r="R381" s="301"/>
      <c r="S381" s="301"/>
      <c r="T381" s="301"/>
      <c r="U381" s="307"/>
      <c r="V381" s="301"/>
      <c r="W381" s="301"/>
      <c r="X381" s="307"/>
      <c r="Y381" s="301"/>
      <c r="Z381" s="301"/>
      <c r="AA381" s="301"/>
      <c r="AB381" s="301"/>
      <c r="AC381" s="301"/>
      <c r="AD381" s="301"/>
      <c r="AE381" s="301"/>
      <c r="AF381" s="301"/>
      <c r="AG381" s="301"/>
      <c r="AH381" s="307"/>
      <c r="AI381" s="307"/>
      <c r="AJ381" s="307"/>
      <c r="AK381" s="307"/>
      <c r="AL381" s="307"/>
      <c r="AM381" s="307"/>
      <c r="AN381" s="307"/>
      <c r="AO381" s="307"/>
      <c r="AP381" s="307"/>
      <c r="AQ381" s="307"/>
      <c r="AR381" s="307"/>
      <c r="AS381" s="307"/>
      <c r="AT381" s="307"/>
      <c r="AU381" s="307"/>
    </row>
    <row r="382" ht="12.0" customHeight="1">
      <c r="A382" s="301"/>
      <c r="B382" s="301"/>
      <c r="C382" s="301"/>
      <c r="D382" s="301"/>
      <c r="E382" s="301"/>
      <c r="F382" s="301"/>
      <c r="G382" s="301"/>
      <c r="H382" s="307"/>
      <c r="I382" s="301"/>
      <c r="J382" s="301"/>
      <c r="K382" s="301"/>
      <c r="L382" s="301"/>
      <c r="M382" s="301"/>
      <c r="N382" s="301"/>
      <c r="O382" s="301"/>
      <c r="P382" s="301"/>
      <c r="Q382" s="301"/>
      <c r="R382" s="301"/>
      <c r="S382" s="301"/>
      <c r="T382" s="301"/>
      <c r="U382" s="307"/>
      <c r="V382" s="301"/>
      <c r="W382" s="301"/>
      <c r="X382" s="307"/>
      <c r="Y382" s="301"/>
      <c r="Z382" s="301"/>
      <c r="AA382" s="301"/>
      <c r="AB382" s="301"/>
      <c r="AC382" s="301"/>
      <c r="AD382" s="301"/>
      <c r="AE382" s="301"/>
      <c r="AF382" s="301"/>
      <c r="AG382" s="301"/>
      <c r="AH382" s="307"/>
      <c r="AI382" s="307"/>
      <c r="AJ382" s="307"/>
      <c r="AK382" s="307"/>
      <c r="AL382" s="307"/>
      <c r="AM382" s="307"/>
      <c r="AN382" s="307"/>
      <c r="AO382" s="307"/>
      <c r="AP382" s="307"/>
      <c r="AQ382" s="307"/>
      <c r="AR382" s="307"/>
      <c r="AS382" s="307"/>
      <c r="AT382" s="307"/>
      <c r="AU382" s="307"/>
    </row>
    <row r="383" ht="12.0" customHeight="1">
      <c r="A383" s="301"/>
      <c r="B383" s="301"/>
      <c r="C383" s="301"/>
      <c r="D383" s="301"/>
      <c r="E383" s="301"/>
      <c r="F383" s="301"/>
      <c r="G383" s="301"/>
      <c r="H383" s="307"/>
      <c r="I383" s="301"/>
      <c r="J383" s="301"/>
      <c r="K383" s="301"/>
      <c r="L383" s="301"/>
      <c r="M383" s="301"/>
      <c r="N383" s="301"/>
      <c r="O383" s="301"/>
      <c r="P383" s="301"/>
      <c r="Q383" s="301"/>
      <c r="R383" s="301"/>
      <c r="S383" s="301"/>
      <c r="T383" s="301"/>
      <c r="U383" s="307"/>
      <c r="V383" s="301"/>
      <c r="W383" s="301"/>
      <c r="X383" s="307"/>
      <c r="Y383" s="301"/>
      <c r="Z383" s="301"/>
      <c r="AA383" s="301"/>
      <c r="AB383" s="301"/>
      <c r="AC383" s="301"/>
      <c r="AD383" s="301"/>
      <c r="AE383" s="301"/>
      <c r="AF383" s="301"/>
      <c r="AG383" s="301"/>
      <c r="AH383" s="307"/>
      <c r="AI383" s="307"/>
      <c r="AJ383" s="307"/>
      <c r="AK383" s="307"/>
      <c r="AL383" s="307"/>
      <c r="AM383" s="307"/>
      <c r="AN383" s="307"/>
      <c r="AO383" s="307"/>
      <c r="AP383" s="307"/>
      <c r="AQ383" s="307"/>
      <c r="AR383" s="307"/>
      <c r="AS383" s="307"/>
      <c r="AT383" s="307"/>
      <c r="AU383" s="307"/>
    </row>
    <row r="384" ht="12.0" customHeight="1">
      <c r="A384" s="301"/>
      <c r="B384" s="301"/>
      <c r="C384" s="301"/>
      <c r="D384" s="301"/>
      <c r="E384" s="301"/>
      <c r="F384" s="301"/>
      <c r="G384" s="301"/>
      <c r="H384" s="307"/>
      <c r="I384" s="301"/>
      <c r="J384" s="301"/>
      <c r="K384" s="301"/>
      <c r="L384" s="301"/>
      <c r="M384" s="301"/>
      <c r="N384" s="301"/>
      <c r="O384" s="301"/>
      <c r="P384" s="301"/>
      <c r="Q384" s="301"/>
      <c r="R384" s="301"/>
      <c r="S384" s="301"/>
      <c r="T384" s="301"/>
      <c r="U384" s="307"/>
      <c r="V384" s="301"/>
      <c r="W384" s="301"/>
      <c r="X384" s="307"/>
      <c r="Y384" s="301"/>
      <c r="Z384" s="301"/>
      <c r="AA384" s="301"/>
      <c r="AB384" s="301"/>
      <c r="AC384" s="301"/>
      <c r="AD384" s="301"/>
      <c r="AE384" s="301"/>
      <c r="AF384" s="301"/>
      <c r="AG384" s="301"/>
      <c r="AH384" s="307"/>
      <c r="AI384" s="307"/>
      <c r="AJ384" s="307"/>
      <c r="AK384" s="307"/>
      <c r="AL384" s="307"/>
      <c r="AM384" s="307"/>
      <c r="AN384" s="307"/>
      <c r="AO384" s="307"/>
      <c r="AP384" s="307"/>
      <c r="AQ384" s="307"/>
      <c r="AR384" s="307"/>
      <c r="AS384" s="307"/>
      <c r="AT384" s="307"/>
      <c r="AU384" s="307"/>
    </row>
    <row r="385" ht="12.0" customHeight="1">
      <c r="A385" s="301"/>
      <c r="B385" s="301"/>
      <c r="C385" s="301"/>
      <c r="D385" s="301"/>
      <c r="E385" s="301"/>
      <c r="F385" s="301"/>
      <c r="G385" s="301"/>
      <c r="H385" s="307"/>
      <c r="I385" s="301"/>
      <c r="J385" s="301"/>
      <c r="K385" s="301"/>
      <c r="L385" s="301"/>
      <c r="M385" s="301"/>
      <c r="N385" s="301"/>
      <c r="O385" s="301"/>
      <c r="P385" s="301"/>
      <c r="Q385" s="301"/>
      <c r="R385" s="301"/>
      <c r="S385" s="301"/>
      <c r="T385" s="301"/>
      <c r="U385" s="307"/>
      <c r="V385" s="301"/>
      <c r="W385" s="301"/>
      <c r="X385" s="307"/>
      <c r="Y385" s="301"/>
      <c r="Z385" s="301"/>
      <c r="AA385" s="301"/>
      <c r="AB385" s="301"/>
      <c r="AC385" s="301"/>
      <c r="AD385" s="301"/>
      <c r="AE385" s="301"/>
      <c r="AF385" s="301"/>
      <c r="AG385" s="301"/>
      <c r="AH385" s="307"/>
      <c r="AI385" s="307"/>
      <c r="AJ385" s="307"/>
      <c r="AK385" s="307"/>
      <c r="AL385" s="307"/>
      <c r="AM385" s="307"/>
      <c r="AN385" s="307"/>
      <c r="AO385" s="307"/>
      <c r="AP385" s="307"/>
      <c r="AQ385" s="307"/>
      <c r="AR385" s="307"/>
      <c r="AS385" s="307"/>
      <c r="AT385" s="307"/>
      <c r="AU385" s="307"/>
    </row>
    <row r="386" ht="12.0" customHeight="1">
      <c r="A386" s="301"/>
      <c r="B386" s="301"/>
      <c r="C386" s="301"/>
      <c r="D386" s="301"/>
      <c r="E386" s="301"/>
      <c r="F386" s="301"/>
      <c r="G386" s="301"/>
      <c r="H386" s="307"/>
      <c r="I386" s="301"/>
      <c r="J386" s="301"/>
      <c r="K386" s="301"/>
      <c r="L386" s="301"/>
      <c r="M386" s="301"/>
      <c r="N386" s="301"/>
      <c r="O386" s="301"/>
      <c r="P386" s="301"/>
      <c r="Q386" s="301"/>
      <c r="R386" s="301"/>
      <c r="S386" s="301"/>
      <c r="T386" s="301"/>
      <c r="U386" s="307"/>
      <c r="V386" s="301"/>
      <c r="W386" s="301"/>
      <c r="X386" s="307"/>
      <c r="Y386" s="301"/>
      <c r="Z386" s="301"/>
      <c r="AA386" s="301"/>
      <c r="AB386" s="301"/>
      <c r="AC386" s="301"/>
      <c r="AD386" s="301"/>
      <c r="AE386" s="301"/>
      <c r="AF386" s="301"/>
      <c r="AG386" s="301"/>
      <c r="AH386" s="307"/>
      <c r="AI386" s="307"/>
      <c r="AJ386" s="307"/>
      <c r="AK386" s="307"/>
      <c r="AL386" s="307"/>
      <c r="AM386" s="307"/>
      <c r="AN386" s="307"/>
      <c r="AO386" s="307"/>
      <c r="AP386" s="307"/>
      <c r="AQ386" s="307"/>
      <c r="AR386" s="307"/>
      <c r="AS386" s="307"/>
      <c r="AT386" s="307"/>
      <c r="AU386" s="307"/>
    </row>
    <row r="387" ht="12.0" customHeight="1">
      <c r="A387" s="301"/>
      <c r="B387" s="301"/>
      <c r="C387" s="301"/>
      <c r="D387" s="301"/>
      <c r="E387" s="301"/>
      <c r="F387" s="301"/>
      <c r="G387" s="301"/>
      <c r="H387" s="307"/>
      <c r="I387" s="301"/>
      <c r="J387" s="301"/>
      <c r="K387" s="301"/>
      <c r="L387" s="301"/>
      <c r="M387" s="301"/>
      <c r="N387" s="301"/>
      <c r="O387" s="301"/>
      <c r="P387" s="301"/>
      <c r="Q387" s="301"/>
      <c r="R387" s="301"/>
      <c r="S387" s="301"/>
      <c r="T387" s="301"/>
      <c r="U387" s="307"/>
      <c r="V387" s="301"/>
      <c r="W387" s="301"/>
      <c r="X387" s="307"/>
      <c r="Y387" s="301"/>
      <c r="Z387" s="301"/>
      <c r="AA387" s="301"/>
      <c r="AB387" s="301"/>
      <c r="AC387" s="301"/>
      <c r="AD387" s="301"/>
      <c r="AE387" s="301"/>
      <c r="AF387" s="301"/>
      <c r="AG387" s="301"/>
      <c r="AH387" s="307"/>
      <c r="AI387" s="307"/>
      <c r="AJ387" s="307"/>
      <c r="AK387" s="307"/>
      <c r="AL387" s="307"/>
      <c r="AM387" s="307"/>
      <c r="AN387" s="307"/>
      <c r="AO387" s="307"/>
      <c r="AP387" s="307"/>
      <c r="AQ387" s="307"/>
      <c r="AR387" s="307"/>
      <c r="AS387" s="307"/>
      <c r="AT387" s="307"/>
      <c r="AU387" s="307"/>
    </row>
    <row r="388" ht="12.0" customHeight="1">
      <c r="A388" s="301"/>
      <c r="B388" s="301"/>
      <c r="C388" s="301"/>
      <c r="D388" s="301"/>
      <c r="E388" s="301"/>
      <c r="F388" s="301"/>
      <c r="G388" s="301"/>
      <c r="H388" s="307"/>
      <c r="I388" s="301"/>
      <c r="J388" s="301"/>
      <c r="K388" s="301"/>
      <c r="L388" s="301"/>
      <c r="M388" s="301"/>
      <c r="N388" s="301"/>
      <c r="O388" s="301"/>
      <c r="P388" s="301"/>
      <c r="Q388" s="301"/>
      <c r="R388" s="301"/>
      <c r="S388" s="301"/>
      <c r="T388" s="301"/>
      <c r="U388" s="307"/>
      <c r="V388" s="301"/>
      <c r="W388" s="301"/>
      <c r="X388" s="307"/>
      <c r="Y388" s="301"/>
      <c r="Z388" s="301"/>
      <c r="AA388" s="301"/>
      <c r="AB388" s="301"/>
      <c r="AC388" s="301"/>
      <c r="AD388" s="301"/>
      <c r="AE388" s="301"/>
      <c r="AF388" s="301"/>
      <c r="AG388" s="301"/>
      <c r="AH388" s="307"/>
      <c r="AI388" s="307"/>
      <c r="AJ388" s="307"/>
      <c r="AK388" s="307"/>
      <c r="AL388" s="307"/>
      <c r="AM388" s="307"/>
      <c r="AN388" s="307"/>
      <c r="AO388" s="307"/>
      <c r="AP388" s="307"/>
      <c r="AQ388" s="307"/>
      <c r="AR388" s="307"/>
      <c r="AS388" s="307"/>
      <c r="AT388" s="307"/>
      <c r="AU388" s="307"/>
    </row>
    <row r="389" ht="12.0" customHeight="1">
      <c r="A389" s="301"/>
      <c r="B389" s="301"/>
      <c r="C389" s="301"/>
      <c r="D389" s="301"/>
      <c r="E389" s="301"/>
      <c r="F389" s="301"/>
      <c r="G389" s="301"/>
      <c r="H389" s="307"/>
      <c r="I389" s="301"/>
      <c r="J389" s="301"/>
      <c r="K389" s="301"/>
      <c r="L389" s="301"/>
      <c r="M389" s="301"/>
      <c r="N389" s="301"/>
      <c r="O389" s="301"/>
      <c r="P389" s="301"/>
      <c r="Q389" s="301"/>
      <c r="R389" s="301"/>
      <c r="S389" s="301"/>
      <c r="T389" s="301"/>
      <c r="U389" s="307"/>
      <c r="V389" s="301"/>
      <c r="W389" s="301"/>
      <c r="X389" s="307"/>
      <c r="Y389" s="301"/>
      <c r="Z389" s="301"/>
      <c r="AA389" s="301"/>
      <c r="AB389" s="301"/>
      <c r="AC389" s="301"/>
      <c r="AD389" s="301"/>
      <c r="AE389" s="301"/>
      <c r="AF389" s="301"/>
      <c r="AG389" s="301"/>
      <c r="AH389" s="307"/>
      <c r="AI389" s="307"/>
      <c r="AJ389" s="307"/>
      <c r="AK389" s="307"/>
      <c r="AL389" s="307"/>
      <c r="AM389" s="307"/>
      <c r="AN389" s="307"/>
      <c r="AO389" s="307"/>
      <c r="AP389" s="307"/>
      <c r="AQ389" s="307"/>
      <c r="AR389" s="307"/>
      <c r="AS389" s="307"/>
      <c r="AT389" s="307"/>
      <c r="AU389" s="307"/>
    </row>
    <row r="390" ht="12.0" customHeight="1">
      <c r="A390" s="301"/>
      <c r="B390" s="301"/>
      <c r="C390" s="301"/>
      <c r="D390" s="301"/>
      <c r="E390" s="301"/>
      <c r="F390" s="301"/>
      <c r="G390" s="301"/>
      <c r="H390" s="307"/>
      <c r="I390" s="301"/>
      <c r="J390" s="301"/>
      <c r="K390" s="301"/>
      <c r="L390" s="301"/>
      <c r="M390" s="301"/>
      <c r="N390" s="301"/>
      <c r="O390" s="301"/>
      <c r="P390" s="301"/>
      <c r="Q390" s="301"/>
      <c r="R390" s="301"/>
      <c r="S390" s="301"/>
      <c r="T390" s="301"/>
      <c r="U390" s="307"/>
      <c r="V390" s="301"/>
      <c r="W390" s="301"/>
      <c r="X390" s="307"/>
      <c r="Y390" s="301"/>
      <c r="Z390" s="301"/>
      <c r="AA390" s="301"/>
      <c r="AB390" s="301"/>
      <c r="AC390" s="301"/>
      <c r="AD390" s="301"/>
      <c r="AE390" s="301"/>
      <c r="AF390" s="301"/>
      <c r="AG390" s="301"/>
      <c r="AH390" s="307"/>
      <c r="AI390" s="307"/>
      <c r="AJ390" s="307"/>
      <c r="AK390" s="307"/>
      <c r="AL390" s="307"/>
      <c r="AM390" s="307"/>
      <c r="AN390" s="307"/>
      <c r="AO390" s="307"/>
      <c r="AP390" s="307"/>
      <c r="AQ390" s="307"/>
      <c r="AR390" s="307"/>
      <c r="AS390" s="307"/>
      <c r="AT390" s="307"/>
      <c r="AU390" s="307"/>
    </row>
    <row r="391" ht="12.0" customHeight="1">
      <c r="A391" s="301"/>
      <c r="B391" s="301"/>
      <c r="C391" s="301"/>
      <c r="D391" s="301"/>
      <c r="E391" s="301"/>
      <c r="F391" s="301"/>
      <c r="G391" s="301"/>
      <c r="H391" s="307"/>
      <c r="I391" s="301"/>
      <c r="J391" s="301"/>
      <c r="K391" s="301"/>
      <c r="L391" s="301"/>
      <c r="M391" s="301"/>
      <c r="N391" s="301"/>
      <c r="O391" s="301"/>
      <c r="P391" s="301"/>
      <c r="Q391" s="301"/>
      <c r="R391" s="301"/>
      <c r="S391" s="301"/>
      <c r="T391" s="301"/>
      <c r="U391" s="307"/>
      <c r="V391" s="301"/>
      <c r="W391" s="301"/>
      <c r="X391" s="307"/>
      <c r="Y391" s="301"/>
      <c r="Z391" s="301"/>
      <c r="AA391" s="301"/>
      <c r="AB391" s="301"/>
      <c r="AC391" s="301"/>
      <c r="AD391" s="301"/>
      <c r="AE391" s="301"/>
      <c r="AF391" s="301"/>
      <c r="AG391" s="301"/>
      <c r="AH391" s="307"/>
      <c r="AI391" s="307"/>
      <c r="AJ391" s="307"/>
      <c r="AK391" s="307"/>
      <c r="AL391" s="307"/>
      <c r="AM391" s="307"/>
      <c r="AN391" s="307"/>
      <c r="AO391" s="307"/>
      <c r="AP391" s="307"/>
      <c r="AQ391" s="307"/>
      <c r="AR391" s="307"/>
      <c r="AS391" s="307"/>
      <c r="AT391" s="307"/>
      <c r="AU391" s="307"/>
    </row>
    <row r="392" ht="12.0" customHeight="1">
      <c r="A392" s="301"/>
      <c r="B392" s="301"/>
      <c r="C392" s="301"/>
      <c r="D392" s="301"/>
      <c r="E392" s="301"/>
      <c r="F392" s="301"/>
      <c r="G392" s="301"/>
      <c r="H392" s="307"/>
      <c r="I392" s="301"/>
      <c r="J392" s="301"/>
      <c r="K392" s="301"/>
      <c r="L392" s="301"/>
      <c r="M392" s="301"/>
      <c r="N392" s="301"/>
      <c r="O392" s="301"/>
      <c r="P392" s="301"/>
      <c r="Q392" s="301"/>
      <c r="R392" s="301"/>
      <c r="S392" s="301"/>
      <c r="T392" s="301"/>
      <c r="U392" s="307"/>
      <c r="V392" s="301"/>
      <c r="W392" s="301"/>
      <c r="X392" s="307"/>
      <c r="Y392" s="301"/>
      <c r="Z392" s="301"/>
      <c r="AA392" s="301"/>
      <c r="AB392" s="301"/>
      <c r="AC392" s="301"/>
      <c r="AD392" s="301"/>
      <c r="AE392" s="301"/>
      <c r="AF392" s="301"/>
      <c r="AG392" s="301"/>
      <c r="AH392" s="307"/>
      <c r="AI392" s="307"/>
      <c r="AJ392" s="307"/>
      <c r="AK392" s="307"/>
      <c r="AL392" s="307"/>
      <c r="AM392" s="307"/>
      <c r="AN392" s="307"/>
      <c r="AO392" s="307"/>
      <c r="AP392" s="307"/>
      <c r="AQ392" s="307"/>
      <c r="AR392" s="307"/>
      <c r="AS392" s="307"/>
      <c r="AT392" s="307"/>
      <c r="AU392" s="307"/>
    </row>
    <row r="393" ht="12.0" customHeight="1">
      <c r="A393" s="301"/>
      <c r="B393" s="301"/>
      <c r="C393" s="301"/>
      <c r="D393" s="301"/>
      <c r="E393" s="301"/>
      <c r="F393" s="301"/>
      <c r="G393" s="301"/>
      <c r="H393" s="307"/>
      <c r="I393" s="301"/>
      <c r="J393" s="301"/>
      <c r="K393" s="301"/>
      <c r="L393" s="301"/>
      <c r="M393" s="301"/>
      <c r="N393" s="301"/>
      <c r="O393" s="301"/>
      <c r="P393" s="301"/>
      <c r="Q393" s="301"/>
      <c r="R393" s="301"/>
      <c r="S393" s="301"/>
      <c r="T393" s="301"/>
      <c r="U393" s="307"/>
      <c r="V393" s="301"/>
      <c r="W393" s="301"/>
      <c r="X393" s="307"/>
      <c r="Y393" s="301"/>
      <c r="Z393" s="301"/>
      <c r="AA393" s="301"/>
      <c r="AB393" s="301"/>
      <c r="AC393" s="301"/>
      <c r="AD393" s="301"/>
      <c r="AE393" s="301"/>
      <c r="AF393" s="301"/>
      <c r="AG393" s="301"/>
      <c r="AH393" s="307"/>
      <c r="AI393" s="307"/>
      <c r="AJ393" s="307"/>
      <c r="AK393" s="307"/>
      <c r="AL393" s="307"/>
      <c r="AM393" s="307"/>
      <c r="AN393" s="307"/>
      <c r="AO393" s="307"/>
      <c r="AP393" s="307"/>
      <c r="AQ393" s="307"/>
      <c r="AR393" s="307"/>
      <c r="AS393" s="307"/>
      <c r="AT393" s="307"/>
      <c r="AU393" s="307"/>
    </row>
    <row r="394" ht="12.0" customHeight="1">
      <c r="A394" s="301"/>
      <c r="B394" s="301"/>
      <c r="C394" s="301"/>
      <c r="D394" s="301"/>
      <c r="E394" s="301"/>
      <c r="F394" s="301"/>
      <c r="G394" s="301"/>
      <c r="H394" s="307"/>
      <c r="I394" s="301"/>
      <c r="J394" s="301"/>
      <c r="K394" s="301"/>
      <c r="L394" s="301"/>
      <c r="M394" s="301"/>
      <c r="N394" s="301"/>
      <c r="O394" s="301"/>
      <c r="P394" s="301"/>
      <c r="Q394" s="301"/>
      <c r="R394" s="301"/>
      <c r="S394" s="301"/>
      <c r="T394" s="301"/>
      <c r="U394" s="307"/>
      <c r="V394" s="301"/>
      <c r="W394" s="301"/>
      <c r="X394" s="307"/>
      <c r="Y394" s="301"/>
      <c r="Z394" s="301"/>
      <c r="AA394" s="301"/>
      <c r="AB394" s="301"/>
      <c r="AC394" s="301"/>
      <c r="AD394" s="301"/>
      <c r="AE394" s="301"/>
      <c r="AF394" s="301"/>
      <c r="AG394" s="301"/>
      <c r="AH394" s="307"/>
      <c r="AI394" s="307"/>
      <c r="AJ394" s="307"/>
      <c r="AK394" s="307"/>
      <c r="AL394" s="307"/>
      <c r="AM394" s="307"/>
      <c r="AN394" s="307"/>
      <c r="AO394" s="307"/>
      <c r="AP394" s="307"/>
      <c r="AQ394" s="307"/>
      <c r="AR394" s="307"/>
      <c r="AS394" s="307"/>
      <c r="AT394" s="307"/>
      <c r="AU394" s="307"/>
    </row>
    <row r="395" ht="12.0" customHeight="1">
      <c r="A395" s="301"/>
      <c r="B395" s="301"/>
      <c r="C395" s="301"/>
      <c r="D395" s="301"/>
      <c r="E395" s="301"/>
      <c r="F395" s="301"/>
      <c r="G395" s="301"/>
      <c r="H395" s="307"/>
      <c r="I395" s="301"/>
      <c r="J395" s="301"/>
      <c r="K395" s="301"/>
      <c r="L395" s="301"/>
      <c r="M395" s="301"/>
      <c r="N395" s="301"/>
      <c r="O395" s="301"/>
      <c r="P395" s="301"/>
      <c r="Q395" s="301"/>
      <c r="R395" s="301"/>
      <c r="S395" s="301"/>
      <c r="T395" s="301"/>
      <c r="U395" s="307"/>
      <c r="V395" s="301"/>
      <c r="W395" s="301"/>
      <c r="X395" s="307"/>
      <c r="Y395" s="301"/>
      <c r="Z395" s="301"/>
      <c r="AA395" s="301"/>
      <c r="AB395" s="301"/>
      <c r="AC395" s="301"/>
      <c r="AD395" s="301"/>
      <c r="AE395" s="301"/>
      <c r="AF395" s="301"/>
      <c r="AG395" s="301"/>
      <c r="AH395" s="307"/>
      <c r="AI395" s="307"/>
      <c r="AJ395" s="307"/>
      <c r="AK395" s="307"/>
      <c r="AL395" s="307"/>
      <c r="AM395" s="307"/>
      <c r="AN395" s="307"/>
      <c r="AO395" s="307"/>
      <c r="AP395" s="307"/>
      <c r="AQ395" s="307"/>
      <c r="AR395" s="307"/>
      <c r="AS395" s="307"/>
      <c r="AT395" s="307"/>
      <c r="AU395" s="307"/>
    </row>
    <row r="396" ht="12.0" customHeight="1">
      <c r="A396" s="301"/>
      <c r="B396" s="301"/>
      <c r="C396" s="301"/>
      <c r="D396" s="301"/>
      <c r="E396" s="301"/>
      <c r="F396" s="301"/>
      <c r="G396" s="301"/>
      <c r="H396" s="307"/>
      <c r="I396" s="301"/>
      <c r="J396" s="301"/>
      <c r="K396" s="301"/>
      <c r="L396" s="301"/>
      <c r="M396" s="301"/>
      <c r="N396" s="301"/>
      <c r="O396" s="301"/>
      <c r="P396" s="301"/>
      <c r="Q396" s="301"/>
      <c r="R396" s="301"/>
      <c r="S396" s="301"/>
      <c r="T396" s="301"/>
      <c r="U396" s="307"/>
      <c r="V396" s="301"/>
      <c r="W396" s="301"/>
      <c r="X396" s="307"/>
      <c r="Y396" s="301"/>
      <c r="Z396" s="301"/>
      <c r="AA396" s="301"/>
      <c r="AB396" s="301"/>
      <c r="AC396" s="301"/>
      <c r="AD396" s="301"/>
      <c r="AE396" s="301"/>
      <c r="AF396" s="301"/>
      <c r="AG396" s="301"/>
      <c r="AH396" s="307"/>
      <c r="AI396" s="307"/>
      <c r="AJ396" s="307"/>
      <c r="AK396" s="307"/>
      <c r="AL396" s="307"/>
      <c r="AM396" s="307"/>
      <c r="AN396" s="307"/>
      <c r="AO396" s="307"/>
      <c r="AP396" s="307"/>
      <c r="AQ396" s="307"/>
      <c r="AR396" s="307"/>
      <c r="AS396" s="307"/>
      <c r="AT396" s="307"/>
      <c r="AU396" s="307"/>
    </row>
    <row r="397" ht="12.0" customHeight="1">
      <c r="A397" s="301"/>
      <c r="B397" s="301"/>
      <c r="C397" s="301"/>
      <c r="D397" s="301"/>
      <c r="E397" s="301"/>
      <c r="F397" s="301"/>
      <c r="G397" s="301"/>
      <c r="H397" s="307"/>
      <c r="I397" s="301"/>
      <c r="J397" s="301"/>
      <c r="K397" s="301"/>
      <c r="L397" s="301"/>
      <c r="M397" s="301"/>
      <c r="N397" s="301"/>
      <c r="O397" s="301"/>
      <c r="P397" s="301"/>
      <c r="Q397" s="301"/>
      <c r="R397" s="301"/>
      <c r="S397" s="301"/>
      <c r="T397" s="301"/>
      <c r="U397" s="307"/>
      <c r="V397" s="301"/>
      <c r="W397" s="301"/>
      <c r="X397" s="307"/>
      <c r="Y397" s="301"/>
      <c r="Z397" s="301"/>
      <c r="AA397" s="301"/>
      <c r="AB397" s="301"/>
      <c r="AC397" s="301"/>
      <c r="AD397" s="301"/>
      <c r="AE397" s="301"/>
      <c r="AF397" s="301"/>
      <c r="AG397" s="301"/>
      <c r="AH397" s="307"/>
      <c r="AI397" s="307"/>
      <c r="AJ397" s="307"/>
      <c r="AK397" s="307"/>
      <c r="AL397" s="307"/>
      <c r="AM397" s="307"/>
      <c r="AN397" s="307"/>
      <c r="AO397" s="307"/>
      <c r="AP397" s="307"/>
      <c r="AQ397" s="307"/>
      <c r="AR397" s="307"/>
      <c r="AS397" s="307"/>
      <c r="AT397" s="307"/>
      <c r="AU397" s="307"/>
    </row>
    <row r="398" ht="12.0" customHeight="1">
      <c r="A398" s="301"/>
      <c r="B398" s="301"/>
      <c r="C398" s="301"/>
      <c r="D398" s="301"/>
      <c r="E398" s="301"/>
      <c r="F398" s="301"/>
      <c r="G398" s="301"/>
      <c r="H398" s="307"/>
      <c r="I398" s="301"/>
      <c r="J398" s="301"/>
      <c r="K398" s="301"/>
      <c r="L398" s="301"/>
      <c r="M398" s="301"/>
      <c r="N398" s="301"/>
      <c r="O398" s="301"/>
      <c r="P398" s="301"/>
      <c r="Q398" s="301"/>
      <c r="R398" s="301"/>
      <c r="S398" s="301"/>
      <c r="T398" s="301"/>
      <c r="U398" s="307"/>
      <c r="V398" s="301"/>
      <c r="W398" s="301"/>
      <c r="X398" s="307"/>
      <c r="Y398" s="301"/>
      <c r="Z398" s="301"/>
      <c r="AA398" s="301"/>
      <c r="AB398" s="301"/>
      <c r="AC398" s="301"/>
      <c r="AD398" s="301"/>
      <c r="AE398" s="301"/>
      <c r="AF398" s="301"/>
      <c r="AG398" s="301"/>
      <c r="AH398" s="307"/>
      <c r="AI398" s="307"/>
      <c r="AJ398" s="307"/>
      <c r="AK398" s="307"/>
      <c r="AL398" s="307"/>
      <c r="AM398" s="307"/>
      <c r="AN398" s="307"/>
      <c r="AO398" s="307"/>
      <c r="AP398" s="307"/>
      <c r="AQ398" s="307"/>
      <c r="AR398" s="307"/>
      <c r="AS398" s="307"/>
      <c r="AT398" s="307"/>
      <c r="AU398" s="307"/>
    </row>
    <row r="399" ht="12.0" customHeight="1">
      <c r="A399" s="301"/>
      <c r="B399" s="301"/>
      <c r="C399" s="301"/>
      <c r="D399" s="301"/>
      <c r="E399" s="301"/>
      <c r="F399" s="301"/>
      <c r="G399" s="301"/>
      <c r="H399" s="307"/>
      <c r="I399" s="301"/>
      <c r="J399" s="301"/>
      <c r="K399" s="301"/>
      <c r="L399" s="301"/>
      <c r="M399" s="301"/>
      <c r="N399" s="301"/>
      <c r="O399" s="301"/>
      <c r="P399" s="301"/>
      <c r="Q399" s="301"/>
      <c r="R399" s="301"/>
      <c r="S399" s="301"/>
      <c r="T399" s="301"/>
      <c r="U399" s="307"/>
      <c r="V399" s="301"/>
      <c r="W399" s="301"/>
      <c r="X399" s="307"/>
      <c r="Y399" s="301"/>
      <c r="Z399" s="301"/>
      <c r="AA399" s="301"/>
      <c r="AB399" s="301"/>
      <c r="AC399" s="301"/>
      <c r="AD399" s="301"/>
      <c r="AE399" s="301"/>
      <c r="AF399" s="301"/>
      <c r="AG399" s="301"/>
      <c r="AH399" s="307"/>
      <c r="AI399" s="307"/>
      <c r="AJ399" s="307"/>
      <c r="AK399" s="307"/>
      <c r="AL399" s="307"/>
      <c r="AM399" s="307"/>
      <c r="AN399" s="307"/>
      <c r="AO399" s="307"/>
      <c r="AP399" s="307"/>
      <c r="AQ399" s="307"/>
      <c r="AR399" s="307"/>
      <c r="AS399" s="307"/>
      <c r="AT399" s="307"/>
      <c r="AU399" s="307"/>
    </row>
    <row r="400" ht="12.0" customHeight="1">
      <c r="A400" s="301"/>
      <c r="B400" s="301"/>
      <c r="C400" s="301"/>
      <c r="D400" s="301"/>
      <c r="E400" s="301"/>
      <c r="F400" s="301"/>
      <c r="G400" s="301"/>
      <c r="H400" s="307"/>
      <c r="I400" s="301"/>
      <c r="J400" s="301"/>
      <c r="K400" s="301"/>
      <c r="L400" s="301"/>
      <c r="M400" s="301"/>
      <c r="N400" s="301"/>
      <c r="O400" s="301"/>
      <c r="P400" s="301"/>
      <c r="Q400" s="301"/>
      <c r="R400" s="301"/>
      <c r="S400" s="301"/>
      <c r="T400" s="301"/>
      <c r="U400" s="307"/>
      <c r="V400" s="301"/>
      <c r="W400" s="301"/>
      <c r="X400" s="307"/>
      <c r="Y400" s="301"/>
      <c r="Z400" s="301"/>
      <c r="AA400" s="301"/>
      <c r="AB400" s="301"/>
      <c r="AC400" s="301"/>
      <c r="AD400" s="301"/>
      <c r="AE400" s="301"/>
      <c r="AF400" s="301"/>
      <c r="AG400" s="301"/>
      <c r="AH400" s="307"/>
      <c r="AI400" s="307"/>
      <c r="AJ400" s="307"/>
      <c r="AK400" s="307"/>
      <c r="AL400" s="307"/>
      <c r="AM400" s="307"/>
      <c r="AN400" s="307"/>
      <c r="AO400" s="307"/>
      <c r="AP400" s="307"/>
      <c r="AQ400" s="307"/>
      <c r="AR400" s="307"/>
      <c r="AS400" s="307"/>
      <c r="AT400" s="307"/>
      <c r="AU400" s="307"/>
    </row>
    <row r="401" ht="12.0" customHeight="1">
      <c r="A401" s="301"/>
      <c r="B401" s="301"/>
      <c r="C401" s="301"/>
      <c r="D401" s="301"/>
      <c r="E401" s="301"/>
      <c r="F401" s="301"/>
      <c r="G401" s="301"/>
      <c r="H401" s="307"/>
      <c r="I401" s="301"/>
      <c r="J401" s="301"/>
      <c r="K401" s="301"/>
      <c r="L401" s="301"/>
      <c r="M401" s="301"/>
      <c r="N401" s="301"/>
      <c r="O401" s="301"/>
      <c r="P401" s="301"/>
      <c r="Q401" s="301"/>
      <c r="R401" s="301"/>
      <c r="S401" s="301"/>
      <c r="T401" s="301"/>
      <c r="U401" s="307"/>
      <c r="V401" s="301"/>
      <c r="W401" s="301"/>
      <c r="X401" s="307"/>
      <c r="Y401" s="301"/>
      <c r="Z401" s="301"/>
      <c r="AA401" s="301"/>
      <c r="AB401" s="301"/>
      <c r="AC401" s="301"/>
      <c r="AD401" s="301"/>
      <c r="AE401" s="301"/>
      <c r="AF401" s="301"/>
      <c r="AG401" s="301"/>
      <c r="AH401" s="307"/>
      <c r="AI401" s="307"/>
      <c r="AJ401" s="307"/>
      <c r="AK401" s="307"/>
      <c r="AL401" s="307"/>
      <c r="AM401" s="307"/>
      <c r="AN401" s="307"/>
      <c r="AO401" s="307"/>
      <c r="AP401" s="307"/>
      <c r="AQ401" s="307"/>
      <c r="AR401" s="307"/>
      <c r="AS401" s="307"/>
      <c r="AT401" s="307"/>
      <c r="AU401" s="307"/>
    </row>
    <row r="402" ht="12.0" customHeight="1">
      <c r="A402" s="301"/>
      <c r="B402" s="301"/>
      <c r="C402" s="301"/>
      <c r="D402" s="301"/>
      <c r="E402" s="301"/>
      <c r="F402" s="301"/>
      <c r="G402" s="301"/>
      <c r="H402" s="307"/>
      <c r="I402" s="301"/>
      <c r="J402" s="301"/>
      <c r="K402" s="301"/>
      <c r="L402" s="301"/>
      <c r="M402" s="301"/>
      <c r="N402" s="301"/>
      <c r="O402" s="301"/>
      <c r="P402" s="301"/>
      <c r="Q402" s="301"/>
      <c r="R402" s="301"/>
      <c r="S402" s="301"/>
      <c r="T402" s="301"/>
      <c r="U402" s="307"/>
      <c r="V402" s="301"/>
      <c r="W402" s="301"/>
      <c r="X402" s="307"/>
      <c r="Y402" s="301"/>
      <c r="Z402" s="301"/>
      <c r="AA402" s="301"/>
      <c r="AB402" s="301"/>
      <c r="AC402" s="301"/>
      <c r="AD402" s="301"/>
      <c r="AE402" s="301"/>
      <c r="AF402" s="301"/>
      <c r="AG402" s="301"/>
      <c r="AH402" s="307"/>
      <c r="AI402" s="307"/>
      <c r="AJ402" s="307"/>
      <c r="AK402" s="307"/>
      <c r="AL402" s="307"/>
      <c r="AM402" s="307"/>
      <c r="AN402" s="307"/>
      <c r="AO402" s="307"/>
      <c r="AP402" s="307"/>
      <c r="AQ402" s="307"/>
      <c r="AR402" s="307"/>
      <c r="AS402" s="307"/>
      <c r="AT402" s="307"/>
      <c r="AU402" s="307"/>
    </row>
    <row r="403" ht="12.0" customHeight="1">
      <c r="A403" s="301"/>
      <c r="B403" s="301"/>
      <c r="C403" s="301"/>
      <c r="D403" s="301"/>
      <c r="E403" s="301"/>
      <c r="F403" s="301"/>
      <c r="G403" s="301"/>
      <c r="H403" s="307"/>
      <c r="I403" s="301"/>
      <c r="J403" s="301"/>
      <c r="K403" s="301"/>
      <c r="L403" s="301"/>
      <c r="M403" s="301"/>
      <c r="N403" s="301"/>
      <c r="O403" s="301"/>
      <c r="P403" s="301"/>
      <c r="Q403" s="301"/>
      <c r="R403" s="301"/>
      <c r="S403" s="301"/>
      <c r="T403" s="301"/>
      <c r="U403" s="307"/>
      <c r="V403" s="301"/>
      <c r="W403" s="301"/>
      <c r="X403" s="307"/>
      <c r="Y403" s="301"/>
      <c r="Z403" s="301"/>
      <c r="AA403" s="301"/>
      <c r="AB403" s="301"/>
      <c r="AC403" s="301"/>
      <c r="AD403" s="301"/>
      <c r="AE403" s="301"/>
      <c r="AF403" s="301"/>
      <c r="AG403" s="301"/>
      <c r="AH403" s="307"/>
      <c r="AI403" s="307"/>
      <c r="AJ403" s="307"/>
      <c r="AK403" s="307"/>
      <c r="AL403" s="307"/>
      <c r="AM403" s="307"/>
      <c r="AN403" s="307"/>
      <c r="AO403" s="307"/>
      <c r="AP403" s="307"/>
      <c r="AQ403" s="307"/>
      <c r="AR403" s="307"/>
      <c r="AS403" s="307"/>
      <c r="AT403" s="307"/>
      <c r="AU403" s="307"/>
    </row>
    <row r="404" ht="12.0" customHeight="1">
      <c r="A404" s="301"/>
      <c r="B404" s="301"/>
      <c r="C404" s="301"/>
      <c r="D404" s="301"/>
      <c r="E404" s="301"/>
      <c r="F404" s="301"/>
      <c r="G404" s="301"/>
      <c r="H404" s="307"/>
      <c r="I404" s="301"/>
      <c r="J404" s="301"/>
      <c r="K404" s="301"/>
      <c r="L404" s="301"/>
      <c r="M404" s="301"/>
      <c r="N404" s="301"/>
      <c r="O404" s="301"/>
      <c r="P404" s="301"/>
      <c r="Q404" s="301"/>
      <c r="R404" s="301"/>
      <c r="S404" s="301"/>
      <c r="T404" s="301"/>
      <c r="U404" s="307"/>
      <c r="V404" s="301"/>
      <c r="W404" s="301"/>
      <c r="X404" s="307"/>
      <c r="Y404" s="301"/>
      <c r="Z404" s="301"/>
      <c r="AA404" s="301"/>
      <c r="AB404" s="301"/>
      <c r="AC404" s="301"/>
      <c r="AD404" s="301"/>
      <c r="AE404" s="301"/>
      <c r="AF404" s="301"/>
      <c r="AG404" s="301"/>
      <c r="AH404" s="307"/>
      <c r="AI404" s="307"/>
      <c r="AJ404" s="307"/>
      <c r="AK404" s="307"/>
      <c r="AL404" s="307"/>
      <c r="AM404" s="307"/>
      <c r="AN404" s="307"/>
      <c r="AO404" s="307"/>
      <c r="AP404" s="307"/>
      <c r="AQ404" s="307"/>
      <c r="AR404" s="307"/>
      <c r="AS404" s="307"/>
      <c r="AT404" s="307"/>
      <c r="AU404" s="307"/>
    </row>
    <row r="405" ht="12.0" customHeight="1">
      <c r="A405" s="301"/>
      <c r="B405" s="301"/>
      <c r="C405" s="301"/>
      <c r="D405" s="301"/>
      <c r="E405" s="301"/>
      <c r="F405" s="301"/>
      <c r="G405" s="301"/>
      <c r="H405" s="307"/>
      <c r="I405" s="301"/>
      <c r="J405" s="301"/>
      <c r="K405" s="301"/>
      <c r="L405" s="301"/>
      <c r="M405" s="301"/>
      <c r="N405" s="301"/>
      <c r="O405" s="301"/>
      <c r="P405" s="301"/>
      <c r="Q405" s="301"/>
      <c r="R405" s="301"/>
      <c r="S405" s="301"/>
      <c r="T405" s="301"/>
      <c r="U405" s="307"/>
      <c r="V405" s="301"/>
      <c r="W405" s="301"/>
      <c r="X405" s="307"/>
      <c r="Y405" s="301"/>
      <c r="Z405" s="301"/>
      <c r="AA405" s="301"/>
      <c r="AB405" s="301"/>
      <c r="AC405" s="301"/>
      <c r="AD405" s="301"/>
      <c r="AE405" s="301"/>
      <c r="AF405" s="301"/>
      <c r="AG405" s="301"/>
      <c r="AH405" s="307"/>
      <c r="AI405" s="307"/>
      <c r="AJ405" s="307"/>
      <c r="AK405" s="307"/>
      <c r="AL405" s="307"/>
      <c r="AM405" s="307"/>
      <c r="AN405" s="307"/>
      <c r="AO405" s="307"/>
      <c r="AP405" s="307"/>
      <c r="AQ405" s="307"/>
      <c r="AR405" s="307"/>
      <c r="AS405" s="307"/>
      <c r="AT405" s="307"/>
      <c r="AU405" s="307"/>
    </row>
    <row r="406" ht="12.0" customHeight="1">
      <c r="A406" s="301"/>
      <c r="B406" s="301"/>
      <c r="C406" s="301"/>
      <c r="D406" s="301"/>
      <c r="E406" s="301"/>
      <c r="F406" s="301"/>
      <c r="G406" s="301"/>
      <c r="H406" s="307"/>
      <c r="I406" s="301"/>
      <c r="J406" s="301"/>
      <c r="K406" s="301"/>
      <c r="L406" s="301"/>
      <c r="M406" s="301"/>
      <c r="N406" s="301"/>
      <c r="O406" s="301"/>
      <c r="P406" s="301"/>
      <c r="Q406" s="301"/>
      <c r="R406" s="301"/>
      <c r="S406" s="301"/>
      <c r="T406" s="301"/>
      <c r="U406" s="307"/>
      <c r="V406" s="301"/>
      <c r="W406" s="301"/>
      <c r="X406" s="307"/>
      <c r="Y406" s="301"/>
      <c r="Z406" s="301"/>
      <c r="AA406" s="301"/>
      <c r="AB406" s="301"/>
      <c r="AC406" s="301"/>
      <c r="AD406" s="301"/>
      <c r="AE406" s="301"/>
      <c r="AF406" s="301"/>
      <c r="AG406" s="301"/>
      <c r="AH406" s="307"/>
      <c r="AI406" s="307"/>
      <c r="AJ406" s="307"/>
      <c r="AK406" s="307"/>
      <c r="AL406" s="307"/>
      <c r="AM406" s="307"/>
      <c r="AN406" s="307"/>
      <c r="AO406" s="307"/>
      <c r="AP406" s="307"/>
      <c r="AQ406" s="307"/>
      <c r="AR406" s="307"/>
      <c r="AS406" s="307"/>
      <c r="AT406" s="307"/>
      <c r="AU406" s="307"/>
    </row>
    <row r="407" ht="12.0" customHeight="1">
      <c r="A407" s="301"/>
      <c r="B407" s="301"/>
      <c r="C407" s="301"/>
      <c r="D407" s="301"/>
      <c r="E407" s="301"/>
      <c r="F407" s="301"/>
      <c r="G407" s="301"/>
      <c r="H407" s="307"/>
      <c r="I407" s="301"/>
      <c r="J407" s="301"/>
      <c r="K407" s="301"/>
      <c r="L407" s="301"/>
      <c r="M407" s="301"/>
      <c r="N407" s="301"/>
      <c r="O407" s="301"/>
      <c r="P407" s="301"/>
      <c r="Q407" s="301"/>
      <c r="R407" s="301"/>
      <c r="S407" s="301"/>
      <c r="T407" s="301"/>
      <c r="U407" s="307"/>
      <c r="V407" s="301"/>
      <c r="W407" s="301"/>
      <c r="X407" s="307"/>
      <c r="Y407" s="301"/>
      <c r="Z407" s="301"/>
      <c r="AA407" s="301"/>
      <c r="AB407" s="301"/>
      <c r="AC407" s="301"/>
      <c r="AD407" s="301"/>
      <c r="AE407" s="301"/>
      <c r="AF407" s="301"/>
      <c r="AG407" s="301"/>
      <c r="AH407" s="307"/>
      <c r="AI407" s="307"/>
      <c r="AJ407" s="307"/>
      <c r="AK407" s="307"/>
      <c r="AL407" s="307"/>
      <c r="AM407" s="307"/>
      <c r="AN407" s="307"/>
      <c r="AO407" s="307"/>
      <c r="AP407" s="307"/>
      <c r="AQ407" s="307"/>
      <c r="AR407" s="307"/>
      <c r="AS407" s="307"/>
      <c r="AT407" s="307"/>
      <c r="AU407" s="307"/>
    </row>
    <row r="408" ht="12.0" customHeight="1">
      <c r="A408" s="301"/>
      <c r="B408" s="301"/>
      <c r="C408" s="301"/>
      <c r="D408" s="301"/>
      <c r="E408" s="301"/>
      <c r="F408" s="301"/>
      <c r="G408" s="301"/>
      <c r="H408" s="307"/>
      <c r="I408" s="301"/>
      <c r="J408" s="301"/>
      <c r="K408" s="301"/>
      <c r="L408" s="301"/>
      <c r="M408" s="301"/>
      <c r="N408" s="301"/>
      <c r="O408" s="301"/>
      <c r="P408" s="301"/>
      <c r="Q408" s="301"/>
      <c r="R408" s="301"/>
      <c r="S408" s="301"/>
      <c r="T408" s="301"/>
      <c r="U408" s="307"/>
      <c r="V408" s="301"/>
      <c r="W408" s="301"/>
      <c r="X408" s="307"/>
      <c r="Y408" s="301"/>
      <c r="Z408" s="301"/>
      <c r="AA408" s="301"/>
      <c r="AB408" s="301"/>
      <c r="AC408" s="301"/>
      <c r="AD408" s="301"/>
      <c r="AE408" s="301"/>
      <c r="AF408" s="301"/>
      <c r="AG408" s="301"/>
      <c r="AH408" s="307"/>
      <c r="AI408" s="307"/>
      <c r="AJ408" s="307"/>
      <c r="AK408" s="307"/>
      <c r="AL408" s="307"/>
      <c r="AM408" s="307"/>
      <c r="AN408" s="307"/>
      <c r="AO408" s="307"/>
      <c r="AP408" s="307"/>
      <c r="AQ408" s="307"/>
      <c r="AR408" s="307"/>
      <c r="AS408" s="307"/>
      <c r="AT408" s="307"/>
      <c r="AU408" s="307"/>
    </row>
    <row r="409" ht="12.0" customHeight="1">
      <c r="A409" s="301"/>
      <c r="B409" s="301"/>
      <c r="C409" s="301"/>
      <c r="D409" s="301"/>
      <c r="E409" s="301"/>
      <c r="F409" s="301"/>
      <c r="G409" s="301"/>
      <c r="H409" s="307"/>
      <c r="I409" s="301"/>
      <c r="J409" s="301"/>
      <c r="K409" s="301"/>
      <c r="L409" s="301"/>
      <c r="M409" s="301"/>
      <c r="N409" s="301"/>
      <c r="O409" s="301"/>
      <c r="P409" s="301"/>
      <c r="Q409" s="301"/>
      <c r="R409" s="301"/>
      <c r="S409" s="301"/>
      <c r="T409" s="301"/>
      <c r="U409" s="307"/>
      <c r="V409" s="301"/>
      <c r="W409" s="301"/>
      <c r="X409" s="307"/>
      <c r="Y409" s="301"/>
      <c r="Z409" s="301"/>
      <c r="AA409" s="301"/>
      <c r="AB409" s="301"/>
      <c r="AC409" s="301"/>
      <c r="AD409" s="301"/>
      <c r="AE409" s="301"/>
      <c r="AF409" s="301"/>
      <c r="AG409" s="301"/>
      <c r="AH409" s="307"/>
      <c r="AI409" s="307"/>
      <c r="AJ409" s="307"/>
      <c r="AK409" s="307"/>
      <c r="AL409" s="307"/>
      <c r="AM409" s="307"/>
      <c r="AN409" s="307"/>
      <c r="AO409" s="307"/>
      <c r="AP409" s="307"/>
      <c r="AQ409" s="307"/>
      <c r="AR409" s="307"/>
      <c r="AS409" s="307"/>
      <c r="AT409" s="307"/>
      <c r="AU409" s="307"/>
    </row>
    <row r="410" ht="12.0" customHeight="1">
      <c r="A410" s="301"/>
      <c r="B410" s="301"/>
      <c r="C410" s="301"/>
      <c r="D410" s="301"/>
      <c r="E410" s="301"/>
      <c r="F410" s="301"/>
      <c r="G410" s="301"/>
      <c r="H410" s="307"/>
      <c r="I410" s="301"/>
      <c r="J410" s="301"/>
      <c r="K410" s="301"/>
      <c r="L410" s="301"/>
      <c r="M410" s="301"/>
      <c r="N410" s="301"/>
      <c r="O410" s="301"/>
      <c r="P410" s="301"/>
      <c r="Q410" s="301"/>
      <c r="R410" s="301"/>
      <c r="S410" s="301"/>
      <c r="T410" s="301"/>
      <c r="U410" s="307"/>
      <c r="V410" s="301"/>
      <c r="W410" s="301"/>
      <c r="X410" s="307"/>
      <c r="Y410" s="301"/>
      <c r="Z410" s="301"/>
      <c r="AA410" s="301"/>
      <c r="AB410" s="301"/>
      <c r="AC410" s="301"/>
      <c r="AD410" s="301"/>
      <c r="AE410" s="301"/>
      <c r="AF410" s="301"/>
      <c r="AG410" s="301"/>
      <c r="AH410" s="307"/>
      <c r="AI410" s="307"/>
      <c r="AJ410" s="307"/>
      <c r="AK410" s="307"/>
      <c r="AL410" s="307"/>
      <c r="AM410" s="307"/>
      <c r="AN410" s="307"/>
      <c r="AO410" s="307"/>
      <c r="AP410" s="307"/>
      <c r="AQ410" s="307"/>
      <c r="AR410" s="307"/>
      <c r="AS410" s="307"/>
      <c r="AT410" s="307"/>
      <c r="AU410" s="307"/>
    </row>
    <row r="411" ht="12.0" customHeight="1">
      <c r="A411" s="301"/>
      <c r="B411" s="301"/>
      <c r="C411" s="301"/>
      <c r="D411" s="301"/>
      <c r="E411" s="301"/>
      <c r="F411" s="301"/>
      <c r="G411" s="301"/>
      <c r="H411" s="307"/>
      <c r="I411" s="301"/>
      <c r="J411" s="301"/>
      <c r="K411" s="301"/>
      <c r="L411" s="301"/>
      <c r="M411" s="301"/>
      <c r="N411" s="301"/>
      <c r="O411" s="301"/>
      <c r="P411" s="301"/>
      <c r="Q411" s="301"/>
      <c r="R411" s="301"/>
      <c r="S411" s="301"/>
      <c r="T411" s="301"/>
      <c r="U411" s="307"/>
      <c r="V411" s="301"/>
      <c r="W411" s="301"/>
      <c r="X411" s="307"/>
      <c r="Y411" s="301"/>
      <c r="Z411" s="301"/>
      <c r="AA411" s="301"/>
      <c r="AB411" s="301"/>
      <c r="AC411" s="301"/>
      <c r="AD411" s="301"/>
      <c r="AE411" s="301"/>
      <c r="AF411" s="301"/>
      <c r="AG411" s="301"/>
      <c r="AH411" s="307"/>
      <c r="AI411" s="307"/>
      <c r="AJ411" s="307"/>
      <c r="AK411" s="307"/>
      <c r="AL411" s="307"/>
      <c r="AM411" s="307"/>
      <c r="AN411" s="307"/>
      <c r="AO411" s="307"/>
      <c r="AP411" s="307"/>
      <c r="AQ411" s="307"/>
      <c r="AR411" s="307"/>
      <c r="AS411" s="307"/>
      <c r="AT411" s="307"/>
      <c r="AU411" s="307"/>
    </row>
    <row r="412" ht="12.0" customHeight="1">
      <c r="A412" s="301"/>
      <c r="B412" s="301"/>
      <c r="C412" s="301"/>
      <c r="D412" s="301"/>
      <c r="E412" s="301"/>
      <c r="F412" s="301"/>
      <c r="G412" s="301"/>
      <c r="H412" s="307"/>
      <c r="I412" s="301"/>
      <c r="J412" s="301"/>
      <c r="K412" s="301"/>
      <c r="L412" s="301"/>
      <c r="M412" s="301"/>
      <c r="N412" s="301"/>
      <c r="O412" s="301"/>
      <c r="P412" s="301"/>
      <c r="Q412" s="301"/>
      <c r="R412" s="301"/>
      <c r="S412" s="301"/>
      <c r="T412" s="301"/>
      <c r="U412" s="307"/>
      <c r="V412" s="301"/>
      <c r="W412" s="301"/>
      <c r="X412" s="307"/>
      <c r="Y412" s="301"/>
      <c r="Z412" s="301"/>
      <c r="AA412" s="301"/>
      <c r="AB412" s="301"/>
      <c r="AC412" s="301"/>
      <c r="AD412" s="301"/>
      <c r="AE412" s="301"/>
      <c r="AF412" s="301"/>
      <c r="AG412" s="301"/>
      <c r="AH412" s="307"/>
      <c r="AI412" s="307"/>
      <c r="AJ412" s="307"/>
      <c r="AK412" s="307"/>
      <c r="AL412" s="307"/>
      <c r="AM412" s="307"/>
      <c r="AN412" s="307"/>
      <c r="AO412" s="307"/>
      <c r="AP412" s="307"/>
      <c r="AQ412" s="307"/>
      <c r="AR412" s="307"/>
      <c r="AS412" s="307"/>
      <c r="AT412" s="307"/>
      <c r="AU412" s="307"/>
    </row>
    <row r="413" ht="12.0" customHeight="1">
      <c r="A413" s="301"/>
      <c r="B413" s="301"/>
      <c r="C413" s="301"/>
      <c r="D413" s="301"/>
      <c r="E413" s="301"/>
      <c r="F413" s="301"/>
      <c r="G413" s="301"/>
      <c r="H413" s="307"/>
      <c r="I413" s="301"/>
      <c r="J413" s="301"/>
      <c r="K413" s="301"/>
      <c r="L413" s="301"/>
      <c r="M413" s="301"/>
      <c r="N413" s="301"/>
      <c r="O413" s="301"/>
      <c r="P413" s="301"/>
      <c r="Q413" s="301"/>
      <c r="R413" s="301"/>
      <c r="S413" s="301"/>
      <c r="T413" s="301"/>
      <c r="U413" s="307"/>
      <c r="V413" s="301"/>
      <c r="W413" s="301"/>
      <c r="X413" s="307"/>
      <c r="Y413" s="301"/>
      <c r="Z413" s="301"/>
      <c r="AA413" s="301"/>
      <c r="AB413" s="301"/>
      <c r="AC413" s="301"/>
      <c r="AD413" s="301"/>
      <c r="AE413" s="301"/>
      <c r="AF413" s="301"/>
      <c r="AG413" s="301"/>
      <c r="AH413" s="307"/>
      <c r="AI413" s="307"/>
      <c r="AJ413" s="307"/>
      <c r="AK413" s="307"/>
      <c r="AL413" s="307"/>
      <c r="AM413" s="307"/>
      <c r="AN413" s="307"/>
      <c r="AO413" s="307"/>
      <c r="AP413" s="307"/>
      <c r="AQ413" s="307"/>
      <c r="AR413" s="307"/>
      <c r="AS413" s="307"/>
      <c r="AT413" s="307"/>
      <c r="AU413" s="307"/>
    </row>
    <row r="414" ht="12.0" customHeight="1">
      <c r="A414" s="301"/>
      <c r="B414" s="301"/>
      <c r="C414" s="301"/>
      <c r="D414" s="301"/>
      <c r="E414" s="301"/>
      <c r="F414" s="301"/>
      <c r="G414" s="301"/>
      <c r="H414" s="307"/>
      <c r="I414" s="301"/>
      <c r="J414" s="301"/>
      <c r="K414" s="301"/>
      <c r="L414" s="301"/>
      <c r="M414" s="301"/>
      <c r="N414" s="301"/>
      <c r="O414" s="301"/>
      <c r="P414" s="301"/>
      <c r="Q414" s="301"/>
      <c r="R414" s="301"/>
      <c r="S414" s="301"/>
      <c r="T414" s="301"/>
      <c r="U414" s="307"/>
      <c r="V414" s="301"/>
      <c r="W414" s="301"/>
      <c r="X414" s="307"/>
      <c r="Y414" s="301"/>
      <c r="Z414" s="301"/>
      <c r="AA414" s="301"/>
      <c r="AB414" s="301"/>
      <c r="AC414" s="301"/>
      <c r="AD414" s="301"/>
      <c r="AE414" s="301"/>
      <c r="AF414" s="301"/>
      <c r="AG414" s="301"/>
      <c r="AH414" s="307"/>
      <c r="AI414" s="307"/>
      <c r="AJ414" s="307"/>
      <c r="AK414" s="307"/>
      <c r="AL414" s="307"/>
      <c r="AM414" s="307"/>
      <c r="AN414" s="307"/>
      <c r="AO414" s="307"/>
      <c r="AP414" s="307"/>
      <c r="AQ414" s="307"/>
      <c r="AR414" s="307"/>
      <c r="AS414" s="307"/>
      <c r="AT414" s="307"/>
      <c r="AU414" s="307"/>
    </row>
    <row r="415" ht="12.0" customHeight="1">
      <c r="A415" s="301"/>
      <c r="B415" s="301"/>
      <c r="C415" s="301"/>
      <c r="D415" s="301"/>
      <c r="E415" s="301"/>
      <c r="F415" s="301"/>
      <c r="G415" s="301"/>
      <c r="H415" s="307"/>
      <c r="I415" s="301"/>
      <c r="J415" s="301"/>
      <c r="K415" s="301"/>
      <c r="L415" s="301"/>
      <c r="M415" s="301"/>
      <c r="N415" s="301"/>
      <c r="O415" s="301"/>
      <c r="P415" s="301"/>
      <c r="Q415" s="301"/>
      <c r="R415" s="301"/>
      <c r="S415" s="301"/>
      <c r="T415" s="301"/>
      <c r="U415" s="307"/>
      <c r="V415" s="301"/>
      <c r="W415" s="301"/>
      <c r="X415" s="307"/>
      <c r="Y415" s="301"/>
      <c r="Z415" s="301"/>
      <c r="AA415" s="301"/>
      <c r="AB415" s="301"/>
      <c r="AC415" s="301"/>
      <c r="AD415" s="301"/>
      <c r="AE415" s="301"/>
      <c r="AF415" s="301"/>
      <c r="AG415" s="301"/>
      <c r="AH415" s="307"/>
      <c r="AI415" s="307"/>
      <c r="AJ415" s="307"/>
      <c r="AK415" s="307"/>
      <c r="AL415" s="307"/>
      <c r="AM415" s="307"/>
      <c r="AN415" s="307"/>
      <c r="AO415" s="307"/>
      <c r="AP415" s="307"/>
      <c r="AQ415" s="307"/>
      <c r="AR415" s="307"/>
      <c r="AS415" s="307"/>
      <c r="AT415" s="307"/>
      <c r="AU415" s="307"/>
    </row>
    <row r="416" ht="12.0" customHeight="1">
      <c r="A416" s="301"/>
      <c r="B416" s="301"/>
      <c r="C416" s="301"/>
      <c r="D416" s="301"/>
      <c r="E416" s="301"/>
      <c r="F416" s="301"/>
      <c r="G416" s="301"/>
      <c r="H416" s="307"/>
      <c r="I416" s="301"/>
      <c r="J416" s="301"/>
      <c r="K416" s="301"/>
      <c r="L416" s="301"/>
      <c r="M416" s="301"/>
      <c r="N416" s="301"/>
      <c r="O416" s="301"/>
      <c r="P416" s="301"/>
      <c r="Q416" s="301"/>
      <c r="R416" s="301"/>
      <c r="S416" s="301"/>
      <c r="T416" s="301"/>
      <c r="U416" s="307"/>
      <c r="V416" s="301"/>
      <c r="W416" s="301"/>
      <c r="X416" s="307"/>
      <c r="Y416" s="301"/>
      <c r="Z416" s="301"/>
      <c r="AA416" s="301"/>
      <c r="AB416" s="301"/>
      <c r="AC416" s="301"/>
      <c r="AD416" s="301"/>
      <c r="AE416" s="301"/>
      <c r="AF416" s="301"/>
      <c r="AG416" s="301"/>
      <c r="AH416" s="307"/>
      <c r="AI416" s="307"/>
      <c r="AJ416" s="307"/>
      <c r="AK416" s="307"/>
      <c r="AL416" s="307"/>
      <c r="AM416" s="307"/>
      <c r="AN416" s="307"/>
      <c r="AO416" s="307"/>
      <c r="AP416" s="307"/>
      <c r="AQ416" s="307"/>
      <c r="AR416" s="307"/>
      <c r="AS416" s="307"/>
      <c r="AT416" s="307"/>
      <c r="AU416" s="307"/>
    </row>
    <row r="417" ht="12.0" customHeight="1">
      <c r="A417" s="301"/>
      <c r="B417" s="301"/>
      <c r="C417" s="301"/>
      <c r="D417" s="301"/>
      <c r="E417" s="301"/>
      <c r="F417" s="301"/>
      <c r="G417" s="301"/>
      <c r="H417" s="307"/>
      <c r="I417" s="301"/>
      <c r="J417" s="301"/>
      <c r="K417" s="301"/>
      <c r="L417" s="301"/>
      <c r="M417" s="301"/>
      <c r="N417" s="301"/>
      <c r="O417" s="301"/>
      <c r="P417" s="301"/>
      <c r="Q417" s="301"/>
      <c r="R417" s="301"/>
      <c r="S417" s="301"/>
      <c r="T417" s="301"/>
      <c r="U417" s="307"/>
      <c r="V417" s="301"/>
      <c r="W417" s="301"/>
      <c r="X417" s="307"/>
      <c r="Y417" s="301"/>
      <c r="Z417" s="301"/>
      <c r="AA417" s="301"/>
      <c r="AB417" s="301"/>
      <c r="AC417" s="301"/>
      <c r="AD417" s="301"/>
      <c r="AE417" s="301"/>
      <c r="AF417" s="301"/>
      <c r="AG417" s="301"/>
      <c r="AH417" s="307"/>
      <c r="AI417" s="307"/>
      <c r="AJ417" s="307"/>
      <c r="AK417" s="307"/>
      <c r="AL417" s="307"/>
      <c r="AM417" s="307"/>
      <c r="AN417" s="307"/>
      <c r="AO417" s="307"/>
      <c r="AP417" s="307"/>
      <c r="AQ417" s="307"/>
      <c r="AR417" s="307"/>
      <c r="AS417" s="307"/>
      <c r="AT417" s="307"/>
      <c r="AU417" s="307"/>
    </row>
    <row r="418" ht="12.0" customHeight="1">
      <c r="A418" s="301"/>
      <c r="B418" s="301"/>
      <c r="C418" s="301"/>
      <c r="D418" s="301"/>
      <c r="E418" s="301"/>
      <c r="F418" s="301"/>
      <c r="G418" s="301"/>
      <c r="H418" s="307"/>
      <c r="I418" s="301"/>
      <c r="J418" s="301"/>
      <c r="K418" s="301"/>
      <c r="L418" s="301"/>
      <c r="M418" s="301"/>
      <c r="N418" s="301"/>
      <c r="O418" s="301"/>
      <c r="P418" s="301"/>
      <c r="Q418" s="301"/>
      <c r="R418" s="301"/>
      <c r="S418" s="301"/>
      <c r="T418" s="301"/>
      <c r="U418" s="307"/>
      <c r="V418" s="301"/>
      <c r="W418" s="301"/>
      <c r="X418" s="307"/>
      <c r="Y418" s="301"/>
      <c r="Z418" s="301"/>
      <c r="AA418" s="301"/>
      <c r="AB418" s="301"/>
      <c r="AC418" s="301"/>
      <c r="AD418" s="301"/>
      <c r="AE418" s="301"/>
      <c r="AF418" s="301"/>
      <c r="AG418" s="301"/>
      <c r="AH418" s="307"/>
      <c r="AI418" s="307"/>
      <c r="AJ418" s="307"/>
      <c r="AK418" s="307"/>
      <c r="AL418" s="307"/>
      <c r="AM418" s="307"/>
      <c r="AN418" s="307"/>
      <c r="AO418" s="307"/>
      <c r="AP418" s="307"/>
      <c r="AQ418" s="307"/>
      <c r="AR418" s="307"/>
      <c r="AS418" s="307"/>
      <c r="AT418" s="307"/>
      <c r="AU418" s="307"/>
    </row>
    <row r="419" ht="12.0" customHeight="1">
      <c r="A419" s="301"/>
      <c r="B419" s="301"/>
      <c r="C419" s="301"/>
      <c r="D419" s="301"/>
      <c r="E419" s="301"/>
      <c r="F419" s="301"/>
      <c r="G419" s="301"/>
      <c r="H419" s="307"/>
      <c r="I419" s="301"/>
      <c r="J419" s="301"/>
      <c r="K419" s="301"/>
      <c r="L419" s="301"/>
      <c r="M419" s="301"/>
      <c r="N419" s="301"/>
      <c r="O419" s="301"/>
      <c r="P419" s="301"/>
      <c r="Q419" s="301"/>
      <c r="R419" s="301"/>
      <c r="S419" s="301"/>
      <c r="T419" s="301"/>
      <c r="U419" s="307"/>
      <c r="V419" s="301"/>
      <c r="W419" s="301"/>
      <c r="X419" s="307"/>
      <c r="Y419" s="301"/>
      <c r="Z419" s="301"/>
      <c r="AA419" s="301"/>
      <c r="AB419" s="301"/>
      <c r="AC419" s="301"/>
      <c r="AD419" s="301"/>
      <c r="AE419" s="301"/>
      <c r="AF419" s="301"/>
      <c r="AG419" s="301"/>
      <c r="AH419" s="307"/>
      <c r="AI419" s="307"/>
      <c r="AJ419" s="307"/>
      <c r="AK419" s="307"/>
      <c r="AL419" s="307"/>
      <c r="AM419" s="307"/>
      <c r="AN419" s="307"/>
      <c r="AO419" s="307"/>
      <c r="AP419" s="307"/>
      <c r="AQ419" s="307"/>
      <c r="AR419" s="307"/>
      <c r="AS419" s="307"/>
      <c r="AT419" s="307"/>
      <c r="AU419" s="307"/>
    </row>
    <row r="420" ht="12.0" customHeight="1">
      <c r="A420" s="301"/>
      <c r="B420" s="301"/>
      <c r="C420" s="301"/>
      <c r="D420" s="301"/>
      <c r="E420" s="301"/>
      <c r="F420" s="301"/>
      <c r="G420" s="301"/>
      <c r="H420" s="307"/>
      <c r="I420" s="301"/>
      <c r="J420" s="301"/>
      <c r="K420" s="301"/>
      <c r="L420" s="301"/>
      <c r="M420" s="301"/>
      <c r="N420" s="301"/>
      <c r="O420" s="301"/>
      <c r="P420" s="301"/>
      <c r="Q420" s="301"/>
      <c r="R420" s="301"/>
      <c r="S420" s="301"/>
      <c r="T420" s="301"/>
      <c r="U420" s="307"/>
      <c r="V420" s="301"/>
      <c r="W420" s="301"/>
      <c r="X420" s="307"/>
      <c r="Y420" s="301"/>
      <c r="Z420" s="301"/>
      <c r="AA420" s="301"/>
      <c r="AB420" s="301"/>
      <c r="AC420" s="301"/>
      <c r="AD420" s="301"/>
      <c r="AE420" s="301"/>
      <c r="AF420" s="301"/>
      <c r="AG420" s="301"/>
      <c r="AH420" s="307"/>
      <c r="AI420" s="307"/>
      <c r="AJ420" s="307"/>
      <c r="AK420" s="307"/>
      <c r="AL420" s="307"/>
      <c r="AM420" s="307"/>
      <c r="AN420" s="307"/>
      <c r="AO420" s="307"/>
      <c r="AP420" s="307"/>
      <c r="AQ420" s="307"/>
      <c r="AR420" s="307"/>
      <c r="AS420" s="307"/>
      <c r="AT420" s="307"/>
      <c r="AU420" s="307"/>
    </row>
    <row r="421" ht="12.0" customHeight="1">
      <c r="A421" s="301"/>
      <c r="B421" s="301"/>
      <c r="C421" s="301"/>
      <c r="D421" s="301"/>
      <c r="E421" s="301"/>
      <c r="F421" s="301"/>
      <c r="G421" s="301"/>
      <c r="H421" s="307"/>
      <c r="I421" s="301"/>
      <c r="J421" s="301"/>
      <c r="K421" s="301"/>
      <c r="L421" s="301"/>
      <c r="M421" s="301"/>
      <c r="N421" s="301"/>
      <c r="O421" s="301"/>
      <c r="P421" s="301"/>
      <c r="Q421" s="301"/>
      <c r="R421" s="301"/>
      <c r="S421" s="301"/>
      <c r="T421" s="301"/>
      <c r="U421" s="307"/>
      <c r="V421" s="301"/>
      <c r="W421" s="301"/>
      <c r="X421" s="307"/>
      <c r="Y421" s="301"/>
      <c r="Z421" s="301"/>
      <c r="AA421" s="301"/>
      <c r="AB421" s="301"/>
      <c r="AC421" s="301"/>
      <c r="AD421" s="301"/>
      <c r="AE421" s="301"/>
      <c r="AF421" s="301"/>
      <c r="AG421" s="301"/>
      <c r="AH421" s="307"/>
      <c r="AI421" s="307"/>
      <c r="AJ421" s="307"/>
      <c r="AK421" s="307"/>
      <c r="AL421" s="307"/>
      <c r="AM421" s="307"/>
      <c r="AN421" s="307"/>
      <c r="AO421" s="307"/>
      <c r="AP421" s="307"/>
      <c r="AQ421" s="307"/>
      <c r="AR421" s="307"/>
      <c r="AS421" s="307"/>
      <c r="AT421" s="307"/>
      <c r="AU421" s="307"/>
    </row>
    <row r="422" ht="12.0" customHeight="1">
      <c r="A422" s="301"/>
      <c r="B422" s="301"/>
      <c r="C422" s="301"/>
      <c r="D422" s="301"/>
      <c r="E422" s="301"/>
      <c r="F422" s="301"/>
      <c r="G422" s="301"/>
      <c r="H422" s="307"/>
      <c r="I422" s="301"/>
      <c r="J422" s="301"/>
      <c r="K422" s="301"/>
      <c r="L422" s="301"/>
      <c r="M422" s="301"/>
      <c r="N422" s="301"/>
      <c r="O422" s="301"/>
      <c r="P422" s="301"/>
      <c r="Q422" s="301"/>
      <c r="R422" s="301"/>
      <c r="S422" s="301"/>
      <c r="T422" s="301"/>
      <c r="U422" s="307"/>
      <c r="V422" s="301"/>
      <c r="W422" s="301"/>
      <c r="X422" s="307"/>
      <c r="Y422" s="301"/>
      <c r="Z422" s="301"/>
      <c r="AA422" s="301"/>
      <c r="AB422" s="301"/>
      <c r="AC422" s="301"/>
      <c r="AD422" s="301"/>
      <c r="AE422" s="301"/>
      <c r="AF422" s="301"/>
      <c r="AG422" s="301"/>
      <c r="AH422" s="307"/>
      <c r="AI422" s="307"/>
      <c r="AJ422" s="307"/>
      <c r="AK422" s="307"/>
      <c r="AL422" s="307"/>
      <c r="AM422" s="307"/>
      <c r="AN422" s="307"/>
      <c r="AO422" s="307"/>
      <c r="AP422" s="307"/>
      <c r="AQ422" s="307"/>
      <c r="AR422" s="307"/>
      <c r="AS422" s="307"/>
      <c r="AT422" s="307"/>
      <c r="AU422" s="307"/>
    </row>
    <row r="423" ht="12.0" customHeight="1">
      <c r="A423" s="301"/>
      <c r="B423" s="301"/>
      <c r="C423" s="301"/>
      <c r="D423" s="301"/>
      <c r="E423" s="301"/>
      <c r="F423" s="301"/>
      <c r="G423" s="301"/>
      <c r="H423" s="307"/>
      <c r="I423" s="301"/>
      <c r="J423" s="301"/>
      <c r="K423" s="301"/>
      <c r="L423" s="301"/>
      <c r="M423" s="301"/>
      <c r="N423" s="301"/>
      <c r="O423" s="301"/>
      <c r="P423" s="301"/>
      <c r="Q423" s="301"/>
      <c r="R423" s="301"/>
      <c r="S423" s="301"/>
      <c r="T423" s="301"/>
      <c r="U423" s="307"/>
      <c r="V423" s="301"/>
      <c r="W423" s="301"/>
      <c r="X423" s="307"/>
      <c r="Y423" s="301"/>
      <c r="Z423" s="301"/>
      <c r="AA423" s="301"/>
      <c r="AB423" s="301"/>
      <c r="AC423" s="301"/>
      <c r="AD423" s="301"/>
      <c r="AE423" s="301"/>
      <c r="AF423" s="301"/>
      <c r="AG423" s="301"/>
      <c r="AH423" s="307"/>
      <c r="AI423" s="307"/>
      <c r="AJ423" s="307"/>
      <c r="AK423" s="307"/>
      <c r="AL423" s="307"/>
      <c r="AM423" s="307"/>
      <c r="AN423" s="307"/>
      <c r="AO423" s="307"/>
      <c r="AP423" s="307"/>
      <c r="AQ423" s="307"/>
      <c r="AR423" s="307"/>
      <c r="AS423" s="307"/>
      <c r="AT423" s="307"/>
      <c r="AU423" s="307"/>
    </row>
    <row r="424" ht="12.0" customHeight="1">
      <c r="A424" s="301"/>
      <c r="B424" s="301"/>
      <c r="C424" s="301"/>
      <c r="D424" s="301"/>
      <c r="E424" s="301"/>
      <c r="F424" s="301"/>
      <c r="G424" s="301"/>
      <c r="H424" s="307"/>
      <c r="I424" s="301"/>
      <c r="J424" s="301"/>
      <c r="K424" s="301"/>
      <c r="L424" s="301"/>
      <c r="M424" s="301"/>
      <c r="N424" s="301"/>
      <c r="O424" s="301"/>
      <c r="P424" s="301"/>
      <c r="Q424" s="301"/>
      <c r="R424" s="301"/>
      <c r="S424" s="301"/>
      <c r="T424" s="301"/>
      <c r="U424" s="307"/>
      <c r="V424" s="301"/>
      <c r="W424" s="301"/>
      <c r="X424" s="307"/>
      <c r="Y424" s="301"/>
      <c r="Z424" s="301"/>
      <c r="AA424" s="301"/>
      <c r="AB424" s="301"/>
      <c r="AC424" s="301"/>
      <c r="AD424" s="301"/>
      <c r="AE424" s="301"/>
      <c r="AF424" s="301"/>
      <c r="AG424" s="301"/>
      <c r="AH424" s="307"/>
      <c r="AI424" s="307"/>
      <c r="AJ424" s="307"/>
      <c r="AK424" s="307"/>
      <c r="AL424" s="307"/>
      <c r="AM424" s="307"/>
      <c r="AN424" s="307"/>
      <c r="AO424" s="307"/>
      <c r="AP424" s="307"/>
      <c r="AQ424" s="307"/>
      <c r="AR424" s="307"/>
      <c r="AS424" s="307"/>
      <c r="AT424" s="307"/>
      <c r="AU424" s="307"/>
    </row>
    <row r="425" ht="12.0" customHeight="1">
      <c r="A425" s="301"/>
      <c r="B425" s="301"/>
      <c r="C425" s="301"/>
      <c r="D425" s="301"/>
      <c r="E425" s="301"/>
      <c r="F425" s="301"/>
      <c r="G425" s="301"/>
      <c r="H425" s="307"/>
      <c r="I425" s="301"/>
      <c r="J425" s="301"/>
      <c r="K425" s="301"/>
      <c r="L425" s="301"/>
      <c r="M425" s="301"/>
      <c r="N425" s="301"/>
      <c r="O425" s="301"/>
      <c r="P425" s="301"/>
      <c r="Q425" s="301"/>
      <c r="R425" s="301"/>
      <c r="S425" s="301"/>
      <c r="T425" s="301"/>
      <c r="U425" s="307"/>
      <c r="V425" s="301"/>
      <c r="W425" s="301"/>
      <c r="X425" s="307"/>
      <c r="Y425" s="301"/>
      <c r="Z425" s="301"/>
      <c r="AA425" s="301"/>
      <c r="AB425" s="301"/>
      <c r="AC425" s="301"/>
      <c r="AD425" s="301"/>
      <c r="AE425" s="301"/>
      <c r="AF425" s="301"/>
      <c r="AG425" s="301"/>
      <c r="AH425" s="307"/>
      <c r="AI425" s="307"/>
      <c r="AJ425" s="307"/>
      <c r="AK425" s="307"/>
      <c r="AL425" s="307"/>
      <c r="AM425" s="307"/>
      <c r="AN425" s="307"/>
      <c r="AO425" s="307"/>
      <c r="AP425" s="307"/>
      <c r="AQ425" s="307"/>
      <c r="AR425" s="307"/>
      <c r="AS425" s="307"/>
      <c r="AT425" s="307"/>
      <c r="AU425" s="307"/>
    </row>
    <row r="426" ht="12.0" customHeight="1">
      <c r="A426" s="301"/>
      <c r="B426" s="301"/>
      <c r="C426" s="301"/>
      <c r="D426" s="301"/>
      <c r="E426" s="301"/>
      <c r="F426" s="301"/>
      <c r="G426" s="301"/>
      <c r="H426" s="307"/>
      <c r="I426" s="301"/>
      <c r="J426" s="301"/>
      <c r="K426" s="301"/>
      <c r="L426" s="301"/>
      <c r="M426" s="301"/>
      <c r="N426" s="301"/>
      <c r="O426" s="301"/>
      <c r="P426" s="301"/>
      <c r="Q426" s="301"/>
      <c r="R426" s="301"/>
      <c r="S426" s="301"/>
      <c r="T426" s="301"/>
      <c r="U426" s="307"/>
      <c r="V426" s="301"/>
      <c r="W426" s="301"/>
      <c r="X426" s="307"/>
      <c r="Y426" s="301"/>
      <c r="Z426" s="301"/>
      <c r="AA426" s="301"/>
      <c r="AB426" s="301"/>
      <c r="AC426" s="301"/>
      <c r="AD426" s="301"/>
      <c r="AE426" s="301"/>
      <c r="AF426" s="301"/>
      <c r="AG426" s="301"/>
      <c r="AH426" s="307"/>
      <c r="AI426" s="307"/>
      <c r="AJ426" s="307"/>
      <c r="AK426" s="307"/>
      <c r="AL426" s="307"/>
      <c r="AM426" s="307"/>
      <c r="AN426" s="307"/>
      <c r="AO426" s="307"/>
      <c r="AP426" s="307"/>
      <c r="AQ426" s="307"/>
      <c r="AR426" s="307"/>
      <c r="AS426" s="307"/>
      <c r="AT426" s="307"/>
      <c r="AU426" s="307"/>
    </row>
    <row r="427" ht="12.0" customHeight="1">
      <c r="A427" s="301"/>
      <c r="B427" s="301"/>
      <c r="C427" s="301"/>
      <c r="D427" s="301"/>
      <c r="E427" s="301"/>
      <c r="F427" s="301"/>
      <c r="G427" s="301"/>
      <c r="H427" s="307"/>
      <c r="I427" s="301"/>
      <c r="J427" s="301"/>
      <c r="K427" s="301"/>
      <c r="L427" s="301"/>
      <c r="M427" s="301"/>
      <c r="N427" s="301"/>
      <c r="O427" s="301"/>
      <c r="P427" s="301"/>
      <c r="Q427" s="301"/>
      <c r="R427" s="301"/>
      <c r="S427" s="301"/>
      <c r="T427" s="301"/>
      <c r="U427" s="307"/>
      <c r="V427" s="301"/>
      <c r="W427" s="301"/>
      <c r="X427" s="307"/>
      <c r="Y427" s="301"/>
      <c r="Z427" s="301"/>
      <c r="AA427" s="301"/>
      <c r="AB427" s="301"/>
      <c r="AC427" s="301"/>
      <c r="AD427" s="301"/>
      <c r="AE427" s="301"/>
      <c r="AF427" s="301"/>
      <c r="AG427" s="301"/>
      <c r="AH427" s="307"/>
      <c r="AI427" s="307"/>
      <c r="AJ427" s="307"/>
      <c r="AK427" s="307"/>
      <c r="AL427" s="307"/>
      <c r="AM427" s="307"/>
      <c r="AN427" s="307"/>
      <c r="AO427" s="307"/>
      <c r="AP427" s="307"/>
      <c r="AQ427" s="307"/>
      <c r="AR427" s="307"/>
      <c r="AS427" s="307"/>
      <c r="AT427" s="307"/>
      <c r="AU427" s="307"/>
    </row>
    <row r="428" ht="12.0" customHeight="1">
      <c r="A428" s="301"/>
      <c r="B428" s="301"/>
      <c r="C428" s="301"/>
      <c r="D428" s="301"/>
      <c r="E428" s="301"/>
      <c r="F428" s="301"/>
      <c r="G428" s="301"/>
      <c r="H428" s="307"/>
      <c r="I428" s="301"/>
      <c r="J428" s="301"/>
      <c r="K428" s="301"/>
      <c r="L428" s="301"/>
      <c r="M428" s="301"/>
      <c r="N428" s="301"/>
      <c r="O428" s="301"/>
      <c r="P428" s="301"/>
      <c r="Q428" s="301"/>
      <c r="R428" s="301"/>
      <c r="S428" s="301"/>
      <c r="T428" s="301"/>
      <c r="U428" s="307"/>
      <c r="V428" s="301"/>
      <c r="W428" s="301"/>
      <c r="X428" s="307"/>
      <c r="Y428" s="301"/>
      <c r="Z428" s="301"/>
      <c r="AA428" s="301"/>
      <c r="AB428" s="301"/>
      <c r="AC428" s="301"/>
      <c r="AD428" s="301"/>
      <c r="AE428" s="301"/>
      <c r="AF428" s="301"/>
      <c r="AG428" s="301"/>
      <c r="AH428" s="307"/>
      <c r="AI428" s="307"/>
      <c r="AJ428" s="307"/>
      <c r="AK428" s="307"/>
      <c r="AL428" s="307"/>
      <c r="AM428" s="307"/>
      <c r="AN428" s="307"/>
      <c r="AO428" s="307"/>
      <c r="AP428" s="307"/>
      <c r="AQ428" s="307"/>
      <c r="AR428" s="307"/>
      <c r="AS428" s="307"/>
      <c r="AT428" s="307"/>
      <c r="AU428" s="307"/>
    </row>
    <row r="429" ht="12.0" customHeight="1">
      <c r="A429" s="301"/>
      <c r="B429" s="301"/>
      <c r="C429" s="301"/>
      <c r="D429" s="301"/>
      <c r="E429" s="301"/>
      <c r="F429" s="301"/>
      <c r="G429" s="301"/>
      <c r="H429" s="307"/>
      <c r="I429" s="301"/>
      <c r="J429" s="301"/>
      <c r="K429" s="301"/>
      <c r="L429" s="301"/>
      <c r="M429" s="301"/>
      <c r="N429" s="301"/>
      <c r="O429" s="301"/>
      <c r="P429" s="301"/>
      <c r="Q429" s="301"/>
      <c r="R429" s="301"/>
      <c r="S429" s="301"/>
      <c r="T429" s="301"/>
      <c r="U429" s="307"/>
      <c r="V429" s="301"/>
      <c r="W429" s="301"/>
      <c r="X429" s="307"/>
      <c r="Y429" s="301"/>
      <c r="Z429" s="301"/>
      <c r="AA429" s="301"/>
      <c r="AB429" s="301"/>
      <c r="AC429" s="301"/>
      <c r="AD429" s="301"/>
      <c r="AE429" s="301"/>
      <c r="AF429" s="301"/>
      <c r="AG429" s="301"/>
      <c r="AH429" s="307"/>
      <c r="AI429" s="307"/>
      <c r="AJ429" s="307"/>
      <c r="AK429" s="307"/>
      <c r="AL429" s="307"/>
      <c r="AM429" s="307"/>
      <c r="AN429" s="307"/>
      <c r="AO429" s="307"/>
      <c r="AP429" s="307"/>
      <c r="AQ429" s="307"/>
      <c r="AR429" s="307"/>
      <c r="AS429" s="307"/>
      <c r="AT429" s="307"/>
      <c r="AU429" s="307"/>
    </row>
    <row r="430" ht="12.0" customHeight="1">
      <c r="A430" s="301"/>
      <c r="B430" s="301"/>
      <c r="C430" s="301"/>
      <c r="D430" s="301"/>
      <c r="E430" s="301"/>
      <c r="F430" s="301"/>
      <c r="G430" s="301"/>
      <c r="H430" s="307"/>
      <c r="I430" s="301"/>
      <c r="J430" s="301"/>
      <c r="K430" s="301"/>
      <c r="L430" s="301"/>
      <c r="M430" s="301"/>
      <c r="N430" s="301"/>
      <c r="O430" s="301"/>
      <c r="P430" s="301"/>
      <c r="Q430" s="301"/>
      <c r="R430" s="301"/>
      <c r="S430" s="301"/>
      <c r="T430" s="301"/>
      <c r="U430" s="307"/>
      <c r="V430" s="301"/>
      <c r="W430" s="301"/>
      <c r="X430" s="307"/>
      <c r="Y430" s="301"/>
      <c r="Z430" s="301"/>
      <c r="AA430" s="301"/>
      <c r="AB430" s="301"/>
      <c r="AC430" s="301"/>
      <c r="AD430" s="301"/>
      <c r="AE430" s="301"/>
      <c r="AF430" s="301"/>
      <c r="AG430" s="301"/>
      <c r="AH430" s="307"/>
      <c r="AI430" s="307"/>
      <c r="AJ430" s="307"/>
      <c r="AK430" s="307"/>
      <c r="AL430" s="307"/>
      <c r="AM430" s="307"/>
      <c r="AN430" s="307"/>
      <c r="AO430" s="307"/>
      <c r="AP430" s="307"/>
      <c r="AQ430" s="307"/>
      <c r="AR430" s="307"/>
      <c r="AS430" s="307"/>
      <c r="AT430" s="307"/>
      <c r="AU430" s="307"/>
    </row>
    <row r="431" ht="12.0" customHeight="1">
      <c r="A431" s="301"/>
      <c r="B431" s="301"/>
      <c r="C431" s="301"/>
      <c r="D431" s="301"/>
      <c r="E431" s="301"/>
      <c r="F431" s="301"/>
      <c r="G431" s="301"/>
      <c r="H431" s="307"/>
      <c r="I431" s="301"/>
      <c r="J431" s="301"/>
      <c r="K431" s="301"/>
      <c r="L431" s="301"/>
      <c r="M431" s="301"/>
      <c r="N431" s="301"/>
      <c r="O431" s="301"/>
      <c r="P431" s="301"/>
      <c r="Q431" s="301"/>
      <c r="R431" s="301"/>
      <c r="S431" s="301"/>
      <c r="T431" s="301"/>
      <c r="U431" s="307"/>
      <c r="V431" s="301"/>
      <c r="W431" s="301"/>
      <c r="X431" s="307"/>
      <c r="Y431" s="301"/>
      <c r="Z431" s="301"/>
      <c r="AA431" s="301"/>
      <c r="AB431" s="301"/>
      <c r="AC431" s="301"/>
      <c r="AD431" s="301"/>
      <c r="AE431" s="301"/>
      <c r="AF431" s="301"/>
      <c r="AG431" s="301"/>
      <c r="AH431" s="307"/>
      <c r="AI431" s="307"/>
      <c r="AJ431" s="307"/>
      <c r="AK431" s="307"/>
      <c r="AL431" s="307"/>
      <c r="AM431" s="307"/>
      <c r="AN431" s="307"/>
      <c r="AO431" s="307"/>
      <c r="AP431" s="307"/>
      <c r="AQ431" s="307"/>
      <c r="AR431" s="307"/>
      <c r="AS431" s="307"/>
      <c r="AT431" s="307"/>
      <c r="AU431" s="307"/>
    </row>
    <row r="432" ht="12.0" customHeight="1">
      <c r="A432" s="301"/>
      <c r="B432" s="301"/>
      <c r="C432" s="301"/>
      <c r="D432" s="301"/>
      <c r="E432" s="301"/>
      <c r="F432" s="301"/>
      <c r="G432" s="301"/>
      <c r="H432" s="307"/>
      <c r="I432" s="301"/>
      <c r="J432" s="301"/>
      <c r="K432" s="301"/>
      <c r="L432" s="301"/>
      <c r="M432" s="301"/>
      <c r="N432" s="301"/>
      <c r="O432" s="301"/>
      <c r="P432" s="301"/>
      <c r="Q432" s="301"/>
      <c r="R432" s="301"/>
      <c r="S432" s="301"/>
      <c r="T432" s="301"/>
      <c r="U432" s="307"/>
      <c r="V432" s="301"/>
      <c r="W432" s="301"/>
      <c r="X432" s="307"/>
      <c r="Y432" s="301"/>
      <c r="Z432" s="301"/>
      <c r="AA432" s="301"/>
      <c r="AB432" s="301"/>
      <c r="AC432" s="301"/>
      <c r="AD432" s="301"/>
      <c r="AE432" s="301"/>
      <c r="AF432" s="301"/>
      <c r="AG432" s="301"/>
      <c r="AH432" s="307"/>
      <c r="AI432" s="307"/>
      <c r="AJ432" s="307"/>
      <c r="AK432" s="307"/>
      <c r="AL432" s="307"/>
      <c r="AM432" s="307"/>
      <c r="AN432" s="307"/>
      <c r="AO432" s="307"/>
      <c r="AP432" s="307"/>
      <c r="AQ432" s="307"/>
      <c r="AR432" s="307"/>
      <c r="AS432" s="307"/>
      <c r="AT432" s="307"/>
      <c r="AU432" s="307"/>
    </row>
    <row r="433" ht="12.0" customHeight="1">
      <c r="A433" s="301"/>
      <c r="B433" s="301"/>
      <c r="C433" s="301"/>
      <c r="D433" s="301"/>
      <c r="E433" s="301"/>
      <c r="F433" s="301"/>
      <c r="G433" s="301"/>
      <c r="H433" s="307"/>
      <c r="I433" s="301"/>
      <c r="J433" s="301"/>
      <c r="K433" s="301"/>
      <c r="L433" s="301"/>
      <c r="M433" s="301"/>
      <c r="N433" s="301"/>
      <c r="O433" s="301"/>
      <c r="P433" s="301"/>
      <c r="Q433" s="301"/>
      <c r="R433" s="301"/>
      <c r="S433" s="301"/>
      <c r="T433" s="301"/>
      <c r="U433" s="307"/>
      <c r="V433" s="301"/>
      <c r="W433" s="301"/>
      <c r="X433" s="307"/>
      <c r="Y433" s="301"/>
      <c r="Z433" s="301"/>
      <c r="AA433" s="301"/>
      <c r="AB433" s="301"/>
      <c r="AC433" s="301"/>
      <c r="AD433" s="301"/>
      <c r="AE433" s="301"/>
      <c r="AF433" s="301"/>
      <c r="AG433" s="301"/>
      <c r="AH433" s="307"/>
      <c r="AI433" s="307"/>
      <c r="AJ433" s="307"/>
      <c r="AK433" s="307"/>
      <c r="AL433" s="307"/>
      <c r="AM433" s="307"/>
      <c r="AN433" s="307"/>
      <c r="AO433" s="307"/>
      <c r="AP433" s="307"/>
      <c r="AQ433" s="307"/>
      <c r="AR433" s="307"/>
      <c r="AS433" s="307"/>
      <c r="AT433" s="307"/>
      <c r="AU433" s="307"/>
    </row>
    <row r="434" ht="12.0" customHeight="1">
      <c r="A434" s="301"/>
      <c r="B434" s="301"/>
      <c r="C434" s="301"/>
      <c r="D434" s="301"/>
      <c r="E434" s="301"/>
      <c r="F434" s="301"/>
      <c r="G434" s="301"/>
      <c r="H434" s="307"/>
      <c r="I434" s="301"/>
      <c r="J434" s="301"/>
      <c r="K434" s="301"/>
      <c r="L434" s="301"/>
      <c r="M434" s="301"/>
      <c r="N434" s="301"/>
      <c r="O434" s="301"/>
      <c r="P434" s="301"/>
      <c r="Q434" s="301"/>
      <c r="R434" s="301"/>
      <c r="S434" s="301"/>
      <c r="T434" s="301"/>
      <c r="U434" s="307"/>
      <c r="V434" s="301"/>
      <c r="W434" s="301"/>
      <c r="X434" s="307"/>
      <c r="Y434" s="301"/>
      <c r="Z434" s="301"/>
      <c r="AA434" s="301"/>
      <c r="AB434" s="301"/>
      <c r="AC434" s="301"/>
      <c r="AD434" s="301"/>
      <c r="AE434" s="301"/>
      <c r="AF434" s="301"/>
      <c r="AG434" s="301"/>
      <c r="AH434" s="307"/>
      <c r="AI434" s="307"/>
      <c r="AJ434" s="307"/>
      <c r="AK434" s="307"/>
      <c r="AL434" s="307"/>
      <c r="AM434" s="307"/>
      <c r="AN434" s="307"/>
      <c r="AO434" s="307"/>
      <c r="AP434" s="307"/>
      <c r="AQ434" s="307"/>
      <c r="AR434" s="307"/>
      <c r="AS434" s="307"/>
      <c r="AT434" s="307"/>
      <c r="AU434" s="307"/>
    </row>
    <row r="435" ht="12.0" customHeight="1">
      <c r="A435" s="301"/>
      <c r="B435" s="301"/>
      <c r="C435" s="301"/>
      <c r="D435" s="301"/>
      <c r="E435" s="301"/>
      <c r="F435" s="301"/>
      <c r="G435" s="301"/>
      <c r="H435" s="307"/>
      <c r="I435" s="301"/>
      <c r="J435" s="301"/>
      <c r="K435" s="301"/>
      <c r="L435" s="301"/>
      <c r="M435" s="301"/>
      <c r="N435" s="301"/>
      <c r="O435" s="301"/>
      <c r="P435" s="301"/>
      <c r="Q435" s="301"/>
      <c r="R435" s="301"/>
      <c r="S435" s="301"/>
      <c r="T435" s="301"/>
      <c r="U435" s="307"/>
      <c r="V435" s="301"/>
      <c r="W435" s="301"/>
      <c r="X435" s="307"/>
      <c r="Y435" s="301"/>
      <c r="Z435" s="301"/>
      <c r="AA435" s="301"/>
      <c r="AB435" s="301"/>
      <c r="AC435" s="301"/>
      <c r="AD435" s="301"/>
      <c r="AE435" s="307"/>
      <c r="AF435" s="301"/>
      <c r="AG435" s="301"/>
      <c r="AH435" s="307"/>
      <c r="AI435" s="307"/>
      <c r="AJ435" s="307"/>
      <c r="AK435" s="307"/>
      <c r="AL435" s="307"/>
      <c r="AM435" s="307"/>
      <c r="AN435" s="307"/>
      <c r="AO435" s="307"/>
      <c r="AP435" s="307"/>
      <c r="AQ435" s="307"/>
      <c r="AR435" s="307"/>
      <c r="AS435" s="307"/>
      <c r="AT435" s="307"/>
      <c r="AU435" s="307"/>
    </row>
    <row r="436" ht="12.0" customHeight="1">
      <c r="A436" s="301"/>
      <c r="B436" s="301"/>
      <c r="C436" s="301"/>
      <c r="D436" s="301"/>
      <c r="E436" s="301"/>
      <c r="F436" s="301"/>
      <c r="G436" s="301"/>
      <c r="H436" s="307"/>
      <c r="I436" s="301"/>
      <c r="J436" s="301"/>
      <c r="K436" s="301"/>
      <c r="L436" s="301"/>
      <c r="M436" s="301"/>
      <c r="N436" s="301"/>
      <c r="O436" s="301"/>
      <c r="P436" s="301"/>
      <c r="Q436" s="301"/>
      <c r="R436" s="301"/>
      <c r="S436" s="301"/>
      <c r="T436" s="301"/>
      <c r="U436" s="307"/>
      <c r="V436" s="301"/>
      <c r="W436" s="301"/>
      <c r="X436" s="307"/>
      <c r="Y436" s="301"/>
      <c r="Z436" s="301"/>
      <c r="AA436" s="301"/>
      <c r="AB436" s="301"/>
      <c r="AC436" s="301"/>
      <c r="AD436" s="301"/>
      <c r="AE436" s="307"/>
      <c r="AF436" s="301"/>
      <c r="AG436" s="301"/>
      <c r="AH436" s="307"/>
      <c r="AI436" s="307"/>
      <c r="AJ436" s="307"/>
      <c r="AK436" s="307"/>
      <c r="AL436" s="307"/>
      <c r="AM436" s="307"/>
      <c r="AN436" s="307"/>
      <c r="AO436" s="307"/>
      <c r="AP436" s="307"/>
      <c r="AQ436" s="307"/>
      <c r="AR436" s="307"/>
      <c r="AS436" s="307"/>
      <c r="AT436" s="307"/>
      <c r="AU436" s="307"/>
    </row>
    <row r="437" ht="12.0" customHeight="1">
      <c r="A437" s="301"/>
      <c r="B437" s="301"/>
      <c r="C437" s="301"/>
      <c r="D437" s="301"/>
      <c r="E437" s="301"/>
      <c r="F437" s="301"/>
      <c r="G437" s="301"/>
      <c r="H437" s="307"/>
      <c r="I437" s="301"/>
      <c r="J437" s="301"/>
      <c r="K437" s="301"/>
      <c r="L437" s="301"/>
      <c r="M437" s="301"/>
      <c r="N437" s="301"/>
      <c r="O437" s="301"/>
      <c r="P437" s="301"/>
      <c r="Q437" s="301"/>
      <c r="R437" s="301"/>
      <c r="S437" s="301"/>
      <c r="T437" s="301"/>
      <c r="U437" s="307"/>
      <c r="V437" s="301"/>
      <c r="W437" s="301"/>
      <c r="X437" s="307"/>
      <c r="Y437" s="301"/>
      <c r="Z437" s="301"/>
      <c r="AA437" s="301"/>
      <c r="AB437" s="301"/>
      <c r="AC437" s="301"/>
      <c r="AD437" s="301"/>
      <c r="AE437" s="307"/>
      <c r="AF437" s="301"/>
      <c r="AG437" s="301"/>
      <c r="AH437" s="307"/>
      <c r="AI437" s="307"/>
      <c r="AJ437" s="307"/>
      <c r="AK437" s="307"/>
      <c r="AL437" s="307"/>
      <c r="AM437" s="307"/>
      <c r="AN437" s="307"/>
      <c r="AO437" s="307"/>
      <c r="AP437" s="307"/>
      <c r="AQ437" s="307"/>
      <c r="AR437" s="307"/>
      <c r="AS437" s="307"/>
      <c r="AT437" s="307"/>
      <c r="AU437" s="307"/>
    </row>
    <row r="438" ht="12.0" customHeight="1">
      <c r="A438" s="301"/>
      <c r="B438" s="301"/>
      <c r="C438" s="301"/>
      <c r="D438" s="301"/>
      <c r="E438" s="301"/>
      <c r="F438" s="301"/>
      <c r="G438" s="301"/>
      <c r="H438" s="307"/>
      <c r="I438" s="301"/>
      <c r="J438" s="301"/>
      <c r="K438" s="301"/>
      <c r="L438" s="301"/>
      <c r="M438" s="301"/>
      <c r="N438" s="301"/>
      <c r="O438" s="301"/>
      <c r="P438" s="301"/>
      <c r="Q438" s="301"/>
      <c r="R438" s="301"/>
      <c r="S438" s="301"/>
      <c r="T438" s="301"/>
      <c r="U438" s="307"/>
      <c r="V438" s="301"/>
      <c r="W438" s="301"/>
      <c r="X438" s="307"/>
      <c r="Y438" s="301"/>
      <c r="Z438" s="301"/>
      <c r="AA438" s="301"/>
      <c r="AB438" s="301"/>
      <c r="AC438" s="301"/>
      <c r="AD438" s="301"/>
      <c r="AE438" s="307"/>
      <c r="AF438" s="301"/>
      <c r="AG438" s="301"/>
      <c r="AH438" s="307"/>
      <c r="AI438" s="307"/>
      <c r="AJ438" s="307"/>
      <c r="AK438" s="307"/>
      <c r="AL438" s="307"/>
      <c r="AM438" s="307"/>
      <c r="AN438" s="307"/>
      <c r="AO438" s="307"/>
      <c r="AP438" s="307"/>
      <c r="AQ438" s="307"/>
      <c r="AR438" s="307"/>
      <c r="AS438" s="307"/>
      <c r="AT438" s="307"/>
      <c r="AU438" s="307"/>
    </row>
    <row r="439" ht="12.0" customHeight="1">
      <c r="A439" s="301"/>
      <c r="B439" s="301"/>
      <c r="C439" s="301"/>
      <c r="D439" s="301"/>
      <c r="E439" s="301"/>
      <c r="F439" s="301"/>
      <c r="G439" s="301"/>
      <c r="H439" s="307"/>
      <c r="I439" s="301"/>
      <c r="J439" s="301"/>
      <c r="K439" s="301"/>
      <c r="L439" s="301"/>
      <c r="M439" s="301"/>
      <c r="N439" s="301"/>
      <c r="O439" s="301"/>
      <c r="P439" s="301"/>
      <c r="Q439" s="301"/>
      <c r="R439" s="301"/>
      <c r="S439" s="301"/>
      <c r="T439" s="301"/>
      <c r="U439" s="307"/>
      <c r="V439" s="301"/>
      <c r="W439" s="301"/>
      <c r="X439" s="307"/>
      <c r="Y439" s="301"/>
      <c r="Z439" s="301"/>
      <c r="AA439" s="301"/>
      <c r="AB439" s="301"/>
      <c r="AC439" s="301"/>
      <c r="AD439" s="301"/>
      <c r="AE439" s="307"/>
      <c r="AF439" s="301"/>
      <c r="AG439" s="301"/>
      <c r="AH439" s="307"/>
      <c r="AI439" s="307"/>
      <c r="AJ439" s="307"/>
      <c r="AK439" s="307"/>
      <c r="AL439" s="307"/>
      <c r="AM439" s="307"/>
      <c r="AN439" s="307"/>
      <c r="AO439" s="307"/>
      <c r="AP439" s="307"/>
      <c r="AQ439" s="307"/>
      <c r="AR439" s="307"/>
      <c r="AS439" s="307"/>
      <c r="AT439" s="307"/>
      <c r="AU439" s="307"/>
    </row>
    <row r="440" ht="12.0" customHeight="1">
      <c r="A440" s="301"/>
      <c r="B440" s="301"/>
      <c r="C440" s="301"/>
      <c r="D440" s="301"/>
      <c r="E440" s="301"/>
      <c r="F440" s="301"/>
      <c r="G440" s="301"/>
      <c r="H440" s="307"/>
      <c r="I440" s="301"/>
      <c r="J440" s="301"/>
      <c r="K440" s="301"/>
      <c r="L440" s="301"/>
      <c r="M440" s="301"/>
      <c r="N440" s="301"/>
      <c r="O440" s="301"/>
      <c r="P440" s="301"/>
      <c r="Q440" s="301"/>
      <c r="R440" s="301"/>
      <c r="S440" s="301"/>
      <c r="T440" s="301"/>
      <c r="U440" s="307"/>
      <c r="V440" s="301"/>
      <c r="W440" s="301"/>
      <c r="X440" s="307"/>
      <c r="Y440" s="301"/>
      <c r="Z440" s="301"/>
      <c r="AA440" s="301"/>
      <c r="AB440" s="301"/>
      <c r="AC440" s="301"/>
      <c r="AD440" s="301"/>
      <c r="AE440" s="307"/>
      <c r="AF440" s="301"/>
      <c r="AG440" s="301"/>
      <c r="AH440" s="307"/>
      <c r="AI440" s="307"/>
      <c r="AJ440" s="307"/>
      <c r="AK440" s="307"/>
      <c r="AL440" s="307"/>
      <c r="AM440" s="307"/>
      <c r="AN440" s="307"/>
      <c r="AO440" s="307"/>
      <c r="AP440" s="307"/>
      <c r="AQ440" s="307"/>
      <c r="AR440" s="307"/>
      <c r="AS440" s="307"/>
      <c r="AT440" s="307"/>
      <c r="AU440" s="307"/>
    </row>
    <row r="441" ht="12.0" customHeight="1">
      <c r="A441" s="301"/>
      <c r="B441" s="301"/>
      <c r="C441" s="301"/>
      <c r="D441" s="301"/>
      <c r="E441" s="301"/>
      <c r="F441" s="301"/>
      <c r="G441" s="301"/>
      <c r="H441" s="307"/>
      <c r="I441" s="301"/>
      <c r="J441" s="301"/>
      <c r="K441" s="301"/>
      <c r="L441" s="301"/>
      <c r="M441" s="301"/>
      <c r="N441" s="301"/>
      <c r="O441" s="301"/>
      <c r="P441" s="301"/>
      <c r="Q441" s="301"/>
      <c r="R441" s="301"/>
      <c r="S441" s="301"/>
      <c r="T441" s="301"/>
      <c r="U441" s="307"/>
      <c r="V441" s="301"/>
      <c r="W441" s="301"/>
      <c r="X441" s="307"/>
      <c r="Y441" s="301"/>
      <c r="Z441" s="301"/>
      <c r="AA441" s="301"/>
      <c r="AB441" s="301"/>
      <c r="AC441" s="301"/>
      <c r="AD441" s="301"/>
      <c r="AE441" s="307"/>
      <c r="AF441" s="301"/>
      <c r="AG441" s="301"/>
      <c r="AH441" s="307"/>
      <c r="AI441" s="307"/>
      <c r="AJ441" s="307"/>
      <c r="AK441" s="307"/>
      <c r="AL441" s="307"/>
      <c r="AM441" s="307"/>
      <c r="AN441" s="307"/>
      <c r="AO441" s="307"/>
      <c r="AP441" s="307"/>
      <c r="AQ441" s="307"/>
      <c r="AR441" s="307"/>
      <c r="AS441" s="307"/>
      <c r="AT441" s="307"/>
      <c r="AU441" s="307"/>
    </row>
    <row r="442" ht="12.0" customHeight="1">
      <c r="A442" s="301"/>
      <c r="B442" s="301"/>
      <c r="C442" s="301"/>
      <c r="D442" s="301"/>
      <c r="E442" s="301"/>
      <c r="F442" s="301"/>
      <c r="G442" s="301"/>
      <c r="H442" s="307"/>
      <c r="I442" s="301"/>
      <c r="J442" s="301"/>
      <c r="K442" s="301"/>
      <c r="L442" s="301"/>
      <c r="M442" s="301"/>
      <c r="N442" s="301"/>
      <c r="O442" s="301"/>
      <c r="P442" s="301"/>
      <c r="Q442" s="301"/>
      <c r="R442" s="301"/>
      <c r="S442" s="301"/>
      <c r="T442" s="301"/>
      <c r="U442" s="307"/>
      <c r="V442" s="301"/>
      <c r="W442" s="301"/>
      <c r="X442" s="307"/>
      <c r="Y442" s="301"/>
      <c r="Z442" s="301"/>
      <c r="AA442" s="301"/>
      <c r="AB442" s="301"/>
      <c r="AC442" s="301"/>
      <c r="AD442" s="301"/>
      <c r="AE442" s="307"/>
      <c r="AF442" s="301"/>
      <c r="AG442" s="301"/>
      <c r="AH442" s="307"/>
      <c r="AI442" s="307"/>
      <c r="AJ442" s="307"/>
      <c r="AK442" s="307"/>
      <c r="AL442" s="307"/>
      <c r="AM442" s="307"/>
      <c r="AN442" s="307"/>
      <c r="AO442" s="307"/>
      <c r="AP442" s="307"/>
      <c r="AQ442" s="307"/>
      <c r="AR442" s="307"/>
      <c r="AS442" s="307"/>
      <c r="AT442" s="307"/>
      <c r="AU442" s="307"/>
    </row>
    <row r="443" ht="12.0" customHeight="1">
      <c r="A443" s="301"/>
      <c r="B443" s="301"/>
      <c r="C443" s="301"/>
      <c r="D443" s="301"/>
      <c r="E443" s="301"/>
      <c r="F443" s="301"/>
      <c r="G443" s="301"/>
      <c r="H443" s="307"/>
      <c r="I443" s="301"/>
      <c r="J443" s="301"/>
      <c r="K443" s="301"/>
      <c r="L443" s="301"/>
      <c r="M443" s="301"/>
      <c r="N443" s="301"/>
      <c r="O443" s="301"/>
      <c r="P443" s="301"/>
      <c r="Q443" s="301"/>
      <c r="R443" s="301"/>
      <c r="S443" s="301"/>
      <c r="T443" s="301"/>
      <c r="U443" s="307"/>
      <c r="V443" s="301"/>
      <c r="W443" s="301"/>
      <c r="X443" s="307"/>
      <c r="Y443" s="301"/>
      <c r="Z443" s="301"/>
      <c r="AA443" s="301"/>
      <c r="AB443" s="301"/>
      <c r="AC443" s="301"/>
      <c r="AD443" s="301"/>
      <c r="AE443" s="307"/>
      <c r="AF443" s="301"/>
      <c r="AG443" s="301"/>
      <c r="AH443" s="307"/>
      <c r="AI443" s="307"/>
      <c r="AJ443" s="307"/>
      <c r="AK443" s="307"/>
      <c r="AL443" s="307"/>
      <c r="AM443" s="307"/>
      <c r="AN443" s="307"/>
      <c r="AO443" s="307"/>
      <c r="AP443" s="307"/>
      <c r="AQ443" s="307"/>
      <c r="AR443" s="307"/>
      <c r="AS443" s="307"/>
      <c r="AT443" s="307"/>
      <c r="AU443" s="307"/>
    </row>
    <row r="444" ht="12.0" customHeight="1">
      <c r="A444" s="301"/>
      <c r="B444" s="301"/>
      <c r="C444" s="301"/>
      <c r="D444" s="301"/>
      <c r="E444" s="301"/>
      <c r="F444" s="301"/>
      <c r="G444" s="301"/>
      <c r="H444" s="307"/>
      <c r="I444" s="301"/>
      <c r="J444" s="301"/>
      <c r="K444" s="301"/>
      <c r="L444" s="301"/>
      <c r="M444" s="301"/>
      <c r="N444" s="301"/>
      <c r="O444" s="301"/>
      <c r="P444" s="301"/>
      <c r="Q444" s="301"/>
      <c r="R444" s="301"/>
      <c r="S444" s="301"/>
      <c r="T444" s="301"/>
      <c r="U444" s="307"/>
      <c r="V444" s="301"/>
      <c r="W444" s="301"/>
      <c r="X444" s="307"/>
      <c r="Y444" s="301"/>
      <c r="Z444" s="301"/>
      <c r="AA444" s="301"/>
      <c r="AB444" s="301"/>
      <c r="AC444" s="301"/>
      <c r="AD444" s="301"/>
      <c r="AE444" s="307"/>
      <c r="AF444" s="301"/>
      <c r="AG444" s="301"/>
      <c r="AH444" s="307"/>
      <c r="AI444" s="307"/>
      <c r="AJ444" s="307"/>
      <c r="AK444" s="307"/>
      <c r="AL444" s="307"/>
      <c r="AM444" s="307"/>
      <c r="AN444" s="307"/>
      <c r="AO444" s="307"/>
      <c r="AP444" s="307"/>
      <c r="AQ444" s="307"/>
      <c r="AR444" s="307"/>
      <c r="AS444" s="307"/>
      <c r="AT444" s="307"/>
      <c r="AU444" s="307"/>
    </row>
    <row r="445" ht="12.0" customHeight="1">
      <c r="A445" s="301"/>
      <c r="B445" s="301"/>
      <c r="C445" s="301"/>
      <c r="D445" s="301"/>
      <c r="E445" s="301"/>
      <c r="F445" s="301"/>
      <c r="G445" s="301"/>
      <c r="H445" s="307"/>
      <c r="I445" s="301"/>
      <c r="J445" s="301"/>
      <c r="K445" s="301"/>
      <c r="L445" s="301"/>
      <c r="M445" s="301"/>
      <c r="N445" s="301"/>
      <c r="O445" s="301"/>
      <c r="P445" s="301"/>
      <c r="Q445" s="301"/>
      <c r="R445" s="301"/>
      <c r="S445" s="301"/>
      <c r="T445" s="301"/>
      <c r="U445" s="307"/>
      <c r="V445" s="301"/>
      <c r="W445" s="301"/>
      <c r="X445" s="307"/>
      <c r="Y445" s="301"/>
      <c r="Z445" s="301"/>
      <c r="AA445" s="301"/>
      <c r="AB445" s="301"/>
      <c r="AC445" s="301"/>
      <c r="AD445" s="301"/>
      <c r="AE445" s="307"/>
      <c r="AF445" s="301"/>
      <c r="AG445" s="301"/>
      <c r="AH445" s="307"/>
      <c r="AI445" s="307"/>
      <c r="AJ445" s="307"/>
      <c r="AK445" s="307"/>
      <c r="AL445" s="307"/>
      <c r="AM445" s="307"/>
      <c r="AN445" s="307"/>
      <c r="AO445" s="307"/>
      <c r="AP445" s="307"/>
      <c r="AQ445" s="307"/>
      <c r="AR445" s="307"/>
      <c r="AS445" s="307"/>
      <c r="AT445" s="307"/>
      <c r="AU445" s="307"/>
    </row>
    <row r="446" ht="12.0" customHeight="1">
      <c r="A446" s="301"/>
      <c r="B446" s="301"/>
      <c r="C446" s="301"/>
      <c r="D446" s="301"/>
      <c r="E446" s="301"/>
      <c r="F446" s="301"/>
      <c r="G446" s="301"/>
      <c r="H446" s="307"/>
      <c r="I446" s="301"/>
      <c r="J446" s="301"/>
      <c r="K446" s="301"/>
      <c r="L446" s="301"/>
      <c r="M446" s="301"/>
      <c r="N446" s="301"/>
      <c r="O446" s="301"/>
      <c r="P446" s="301"/>
      <c r="Q446" s="301"/>
      <c r="R446" s="301"/>
      <c r="S446" s="301"/>
      <c r="T446" s="301"/>
      <c r="U446" s="307"/>
      <c r="V446" s="301"/>
      <c r="W446" s="301"/>
      <c r="X446" s="307"/>
      <c r="Y446" s="301"/>
      <c r="Z446" s="301"/>
      <c r="AA446" s="301"/>
      <c r="AB446" s="301"/>
      <c r="AC446" s="301"/>
      <c r="AD446" s="301"/>
      <c r="AE446" s="307"/>
      <c r="AF446" s="301"/>
      <c r="AG446" s="301"/>
      <c r="AH446" s="307"/>
      <c r="AI446" s="307"/>
      <c r="AJ446" s="307"/>
      <c r="AK446" s="307"/>
      <c r="AL446" s="307"/>
      <c r="AM446" s="307"/>
      <c r="AN446" s="307"/>
      <c r="AO446" s="307"/>
      <c r="AP446" s="307"/>
      <c r="AQ446" s="307"/>
      <c r="AR446" s="307"/>
      <c r="AS446" s="307"/>
      <c r="AT446" s="307"/>
      <c r="AU446" s="307"/>
    </row>
    <row r="447" ht="12.0" customHeight="1">
      <c r="A447" s="301"/>
      <c r="B447" s="301"/>
      <c r="C447" s="301"/>
      <c r="D447" s="301"/>
      <c r="E447" s="301"/>
      <c r="F447" s="301"/>
      <c r="G447" s="301"/>
      <c r="H447" s="307"/>
      <c r="I447" s="301"/>
      <c r="J447" s="301"/>
      <c r="K447" s="301"/>
      <c r="L447" s="301"/>
      <c r="M447" s="301"/>
      <c r="N447" s="301"/>
      <c r="O447" s="301"/>
      <c r="P447" s="301"/>
      <c r="Q447" s="301"/>
      <c r="R447" s="301"/>
      <c r="S447" s="301"/>
      <c r="T447" s="301"/>
      <c r="U447" s="307"/>
      <c r="V447" s="301"/>
      <c r="W447" s="301"/>
      <c r="X447" s="307"/>
      <c r="Y447" s="301"/>
      <c r="Z447" s="301"/>
      <c r="AA447" s="301"/>
      <c r="AB447" s="301"/>
      <c r="AC447" s="301"/>
      <c r="AD447" s="301"/>
      <c r="AE447" s="307"/>
      <c r="AF447" s="301"/>
      <c r="AG447" s="301"/>
      <c r="AH447" s="307"/>
      <c r="AI447" s="307"/>
      <c r="AJ447" s="307"/>
      <c r="AK447" s="307"/>
      <c r="AL447" s="307"/>
      <c r="AM447" s="307"/>
      <c r="AN447" s="307"/>
      <c r="AO447" s="307"/>
      <c r="AP447" s="307"/>
      <c r="AQ447" s="307"/>
      <c r="AR447" s="307"/>
      <c r="AS447" s="307"/>
      <c r="AT447" s="307"/>
      <c r="AU447" s="307"/>
    </row>
    <row r="448" ht="12.0" customHeight="1">
      <c r="A448" s="301"/>
      <c r="B448" s="301"/>
      <c r="C448" s="301"/>
      <c r="D448" s="301"/>
      <c r="E448" s="301"/>
      <c r="F448" s="301"/>
      <c r="G448" s="301"/>
      <c r="H448" s="307"/>
      <c r="I448" s="301"/>
      <c r="J448" s="301"/>
      <c r="K448" s="301"/>
      <c r="L448" s="301"/>
      <c r="M448" s="301"/>
      <c r="N448" s="301"/>
      <c r="O448" s="301"/>
      <c r="P448" s="301"/>
      <c r="Q448" s="301"/>
      <c r="R448" s="301"/>
      <c r="S448" s="301"/>
      <c r="T448" s="301"/>
      <c r="U448" s="307"/>
      <c r="V448" s="301"/>
      <c r="W448" s="301"/>
      <c r="X448" s="307"/>
      <c r="Y448" s="301"/>
      <c r="Z448" s="301"/>
      <c r="AA448" s="301"/>
      <c r="AB448" s="301"/>
      <c r="AC448" s="301"/>
      <c r="AD448" s="301"/>
      <c r="AE448" s="307"/>
      <c r="AF448" s="301"/>
      <c r="AG448" s="301"/>
      <c r="AH448" s="307"/>
      <c r="AI448" s="307"/>
      <c r="AJ448" s="307"/>
      <c r="AK448" s="307"/>
      <c r="AL448" s="307"/>
      <c r="AM448" s="307"/>
      <c r="AN448" s="307"/>
      <c r="AO448" s="307"/>
      <c r="AP448" s="307"/>
      <c r="AQ448" s="307"/>
      <c r="AR448" s="307"/>
      <c r="AS448" s="307"/>
      <c r="AT448" s="307"/>
      <c r="AU448" s="307"/>
    </row>
    <row r="449" ht="12.0" customHeight="1">
      <c r="A449" s="301"/>
      <c r="B449" s="301"/>
      <c r="C449" s="301"/>
      <c r="D449" s="301"/>
      <c r="E449" s="301"/>
      <c r="F449" s="301"/>
      <c r="G449" s="301"/>
      <c r="H449" s="307"/>
      <c r="I449" s="301"/>
      <c r="J449" s="301"/>
      <c r="K449" s="301"/>
      <c r="L449" s="301"/>
      <c r="M449" s="301"/>
      <c r="N449" s="301"/>
      <c r="O449" s="301"/>
      <c r="P449" s="301"/>
      <c r="Q449" s="301"/>
      <c r="R449" s="301"/>
      <c r="S449" s="301"/>
      <c r="T449" s="301"/>
      <c r="U449" s="307"/>
      <c r="V449" s="301"/>
      <c r="W449" s="301"/>
      <c r="X449" s="307"/>
      <c r="Y449" s="301"/>
      <c r="Z449" s="301"/>
      <c r="AA449" s="301"/>
      <c r="AB449" s="301"/>
      <c r="AC449" s="301"/>
      <c r="AD449" s="301"/>
      <c r="AE449" s="307"/>
      <c r="AF449" s="301"/>
      <c r="AG449" s="301"/>
      <c r="AH449" s="307"/>
      <c r="AI449" s="307"/>
      <c r="AJ449" s="307"/>
      <c r="AK449" s="307"/>
      <c r="AL449" s="307"/>
      <c r="AM449" s="307"/>
      <c r="AN449" s="307"/>
      <c r="AO449" s="307"/>
      <c r="AP449" s="307"/>
      <c r="AQ449" s="307"/>
      <c r="AR449" s="307"/>
      <c r="AS449" s="307"/>
      <c r="AT449" s="307"/>
      <c r="AU449" s="307"/>
    </row>
    <row r="450" ht="12.0" customHeight="1">
      <c r="A450" s="301"/>
      <c r="B450" s="301"/>
      <c r="C450" s="301"/>
      <c r="D450" s="301"/>
      <c r="E450" s="301"/>
      <c r="F450" s="301"/>
      <c r="G450" s="301"/>
      <c r="H450" s="307"/>
      <c r="I450" s="301"/>
      <c r="J450" s="301"/>
      <c r="K450" s="301"/>
      <c r="L450" s="301"/>
      <c r="M450" s="301"/>
      <c r="N450" s="301"/>
      <c r="O450" s="301"/>
      <c r="P450" s="301"/>
      <c r="Q450" s="301"/>
      <c r="R450" s="301"/>
      <c r="S450" s="301"/>
      <c r="T450" s="301"/>
      <c r="U450" s="307"/>
      <c r="V450" s="301"/>
      <c r="W450" s="301"/>
      <c r="X450" s="307"/>
      <c r="Y450" s="301"/>
      <c r="Z450" s="301"/>
      <c r="AA450" s="301"/>
      <c r="AB450" s="301"/>
      <c r="AC450" s="301"/>
      <c r="AD450" s="301"/>
      <c r="AE450" s="307"/>
      <c r="AF450" s="301"/>
      <c r="AG450" s="301"/>
      <c r="AH450" s="307"/>
      <c r="AI450" s="307"/>
      <c r="AJ450" s="307"/>
      <c r="AK450" s="307"/>
      <c r="AL450" s="307"/>
      <c r="AM450" s="307"/>
      <c r="AN450" s="307"/>
      <c r="AO450" s="307"/>
      <c r="AP450" s="307"/>
      <c r="AQ450" s="307"/>
      <c r="AR450" s="307"/>
      <c r="AS450" s="307"/>
      <c r="AT450" s="307"/>
      <c r="AU450" s="307"/>
    </row>
    <row r="451" ht="12.0" customHeight="1">
      <c r="A451" s="301"/>
      <c r="B451" s="301"/>
      <c r="C451" s="301"/>
      <c r="D451" s="301"/>
      <c r="E451" s="301"/>
      <c r="F451" s="301"/>
      <c r="G451" s="301"/>
      <c r="H451" s="307"/>
      <c r="I451" s="301"/>
      <c r="J451" s="301"/>
      <c r="K451" s="301"/>
      <c r="L451" s="301"/>
      <c r="M451" s="301"/>
      <c r="N451" s="301"/>
      <c r="O451" s="301"/>
      <c r="P451" s="301"/>
      <c r="Q451" s="301"/>
      <c r="R451" s="301"/>
      <c r="S451" s="301"/>
      <c r="T451" s="301"/>
      <c r="U451" s="307"/>
      <c r="V451" s="301"/>
      <c r="W451" s="301"/>
      <c r="X451" s="307"/>
      <c r="Y451" s="301"/>
      <c r="Z451" s="301"/>
      <c r="AA451" s="301"/>
      <c r="AB451" s="301"/>
      <c r="AC451" s="301"/>
      <c r="AD451" s="301"/>
      <c r="AE451" s="307"/>
      <c r="AF451" s="301"/>
      <c r="AG451" s="301"/>
      <c r="AH451" s="307"/>
      <c r="AI451" s="307"/>
      <c r="AJ451" s="307"/>
      <c r="AK451" s="307"/>
      <c r="AL451" s="307"/>
      <c r="AM451" s="307"/>
      <c r="AN451" s="307"/>
      <c r="AO451" s="307"/>
      <c r="AP451" s="307"/>
      <c r="AQ451" s="307"/>
      <c r="AR451" s="307"/>
      <c r="AS451" s="307"/>
      <c r="AT451" s="307"/>
      <c r="AU451" s="307"/>
    </row>
    <row r="452" ht="15.75" customHeight="1">
      <c r="A452" s="307"/>
      <c r="B452" s="307"/>
      <c r="C452" s="301"/>
      <c r="D452" s="307"/>
      <c r="E452" s="307"/>
      <c r="F452" s="307"/>
      <c r="G452" s="307"/>
      <c r="H452" s="307"/>
      <c r="I452" s="307"/>
      <c r="J452" s="307"/>
      <c r="K452" s="307"/>
      <c r="L452" s="307"/>
      <c r="M452" s="307"/>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c r="AK452" s="307"/>
      <c r="AL452" s="307"/>
      <c r="AM452" s="307"/>
      <c r="AN452" s="307"/>
      <c r="AO452" s="307"/>
      <c r="AP452" s="307"/>
      <c r="AQ452" s="307"/>
      <c r="AR452" s="307"/>
      <c r="AS452" s="307"/>
      <c r="AT452" s="307"/>
      <c r="AU452" s="307"/>
    </row>
    <row r="453" ht="15.75" customHeight="1">
      <c r="A453" s="307"/>
      <c r="B453" s="307"/>
      <c r="C453" s="307"/>
      <c r="D453" s="307"/>
      <c r="E453" s="307"/>
      <c r="F453" s="307"/>
      <c r="G453" s="307"/>
      <c r="H453" s="307"/>
      <c r="I453" s="307"/>
      <c r="J453" s="307"/>
      <c r="K453" s="307"/>
      <c r="L453" s="307"/>
      <c r="M453" s="307"/>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c r="AK453" s="307"/>
      <c r="AL453" s="307"/>
      <c r="AM453" s="307"/>
      <c r="AN453" s="307"/>
      <c r="AO453" s="307"/>
      <c r="AP453" s="307"/>
      <c r="AQ453" s="307"/>
      <c r="AR453" s="307"/>
      <c r="AS453" s="307"/>
      <c r="AT453" s="307"/>
      <c r="AU453" s="307"/>
    </row>
    <row r="454" ht="15.75" customHeight="1">
      <c r="A454" s="307"/>
      <c r="B454" s="307"/>
      <c r="C454" s="307"/>
      <c r="D454" s="307"/>
      <c r="E454" s="307"/>
      <c r="F454" s="307"/>
      <c r="G454" s="307"/>
      <c r="H454" s="307"/>
      <c r="I454" s="307"/>
      <c r="J454" s="307"/>
      <c r="K454" s="307"/>
      <c r="L454" s="307"/>
      <c r="M454" s="307"/>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c r="AK454" s="307"/>
      <c r="AL454" s="307"/>
      <c r="AM454" s="307"/>
      <c r="AN454" s="307"/>
      <c r="AO454" s="307"/>
      <c r="AP454" s="307"/>
      <c r="AQ454" s="307"/>
      <c r="AR454" s="307"/>
      <c r="AS454" s="307"/>
      <c r="AT454" s="307"/>
      <c r="AU454" s="307"/>
    </row>
    <row r="455" ht="15.75" customHeight="1">
      <c r="A455" s="307"/>
      <c r="B455" s="307"/>
      <c r="C455" s="307"/>
      <c r="D455" s="307"/>
      <c r="E455" s="307"/>
      <c r="F455" s="307"/>
      <c r="G455" s="307"/>
      <c r="H455" s="307"/>
      <c r="I455" s="307"/>
      <c r="J455" s="307"/>
      <c r="K455" s="307"/>
      <c r="L455" s="307"/>
      <c r="M455" s="307"/>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c r="AK455" s="307"/>
      <c r="AL455" s="307"/>
      <c r="AM455" s="307"/>
      <c r="AN455" s="307"/>
      <c r="AO455" s="307"/>
      <c r="AP455" s="307"/>
      <c r="AQ455" s="307"/>
      <c r="AR455" s="307"/>
      <c r="AS455" s="307"/>
      <c r="AT455" s="307"/>
      <c r="AU455" s="307"/>
    </row>
    <row r="456" ht="15.75" customHeight="1">
      <c r="A456" s="307"/>
      <c r="B456" s="307"/>
      <c r="C456" s="307"/>
      <c r="D456" s="307"/>
      <c r="E456" s="307"/>
      <c r="F456" s="307"/>
      <c r="G456" s="307"/>
      <c r="H456" s="307"/>
      <c r="I456" s="307"/>
      <c r="J456" s="307"/>
      <c r="K456" s="307"/>
      <c r="L456" s="307"/>
      <c r="M456" s="307"/>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c r="AK456" s="307"/>
      <c r="AL456" s="307"/>
      <c r="AM456" s="307"/>
      <c r="AN456" s="307"/>
      <c r="AO456" s="307"/>
      <c r="AP456" s="307"/>
      <c r="AQ456" s="307"/>
      <c r="AR456" s="307"/>
      <c r="AS456" s="307"/>
      <c r="AT456" s="307"/>
      <c r="AU456" s="307"/>
    </row>
    <row r="457" ht="15.75" customHeight="1">
      <c r="A457" s="307"/>
      <c r="B457" s="307"/>
      <c r="C457" s="307"/>
      <c r="D457" s="307"/>
      <c r="E457" s="307"/>
      <c r="F457" s="307"/>
      <c r="G457" s="307"/>
      <c r="H457" s="307"/>
      <c r="I457" s="307"/>
      <c r="J457" s="307"/>
      <c r="K457" s="307"/>
      <c r="L457" s="307"/>
      <c r="M457" s="307"/>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c r="AK457" s="307"/>
      <c r="AL457" s="307"/>
      <c r="AM457" s="307"/>
      <c r="AN457" s="307"/>
      <c r="AO457" s="307"/>
      <c r="AP457" s="307"/>
      <c r="AQ457" s="307"/>
      <c r="AR457" s="307"/>
      <c r="AS457" s="307"/>
      <c r="AT457" s="307"/>
      <c r="AU457" s="307"/>
    </row>
    <row r="458" ht="15.75" customHeight="1">
      <c r="A458" s="307"/>
      <c r="B458" s="307"/>
      <c r="C458" s="307"/>
      <c r="D458" s="307"/>
      <c r="E458" s="307"/>
      <c r="F458" s="307"/>
      <c r="G458" s="307"/>
      <c r="H458" s="307"/>
      <c r="I458" s="307"/>
      <c r="J458" s="307"/>
      <c r="K458" s="307"/>
      <c r="L458" s="307"/>
      <c r="M458" s="307"/>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c r="AK458" s="307"/>
      <c r="AL458" s="307"/>
      <c r="AM458" s="307"/>
      <c r="AN458" s="307"/>
      <c r="AO458" s="307"/>
      <c r="AP458" s="307"/>
      <c r="AQ458" s="307"/>
      <c r="AR458" s="307"/>
      <c r="AS458" s="307"/>
      <c r="AT458" s="307"/>
      <c r="AU458" s="307"/>
    </row>
    <row r="459" ht="15.75" customHeight="1">
      <c r="A459" s="307"/>
      <c r="B459" s="307"/>
      <c r="C459" s="307"/>
      <c r="D459" s="307"/>
      <c r="E459" s="307"/>
      <c r="F459" s="307"/>
      <c r="G459" s="307"/>
      <c r="H459" s="307"/>
      <c r="I459" s="307"/>
      <c r="J459" s="307"/>
      <c r="K459" s="307"/>
      <c r="L459" s="307"/>
      <c r="M459" s="307"/>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c r="AK459" s="307"/>
      <c r="AL459" s="307"/>
      <c r="AM459" s="307"/>
      <c r="AN459" s="307"/>
      <c r="AO459" s="307"/>
      <c r="AP459" s="307"/>
      <c r="AQ459" s="307"/>
      <c r="AR459" s="307"/>
      <c r="AS459" s="307"/>
      <c r="AT459" s="307"/>
      <c r="AU459" s="307"/>
    </row>
    <row r="460" ht="15.75" customHeight="1">
      <c r="A460" s="307"/>
      <c r="B460" s="307"/>
      <c r="C460" s="307"/>
      <c r="D460" s="307"/>
      <c r="E460" s="307"/>
      <c r="F460" s="307"/>
      <c r="G460" s="307"/>
      <c r="H460" s="307"/>
      <c r="I460" s="307"/>
      <c r="J460" s="307"/>
      <c r="K460" s="307"/>
      <c r="L460" s="307"/>
      <c r="M460" s="307"/>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c r="AK460" s="307"/>
      <c r="AL460" s="307"/>
      <c r="AM460" s="307"/>
      <c r="AN460" s="307"/>
      <c r="AO460" s="307"/>
      <c r="AP460" s="307"/>
      <c r="AQ460" s="307"/>
      <c r="AR460" s="307"/>
      <c r="AS460" s="307"/>
      <c r="AT460" s="307"/>
      <c r="AU460" s="307"/>
    </row>
    <row r="461" ht="15.75" customHeight="1">
      <c r="A461" s="307"/>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c r="AK461" s="307"/>
      <c r="AL461" s="307"/>
      <c r="AM461" s="307"/>
      <c r="AN461" s="307"/>
      <c r="AO461" s="307"/>
      <c r="AP461" s="307"/>
      <c r="AQ461" s="307"/>
      <c r="AR461" s="307"/>
      <c r="AS461" s="307"/>
      <c r="AT461" s="307"/>
      <c r="AU461" s="307"/>
    </row>
    <row r="462" ht="15.75" customHeight="1">
      <c r="A462" s="307"/>
      <c r="B462" s="307"/>
      <c r="C462" s="307"/>
      <c r="D462" s="307"/>
      <c r="E462" s="307"/>
      <c r="F462" s="307"/>
      <c r="G462" s="307"/>
      <c r="H462" s="307"/>
      <c r="I462" s="307"/>
      <c r="J462" s="307"/>
      <c r="K462" s="307"/>
      <c r="L462" s="307"/>
      <c r="M462" s="307"/>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c r="AK462" s="307"/>
      <c r="AL462" s="307"/>
      <c r="AM462" s="307"/>
      <c r="AN462" s="307"/>
      <c r="AO462" s="307"/>
      <c r="AP462" s="307"/>
      <c r="AQ462" s="307"/>
      <c r="AR462" s="307"/>
      <c r="AS462" s="307"/>
      <c r="AT462" s="307"/>
      <c r="AU462" s="307"/>
    </row>
    <row r="463" ht="15.75" customHeight="1">
      <c r="A463" s="307"/>
      <c r="B463" s="307"/>
      <c r="C463" s="307"/>
      <c r="D463" s="307"/>
      <c r="E463" s="307"/>
      <c r="F463" s="307"/>
      <c r="G463" s="307"/>
      <c r="H463" s="307"/>
      <c r="I463" s="307"/>
      <c r="J463" s="307"/>
      <c r="K463" s="307"/>
      <c r="L463" s="307"/>
      <c r="M463" s="307"/>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c r="AK463" s="307"/>
      <c r="AL463" s="307"/>
      <c r="AM463" s="307"/>
      <c r="AN463" s="307"/>
      <c r="AO463" s="307"/>
      <c r="AP463" s="307"/>
      <c r="AQ463" s="307"/>
      <c r="AR463" s="307"/>
      <c r="AS463" s="307"/>
      <c r="AT463" s="307"/>
      <c r="AU463" s="307"/>
    </row>
    <row r="464" ht="15.75" customHeight="1">
      <c r="A464" s="307"/>
      <c r="B464" s="307"/>
      <c r="C464" s="307"/>
      <c r="D464" s="307"/>
      <c r="E464" s="307"/>
      <c r="F464" s="307"/>
      <c r="G464" s="307"/>
      <c r="H464" s="307"/>
      <c r="I464" s="307"/>
      <c r="J464" s="307"/>
      <c r="K464" s="307"/>
      <c r="L464" s="307"/>
      <c r="M464" s="307"/>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c r="AK464" s="307"/>
      <c r="AL464" s="307"/>
      <c r="AM464" s="307"/>
      <c r="AN464" s="307"/>
      <c r="AO464" s="307"/>
      <c r="AP464" s="307"/>
      <c r="AQ464" s="307"/>
      <c r="AR464" s="307"/>
      <c r="AS464" s="307"/>
      <c r="AT464" s="307"/>
      <c r="AU464" s="307"/>
    </row>
    <row r="465" ht="15.75" customHeight="1">
      <c r="A465" s="307"/>
      <c r="B465" s="307"/>
      <c r="C465" s="307"/>
      <c r="D465" s="307"/>
      <c r="E465" s="307"/>
      <c r="F465" s="307"/>
      <c r="G465" s="307"/>
      <c r="H465" s="307"/>
      <c r="I465" s="307"/>
      <c r="J465" s="307"/>
      <c r="K465" s="307"/>
      <c r="L465" s="307"/>
      <c r="M465" s="307"/>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c r="AK465" s="307"/>
      <c r="AL465" s="307"/>
      <c r="AM465" s="307"/>
      <c r="AN465" s="307"/>
      <c r="AO465" s="307"/>
      <c r="AP465" s="307"/>
      <c r="AQ465" s="307"/>
      <c r="AR465" s="307"/>
      <c r="AS465" s="307"/>
      <c r="AT465" s="307"/>
      <c r="AU465" s="307"/>
    </row>
    <row r="466" ht="15.75" customHeight="1">
      <c r="A466" s="307"/>
      <c r="B466" s="307"/>
      <c r="C466" s="307"/>
      <c r="D466" s="307"/>
      <c r="E466" s="307"/>
      <c r="F466" s="307"/>
      <c r="G466" s="307"/>
      <c r="H466" s="307"/>
      <c r="I466" s="307"/>
      <c r="J466" s="307"/>
      <c r="K466" s="307"/>
      <c r="L466" s="307"/>
      <c r="M466" s="307"/>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c r="AK466" s="307"/>
      <c r="AL466" s="307"/>
      <c r="AM466" s="307"/>
      <c r="AN466" s="307"/>
      <c r="AO466" s="307"/>
      <c r="AP466" s="307"/>
      <c r="AQ466" s="307"/>
      <c r="AR466" s="307"/>
      <c r="AS466" s="307"/>
      <c r="AT466" s="307"/>
      <c r="AU466" s="307"/>
    </row>
    <row r="467" ht="15.75" customHeight="1">
      <c r="A467" s="307"/>
      <c r="B467" s="307"/>
      <c r="C467" s="307"/>
      <c r="D467" s="307"/>
      <c r="E467" s="307"/>
      <c r="F467" s="307"/>
      <c r="G467" s="307"/>
      <c r="H467" s="307"/>
      <c r="I467" s="307"/>
      <c r="J467" s="307"/>
      <c r="K467" s="307"/>
      <c r="L467" s="307"/>
      <c r="M467" s="307"/>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c r="AK467" s="307"/>
      <c r="AL467" s="307"/>
      <c r="AM467" s="307"/>
      <c r="AN467" s="307"/>
      <c r="AO467" s="307"/>
      <c r="AP467" s="307"/>
      <c r="AQ467" s="307"/>
      <c r="AR467" s="307"/>
      <c r="AS467" s="307"/>
      <c r="AT467" s="307"/>
      <c r="AU467" s="307"/>
    </row>
    <row r="468" ht="15.75" customHeight="1">
      <c r="A468" s="307"/>
      <c r="B468" s="307"/>
      <c r="C468" s="307"/>
      <c r="D468" s="307"/>
      <c r="E468" s="307"/>
      <c r="F468" s="307"/>
      <c r="G468" s="307"/>
      <c r="H468" s="307"/>
      <c r="I468" s="307"/>
      <c r="J468" s="307"/>
      <c r="K468" s="307"/>
      <c r="L468" s="307"/>
      <c r="M468" s="307"/>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c r="AK468" s="307"/>
      <c r="AL468" s="307"/>
      <c r="AM468" s="307"/>
      <c r="AN468" s="307"/>
      <c r="AO468" s="307"/>
      <c r="AP468" s="307"/>
      <c r="AQ468" s="307"/>
      <c r="AR468" s="307"/>
      <c r="AS468" s="307"/>
      <c r="AT468" s="307"/>
      <c r="AU468" s="307"/>
    </row>
    <row r="469" ht="15.75" customHeight="1">
      <c r="A469" s="307"/>
      <c r="B469" s="307"/>
      <c r="C469" s="307"/>
      <c r="D469" s="307"/>
      <c r="E469" s="307"/>
      <c r="F469" s="307"/>
      <c r="G469" s="307"/>
      <c r="H469" s="307"/>
      <c r="I469" s="307"/>
      <c r="J469" s="307"/>
      <c r="K469" s="307"/>
      <c r="L469" s="307"/>
      <c r="M469" s="307"/>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c r="AK469" s="307"/>
      <c r="AL469" s="307"/>
      <c r="AM469" s="307"/>
      <c r="AN469" s="307"/>
      <c r="AO469" s="307"/>
      <c r="AP469" s="307"/>
      <c r="AQ469" s="307"/>
      <c r="AR469" s="307"/>
      <c r="AS469" s="307"/>
      <c r="AT469" s="307"/>
      <c r="AU469" s="307"/>
    </row>
    <row r="470" ht="15.75" customHeight="1">
      <c r="A470" s="307"/>
      <c r="B470" s="307"/>
      <c r="C470" s="307"/>
      <c r="D470" s="307"/>
      <c r="E470" s="307"/>
      <c r="F470" s="307"/>
      <c r="G470" s="307"/>
      <c r="H470" s="307"/>
      <c r="I470" s="307"/>
      <c r="J470" s="307"/>
      <c r="K470" s="307"/>
      <c r="L470" s="307"/>
      <c r="M470" s="307"/>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c r="AK470" s="307"/>
      <c r="AL470" s="307"/>
      <c r="AM470" s="307"/>
      <c r="AN470" s="307"/>
      <c r="AO470" s="307"/>
      <c r="AP470" s="307"/>
      <c r="AQ470" s="307"/>
      <c r="AR470" s="307"/>
      <c r="AS470" s="307"/>
      <c r="AT470" s="307"/>
      <c r="AU470" s="307"/>
    </row>
    <row r="471" ht="15.75" customHeight="1">
      <c r="A471" s="307"/>
      <c r="B471" s="307"/>
      <c r="C471" s="307"/>
      <c r="D471" s="307"/>
      <c r="E471" s="307"/>
      <c r="F471" s="307"/>
      <c r="G471" s="307"/>
      <c r="H471" s="307"/>
      <c r="I471" s="307"/>
      <c r="J471" s="307"/>
      <c r="K471" s="307"/>
      <c r="L471" s="307"/>
      <c r="M471" s="307"/>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c r="AK471" s="307"/>
      <c r="AL471" s="307"/>
      <c r="AM471" s="307"/>
      <c r="AN471" s="307"/>
      <c r="AO471" s="307"/>
      <c r="AP471" s="307"/>
      <c r="AQ471" s="307"/>
      <c r="AR471" s="307"/>
      <c r="AS471" s="307"/>
      <c r="AT471" s="307"/>
      <c r="AU471" s="307"/>
    </row>
    <row r="472" ht="15.75" customHeight="1">
      <c r="A472" s="307"/>
      <c r="B472" s="307"/>
      <c r="C472" s="307"/>
      <c r="D472" s="307"/>
      <c r="E472" s="307"/>
      <c r="F472" s="307"/>
      <c r="G472" s="307"/>
      <c r="H472" s="307"/>
      <c r="I472" s="307"/>
      <c r="J472" s="307"/>
      <c r="K472" s="307"/>
      <c r="L472" s="307"/>
      <c r="M472" s="307"/>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c r="AK472" s="307"/>
      <c r="AL472" s="307"/>
      <c r="AM472" s="307"/>
      <c r="AN472" s="307"/>
      <c r="AO472" s="307"/>
      <c r="AP472" s="307"/>
      <c r="AQ472" s="307"/>
      <c r="AR472" s="307"/>
      <c r="AS472" s="307"/>
      <c r="AT472" s="307"/>
      <c r="AU472" s="307"/>
    </row>
    <row r="473" ht="15.75" customHeight="1">
      <c r="A473" s="307"/>
      <c r="B473" s="307"/>
      <c r="C473" s="307"/>
      <c r="D473" s="307"/>
      <c r="E473" s="307"/>
      <c r="F473" s="307"/>
      <c r="G473" s="307"/>
      <c r="H473" s="307"/>
      <c r="I473" s="307"/>
      <c r="J473" s="307"/>
      <c r="K473" s="307"/>
      <c r="L473" s="307"/>
      <c r="M473" s="307"/>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c r="AK473" s="307"/>
      <c r="AL473" s="307"/>
      <c r="AM473" s="307"/>
      <c r="AN473" s="307"/>
      <c r="AO473" s="307"/>
      <c r="AP473" s="307"/>
      <c r="AQ473" s="307"/>
      <c r="AR473" s="307"/>
      <c r="AS473" s="307"/>
      <c r="AT473" s="307"/>
      <c r="AU473" s="307"/>
    </row>
    <row r="474" ht="15.75" customHeight="1">
      <c r="A474" s="307"/>
      <c r="B474" s="307"/>
      <c r="C474" s="307"/>
      <c r="D474" s="307"/>
      <c r="E474" s="307"/>
      <c r="F474" s="307"/>
      <c r="G474" s="307"/>
      <c r="H474" s="307"/>
      <c r="I474" s="307"/>
      <c r="J474" s="307"/>
      <c r="K474" s="307"/>
      <c r="L474" s="307"/>
      <c r="M474" s="307"/>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c r="AK474" s="307"/>
      <c r="AL474" s="307"/>
      <c r="AM474" s="307"/>
      <c r="AN474" s="307"/>
      <c r="AO474" s="307"/>
      <c r="AP474" s="307"/>
      <c r="AQ474" s="307"/>
      <c r="AR474" s="307"/>
      <c r="AS474" s="307"/>
      <c r="AT474" s="307"/>
      <c r="AU474" s="307"/>
    </row>
    <row r="475" ht="15.75" customHeight="1">
      <c r="A475" s="307"/>
      <c r="B475" s="307"/>
      <c r="C475" s="307"/>
      <c r="D475" s="307"/>
      <c r="E475" s="307"/>
      <c r="F475" s="307"/>
      <c r="G475" s="307"/>
      <c r="H475" s="307"/>
      <c r="I475" s="307"/>
      <c r="J475" s="307"/>
      <c r="K475" s="307"/>
      <c r="L475" s="307"/>
      <c r="M475" s="307"/>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c r="AK475" s="307"/>
      <c r="AL475" s="307"/>
      <c r="AM475" s="307"/>
      <c r="AN475" s="307"/>
      <c r="AO475" s="307"/>
      <c r="AP475" s="307"/>
      <c r="AQ475" s="307"/>
      <c r="AR475" s="307"/>
      <c r="AS475" s="307"/>
      <c r="AT475" s="307"/>
      <c r="AU475" s="307"/>
    </row>
    <row r="476" ht="15.75" customHeight="1">
      <c r="A476" s="307"/>
      <c r="B476" s="307"/>
      <c r="C476" s="307"/>
      <c r="D476" s="307"/>
      <c r="E476" s="307"/>
      <c r="F476" s="307"/>
      <c r="G476" s="307"/>
      <c r="H476" s="307"/>
      <c r="I476" s="307"/>
      <c r="J476" s="307"/>
      <c r="K476" s="307"/>
      <c r="L476" s="307"/>
      <c r="M476" s="307"/>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c r="AK476" s="307"/>
      <c r="AL476" s="307"/>
      <c r="AM476" s="307"/>
      <c r="AN476" s="307"/>
      <c r="AO476" s="307"/>
      <c r="AP476" s="307"/>
      <c r="AQ476" s="307"/>
      <c r="AR476" s="307"/>
      <c r="AS476" s="307"/>
      <c r="AT476" s="307"/>
      <c r="AU476" s="307"/>
    </row>
    <row r="477" ht="15.75" customHeight="1">
      <c r="A477" s="307"/>
      <c r="B477" s="307"/>
      <c r="C477" s="307"/>
      <c r="D477" s="307"/>
      <c r="E477" s="307"/>
      <c r="F477" s="307"/>
      <c r="G477" s="307"/>
      <c r="H477" s="307"/>
      <c r="I477" s="307"/>
      <c r="J477" s="307"/>
      <c r="K477" s="307"/>
      <c r="L477" s="307"/>
      <c r="M477" s="307"/>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c r="AK477" s="307"/>
      <c r="AL477" s="307"/>
      <c r="AM477" s="307"/>
      <c r="AN477" s="307"/>
      <c r="AO477" s="307"/>
      <c r="AP477" s="307"/>
      <c r="AQ477" s="307"/>
      <c r="AR477" s="307"/>
      <c r="AS477" s="307"/>
      <c r="AT477" s="307"/>
      <c r="AU477" s="307"/>
    </row>
    <row r="478" ht="15.75" customHeight="1">
      <c r="A478" s="307"/>
      <c r="B478" s="307"/>
      <c r="C478" s="307"/>
      <c r="D478" s="307"/>
      <c r="E478" s="307"/>
      <c r="F478" s="307"/>
      <c r="G478" s="307"/>
      <c r="H478" s="307"/>
      <c r="I478" s="307"/>
      <c r="J478" s="307"/>
      <c r="K478" s="307"/>
      <c r="L478" s="307"/>
      <c r="M478" s="307"/>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c r="AK478" s="307"/>
      <c r="AL478" s="307"/>
      <c r="AM478" s="307"/>
      <c r="AN478" s="307"/>
      <c r="AO478" s="307"/>
      <c r="AP478" s="307"/>
      <c r="AQ478" s="307"/>
      <c r="AR478" s="307"/>
      <c r="AS478" s="307"/>
      <c r="AT478" s="307"/>
      <c r="AU478" s="307"/>
    </row>
    <row r="479" ht="15.75" customHeight="1">
      <c r="A479" s="307"/>
      <c r="B479" s="307"/>
      <c r="C479" s="307"/>
      <c r="D479" s="307"/>
      <c r="E479" s="307"/>
      <c r="F479" s="307"/>
      <c r="G479" s="307"/>
      <c r="H479" s="307"/>
      <c r="I479" s="307"/>
      <c r="J479" s="307"/>
      <c r="K479" s="307"/>
      <c r="L479" s="307"/>
      <c r="M479" s="307"/>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c r="AK479" s="307"/>
      <c r="AL479" s="307"/>
      <c r="AM479" s="307"/>
      <c r="AN479" s="307"/>
      <c r="AO479" s="307"/>
      <c r="AP479" s="307"/>
      <c r="AQ479" s="307"/>
      <c r="AR479" s="307"/>
      <c r="AS479" s="307"/>
      <c r="AT479" s="307"/>
      <c r="AU479" s="307"/>
    </row>
    <row r="480" ht="15.75" customHeight="1">
      <c r="A480" s="307"/>
      <c r="B480" s="307"/>
      <c r="C480" s="307"/>
      <c r="D480" s="307"/>
      <c r="E480" s="307"/>
      <c r="F480" s="307"/>
      <c r="G480" s="307"/>
      <c r="H480" s="307"/>
      <c r="I480" s="307"/>
      <c r="J480" s="307"/>
      <c r="K480" s="307"/>
      <c r="L480" s="307"/>
      <c r="M480" s="307"/>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c r="AK480" s="307"/>
      <c r="AL480" s="307"/>
      <c r="AM480" s="307"/>
      <c r="AN480" s="307"/>
      <c r="AO480" s="307"/>
      <c r="AP480" s="307"/>
      <c r="AQ480" s="307"/>
      <c r="AR480" s="307"/>
      <c r="AS480" s="307"/>
      <c r="AT480" s="307"/>
      <c r="AU480" s="307"/>
    </row>
    <row r="481" ht="15.75" customHeight="1">
      <c r="A481" s="307"/>
      <c r="B481" s="307"/>
      <c r="C481" s="307"/>
      <c r="D481" s="307"/>
      <c r="E481" s="307"/>
      <c r="F481" s="307"/>
      <c r="G481" s="307"/>
      <c r="H481" s="307"/>
      <c r="I481" s="307"/>
      <c r="J481" s="307"/>
      <c r="K481" s="307"/>
      <c r="L481" s="307"/>
      <c r="M481" s="307"/>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c r="AK481" s="307"/>
      <c r="AL481" s="307"/>
      <c r="AM481" s="307"/>
      <c r="AN481" s="307"/>
      <c r="AO481" s="307"/>
      <c r="AP481" s="307"/>
      <c r="AQ481" s="307"/>
      <c r="AR481" s="307"/>
      <c r="AS481" s="307"/>
      <c r="AT481" s="307"/>
      <c r="AU481" s="307"/>
    </row>
    <row r="482" ht="15.75" customHeight="1">
      <c r="A482" s="307"/>
      <c r="B482" s="307"/>
      <c r="C482" s="307"/>
      <c r="D482" s="307"/>
      <c r="E482" s="307"/>
      <c r="F482" s="307"/>
      <c r="G482" s="307"/>
      <c r="H482" s="307"/>
      <c r="I482" s="307"/>
      <c r="J482" s="307"/>
      <c r="K482" s="307"/>
      <c r="L482" s="307"/>
      <c r="M482" s="307"/>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c r="AK482" s="307"/>
      <c r="AL482" s="307"/>
      <c r="AM482" s="307"/>
      <c r="AN482" s="307"/>
      <c r="AO482" s="307"/>
      <c r="AP482" s="307"/>
      <c r="AQ482" s="307"/>
      <c r="AR482" s="307"/>
      <c r="AS482" s="307"/>
      <c r="AT482" s="307"/>
      <c r="AU482" s="307"/>
    </row>
    <row r="483" ht="15.75" customHeight="1">
      <c r="A483" s="307"/>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c r="AK483" s="307"/>
      <c r="AL483" s="307"/>
      <c r="AM483" s="307"/>
      <c r="AN483" s="307"/>
      <c r="AO483" s="307"/>
      <c r="AP483" s="307"/>
      <c r="AQ483" s="307"/>
      <c r="AR483" s="307"/>
      <c r="AS483" s="307"/>
      <c r="AT483" s="307"/>
      <c r="AU483" s="307"/>
    </row>
    <row r="484" ht="15.75" customHeight="1">
      <c r="A484" s="307"/>
      <c r="B484" s="307"/>
      <c r="C484" s="307"/>
      <c r="D484" s="307"/>
      <c r="E484" s="307"/>
      <c r="F484" s="307"/>
      <c r="G484" s="307"/>
      <c r="H484" s="307"/>
      <c r="I484" s="307"/>
      <c r="J484" s="307"/>
      <c r="K484" s="307"/>
      <c r="L484" s="307"/>
      <c r="M484" s="307"/>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c r="AK484" s="307"/>
      <c r="AL484" s="307"/>
      <c r="AM484" s="307"/>
      <c r="AN484" s="307"/>
      <c r="AO484" s="307"/>
      <c r="AP484" s="307"/>
      <c r="AQ484" s="307"/>
      <c r="AR484" s="307"/>
      <c r="AS484" s="307"/>
      <c r="AT484" s="307"/>
      <c r="AU484" s="307"/>
    </row>
    <row r="485" ht="15.75" customHeight="1">
      <c r="A485" s="307"/>
      <c r="B485" s="307"/>
      <c r="C485" s="307"/>
      <c r="D485" s="307"/>
      <c r="E485" s="307"/>
      <c r="F485" s="307"/>
      <c r="G485" s="307"/>
      <c r="H485" s="307"/>
      <c r="I485" s="307"/>
      <c r="J485" s="307"/>
      <c r="K485" s="307"/>
      <c r="L485" s="307"/>
      <c r="M485" s="307"/>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c r="AK485" s="307"/>
      <c r="AL485" s="307"/>
      <c r="AM485" s="307"/>
      <c r="AN485" s="307"/>
      <c r="AO485" s="307"/>
      <c r="AP485" s="307"/>
      <c r="AQ485" s="307"/>
      <c r="AR485" s="307"/>
      <c r="AS485" s="307"/>
      <c r="AT485" s="307"/>
      <c r="AU485" s="307"/>
    </row>
    <row r="486" ht="15.75" customHeight="1">
      <c r="A486" s="307"/>
      <c r="B486" s="307"/>
      <c r="C486" s="307"/>
      <c r="D486" s="307"/>
      <c r="E486" s="307"/>
      <c r="F486" s="307"/>
      <c r="G486" s="307"/>
      <c r="H486" s="307"/>
      <c r="I486" s="307"/>
      <c r="J486" s="307"/>
      <c r="K486" s="307"/>
      <c r="L486" s="307"/>
      <c r="M486" s="307"/>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c r="AK486" s="307"/>
      <c r="AL486" s="307"/>
      <c r="AM486" s="307"/>
      <c r="AN486" s="307"/>
      <c r="AO486" s="307"/>
      <c r="AP486" s="307"/>
      <c r="AQ486" s="307"/>
      <c r="AR486" s="307"/>
      <c r="AS486" s="307"/>
      <c r="AT486" s="307"/>
      <c r="AU486" s="307"/>
    </row>
    <row r="487" ht="15.75" customHeight="1">
      <c r="A487" s="307"/>
      <c r="B487" s="307"/>
      <c r="C487" s="307"/>
      <c r="D487" s="307"/>
      <c r="E487" s="307"/>
      <c r="F487" s="307"/>
      <c r="G487" s="307"/>
      <c r="H487" s="307"/>
      <c r="I487" s="307"/>
      <c r="J487" s="307"/>
      <c r="K487" s="307"/>
      <c r="L487" s="307"/>
      <c r="M487" s="307"/>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c r="AK487" s="307"/>
      <c r="AL487" s="307"/>
      <c r="AM487" s="307"/>
      <c r="AN487" s="307"/>
      <c r="AO487" s="307"/>
      <c r="AP487" s="307"/>
      <c r="AQ487" s="307"/>
      <c r="AR487" s="307"/>
      <c r="AS487" s="307"/>
      <c r="AT487" s="307"/>
      <c r="AU487" s="307"/>
    </row>
    <row r="488" ht="15.75" customHeight="1">
      <c r="A488" s="307"/>
      <c r="B488" s="307"/>
      <c r="C488" s="307"/>
      <c r="D488" s="307"/>
      <c r="E488" s="307"/>
      <c r="F488" s="307"/>
      <c r="G488" s="307"/>
      <c r="H488" s="307"/>
      <c r="I488" s="307"/>
      <c r="J488" s="307"/>
      <c r="K488" s="307"/>
      <c r="L488" s="307"/>
      <c r="M488" s="307"/>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c r="AK488" s="307"/>
      <c r="AL488" s="307"/>
      <c r="AM488" s="307"/>
      <c r="AN488" s="307"/>
      <c r="AO488" s="307"/>
      <c r="AP488" s="307"/>
      <c r="AQ488" s="307"/>
      <c r="AR488" s="307"/>
      <c r="AS488" s="307"/>
      <c r="AT488" s="307"/>
      <c r="AU488" s="307"/>
    </row>
    <row r="489" ht="15.75" customHeight="1">
      <c r="A489" s="307"/>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c r="AK489" s="307"/>
      <c r="AL489" s="307"/>
      <c r="AM489" s="307"/>
      <c r="AN489" s="307"/>
      <c r="AO489" s="307"/>
      <c r="AP489" s="307"/>
      <c r="AQ489" s="307"/>
      <c r="AR489" s="307"/>
      <c r="AS489" s="307"/>
      <c r="AT489" s="307"/>
      <c r="AU489" s="307"/>
    </row>
    <row r="490" ht="15.75" customHeight="1">
      <c r="A490" s="307"/>
      <c r="B490" s="307"/>
      <c r="C490" s="307"/>
      <c r="D490" s="307"/>
      <c r="E490" s="307"/>
      <c r="F490" s="307"/>
      <c r="G490" s="307"/>
      <c r="H490" s="307"/>
      <c r="I490" s="307"/>
      <c r="J490" s="307"/>
      <c r="K490" s="307"/>
      <c r="L490" s="307"/>
      <c r="M490" s="307"/>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c r="AK490" s="307"/>
      <c r="AL490" s="307"/>
      <c r="AM490" s="307"/>
      <c r="AN490" s="307"/>
      <c r="AO490" s="307"/>
      <c r="AP490" s="307"/>
      <c r="AQ490" s="307"/>
      <c r="AR490" s="307"/>
      <c r="AS490" s="307"/>
      <c r="AT490" s="307"/>
      <c r="AU490" s="307"/>
    </row>
    <row r="491" ht="15.75" customHeight="1">
      <c r="A491" s="307"/>
      <c r="B491" s="307"/>
      <c r="C491" s="307"/>
      <c r="D491" s="307"/>
      <c r="E491" s="307"/>
      <c r="F491" s="307"/>
      <c r="G491" s="307"/>
      <c r="H491" s="307"/>
      <c r="I491" s="307"/>
      <c r="J491" s="307"/>
      <c r="K491" s="307"/>
      <c r="L491" s="307"/>
      <c r="M491" s="307"/>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c r="AK491" s="307"/>
      <c r="AL491" s="307"/>
      <c r="AM491" s="307"/>
      <c r="AN491" s="307"/>
      <c r="AO491" s="307"/>
      <c r="AP491" s="307"/>
      <c r="AQ491" s="307"/>
      <c r="AR491" s="307"/>
      <c r="AS491" s="307"/>
      <c r="AT491" s="307"/>
      <c r="AU491" s="307"/>
    </row>
    <row r="492" ht="15.75" customHeight="1">
      <c r="A492" s="307"/>
      <c r="B492" s="307"/>
      <c r="C492" s="307"/>
      <c r="D492" s="307"/>
      <c r="E492" s="307"/>
      <c r="F492" s="307"/>
      <c r="G492" s="307"/>
      <c r="H492" s="307"/>
      <c r="I492" s="307"/>
      <c r="J492" s="307"/>
      <c r="K492" s="307"/>
      <c r="L492" s="307"/>
      <c r="M492" s="307"/>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c r="AK492" s="307"/>
      <c r="AL492" s="307"/>
      <c r="AM492" s="307"/>
      <c r="AN492" s="307"/>
      <c r="AO492" s="307"/>
      <c r="AP492" s="307"/>
      <c r="AQ492" s="307"/>
      <c r="AR492" s="307"/>
      <c r="AS492" s="307"/>
      <c r="AT492" s="307"/>
      <c r="AU492" s="307"/>
    </row>
    <row r="493" ht="15.75" customHeight="1">
      <c r="A493" s="307"/>
      <c r="B493" s="307"/>
      <c r="C493" s="307"/>
      <c r="D493" s="307"/>
      <c r="E493" s="307"/>
      <c r="F493" s="307"/>
      <c r="G493" s="307"/>
      <c r="H493" s="307"/>
      <c r="I493" s="307"/>
      <c r="J493" s="307"/>
      <c r="K493" s="307"/>
      <c r="L493" s="307"/>
      <c r="M493" s="307"/>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c r="AK493" s="307"/>
      <c r="AL493" s="307"/>
      <c r="AM493" s="307"/>
      <c r="AN493" s="307"/>
      <c r="AO493" s="307"/>
      <c r="AP493" s="307"/>
      <c r="AQ493" s="307"/>
      <c r="AR493" s="307"/>
      <c r="AS493" s="307"/>
      <c r="AT493" s="307"/>
      <c r="AU493" s="307"/>
    </row>
    <row r="494" ht="15.75" customHeight="1">
      <c r="A494" s="307"/>
      <c r="B494" s="307"/>
      <c r="C494" s="307"/>
      <c r="D494" s="307"/>
      <c r="E494" s="307"/>
      <c r="F494" s="307"/>
      <c r="G494" s="307"/>
      <c r="H494" s="307"/>
      <c r="I494" s="307"/>
      <c r="J494" s="307"/>
      <c r="K494" s="307"/>
      <c r="L494" s="307"/>
      <c r="M494" s="307"/>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c r="AK494" s="307"/>
      <c r="AL494" s="307"/>
      <c r="AM494" s="307"/>
      <c r="AN494" s="307"/>
      <c r="AO494" s="307"/>
      <c r="AP494" s="307"/>
      <c r="AQ494" s="307"/>
      <c r="AR494" s="307"/>
      <c r="AS494" s="307"/>
      <c r="AT494" s="307"/>
      <c r="AU494" s="307"/>
    </row>
    <row r="495" ht="15.75" customHeight="1">
      <c r="A495" s="307"/>
      <c r="B495" s="307"/>
      <c r="C495" s="307"/>
      <c r="D495" s="307"/>
      <c r="E495" s="307"/>
      <c r="F495" s="307"/>
      <c r="G495" s="307"/>
      <c r="H495" s="307"/>
      <c r="I495" s="307"/>
      <c r="J495" s="307"/>
      <c r="K495" s="307"/>
      <c r="L495" s="307"/>
      <c r="M495" s="307"/>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c r="AK495" s="307"/>
      <c r="AL495" s="307"/>
      <c r="AM495" s="307"/>
      <c r="AN495" s="307"/>
      <c r="AO495" s="307"/>
      <c r="AP495" s="307"/>
      <c r="AQ495" s="307"/>
      <c r="AR495" s="307"/>
      <c r="AS495" s="307"/>
      <c r="AT495" s="307"/>
      <c r="AU495" s="307"/>
    </row>
    <row r="496" ht="15.75" customHeight="1">
      <c r="A496" s="307"/>
      <c r="B496" s="307"/>
      <c r="C496" s="307"/>
      <c r="D496" s="307"/>
      <c r="E496" s="307"/>
      <c r="F496" s="307"/>
      <c r="G496" s="307"/>
      <c r="H496" s="307"/>
      <c r="I496" s="307"/>
      <c r="J496" s="307"/>
      <c r="K496" s="307"/>
      <c r="L496" s="307"/>
      <c r="M496" s="307"/>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c r="AK496" s="307"/>
      <c r="AL496" s="307"/>
      <c r="AM496" s="307"/>
      <c r="AN496" s="307"/>
      <c r="AO496" s="307"/>
      <c r="AP496" s="307"/>
      <c r="AQ496" s="307"/>
      <c r="AR496" s="307"/>
      <c r="AS496" s="307"/>
      <c r="AT496" s="307"/>
      <c r="AU496" s="307"/>
    </row>
    <row r="497" ht="15.75" customHeight="1">
      <c r="A497" s="307"/>
      <c r="B497" s="307"/>
      <c r="C497" s="307"/>
      <c r="D497" s="307"/>
      <c r="E497" s="307"/>
      <c r="F497" s="307"/>
      <c r="G497" s="307"/>
      <c r="H497" s="307"/>
      <c r="I497" s="307"/>
      <c r="J497" s="307"/>
      <c r="K497" s="307"/>
      <c r="L497" s="307"/>
      <c r="M497" s="307"/>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c r="AK497" s="307"/>
      <c r="AL497" s="307"/>
      <c r="AM497" s="307"/>
      <c r="AN497" s="307"/>
      <c r="AO497" s="307"/>
      <c r="AP497" s="307"/>
      <c r="AQ497" s="307"/>
      <c r="AR497" s="307"/>
      <c r="AS497" s="307"/>
      <c r="AT497" s="307"/>
      <c r="AU497" s="307"/>
    </row>
    <row r="498" ht="15.75" customHeight="1">
      <c r="A498" s="307"/>
      <c r="B498" s="307"/>
      <c r="C498" s="307"/>
      <c r="D498" s="307"/>
      <c r="E498" s="307"/>
      <c r="F498" s="307"/>
      <c r="G498" s="307"/>
      <c r="H498" s="307"/>
      <c r="I498" s="307"/>
      <c r="J498" s="307"/>
      <c r="K498" s="307"/>
      <c r="L498" s="307"/>
      <c r="M498" s="307"/>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c r="AK498" s="307"/>
      <c r="AL498" s="307"/>
      <c r="AM498" s="307"/>
      <c r="AN498" s="307"/>
      <c r="AO498" s="307"/>
      <c r="AP498" s="307"/>
      <c r="AQ498" s="307"/>
      <c r="AR498" s="307"/>
      <c r="AS498" s="307"/>
      <c r="AT498" s="307"/>
      <c r="AU498" s="307"/>
    </row>
    <row r="499" ht="15.75" customHeight="1">
      <c r="A499" s="307"/>
      <c r="B499" s="307"/>
      <c r="C499" s="307"/>
      <c r="D499" s="307"/>
      <c r="E499" s="307"/>
      <c r="F499" s="307"/>
      <c r="G499" s="307"/>
      <c r="H499" s="307"/>
      <c r="I499" s="307"/>
      <c r="J499" s="307"/>
      <c r="K499" s="307"/>
      <c r="L499" s="307"/>
      <c r="M499" s="307"/>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c r="AK499" s="307"/>
      <c r="AL499" s="307"/>
      <c r="AM499" s="307"/>
      <c r="AN499" s="307"/>
      <c r="AO499" s="307"/>
      <c r="AP499" s="307"/>
      <c r="AQ499" s="307"/>
      <c r="AR499" s="307"/>
      <c r="AS499" s="307"/>
      <c r="AT499" s="307"/>
      <c r="AU499" s="307"/>
    </row>
    <row r="500" ht="15.75" customHeight="1">
      <c r="A500" s="307"/>
      <c r="B500" s="307"/>
      <c r="C500" s="307"/>
      <c r="D500" s="307"/>
      <c r="E500" s="307"/>
      <c r="F500" s="307"/>
      <c r="G500" s="307"/>
      <c r="H500" s="307"/>
      <c r="I500" s="307"/>
      <c r="J500" s="307"/>
      <c r="K500" s="307"/>
      <c r="L500" s="307"/>
      <c r="M500" s="307"/>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c r="AK500" s="307"/>
      <c r="AL500" s="307"/>
      <c r="AM500" s="307"/>
      <c r="AN500" s="307"/>
      <c r="AO500" s="307"/>
      <c r="AP500" s="307"/>
      <c r="AQ500" s="307"/>
      <c r="AR500" s="307"/>
      <c r="AS500" s="307"/>
      <c r="AT500" s="307"/>
      <c r="AU500" s="307"/>
    </row>
    <row r="501" ht="15.75" customHeight="1">
      <c r="A501" s="307"/>
      <c r="B501" s="307"/>
      <c r="C501" s="307"/>
      <c r="D501" s="307"/>
      <c r="E501" s="307"/>
      <c r="F501" s="307"/>
      <c r="G501" s="307"/>
      <c r="H501" s="307"/>
      <c r="I501" s="307"/>
      <c r="J501" s="307"/>
      <c r="K501" s="307"/>
      <c r="L501" s="307"/>
      <c r="M501" s="307"/>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c r="AK501" s="307"/>
      <c r="AL501" s="307"/>
      <c r="AM501" s="307"/>
      <c r="AN501" s="307"/>
      <c r="AO501" s="307"/>
      <c r="AP501" s="307"/>
      <c r="AQ501" s="307"/>
      <c r="AR501" s="307"/>
      <c r="AS501" s="307"/>
      <c r="AT501" s="307"/>
      <c r="AU501" s="307"/>
    </row>
    <row r="502" ht="15.75" customHeight="1">
      <c r="A502" s="307"/>
      <c r="B502" s="307"/>
      <c r="C502" s="307"/>
      <c r="D502" s="307"/>
      <c r="E502" s="307"/>
      <c r="F502" s="307"/>
      <c r="G502" s="307"/>
      <c r="H502" s="307"/>
      <c r="I502" s="307"/>
      <c r="J502" s="307"/>
      <c r="K502" s="307"/>
      <c r="L502" s="307"/>
      <c r="M502" s="307"/>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c r="AK502" s="307"/>
      <c r="AL502" s="307"/>
      <c r="AM502" s="307"/>
      <c r="AN502" s="307"/>
      <c r="AO502" s="307"/>
      <c r="AP502" s="307"/>
      <c r="AQ502" s="307"/>
      <c r="AR502" s="307"/>
      <c r="AS502" s="307"/>
      <c r="AT502" s="307"/>
      <c r="AU502" s="307"/>
    </row>
    <row r="503" ht="15.75" customHeight="1">
      <c r="A503" s="307"/>
      <c r="B503" s="307"/>
      <c r="C503" s="307"/>
      <c r="D503" s="307"/>
      <c r="E503" s="307"/>
      <c r="F503" s="307"/>
      <c r="G503" s="307"/>
      <c r="H503" s="307"/>
      <c r="I503" s="307"/>
      <c r="J503" s="307"/>
      <c r="K503" s="307"/>
      <c r="L503" s="307"/>
      <c r="M503" s="307"/>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c r="AK503" s="307"/>
      <c r="AL503" s="307"/>
      <c r="AM503" s="307"/>
      <c r="AN503" s="307"/>
      <c r="AO503" s="307"/>
      <c r="AP503" s="307"/>
      <c r="AQ503" s="307"/>
      <c r="AR503" s="307"/>
      <c r="AS503" s="307"/>
      <c r="AT503" s="307"/>
      <c r="AU503" s="307"/>
    </row>
    <row r="504" ht="15.75" customHeight="1">
      <c r="A504" s="307"/>
      <c r="B504" s="307"/>
      <c r="C504" s="307"/>
      <c r="D504" s="307"/>
      <c r="E504" s="307"/>
      <c r="F504" s="307"/>
      <c r="G504" s="307"/>
      <c r="H504" s="307"/>
      <c r="I504" s="307"/>
      <c r="J504" s="307"/>
      <c r="K504" s="307"/>
      <c r="L504" s="307"/>
      <c r="M504" s="307"/>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c r="AK504" s="307"/>
      <c r="AL504" s="307"/>
      <c r="AM504" s="307"/>
      <c r="AN504" s="307"/>
      <c r="AO504" s="307"/>
      <c r="AP504" s="307"/>
      <c r="AQ504" s="307"/>
      <c r="AR504" s="307"/>
      <c r="AS504" s="307"/>
      <c r="AT504" s="307"/>
      <c r="AU504" s="307"/>
    </row>
    <row r="505" ht="15.75" customHeight="1">
      <c r="A505" s="307"/>
      <c r="B505" s="307"/>
      <c r="C505" s="307"/>
      <c r="D505" s="307"/>
      <c r="E505" s="307"/>
      <c r="F505" s="307"/>
      <c r="G505" s="307"/>
      <c r="H505" s="307"/>
      <c r="I505" s="307"/>
      <c r="J505" s="307"/>
      <c r="K505" s="307"/>
      <c r="L505" s="307"/>
      <c r="M505" s="307"/>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c r="AK505" s="307"/>
      <c r="AL505" s="307"/>
      <c r="AM505" s="307"/>
      <c r="AN505" s="307"/>
      <c r="AO505" s="307"/>
      <c r="AP505" s="307"/>
      <c r="AQ505" s="307"/>
      <c r="AR505" s="307"/>
      <c r="AS505" s="307"/>
      <c r="AT505" s="307"/>
      <c r="AU505" s="307"/>
    </row>
    <row r="506" ht="15.75" customHeight="1">
      <c r="A506" s="307"/>
      <c r="B506" s="307"/>
      <c r="C506" s="307"/>
      <c r="D506" s="307"/>
      <c r="E506" s="307"/>
      <c r="F506" s="307"/>
      <c r="G506" s="307"/>
      <c r="H506" s="307"/>
      <c r="I506" s="307"/>
      <c r="J506" s="307"/>
      <c r="K506" s="307"/>
      <c r="L506" s="307"/>
      <c r="M506" s="307"/>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c r="AK506" s="307"/>
      <c r="AL506" s="307"/>
      <c r="AM506" s="307"/>
      <c r="AN506" s="307"/>
      <c r="AO506" s="307"/>
      <c r="AP506" s="307"/>
      <c r="AQ506" s="307"/>
      <c r="AR506" s="307"/>
      <c r="AS506" s="307"/>
      <c r="AT506" s="307"/>
      <c r="AU506" s="307"/>
    </row>
    <row r="507" ht="15.75" customHeight="1">
      <c r="A507" s="307"/>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c r="AK507" s="307"/>
      <c r="AL507" s="307"/>
      <c r="AM507" s="307"/>
      <c r="AN507" s="307"/>
      <c r="AO507" s="307"/>
      <c r="AP507" s="307"/>
      <c r="AQ507" s="307"/>
      <c r="AR507" s="307"/>
      <c r="AS507" s="307"/>
      <c r="AT507" s="307"/>
      <c r="AU507" s="307"/>
    </row>
    <row r="508" ht="15.75" customHeight="1">
      <c r="A508" s="307"/>
      <c r="B508" s="307"/>
      <c r="C508" s="307"/>
      <c r="D508" s="307"/>
      <c r="E508" s="307"/>
      <c r="F508" s="307"/>
      <c r="G508" s="307"/>
      <c r="H508" s="307"/>
      <c r="I508" s="307"/>
      <c r="J508" s="307"/>
      <c r="K508" s="307"/>
      <c r="L508" s="307"/>
      <c r="M508" s="307"/>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c r="AK508" s="307"/>
      <c r="AL508" s="307"/>
      <c r="AM508" s="307"/>
      <c r="AN508" s="307"/>
      <c r="AO508" s="307"/>
      <c r="AP508" s="307"/>
      <c r="AQ508" s="307"/>
      <c r="AR508" s="307"/>
      <c r="AS508" s="307"/>
      <c r="AT508" s="307"/>
      <c r="AU508" s="307"/>
    </row>
    <row r="509" ht="15.75" customHeight="1">
      <c r="A509" s="307"/>
      <c r="B509" s="307"/>
      <c r="C509" s="307"/>
      <c r="D509" s="307"/>
      <c r="E509" s="307"/>
      <c r="F509" s="307"/>
      <c r="G509" s="307"/>
      <c r="H509" s="307"/>
      <c r="I509" s="307"/>
      <c r="J509" s="307"/>
      <c r="K509" s="307"/>
      <c r="L509" s="307"/>
      <c r="M509" s="307"/>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c r="AK509" s="307"/>
      <c r="AL509" s="307"/>
      <c r="AM509" s="307"/>
      <c r="AN509" s="307"/>
      <c r="AO509" s="307"/>
      <c r="AP509" s="307"/>
      <c r="AQ509" s="307"/>
      <c r="AR509" s="307"/>
      <c r="AS509" s="307"/>
      <c r="AT509" s="307"/>
      <c r="AU509" s="307"/>
    </row>
    <row r="510" ht="15.75" customHeight="1">
      <c r="A510" s="307"/>
      <c r="B510" s="307"/>
      <c r="C510" s="307"/>
      <c r="D510" s="307"/>
      <c r="E510" s="307"/>
      <c r="F510" s="307"/>
      <c r="G510" s="307"/>
      <c r="H510" s="307"/>
      <c r="I510" s="307"/>
      <c r="J510" s="307"/>
      <c r="K510" s="307"/>
      <c r="L510" s="307"/>
      <c r="M510" s="307"/>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c r="AK510" s="307"/>
      <c r="AL510" s="307"/>
      <c r="AM510" s="307"/>
      <c r="AN510" s="307"/>
      <c r="AO510" s="307"/>
      <c r="AP510" s="307"/>
      <c r="AQ510" s="307"/>
      <c r="AR510" s="307"/>
      <c r="AS510" s="307"/>
      <c r="AT510" s="307"/>
      <c r="AU510" s="307"/>
    </row>
    <row r="511" ht="15.75" customHeight="1">
      <c r="A511" s="307"/>
      <c r="B511" s="307"/>
      <c r="C511" s="307"/>
      <c r="D511" s="307"/>
      <c r="E511" s="307"/>
      <c r="F511" s="307"/>
      <c r="G511" s="307"/>
      <c r="H511" s="307"/>
      <c r="I511" s="307"/>
      <c r="J511" s="307"/>
      <c r="K511" s="307"/>
      <c r="L511" s="307"/>
      <c r="M511" s="307"/>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c r="AK511" s="307"/>
      <c r="AL511" s="307"/>
      <c r="AM511" s="307"/>
      <c r="AN511" s="307"/>
      <c r="AO511" s="307"/>
      <c r="AP511" s="307"/>
      <c r="AQ511" s="307"/>
      <c r="AR511" s="307"/>
      <c r="AS511" s="307"/>
      <c r="AT511" s="307"/>
      <c r="AU511" s="307"/>
    </row>
    <row r="512" ht="15.75" customHeight="1">
      <c r="A512" s="307"/>
      <c r="B512" s="307"/>
      <c r="C512" s="307"/>
      <c r="D512" s="307"/>
      <c r="E512" s="307"/>
      <c r="F512" s="307"/>
      <c r="G512" s="307"/>
      <c r="H512" s="307"/>
      <c r="I512" s="307"/>
      <c r="J512" s="307"/>
      <c r="K512" s="307"/>
      <c r="L512" s="307"/>
      <c r="M512" s="307"/>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c r="AK512" s="307"/>
      <c r="AL512" s="307"/>
      <c r="AM512" s="307"/>
      <c r="AN512" s="307"/>
      <c r="AO512" s="307"/>
      <c r="AP512" s="307"/>
      <c r="AQ512" s="307"/>
      <c r="AR512" s="307"/>
      <c r="AS512" s="307"/>
      <c r="AT512" s="307"/>
      <c r="AU512" s="307"/>
    </row>
    <row r="513" ht="15.75" customHeight="1">
      <c r="A513" s="307"/>
      <c r="B513" s="307"/>
      <c r="C513" s="307"/>
      <c r="D513" s="307"/>
      <c r="E513" s="307"/>
      <c r="F513" s="307"/>
      <c r="G513" s="307"/>
      <c r="H513" s="307"/>
      <c r="I513" s="307"/>
      <c r="J513" s="307"/>
      <c r="K513" s="307"/>
      <c r="L513" s="307"/>
      <c r="M513" s="307"/>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c r="AK513" s="307"/>
      <c r="AL513" s="307"/>
      <c r="AM513" s="307"/>
      <c r="AN513" s="307"/>
      <c r="AO513" s="307"/>
      <c r="AP513" s="307"/>
      <c r="AQ513" s="307"/>
      <c r="AR513" s="307"/>
      <c r="AS513" s="307"/>
      <c r="AT513" s="307"/>
      <c r="AU513" s="307"/>
    </row>
    <row r="514" ht="15.75" customHeight="1">
      <c r="A514" s="307"/>
      <c r="B514" s="307"/>
      <c r="C514" s="307"/>
      <c r="D514" s="307"/>
      <c r="E514" s="307"/>
      <c r="F514" s="307"/>
      <c r="G514" s="307"/>
      <c r="H514" s="307"/>
      <c r="I514" s="307"/>
      <c r="J514" s="307"/>
      <c r="K514" s="307"/>
      <c r="L514" s="307"/>
      <c r="M514" s="307"/>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c r="AK514" s="307"/>
      <c r="AL514" s="307"/>
      <c r="AM514" s="307"/>
      <c r="AN514" s="307"/>
      <c r="AO514" s="307"/>
      <c r="AP514" s="307"/>
      <c r="AQ514" s="307"/>
      <c r="AR514" s="307"/>
      <c r="AS514" s="307"/>
      <c r="AT514" s="307"/>
      <c r="AU514" s="307"/>
    </row>
    <row r="515" ht="15.75" customHeight="1">
      <c r="A515" s="307"/>
      <c r="B515" s="307"/>
      <c r="C515" s="307"/>
      <c r="D515" s="307"/>
      <c r="E515" s="307"/>
      <c r="F515" s="307"/>
      <c r="G515" s="307"/>
      <c r="H515" s="307"/>
      <c r="I515" s="307"/>
      <c r="J515" s="307"/>
      <c r="K515" s="307"/>
      <c r="L515" s="307"/>
      <c r="M515" s="307"/>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c r="AK515" s="307"/>
      <c r="AL515" s="307"/>
      <c r="AM515" s="307"/>
      <c r="AN515" s="307"/>
      <c r="AO515" s="307"/>
      <c r="AP515" s="307"/>
      <c r="AQ515" s="307"/>
      <c r="AR515" s="307"/>
      <c r="AS515" s="307"/>
      <c r="AT515" s="307"/>
      <c r="AU515" s="307"/>
    </row>
    <row r="516" ht="15.75" customHeight="1">
      <c r="A516" s="307"/>
      <c r="B516" s="307"/>
      <c r="C516" s="307"/>
      <c r="D516" s="307"/>
      <c r="E516" s="307"/>
      <c r="F516" s="307"/>
      <c r="G516" s="307"/>
      <c r="H516" s="307"/>
      <c r="I516" s="307"/>
      <c r="J516" s="307"/>
      <c r="K516" s="307"/>
      <c r="L516" s="307"/>
      <c r="M516" s="307"/>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c r="AK516" s="307"/>
      <c r="AL516" s="307"/>
      <c r="AM516" s="307"/>
      <c r="AN516" s="307"/>
      <c r="AO516" s="307"/>
      <c r="AP516" s="307"/>
      <c r="AQ516" s="307"/>
      <c r="AR516" s="307"/>
      <c r="AS516" s="307"/>
      <c r="AT516" s="307"/>
      <c r="AU516" s="307"/>
    </row>
    <row r="517" ht="15.75" customHeight="1">
      <c r="A517" s="307"/>
      <c r="B517" s="307"/>
      <c r="C517" s="307"/>
      <c r="D517" s="307"/>
      <c r="E517" s="307"/>
      <c r="F517" s="307"/>
      <c r="G517" s="307"/>
      <c r="H517" s="307"/>
      <c r="I517" s="307"/>
      <c r="J517" s="307"/>
      <c r="K517" s="307"/>
      <c r="L517" s="307"/>
      <c r="M517" s="307"/>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c r="AK517" s="307"/>
      <c r="AL517" s="307"/>
      <c r="AM517" s="307"/>
      <c r="AN517" s="307"/>
      <c r="AO517" s="307"/>
      <c r="AP517" s="307"/>
      <c r="AQ517" s="307"/>
      <c r="AR517" s="307"/>
      <c r="AS517" s="307"/>
      <c r="AT517" s="307"/>
      <c r="AU517" s="307"/>
    </row>
    <row r="518" ht="15.75" customHeight="1">
      <c r="A518" s="307"/>
      <c r="B518" s="307"/>
      <c r="C518" s="307"/>
      <c r="D518" s="307"/>
      <c r="E518" s="307"/>
      <c r="F518" s="307"/>
      <c r="G518" s="307"/>
      <c r="H518" s="307"/>
      <c r="I518" s="307"/>
      <c r="J518" s="307"/>
      <c r="K518" s="307"/>
      <c r="L518" s="307"/>
      <c r="M518" s="307"/>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c r="AK518" s="307"/>
      <c r="AL518" s="307"/>
      <c r="AM518" s="307"/>
      <c r="AN518" s="307"/>
      <c r="AO518" s="307"/>
      <c r="AP518" s="307"/>
      <c r="AQ518" s="307"/>
      <c r="AR518" s="307"/>
      <c r="AS518" s="307"/>
      <c r="AT518" s="307"/>
      <c r="AU518" s="307"/>
    </row>
    <row r="519" ht="15.75" customHeight="1">
      <c r="A519" s="307"/>
      <c r="B519" s="307"/>
      <c r="C519" s="307"/>
      <c r="D519" s="307"/>
      <c r="E519" s="307"/>
      <c r="F519" s="307"/>
      <c r="G519" s="307"/>
      <c r="H519" s="307"/>
      <c r="I519" s="307"/>
      <c r="J519" s="307"/>
      <c r="K519" s="307"/>
      <c r="L519" s="307"/>
      <c r="M519" s="307"/>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c r="AK519" s="307"/>
      <c r="AL519" s="307"/>
      <c r="AM519" s="307"/>
      <c r="AN519" s="307"/>
      <c r="AO519" s="307"/>
      <c r="AP519" s="307"/>
      <c r="AQ519" s="307"/>
      <c r="AR519" s="307"/>
      <c r="AS519" s="307"/>
      <c r="AT519" s="307"/>
      <c r="AU519" s="307"/>
    </row>
    <row r="520" ht="15.75" customHeight="1">
      <c r="A520" s="307"/>
      <c r="B520" s="307"/>
      <c r="C520" s="307"/>
      <c r="D520" s="307"/>
      <c r="E520" s="307"/>
      <c r="F520" s="307"/>
      <c r="G520" s="307"/>
      <c r="H520" s="307"/>
      <c r="I520" s="307"/>
      <c r="J520" s="307"/>
      <c r="K520" s="307"/>
      <c r="L520" s="307"/>
      <c r="M520" s="307"/>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c r="AK520" s="307"/>
      <c r="AL520" s="307"/>
      <c r="AM520" s="307"/>
      <c r="AN520" s="307"/>
      <c r="AO520" s="307"/>
      <c r="AP520" s="307"/>
      <c r="AQ520" s="307"/>
      <c r="AR520" s="307"/>
      <c r="AS520" s="307"/>
      <c r="AT520" s="307"/>
      <c r="AU520" s="307"/>
    </row>
    <row r="521" ht="15.75" customHeight="1">
      <c r="A521" s="307"/>
      <c r="B521" s="307"/>
      <c r="C521" s="307"/>
      <c r="D521" s="307"/>
      <c r="E521" s="307"/>
      <c r="F521" s="307"/>
      <c r="G521" s="307"/>
      <c r="H521" s="307"/>
      <c r="I521" s="307"/>
      <c r="J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c r="AK521" s="307"/>
      <c r="AL521" s="307"/>
      <c r="AM521" s="307"/>
      <c r="AN521" s="307"/>
      <c r="AO521" s="307"/>
      <c r="AP521" s="307"/>
      <c r="AQ521" s="307"/>
      <c r="AR521" s="307"/>
      <c r="AS521" s="307"/>
      <c r="AT521" s="307"/>
      <c r="AU521" s="307"/>
    </row>
    <row r="522" ht="15.75" customHeight="1">
      <c r="A522" s="307"/>
      <c r="B522" s="307"/>
      <c r="C522" s="307"/>
      <c r="D522" s="307"/>
      <c r="E522" s="307"/>
      <c r="F522" s="307"/>
      <c r="G522" s="307"/>
      <c r="H522" s="307"/>
      <c r="I522" s="307"/>
      <c r="J522" s="307"/>
      <c r="K522" s="307"/>
      <c r="L522" s="307"/>
      <c r="M522" s="307"/>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c r="AK522" s="307"/>
      <c r="AL522" s="307"/>
      <c r="AM522" s="307"/>
      <c r="AN522" s="307"/>
      <c r="AO522" s="307"/>
      <c r="AP522" s="307"/>
      <c r="AQ522" s="307"/>
      <c r="AR522" s="307"/>
      <c r="AS522" s="307"/>
      <c r="AT522" s="307"/>
      <c r="AU522" s="307"/>
    </row>
    <row r="523" ht="15.75" customHeight="1">
      <c r="A523" s="307"/>
      <c r="B523" s="307"/>
      <c r="C523" s="307"/>
      <c r="D523" s="307"/>
      <c r="E523" s="307"/>
      <c r="F523" s="307"/>
      <c r="G523" s="307"/>
      <c r="H523" s="307"/>
      <c r="I523" s="307"/>
      <c r="J523" s="307"/>
      <c r="K523" s="307"/>
      <c r="L523" s="307"/>
      <c r="M523" s="307"/>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c r="AK523" s="307"/>
      <c r="AL523" s="307"/>
      <c r="AM523" s="307"/>
      <c r="AN523" s="307"/>
      <c r="AO523" s="307"/>
      <c r="AP523" s="307"/>
      <c r="AQ523" s="307"/>
      <c r="AR523" s="307"/>
      <c r="AS523" s="307"/>
      <c r="AT523" s="307"/>
      <c r="AU523" s="307"/>
    </row>
    <row r="524" ht="15.75" customHeight="1">
      <c r="A524" s="307"/>
      <c r="B524" s="307"/>
      <c r="C524" s="307"/>
      <c r="D524" s="307"/>
      <c r="E524" s="307"/>
      <c r="F524" s="307"/>
      <c r="G524" s="307"/>
      <c r="H524" s="307"/>
      <c r="I524" s="307"/>
      <c r="J524" s="307"/>
      <c r="K524" s="307"/>
      <c r="L524" s="307"/>
      <c r="M524" s="307"/>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c r="AK524" s="307"/>
      <c r="AL524" s="307"/>
      <c r="AM524" s="307"/>
      <c r="AN524" s="307"/>
      <c r="AO524" s="307"/>
      <c r="AP524" s="307"/>
      <c r="AQ524" s="307"/>
      <c r="AR524" s="307"/>
      <c r="AS524" s="307"/>
      <c r="AT524" s="307"/>
      <c r="AU524" s="307"/>
    </row>
    <row r="525" ht="15.75" customHeight="1">
      <c r="A525" s="307"/>
      <c r="B525" s="307"/>
      <c r="C525" s="307"/>
      <c r="D525" s="307"/>
      <c r="E525" s="307"/>
      <c r="F525" s="307"/>
      <c r="G525" s="307"/>
      <c r="H525" s="307"/>
      <c r="I525" s="307"/>
      <c r="J525" s="307"/>
      <c r="K525" s="307"/>
      <c r="L525" s="307"/>
      <c r="M525" s="307"/>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c r="AK525" s="307"/>
      <c r="AL525" s="307"/>
      <c r="AM525" s="307"/>
      <c r="AN525" s="307"/>
      <c r="AO525" s="307"/>
      <c r="AP525" s="307"/>
      <c r="AQ525" s="307"/>
      <c r="AR525" s="307"/>
      <c r="AS525" s="307"/>
      <c r="AT525" s="307"/>
      <c r="AU525" s="307"/>
    </row>
    <row r="526" ht="15.75" customHeight="1">
      <c r="A526" s="307"/>
      <c r="B526" s="307"/>
      <c r="C526" s="307"/>
      <c r="D526" s="307"/>
      <c r="E526" s="307"/>
      <c r="F526" s="307"/>
      <c r="G526" s="307"/>
      <c r="H526" s="307"/>
      <c r="I526" s="307"/>
      <c r="J526" s="307"/>
      <c r="K526" s="307"/>
      <c r="L526" s="307"/>
      <c r="M526" s="307"/>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c r="AK526" s="307"/>
      <c r="AL526" s="307"/>
      <c r="AM526" s="307"/>
      <c r="AN526" s="307"/>
      <c r="AO526" s="307"/>
      <c r="AP526" s="307"/>
      <c r="AQ526" s="307"/>
      <c r="AR526" s="307"/>
      <c r="AS526" s="307"/>
      <c r="AT526" s="307"/>
      <c r="AU526" s="307"/>
    </row>
    <row r="527" ht="15.75" customHeight="1">
      <c r="A527" s="307"/>
      <c r="B527" s="307"/>
      <c r="C527" s="307"/>
      <c r="D527" s="307"/>
      <c r="E527" s="307"/>
      <c r="F527" s="307"/>
      <c r="G527" s="307"/>
      <c r="H527" s="307"/>
      <c r="I527" s="307"/>
      <c r="J527" s="307"/>
      <c r="K527" s="307"/>
      <c r="L527" s="307"/>
      <c r="M527" s="307"/>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c r="AK527" s="307"/>
      <c r="AL527" s="307"/>
      <c r="AM527" s="307"/>
      <c r="AN527" s="307"/>
      <c r="AO527" s="307"/>
      <c r="AP527" s="307"/>
      <c r="AQ527" s="307"/>
      <c r="AR527" s="307"/>
      <c r="AS527" s="307"/>
      <c r="AT527" s="307"/>
      <c r="AU527" s="307"/>
    </row>
    <row r="528" ht="15.75" customHeight="1">
      <c r="A528" s="307"/>
      <c r="B528" s="307"/>
      <c r="C528" s="307"/>
      <c r="D528" s="307"/>
      <c r="E528" s="307"/>
      <c r="F528" s="307"/>
      <c r="G528" s="307"/>
      <c r="H528" s="307"/>
      <c r="I528" s="307"/>
      <c r="J528" s="307"/>
      <c r="K528" s="307"/>
      <c r="L528" s="307"/>
      <c r="M528" s="307"/>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c r="AK528" s="307"/>
      <c r="AL528" s="307"/>
      <c r="AM528" s="307"/>
      <c r="AN528" s="307"/>
      <c r="AO528" s="307"/>
      <c r="AP528" s="307"/>
      <c r="AQ528" s="307"/>
      <c r="AR528" s="307"/>
      <c r="AS528" s="307"/>
      <c r="AT528" s="307"/>
      <c r="AU528" s="307"/>
    </row>
    <row r="529" ht="15.75" customHeight="1">
      <c r="A529" s="307"/>
      <c r="B529" s="307"/>
      <c r="C529" s="307"/>
      <c r="D529" s="307"/>
      <c r="E529" s="307"/>
      <c r="F529" s="307"/>
      <c r="G529" s="307"/>
      <c r="H529" s="307"/>
      <c r="I529" s="307"/>
      <c r="J529" s="307"/>
      <c r="K529" s="307"/>
      <c r="L529" s="307"/>
      <c r="M529" s="307"/>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c r="AK529" s="307"/>
      <c r="AL529" s="307"/>
      <c r="AM529" s="307"/>
      <c r="AN529" s="307"/>
      <c r="AO529" s="307"/>
      <c r="AP529" s="307"/>
      <c r="AQ529" s="307"/>
      <c r="AR529" s="307"/>
      <c r="AS529" s="307"/>
      <c r="AT529" s="307"/>
      <c r="AU529" s="307"/>
    </row>
    <row r="530" ht="15.75" customHeight="1">
      <c r="A530" s="307"/>
      <c r="B530" s="307"/>
      <c r="C530" s="307"/>
      <c r="D530" s="307"/>
      <c r="E530" s="307"/>
      <c r="F530" s="307"/>
      <c r="G530" s="307"/>
      <c r="H530" s="307"/>
      <c r="I530" s="307"/>
      <c r="J530" s="307"/>
      <c r="K530" s="307"/>
      <c r="L530" s="307"/>
      <c r="M530" s="307"/>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c r="AK530" s="307"/>
      <c r="AL530" s="307"/>
      <c r="AM530" s="307"/>
      <c r="AN530" s="307"/>
      <c r="AO530" s="307"/>
      <c r="AP530" s="307"/>
      <c r="AQ530" s="307"/>
      <c r="AR530" s="307"/>
      <c r="AS530" s="307"/>
      <c r="AT530" s="307"/>
      <c r="AU530" s="307"/>
    </row>
    <row r="531" ht="15.75" customHeight="1">
      <c r="A531" s="307"/>
      <c r="B531" s="307"/>
      <c r="C531" s="307"/>
      <c r="D531" s="307"/>
      <c r="E531" s="307"/>
      <c r="F531" s="307"/>
      <c r="G531" s="307"/>
      <c r="H531" s="307"/>
      <c r="I531" s="307"/>
      <c r="J531" s="307"/>
      <c r="K531" s="307"/>
      <c r="L531" s="307"/>
      <c r="M531" s="307"/>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c r="AK531" s="307"/>
      <c r="AL531" s="307"/>
      <c r="AM531" s="307"/>
      <c r="AN531" s="307"/>
      <c r="AO531" s="307"/>
      <c r="AP531" s="307"/>
      <c r="AQ531" s="307"/>
      <c r="AR531" s="307"/>
      <c r="AS531" s="307"/>
      <c r="AT531" s="307"/>
      <c r="AU531" s="307"/>
    </row>
    <row r="532" ht="15.75" customHeight="1">
      <c r="A532" s="307"/>
      <c r="B532" s="307"/>
      <c r="C532" s="307"/>
      <c r="D532" s="307"/>
      <c r="E532" s="307"/>
      <c r="F532" s="307"/>
      <c r="G532" s="307"/>
      <c r="H532" s="307"/>
      <c r="I532" s="307"/>
      <c r="J532" s="307"/>
      <c r="K532" s="307"/>
      <c r="L532" s="307"/>
      <c r="M532" s="307"/>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c r="AK532" s="307"/>
      <c r="AL532" s="307"/>
      <c r="AM532" s="307"/>
      <c r="AN532" s="307"/>
      <c r="AO532" s="307"/>
      <c r="AP532" s="307"/>
      <c r="AQ532" s="307"/>
      <c r="AR532" s="307"/>
      <c r="AS532" s="307"/>
      <c r="AT532" s="307"/>
      <c r="AU532" s="307"/>
    </row>
    <row r="533" ht="15.75" customHeight="1">
      <c r="A533" s="307"/>
      <c r="B533" s="307"/>
      <c r="C533" s="307"/>
      <c r="D533" s="307"/>
      <c r="E533" s="307"/>
      <c r="F533" s="307"/>
      <c r="G533" s="307"/>
      <c r="H533" s="307"/>
      <c r="I533" s="307"/>
      <c r="J533" s="307"/>
      <c r="K533" s="307"/>
      <c r="L533" s="307"/>
      <c r="M533" s="307"/>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c r="AK533" s="307"/>
      <c r="AL533" s="307"/>
      <c r="AM533" s="307"/>
      <c r="AN533" s="307"/>
      <c r="AO533" s="307"/>
      <c r="AP533" s="307"/>
      <c r="AQ533" s="307"/>
      <c r="AR533" s="307"/>
      <c r="AS533" s="307"/>
      <c r="AT533" s="307"/>
      <c r="AU533" s="307"/>
    </row>
    <row r="534" ht="15.75" customHeight="1">
      <c r="A534" s="307"/>
      <c r="B534" s="307"/>
      <c r="C534" s="307"/>
      <c r="D534" s="307"/>
      <c r="E534" s="307"/>
      <c r="F534" s="307"/>
      <c r="G534" s="307"/>
      <c r="H534" s="307"/>
      <c r="I534" s="307"/>
      <c r="J534" s="307"/>
      <c r="K534" s="307"/>
      <c r="L534" s="307"/>
      <c r="M534" s="307"/>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c r="AK534" s="307"/>
      <c r="AL534" s="307"/>
      <c r="AM534" s="307"/>
      <c r="AN534" s="307"/>
      <c r="AO534" s="307"/>
      <c r="AP534" s="307"/>
      <c r="AQ534" s="307"/>
      <c r="AR534" s="307"/>
      <c r="AS534" s="307"/>
      <c r="AT534" s="307"/>
      <c r="AU534" s="307"/>
    </row>
    <row r="535" ht="15.75" customHeight="1">
      <c r="A535" s="307"/>
      <c r="B535" s="307"/>
      <c r="C535" s="307"/>
      <c r="D535" s="307"/>
      <c r="E535" s="307"/>
      <c r="F535" s="307"/>
      <c r="G535" s="307"/>
      <c r="H535" s="307"/>
      <c r="I535" s="307"/>
      <c r="J535" s="307"/>
      <c r="K535" s="307"/>
      <c r="L535" s="307"/>
      <c r="M535" s="307"/>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c r="AK535" s="307"/>
      <c r="AL535" s="307"/>
      <c r="AM535" s="307"/>
      <c r="AN535" s="307"/>
      <c r="AO535" s="307"/>
      <c r="AP535" s="307"/>
      <c r="AQ535" s="307"/>
      <c r="AR535" s="307"/>
      <c r="AS535" s="307"/>
      <c r="AT535" s="307"/>
      <c r="AU535" s="307"/>
    </row>
    <row r="536" ht="15.75" customHeight="1">
      <c r="A536" s="307"/>
      <c r="B536" s="307"/>
      <c r="C536" s="307"/>
      <c r="D536" s="307"/>
      <c r="E536" s="307"/>
      <c r="F536" s="307"/>
      <c r="G536" s="307"/>
      <c r="H536" s="307"/>
      <c r="I536" s="307"/>
      <c r="J536" s="307"/>
      <c r="K536" s="307"/>
      <c r="L536" s="307"/>
      <c r="M536" s="307"/>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c r="AK536" s="307"/>
      <c r="AL536" s="307"/>
      <c r="AM536" s="307"/>
      <c r="AN536" s="307"/>
      <c r="AO536" s="307"/>
      <c r="AP536" s="307"/>
      <c r="AQ536" s="307"/>
      <c r="AR536" s="307"/>
      <c r="AS536" s="307"/>
      <c r="AT536" s="307"/>
      <c r="AU536" s="307"/>
    </row>
    <row r="537" ht="15.75" customHeight="1">
      <c r="A537" s="307"/>
      <c r="B537" s="307"/>
      <c r="C537" s="307"/>
      <c r="D537" s="307"/>
      <c r="E537" s="307"/>
      <c r="F537" s="307"/>
      <c r="G537" s="307"/>
      <c r="H537" s="307"/>
      <c r="I537" s="307"/>
      <c r="J537" s="307"/>
      <c r="K537" s="307"/>
      <c r="L537" s="307"/>
      <c r="M537" s="307"/>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c r="AK537" s="307"/>
      <c r="AL537" s="307"/>
      <c r="AM537" s="307"/>
      <c r="AN537" s="307"/>
      <c r="AO537" s="307"/>
      <c r="AP537" s="307"/>
      <c r="AQ537" s="307"/>
      <c r="AR537" s="307"/>
      <c r="AS537" s="307"/>
      <c r="AT537" s="307"/>
      <c r="AU537" s="307"/>
    </row>
    <row r="538" ht="15.75" customHeight="1">
      <c r="A538" s="307"/>
      <c r="B538" s="307"/>
      <c r="C538" s="307"/>
      <c r="D538" s="307"/>
      <c r="E538" s="307"/>
      <c r="F538" s="307"/>
      <c r="G538" s="307"/>
      <c r="H538" s="307"/>
      <c r="I538" s="307"/>
      <c r="J538" s="307"/>
      <c r="K538" s="307"/>
      <c r="L538" s="307"/>
      <c r="M538" s="307"/>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c r="AK538" s="307"/>
      <c r="AL538" s="307"/>
      <c r="AM538" s="307"/>
      <c r="AN538" s="307"/>
      <c r="AO538" s="307"/>
      <c r="AP538" s="307"/>
      <c r="AQ538" s="307"/>
      <c r="AR538" s="307"/>
      <c r="AS538" s="307"/>
      <c r="AT538" s="307"/>
      <c r="AU538" s="307"/>
    </row>
    <row r="539" ht="15.75" customHeight="1">
      <c r="A539" s="307"/>
      <c r="B539" s="307"/>
      <c r="C539" s="307"/>
      <c r="D539" s="307"/>
      <c r="E539" s="307"/>
      <c r="F539" s="307"/>
      <c r="G539" s="307"/>
      <c r="H539" s="307"/>
      <c r="I539" s="307"/>
      <c r="J539" s="307"/>
      <c r="K539" s="307"/>
      <c r="L539" s="307"/>
      <c r="M539" s="307"/>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c r="AK539" s="307"/>
      <c r="AL539" s="307"/>
      <c r="AM539" s="307"/>
      <c r="AN539" s="307"/>
      <c r="AO539" s="307"/>
      <c r="AP539" s="307"/>
      <c r="AQ539" s="307"/>
      <c r="AR539" s="307"/>
      <c r="AS539" s="307"/>
      <c r="AT539" s="307"/>
      <c r="AU539" s="307"/>
    </row>
    <row r="540" ht="15.75" customHeight="1">
      <c r="A540" s="307"/>
      <c r="B540" s="307"/>
      <c r="C540" s="307"/>
      <c r="D540" s="307"/>
      <c r="E540" s="307"/>
      <c r="F540" s="307"/>
      <c r="G540" s="307"/>
      <c r="H540" s="307"/>
      <c r="I540" s="307"/>
      <c r="J540" s="307"/>
      <c r="K540" s="307"/>
      <c r="L540" s="307"/>
      <c r="M540" s="307"/>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c r="AK540" s="307"/>
      <c r="AL540" s="307"/>
      <c r="AM540" s="307"/>
      <c r="AN540" s="307"/>
      <c r="AO540" s="307"/>
      <c r="AP540" s="307"/>
      <c r="AQ540" s="307"/>
      <c r="AR540" s="307"/>
      <c r="AS540" s="307"/>
      <c r="AT540" s="307"/>
      <c r="AU540" s="307"/>
    </row>
    <row r="541" ht="15.75" customHeight="1">
      <c r="A541" s="307"/>
      <c r="B541" s="307"/>
      <c r="C541" s="307"/>
      <c r="D541" s="307"/>
      <c r="E541" s="307"/>
      <c r="F541" s="307"/>
      <c r="G541" s="307"/>
      <c r="H541" s="307"/>
      <c r="I541" s="307"/>
      <c r="J541" s="307"/>
      <c r="K541" s="307"/>
      <c r="L541" s="307"/>
      <c r="M541" s="307"/>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c r="AK541" s="307"/>
      <c r="AL541" s="307"/>
      <c r="AM541" s="307"/>
      <c r="AN541" s="307"/>
      <c r="AO541" s="307"/>
      <c r="AP541" s="307"/>
      <c r="AQ541" s="307"/>
      <c r="AR541" s="307"/>
      <c r="AS541" s="307"/>
      <c r="AT541" s="307"/>
      <c r="AU541" s="307"/>
    </row>
    <row r="542" ht="15.75" customHeight="1">
      <c r="A542" s="30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c r="AK542" s="307"/>
      <c r="AL542" s="307"/>
      <c r="AM542" s="307"/>
      <c r="AN542" s="307"/>
      <c r="AO542" s="307"/>
      <c r="AP542" s="307"/>
      <c r="AQ542" s="307"/>
      <c r="AR542" s="307"/>
      <c r="AS542" s="307"/>
      <c r="AT542" s="307"/>
      <c r="AU542" s="307"/>
    </row>
    <row r="543" ht="15.75" customHeight="1">
      <c r="A543" s="307"/>
      <c r="B543" s="307"/>
      <c r="C543" s="307"/>
      <c r="D543" s="307"/>
      <c r="E543" s="307"/>
      <c r="F543" s="307"/>
      <c r="G543" s="307"/>
      <c r="H543" s="307"/>
      <c r="I543" s="307"/>
      <c r="J543" s="307"/>
      <c r="K543" s="307"/>
      <c r="L543" s="307"/>
      <c r="M543" s="307"/>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c r="AK543" s="307"/>
      <c r="AL543" s="307"/>
      <c r="AM543" s="307"/>
      <c r="AN543" s="307"/>
      <c r="AO543" s="307"/>
      <c r="AP543" s="307"/>
      <c r="AQ543" s="307"/>
      <c r="AR543" s="307"/>
      <c r="AS543" s="307"/>
      <c r="AT543" s="307"/>
      <c r="AU543" s="307"/>
    </row>
    <row r="544" ht="15.75" customHeight="1">
      <c r="A544" s="307"/>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c r="AK544" s="307"/>
      <c r="AL544" s="307"/>
      <c r="AM544" s="307"/>
      <c r="AN544" s="307"/>
      <c r="AO544" s="307"/>
      <c r="AP544" s="307"/>
      <c r="AQ544" s="307"/>
      <c r="AR544" s="307"/>
      <c r="AS544" s="307"/>
      <c r="AT544" s="307"/>
      <c r="AU544" s="307"/>
    </row>
    <row r="545" ht="15.75" customHeight="1">
      <c r="A545" s="307"/>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c r="AK545" s="307"/>
      <c r="AL545" s="307"/>
      <c r="AM545" s="307"/>
      <c r="AN545" s="307"/>
      <c r="AO545" s="307"/>
      <c r="AP545" s="307"/>
      <c r="AQ545" s="307"/>
      <c r="AR545" s="307"/>
      <c r="AS545" s="307"/>
      <c r="AT545" s="307"/>
      <c r="AU545" s="307"/>
    </row>
    <row r="546" ht="15.75" customHeight="1">
      <c r="A546" s="307"/>
      <c r="B546" s="307"/>
      <c r="C546" s="307"/>
      <c r="D546" s="307"/>
      <c r="E546" s="307"/>
      <c r="F546" s="307"/>
      <c r="G546" s="307"/>
      <c r="H546" s="307"/>
      <c r="I546" s="307"/>
      <c r="J546" s="307"/>
      <c r="K546" s="307"/>
      <c r="L546" s="307"/>
      <c r="M546" s="307"/>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c r="AK546" s="307"/>
      <c r="AL546" s="307"/>
      <c r="AM546" s="307"/>
      <c r="AN546" s="307"/>
      <c r="AO546" s="307"/>
      <c r="AP546" s="307"/>
      <c r="AQ546" s="307"/>
      <c r="AR546" s="307"/>
      <c r="AS546" s="307"/>
      <c r="AT546" s="307"/>
      <c r="AU546" s="307"/>
    </row>
    <row r="547" ht="15.75" customHeight="1">
      <c r="A547" s="307"/>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c r="AK547" s="307"/>
      <c r="AL547" s="307"/>
      <c r="AM547" s="307"/>
      <c r="AN547" s="307"/>
      <c r="AO547" s="307"/>
      <c r="AP547" s="307"/>
      <c r="AQ547" s="307"/>
      <c r="AR547" s="307"/>
      <c r="AS547" s="307"/>
      <c r="AT547" s="307"/>
      <c r="AU547" s="307"/>
    </row>
    <row r="548" ht="15.75" customHeight="1">
      <c r="A548" s="307"/>
      <c r="B548" s="307"/>
      <c r="C548" s="307"/>
      <c r="D548" s="307"/>
      <c r="E548" s="307"/>
      <c r="F548" s="307"/>
      <c r="G548" s="307"/>
      <c r="H548" s="307"/>
      <c r="I548" s="307"/>
      <c r="J548" s="307"/>
      <c r="K548" s="307"/>
      <c r="L548" s="307"/>
      <c r="M548" s="307"/>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c r="AK548" s="307"/>
      <c r="AL548" s="307"/>
      <c r="AM548" s="307"/>
      <c r="AN548" s="307"/>
      <c r="AO548" s="307"/>
      <c r="AP548" s="307"/>
      <c r="AQ548" s="307"/>
      <c r="AR548" s="307"/>
      <c r="AS548" s="307"/>
      <c r="AT548" s="307"/>
      <c r="AU548" s="307"/>
    </row>
    <row r="549" ht="15.75" customHeight="1">
      <c r="A549" s="307"/>
      <c r="B549" s="307"/>
      <c r="C549" s="307"/>
      <c r="D549" s="307"/>
      <c r="E549" s="307"/>
      <c r="F549" s="307"/>
      <c r="G549" s="307"/>
      <c r="H549" s="307"/>
      <c r="I549" s="307"/>
      <c r="J549" s="307"/>
      <c r="K549" s="307"/>
      <c r="L549" s="307"/>
      <c r="M549" s="307"/>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c r="AK549" s="307"/>
      <c r="AL549" s="307"/>
      <c r="AM549" s="307"/>
      <c r="AN549" s="307"/>
      <c r="AO549" s="307"/>
      <c r="AP549" s="307"/>
      <c r="AQ549" s="307"/>
      <c r="AR549" s="307"/>
      <c r="AS549" s="307"/>
      <c r="AT549" s="307"/>
      <c r="AU549" s="307"/>
    </row>
    <row r="550" ht="15.75" customHeight="1">
      <c r="A550" s="307"/>
      <c r="B550" s="307"/>
      <c r="C550" s="307"/>
      <c r="D550" s="307"/>
      <c r="E550" s="307"/>
      <c r="F550" s="307"/>
      <c r="G550" s="307"/>
      <c r="H550" s="307"/>
      <c r="I550" s="307"/>
      <c r="J550" s="307"/>
      <c r="K550" s="307"/>
      <c r="L550" s="307"/>
      <c r="M550" s="307"/>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c r="AK550" s="307"/>
      <c r="AL550" s="307"/>
      <c r="AM550" s="307"/>
      <c r="AN550" s="307"/>
      <c r="AO550" s="307"/>
      <c r="AP550" s="307"/>
      <c r="AQ550" s="307"/>
      <c r="AR550" s="307"/>
      <c r="AS550" s="307"/>
      <c r="AT550" s="307"/>
      <c r="AU550" s="307"/>
    </row>
    <row r="551" ht="15.75" customHeight="1">
      <c r="A551" s="307"/>
      <c r="B551" s="307"/>
      <c r="C551" s="307"/>
      <c r="D551" s="307"/>
      <c r="E551" s="307"/>
      <c r="F551" s="307"/>
      <c r="G551" s="307"/>
      <c r="H551" s="307"/>
      <c r="I551" s="307"/>
      <c r="J551" s="307"/>
      <c r="K551" s="307"/>
      <c r="L551" s="307"/>
      <c r="M551" s="307"/>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c r="AK551" s="307"/>
      <c r="AL551" s="307"/>
      <c r="AM551" s="307"/>
      <c r="AN551" s="307"/>
      <c r="AO551" s="307"/>
      <c r="AP551" s="307"/>
      <c r="AQ551" s="307"/>
      <c r="AR551" s="307"/>
      <c r="AS551" s="307"/>
      <c r="AT551" s="307"/>
      <c r="AU551" s="307"/>
    </row>
    <row r="552" ht="15.75" customHeight="1">
      <c r="A552" s="307"/>
      <c r="B552" s="307"/>
      <c r="C552" s="307"/>
      <c r="D552" s="307"/>
      <c r="E552" s="307"/>
      <c r="F552" s="307"/>
      <c r="G552" s="307"/>
      <c r="H552" s="307"/>
      <c r="I552" s="307"/>
      <c r="J552" s="307"/>
      <c r="K552" s="307"/>
      <c r="L552" s="307"/>
      <c r="M552" s="307"/>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c r="AK552" s="307"/>
      <c r="AL552" s="307"/>
      <c r="AM552" s="307"/>
      <c r="AN552" s="307"/>
      <c r="AO552" s="307"/>
      <c r="AP552" s="307"/>
      <c r="AQ552" s="307"/>
      <c r="AR552" s="307"/>
      <c r="AS552" s="307"/>
      <c r="AT552" s="307"/>
      <c r="AU552" s="307"/>
    </row>
    <row r="553" ht="15.75" customHeight="1">
      <c r="A553" s="307"/>
      <c r="B553" s="307"/>
      <c r="C553" s="307"/>
      <c r="D553" s="307"/>
      <c r="E553" s="307"/>
      <c r="F553" s="307"/>
      <c r="G553" s="307"/>
      <c r="H553" s="307"/>
      <c r="I553" s="307"/>
      <c r="J553" s="307"/>
      <c r="K553" s="307"/>
      <c r="L553" s="307"/>
      <c r="M553" s="307"/>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c r="AK553" s="307"/>
      <c r="AL553" s="307"/>
      <c r="AM553" s="307"/>
      <c r="AN553" s="307"/>
      <c r="AO553" s="307"/>
      <c r="AP553" s="307"/>
      <c r="AQ553" s="307"/>
      <c r="AR553" s="307"/>
      <c r="AS553" s="307"/>
      <c r="AT553" s="307"/>
      <c r="AU553" s="307"/>
    </row>
    <row r="554" ht="15.75" customHeight="1">
      <c r="A554" s="307"/>
      <c r="B554" s="307"/>
      <c r="C554" s="307"/>
      <c r="D554" s="307"/>
      <c r="E554" s="307"/>
      <c r="F554" s="307"/>
      <c r="G554" s="307"/>
      <c r="H554" s="307"/>
      <c r="I554" s="307"/>
      <c r="J554" s="307"/>
      <c r="K554" s="307"/>
      <c r="L554" s="307"/>
      <c r="M554" s="307"/>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c r="AK554" s="307"/>
      <c r="AL554" s="307"/>
      <c r="AM554" s="307"/>
      <c r="AN554" s="307"/>
      <c r="AO554" s="307"/>
      <c r="AP554" s="307"/>
      <c r="AQ554" s="307"/>
      <c r="AR554" s="307"/>
      <c r="AS554" s="307"/>
      <c r="AT554" s="307"/>
      <c r="AU554" s="307"/>
    </row>
    <row r="555" ht="15.75" customHeight="1">
      <c r="A555" s="307"/>
      <c r="B555" s="307"/>
      <c r="C555" s="307"/>
      <c r="D555" s="307"/>
      <c r="E555" s="307"/>
      <c r="F555" s="307"/>
      <c r="G555" s="307"/>
      <c r="H555" s="307"/>
      <c r="I555" s="307"/>
      <c r="J555" s="307"/>
      <c r="K555" s="307"/>
      <c r="L555" s="307"/>
      <c r="M555" s="307"/>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c r="AK555" s="307"/>
      <c r="AL555" s="307"/>
      <c r="AM555" s="307"/>
      <c r="AN555" s="307"/>
      <c r="AO555" s="307"/>
      <c r="AP555" s="307"/>
      <c r="AQ555" s="307"/>
      <c r="AR555" s="307"/>
      <c r="AS555" s="307"/>
      <c r="AT555" s="307"/>
      <c r="AU555" s="307"/>
    </row>
    <row r="556" ht="15.75" customHeight="1">
      <c r="A556" s="307"/>
      <c r="B556" s="307"/>
      <c r="C556" s="307"/>
      <c r="D556" s="307"/>
      <c r="E556" s="307"/>
      <c r="F556" s="307"/>
      <c r="G556" s="307"/>
      <c r="H556" s="307"/>
      <c r="I556" s="307"/>
      <c r="J556" s="307"/>
      <c r="K556" s="307"/>
      <c r="L556" s="307"/>
      <c r="M556" s="307"/>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c r="AK556" s="307"/>
      <c r="AL556" s="307"/>
      <c r="AM556" s="307"/>
      <c r="AN556" s="307"/>
      <c r="AO556" s="307"/>
      <c r="AP556" s="307"/>
      <c r="AQ556" s="307"/>
      <c r="AR556" s="307"/>
      <c r="AS556" s="307"/>
      <c r="AT556" s="307"/>
      <c r="AU556" s="307"/>
    </row>
    <row r="557" ht="15.75" customHeight="1">
      <c r="A557" s="307"/>
      <c r="B557" s="307"/>
      <c r="C557" s="307"/>
      <c r="D557" s="307"/>
      <c r="E557" s="307"/>
      <c r="F557" s="307"/>
      <c r="G557" s="307"/>
      <c r="H557" s="307"/>
      <c r="I557" s="307"/>
      <c r="J557" s="307"/>
      <c r="K557" s="307"/>
      <c r="L557" s="307"/>
      <c r="M557" s="307"/>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c r="AK557" s="307"/>
      <c r="AL557" s="307"/>
      <c r="AM557" s="307"/>
      <c r="AN557" s="307"/>
      <c r="AO557" s="307"/>
      <c r="AP557" s="307"/>
      <c r="AQ557" s="307"/>
      <c r="AR557" s="307"/>
      <c r="AS557" s="307"/>
      <c r="AT557" s="307"/>
      <c r="AU557" s="307"/>
    </row>
    <row r="558" ht="15.75" customHeight="1">
      <c r="A558" s="307"/>
      <c r="B558" s="307"/>
      <c r="C558" s="307"/>
      <c r="D558" s="307"/>
      <c r="E558" s="307"/>
      <c r="F558" s="307"/>
      <c r="G558" s="307"/>
      <c r="H558" s="307"/>
      <c r="I558" s="307"/>
      <c r="J558" s="307"/>
      <c r="K558" s="307"/>
      <c r="L558" s="307"/>
      <c r="M558" s="307"/>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c r="AK558" s="307"/>
      <c r="AL558" s="307"/>
      <c r="AM558" s="307"/>
      <c r="AN558" s="307"/>
      <c r="AO558" s="307"/>
      <c r="AP558" s="307"/>
      <c r="AQ558" s="307"/>
      <c r="AR558" s="307"/>
      <c r="AS558" s="307"/>
      <c r="AT558" s="307"/>
      <c r="AU558" s="307"/>
    </row>
    <row r="559" ht="15.75" customHeight="1">
      <c r="A559" s="307"/>
      <c r="B559" s="307"/>
      <c r="C559" s="307"/>
      <c r="D559" s="307"/>
      <c r="E559" s="307"/>
      <c r="F559" s="307"/>
      <c r="G559" s="307"/>
      <c r="H559" s="307"/>
      <c r="I559" s="307"/>
      <c r="J559" s="307"/>
      <c r="K559" s="307"/>
      <c r="L559" s="307"/>
      <c r="M559" s="307"/>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c r="AK559" s="307"/>
      <c r="AL559" s="307"/>
      <c r="AM559" s="307"/>
      <c r="AN559" s="307"/>
      <c r="AO559" s="307"/>
      <c r="AP559" s="307"/>
      <c r="AQ559" s="307"/>
      <c r="AR559" s="307"/>
      <c r="AS559" s="307"/>
      <c r="AT559" s="307"/>
      <c r="AU559" s="307"/>
    </row>
    <row r="560" ht="15.75" customHeight="1">
      <c r="A560" s="307"/>
      <c r="B560" s="307"/>
      <c r="C560" s="307"/>
      <c r="D560" s="307"/>
      <c r="E560" s="307"/>
      <c r="F560" s="307"/>
      <c r="G560" s="307"/>
      <c r="H560" s="307"/>
      <c r="I560" s="307"/>
      <c r="J560" s="307"/>
      <c r="K560" s="307"/>
      <c r="L560" s="307"/>
      <c r="M560" s="307"/>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c r="AK560" s="307"/>
      <c r="AL560" s="307"/>
      <c r="AM560" s="307"/>
      <c r="AN560" s="307"/>
      <c r="AO560" s="307"/>
      <c r="AP560" s="307"/>
      <c r="AQ560" s="307"/>
      <c r="AR560" s="307"/>
      <c r="AS560" s="307"/>
      <c r="AT560" s="307"/>
      <c r="AU560" s="307"/>
    </row>
    <row r="561" ht="15.75" customHeight="1">
      <c r="A561" s="307"/>
      <c r="B561" s="307"/>
      <c r="C561" s="307"/>
      <c r="D561" s="307"/>
      <c r="E561" s="307"/>
      <c r="F561" s="307"/>
      <c r="G561" s="307"/>
      <c r="H561" s="307"/>
      <c r="I561" s="307"/>
      <c r="J561" s="307"/>
      <c r="K561" s="307"/>
      <c r="L561" s="307"/>
      <c r="M561" s="307"/>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c r="AK561" s="307"/>
      <c r="AL561" s="307"/>
      <c r="AM561" s="307"/>
      <c r="AN561" s="307"/>
      <c r="AO561" s="307"/>
      <c r="AP561" s="307"/>
      <c r="AQ561" s="307"/>
      <c r="AR561" s="307"/>
      <c r="AS561" s="307"/>
      <c r="AT561" s="307"/>
      <c r="AU561" s="307"/>
    </row>
    <row r="562" ht="15.75" customHeight="1">
      <c r="A562" s="307"/>
      <c r="B562" s="307"/>
      <c r="C562" s="307"/>
      <c r="D562" s="307"/>
      <c r="E562" s="307"/>
      <c r="F562" s="307"/>
      <c r="G562" s="307"/>
      <c r="H562" s="307"/>
      <c r="I562" s="307"/>
      <c r="J562" s="307"/>
      <c r="K562" s="307"/>
      <c r="L562" s="307"/>
      <c r="M562" s="307"/>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c r="AK562" s="307"/>
      <c r="AL562" s="307"/>
      <c r="AM562" s="307"/>
      <c r="AN562" s="307"/>
      <c r="AO562" s="307"/>
      <c r="AP562" s="307"/>
      <c r="AQ562" s="307"/>
      <c r="AR562" s="307"/>
      <c r="AS562" s="307"/>
      <c r="AT562" s="307"/>
      <c r="AU562" s="307"/>
    </row>
    <row r="563" ht="15.75" customHeight="1">
      <c r="A563" s="307"/>
      <c r="B563" s="307"/>
      <c r="C563" s="307"/>
      <c r="D563" s="307"/>
      <c r="E563" s="307"/>
      <c r="F563" s="307"/>
      <c r="G563" s="307"/>
      <c r="H563" s="307"/>
      <c r="I563" s="307"/>
      <c r="J563" s="307"/>
      <c r="K563" s="307"/>
      <c r="L563" s="307"/>
      <c r="M563" s="307"/>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c r="AK563" s="307"/>
      <c r="AL563" s="307"/>
      <c r="AM563" s="307"/>
      <c r="AN563" s="307"/>
      <c r="AO563" s="307"/>
      <c r="AP563" s="307"/>
      <c r="AQ563" s="307"/>
      <c r="AR563" s="307"/>
      <c r="AS563" s="307"/>
      <c r="AT563" s="307"/>
      <c r="AU563" s="307"/>
    </row>
    <row r="564" ht="15.75" customHeight="1">
      <c r="A564" s="307"/>
      <c r="B564" s="307"/>
      <c r="C564" s="307"/>
      <c r="D564" s="307"/>
      <c r="E564" s="307"/>
      <c r="F564" s="307"/>
      <c r="G564" s="307"/>
      <c r="H564" s="307"/>
      <c r="I564" s="307"/>
      <c r="J564" s="307"/>
      <c r="K564" s="307"/>
      <c r="L564" s="307"/>
      <c r="M564" s="307"/>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c r="AK564" s="307"/>
      <c r="AL564" s="307"/>
      <c r="AM564" s="307"/>
      <c r="AN564" s="307"/>
      <c r="AO564" s="307"/>
      <c r="AP564" s="307"/>
      <c r="AQ564" s="307"/>
      <c r="AR564" s="307"/>
      <c r="AS564" s="307"/>
      <c r="AT564" s="307"/>
      <c r="AU564" s="307"/>
    </row>
    <row r="565" ht="15.75" customHeight="1">
      <c r="A565" s="307"/>
      <c r="B565" s="307"/>
      <c r="C565" s="307"/>
      <c r="D565" s="307"/>
      <c r="E565" s="307"/>
      <c r="F565" s="307"/>
      <c r="G565" s="307"/>
      <c r="H565" s="307"/>
      <c r="I565" s="307"/>
      <c r="J565" s="307"/>
      <c r="K565" s="307"/>
      <c r="L565" s="307"/>
      <c r="M565" s="307"/>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c r="AK565" s="307"/>
      <c r="AL565" s="307"/>
      <c r="AM565" s="307"/>
      <c r="AN565" s="307"/>
      <c r="AO565" s="307"/>
      <c r="AP565" s="307"/>
      <c r="AQ565" s="307"/>
      <c r="AR565" s="307"/>
      <c r="AS565" s="307"/>
      <c r="AT565" s="307"/>
      <c r="AU565" s="307"/>
    </row>
    <row r="566" ht="15.75" customHeight="1">
      <c r="A566" s="307"/>
      <c r="B566" s="307"/>
      <c r="C566" s="307"/>
      <c r="D566" s="307"/>
      <c r="E566" s="307"/>
      <c r="F566" s="307"/>
      <c r="G566" s="307"/>
      <c r="H566" s="307"/>
      <c r="I566" s="307"/>
      <c r="J566" s="307"/>
      <c r="K566" s="307"/>
      <c r="L566" s="307"/>
      <c r="M566" s="307"/>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c r="AK566" s="307"/>
      <c r="AL566" s="307"/>
      <c r="AM566" s="307"/>
      <c r="AN566" s="307"/>
      <c r="AO566" s="307"/>
      <c r="AP566" s="307"/>
      <c r="AQ566" s="307"/>
      <c r="AR566" s="307"/>
      <c r="AS566" s="307"/>
      <c r="AT566" s="307"/>
      <c r="AU566" s="307"/>
    </row>
    <row r="567" ht="15.75" customHeight="1">
      <c r="A567" s="307"/>
      <c r="B567" s="307"/>
      <c r="C567" s="307"/>
      <c r="D567" s="307"/>
      <c r="E567" s="307"/>
      <c r="F567" s="307"/>
      <c r="G567" s="307"/>
      <c r="H567" s="307"/>
      <c r="I567" s="307"/>
      <c r="J567" s="307"/>
      <c r="K567" s="307"/>
      <c r="L567" s="307"/>
      <c r="M567" s="307"/>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c r="AK567" s="307"/>
      <c r="AL567" s="307"/>
      <c r="AM567" s="307"/>
      <c r="AN567" s="307"/>
      <c r="AO567" s="307"/>
      <c r="AP567" s="307"/>
      <c r="AQ567" s="307"/>
      <c r="AR567" s="307"/>
      <c r="AS567" s="307"/>
      <c r="AT567" s="307"/>
      <c r="AU567" s="307"/>
    </row>
    <row r="568" ht="15.75" customHeight="1">
      <c r="A568" s="307"/>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c r="AK568" s="307"/>
      <c r="AL568" s="307"/>
      <c r="AM568" s="307"/>
      <c r="AN568" s="307"/>
      <c r="AO568" s="307"/>
      <c r="AP568" s="307"/>
      <c r="AQ568" s="307"/>
      <c r="AR568" s="307"/>
      <c r="AS568" s="307"/>
      <c r="AT568" s="307"/>
      <c r="AU568" s="307"/>
    </row>
    <row r="569" ht="15.75" customHeight="1">
      <c r="A569" s="307"/>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c r="AK569" s="307"/>
      <c r="AL569" s="307"/>
      <c r="AM569" s="307"/>
      <c r="AN569" s="307"/>
      <c r="AO569" s="307"/>
      <c r="AP569" s="307"/>
      <c r="AQ569" s="307"/>
      <c r="AR569" s="307"/>
      <c r="AS569" s="307"/>
      <c r="AT569" s="307"/>
      <c r="AU569" s="307"/>
    </row>
    <row r="570" ht="15.75" customHeight="1">
      <c r="A570" s="307"/>
      <c r="B570" s="307"/>
      <c r="C570" s="307"/>
      <c r="D570" s="307"/>
      <c r="E570" s="307"/>
      <c r="F570" s="307"/>
      <c r="G570" s="307"/>
      <c r="H570" s="307"/>
      <c r="I570" s="307"/>
      <c r="J570" s="307"/>
      <c r="K570" s="307"/>
      <c r="L570" s="307"/>
      <c r="M570" s="307"/>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c r="AK570" s="307"/>
      <c r="AL570" s="307"/>
      <c r="AM570" s="307"/>
      <c r="AN570" s="307"/>
      <c r="AO570" s="307"/>
      <c r="AP570" s="307"/>
      <c r="AQ570" s="307"/>
      <c r="AR570" s="307"/>
      <c r="AS570" s="307"/>
      <c r="AT570" s="307"/>
      <c r="AU570" s="307"/>
    </row>
    <row r="571" ht="15.75" customHeight="1">
      <c r="A571" s="307"/>
      <c r="B571" s="307"/>
      <c r="C571" s="307"/>
      <c r="D571" s="307"/>
      <c r="E571" s="307"/>
      <c r="F571" s="307"/>
      <c r="G571" s="307"/>
      <c r="H571" s="307"/>
      <c r="I571" s="307"/>
      <c r="J571" s="307"/>
      <c r="K571" s="307"/>
      <c r="L571" s="307"/>
      <c r="M571" s="307"/>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c r="AK571" s="307"/>
      <c r="AL571" s="307"/>
      <c r="AM571" s="307"/>
      <c r="AN571" s="307"/>
      <c r="AO571" s="307"/>
      <c r="AP571" s="307"/>
      <c r="AQ571" s="307"/>
      <c r="AR571" s="307"/>
      <c r="AS571" s="307"/>
      <c r="AT571" s="307"/>
      <c r="AU571" s="307"/>
    </row>
    <row r="572" ht="15.75" customHeight="1">
      <c r="A572" s="307"/>
      <c r="B572" s="307"/>
      <c r="C572" s="307"/>
      <c r="D572" s="307"/>
      <c r="E572" s="307"/>
      <c r="F572" s="307"/>
      <c r="G572" s="307"/>
      <c r="H572" s="307"/>
      <c r="I572" s="307"/>
      <c r="J572" s="307"/>
      <c r="K572" s="307"/>
      <c r="L572" s="307"/>
      <c r="M572" s="307"/>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c r="AK572" s="307"/>
      <c r="AL572" s="307"/>
      <c r="AM572" s="307"/>
      <c r="AN572" s="307"/>
      <c r="AO572" s="307"/>
      <c r="AP572" s="307"/>
      <c r="AQ572" s="307"/>
      <c r="AR572" s="307"/>
      <c r="AS572" s="307"/>
      <c r="AT572" s="307"/>
      <c r="AU572" s="307"/>
    </row>
    <row r="573" ht="15.75" customHeight="1">
      <c r="A573" s="307"/>
      <c r="B573" s="307"/>
      <c r="C573" s="307"/>
      <c r="D573" s="307"/>
      <c r="E573" s="307"/>
      <c r="F573" s="307"/>
      <c r="G573" s="307"/>
      <c r="H573" s="307"/>
      <c r="I573" s="307"/>
      <c r="J573" s="307"/>
      <c r="K573" s="307"/>
      <c r="L573" s="307"/>
      <c r="M573" s="307"/>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c r="AK573" s="307"/>
      <c r="AL573" s="307"/>
      <c r="AM573" s="307"/>
      <c r="AN573" s="307"/>
      <c r="AO573" s="307"/>
      <c r="AP573" s="307"/>
      <c r="AQ573" s="307"/>
      <c r="AR573" s="307"/>
      <c r="AS573" s="307"/>
      <c r="AT573" s="307"/>
      <c r="AU573" s="307"/>
    </row>
    <row r="574" ht="15.75" customHeight="1">
      <c r="A574" s="307"/>
      <c r="B574" s="307"/>
      <c r="C574" s="307"/>
      <c r="D574" s="307"/>
      <c r="E574" s="307"/>
      <c r="F574" s="307"/>
      <c r="G574" s="307"/>
      <c r="H574" s="307"/>
      <c r="I574" s="307"/>
      <c r="J574" s="307"/>
      <c r="K574" s="307"/>
      <c r="L574" s="307"/>
      <c r="M574" s="307"/>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c r="AK574" s="307"/>
      <c r="AL574" s="307"/>
      <c r="AM574" s="307"/>
      <c r="AN574" s="307"/>
      <c r="AO574" s="307"/>
      <c r="AP574" s="307"/>
      <c r="AQ574" s="307"/>
      <c r="AR574" s="307"/>
      <c r="AS574" s="307"/>
      <c r="AT574" s="307"/>
      <c r="AU574" s="307"/>
    </row>
    <row r="575" ht="15.75" customHeight="1">
      <c r="A575" s="307"/>
      <c r="B575" s="307"/>
      <c r="C575" s="307"/>
      <c r="D575" s="307"/>
      <c r="E575" s="307"/>
      <c r="F575" s="307"/>
      <c r="G575" s="307"/>
      <c r="H575" s="307"/>
      <c r="I575" s="307"/>
      <c r="J575" s="307"/>
      <c r="K575" s="307"/>
      <c r="L575" s="307"/>
      <c r="M575" s="307"/>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c r="AK575" s="307"/>
      <c r="AL575" s="307"/>
      <c r="AM575" s="307"/>
      <c r="AN575" s="307"/>
      <c r="AO575" s="307"/>
      <c r="AP575" s="307"/>
      <c r="AQ575" s="307"/>
      <c r="AR575" s="307"/>
      <c r="AS575" s="307"/>
      <c r="AT575" s="307"/>
      <c r="AU575" s="307"/>
    </row>
    <row r="576" ht="15.75" customHeight="1">
      <c r="A576" s="307"/>
      <c r="B576" s="307"/>
      <c r="C576" s="307"/>
      <c r="D576" s="307"/>
      <c r="E576" s="307"/>
      <c r="F576" s="307"/>
      <c r="G576" s="307"/>
      <c r="H576" s="307"/>
      <c r="I576" s="307"/>
      <c r="J576" s="307"/>
      <c r="K576" s="307"/>
      <c r="L576" s="307"/>
      <c r="M576" s="307"/>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c r="AK576" s="307"/>
      <c r="AL576" s="307"/>
      <c r="AM576" s="307"/>
      <c r="AN576" s="307"/>
      <c r="AO576" s="307"/>
      <c r="AP576" s="307"/>
      <c r="AQ576" s="307"/>
      <c r="AR576" s="307"/>
      <c r="AS576" s="307"/>
      <c r="AT576" s="307"/>
      <c r="AU576" s="307"/>
    </row>
    <row r="577" ht="15.75" customHeight="1">
      <c r="A577" s="307"/>
      <c r="B577" s="307"/>
      <c r="C577" s="307"/>
      <c r="D577" s="307"/>
      <c r="E577" s="307"/>
      <c r="F577" s="307"/>
      <c r="G577" s="307"/>
      <c r="H577" s="307"/>
      <c r="I577" s="307"/>
      <c r="J577" s="307"/>
      <c r="K577" s="307"/>
      <c r="L577" s="307"/>
      <c r="M577" s="307"/>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c r="AK577" s="307"/>
      <c r="AL577" s="307"/>
      <c r="AM577" s="307"/>
      <c r="AN577" s="307"/>
      <c r="AO577" s="307"/>
      <c r="AP577" s="307"/>
      <c r="AQ577" s="307"/>
      <c r="AR577" s="307"/>
      <c r="AS577" s="307"/>
      <c r="AT577" s="307"/>
      <c r="AU577" s="307"/>
    </row>
    <row r="578" ht="15.75" customHeight="1">
      <c r="A578" s="307"/>
      <c r="B578" s="307"/>
      <c r="C578" s="307"/>
      <c r="D578" s="307"/>
      <c r="E578" s="307"/>
      <c r="F578" s="307"/>
      <c r="G578" s="307"/>
      <c r="H578" s="307"/>
      <c r="I578" s="307"/>
      <c r="J578" s="307"/>
      <c r="K578" s="307"/>
      <c r="L578" s="307"/>
      <c r="M578" s="307"/>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c r="AK578" s="307"/>
      <c r="AL578" s="307"/>
      <c r="AM578" s="307"/>
      <c r="AN578" s="307"/>
      <c r="AO578" s="307"/>
      <c r="AP578" s="307"/>
      <c r="AQ578" s="307"/>
      <c r="AR578" s="307"/>
      <c r="AS578" s="307"/>
      <c r="AT578" s="307"/>
      <c r="AU578" s="307"/>
    </row>
    <row r="579" ht="15.75" customHeight="1">
      <c r="A579" s="307"/>
      <c r="B579" s="307"/>
      <c r="C579" s="307"/>
      <c r="D579" s="307"/>
      <c r="E579" s="307"/>
      <c r="F579" s="307"/>
      <c r="G579" s="307"/>
      <c r="H579" s="307"/>
      <c r="I579" s="307"/>
      <c r="J579" s="307"/>
      <c r="K579" s="307"/>
      <c r="L579" s="307"/>
      <c r="M579" s="307"/>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c r="AK579" s="307"/>
      <c r="AL579" s="307"/>
      <c r="AM579" s="307"/>
      <c r="AN579" s="307"/>
      <c r="AO579" s="307"/>
      <c r="AP579" s="307"/>
      <c r="AQ579" s="307"/>
      <c r="AR579" s="307"/>
      <c r="AS579" s="307"/>
      <c r="AT579" s="307"/>
      <c r="AU579" s="307"/>
    </row>
    <row r="580" ht="15.75" customHeight="1">
      <c r="A580" s="307"/>
      <c r="B580" s="307"/>
      <c r="C580" s="307"/>
      <c r="D580" s="307"/>
      <c r="E580" s="307"/>
      <c r="F580" s="307"/>
      <c r="G580" s="307"/>
      <c r="H580" s="307"/>
      <c r="I580" s="307"/>
      <c r="J580" s="307"/>
      <c r="K580" s="307"/>
      <c r="L580" s="307"/>
      <c r="M580" s="307"/>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c r="AK580" s="307"/>
      <c r="AL580" s="307"/>
      <c r="AM580" s="307"/>
      <c r="AN580" s="307"/>
      <c r="AO580" s="307"/>
      <c r="AP580" s="307"/>
      <c r="AQ580" s="307"/>
      <c r="AR580" s="307"/>
      <c r="AS580" s="307"/>
      <c r="AT580" s="307"/>
      <c r="AU580" s="307"/>
    </row>
    <row r="581" ht="15.75" customHeight="1">
      <c r="A581" s="307"/>
      <c r="B581" s="307"/>
      <c r="C581" s="307"/>
      <c r="D581" s="307"/>
      <c r="E581" s="307"/>
      <c r="F581" s="307"/>
      <c r="G581" s="307"/>
      <c r="H581" s="307"/>
      <c r="I581" s="307"/>
      <c r="J581" s="307"/>
      <c r="K581" s="307"/>
      <c r="L581" s="307"/>
      <c r="M581" s="307"/>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c r="AK581" s="307"/>
      <c r="AL581" s="307"/>
      <c r="AM581" s="307"/>
      <c r="AN581" s="307"/>
      <c r="AO581" s="307"/>
      <c r="AP581" s="307"/>
      <c r="AQ581" s="307"/>
      <c r="AR581" s="307"/>
      <c r="AS581" s="307"/>
      <c r="AT581" s="307"/>
      <c r="AU581" s="307"/>
    </row>
    <row r="582" ht="15.75" customHeight="1">
      <c r="A582" s="307"/>
      <c r="B582" s="307"/>
      <c r="C582" s="307"/>
      <c r="D582" s="307"/>
      <c r="E582" s="307"/>
      <c r="F582" s="307"/>
      <c r="G582" s="307"/>
      <c r="H582" s="307"/>
      <c r="I582" s="307"/>
      <c r="J582" s="307"/>
      <c r="K582" s="307"/>
      <c r="L582" s="307"/>
      <c r="M582" s="307"/>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c r="AK582" s="307"/>
      <c r="AL582" s="307"/>
      <c r="AM582" s="307"/>
      <c r="AN582" s="307"/>
      <c r="AO582" s="307"/>
      <c r="AP582" s="307"/>
      <c r="AQ582" s="307"/>
      <c r="AR582" s="307"/>
      <c r="AS582" s="307"/>
      <c r="AT582" s="307"/>
      <c r="AU582" s="307"/>
    </row>
    <row r="583" ht="15.75" customHeight="1">
      <c r="A583" s="307"/>
      <c r="B583" s="307"/>
      <c r="C583" s="307"/>
      <c r="D583" s="307"/>
      <c r="E583" s="307"/>
      <c r="F583" s="307"/>
      <c r="G583" s="307"/>
      <c r="H583" s="307"/>
      <c r="I583" s="307"/>
      <c r="J583" s="307"/>
      <c r="K583" s="307"/>
      <c r="L583" s="307"/>
      <c r="M583" s="307"/>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c r="AK583" s="307"/>
      <c r="AL583" s="307"/>
      <c r="AM583" s="307"/>
      <c r="AN583" s="307"/>
      <c r="AO583" s="307"/>
      <c r="AP583" s="307"/>
      <c r="AQ583" s="307"/>
      <c r="AR583" s="307"/>
      <c r="AS583" s="307"/>
      <c r="AT583" s="307"/>
      <c r="AU583" s="307"/>
    </row>
    <row r="584" ht="15.75" customHeight="1">
      <c r="A584" s="307"/>
      <c r="B584" s="307"/>
      <c r="C584" s="307"/>
      <c r="D584" s="307"/>
      <c r="E584" s="307"/>
      <c r="F584" s="307"/>
      <c r="G584" s="307"/>
      <c r="H584" s="307"/>
      <c r="I584" s="307"/>
      <c r="J584" s="307"/>
      <c r="K584" s="307"/>
      <c r="L584" s="307"/>
      <c r="M584" s="307"/>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c r="AK584" s="307"/>
      <c r="AL584" s="307"/>
      <c r="AM584" s="307"/>
      <c r="AN584" s="307"/>
      <c r="AO584" s="307"/>
      <c r="AP584" s="307"/>
      <c r="AQ584" s="307"/>
      <c r="AR584" s="307"/>
      <c r="AS584" s="307"/>
      <c r="AT584" s="307"/>
      <c r="AU584" s="307"/>
    </row>
    <row r="585" ht="15.75" customHeight="1">
      <c r="A585" s="307"/>
      <c r="B585" s="307"/>
      <c r="C585" s="307"/>
      <c r="D585" s="307"/>
      <c r="E585" s="307"/>
      <c r="F585" s="307"/>
      <c r="G585" s="307"/>
      <c r="H585" s="307"/>
      <c r="I585" s="307"/>
      <c r="J585" s="307"/>
      <c r="K585" s="307"/>
      <c r="L585" s="307"/>
      <c r="M585" s="307"/>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c r="AK585" s="307"/>
      <c r="AL585" s="307"/>
      <c r="AM585" s="307"/>
      <c r="AN585" s="307"/>
      <c r="AO585" s="307"/>
      <c r="AP585" s="307"/>
      <c r="AQ585" s="307"/>
      <c r="AR585" s="307"/>
      <c r="AS585" s="307"/>
      <c r="AT585" s="307"/>
      <c r="AU585" s="307"/>
    </row>
    <row r="586" ht="15.75" customHeight="1">
      <c r="A586" s="307"/>
      <c r="B586" s="307"/>
      <c r="C586" s="307"/>
      <c r="D586" s="307"/>
      <c r="E586" s="307"/>
      <c r="F586" s="307"/>
      <c r="G586" s="307"/>
      <c r="H586" s="307"/>
      <c r="I586" s="307"/>
      <c r="J586" s="307"/>
      <c r="K586" s="307"/>
      <c r="L586" s="307"/>
      <c r="M586" s="307"/>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c r="AK586" s="307"/>
      <c r="AL586" s="307"/>
      <c r="AM586" s="307"/>
      <c r="AN586" s="307"/>
      <c r="AO586" s="307"/>
      <c r="AP586" s="307"/>
      <c r="AQ586" s="307"/>
      <c r="AR586" s="307"/>
      <c r="AS586" s="307"/>
      <c r="AT586" s="307"/>
      <c r="AU586" s="307"/>
    </row>
    <row r="587" ht="15.75" customHeight="1">
      <c r="A587" s="307"/>
      <c r="B587" s="307"/>
      <c r="C587" s="307"/>
      <c r="D587" s="307"/>
      <c r="E587" s="307"/>
      <c r="F587" s="307"/>
      <c r="G587" s="307"/>
      <c r="H587" s="307"/>
      <c r="I587" s="307"/>
      <c r="J587" s="307"/>
      <c r="K587" s="307"/>
      <c r="L587" s="307"/>
      <c r="M587" s="307"/>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c r="AK587" s="307"/>
      <c r="AL587" s="307"/>
      <c r="AM587" s="307"/>
      <c r="AN587" s="307"/>
      <c r="AO587" s="307"/>
      <c r="AP587" s="307"/>
      <c r="AQ587" s="307"/>
      <c r="AR587" s="307"/>
      <c r="AS587" s="307"/>
      <c r="AT587" s="307"/>
      <c r="AU587" s="307"/>
    </row>
    <row r="588" ht="15.75" customHeight="1">
      <c r="A588" s="307"/>
      <c r="B588" s="307"/>
      <c r="C588" s="307"/>
      <c r="D588" s="307"/>
      <c r="E588" s="307"/>
      <c r="F588" s="307"/>
      <c r="G588" s="307"/>
      <c r="H588" s="307"/>
      <c r="I588" s="307"/>
      <c r="J588" s="307"/>
      <c r="K588" s="307"/>
      <c r="L588" s="307"/>
      <c r="M588" s="307"/>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c r="AK588" s="307"/>
      <c r="AL588" s="307"/>
      <c r="AM588" s="307"/>
      <c r="AN588" s="307"/>
      <c r="AO588" s="307"/>
      <c r="AP588" s="307"/>
      <c r="AQ588" s="307"/>
      <c r="AR588" s="307"/>
      <c r="AS588" s="307"/>
      <c r="AT588" s="307"/>
      <c r="AU588" s="307"/>
    </row>
    <row r="589" ht="15.75" customHeight="1">
      <c r="A589" s="307"/>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c r="AK589" s="307"/>
      <c r="AL589" s="307"/>
      <c r="AM589" s="307"/>
      <c r="AN589" s="307"/>
      <c r="AO589" s="307"/>
      <c r="AP589" s="307"/>
      <c r="AQ589" s="307"/>
      <c r="AR589" s="307"/>
      <c r="AS589" s="307"/>
      <c r="AT589" s="307"/>
      <c r="AU589" s="307"/>
    </row>
    <row r="590" ht="15.75" customHeight="1">
      <c r="A590" s="307"/>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c r="AK590" s="307"/>
      <c r="AL590" s="307"/>
      <c r="AM590" s="307"/>
      <c r="AN590" s="307"/>
      <c r="AO590" s="307"/>
      <c r="AP590" s="307"/>
      <c r="AQ590" s="307"/>
      <c r="AR590" s="307"/>
      <c r="AS590" s="307"/>
      <c r="AT590" s="307"/>
      <c r="AU590" s="307"/>
    </row>
    <row r="591" ht="15.75" customHeight="1">
      <c r="A591" s="307"/>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c r="AK591" s="307"/>
      <c r="AL591" s="307"/>
      <c r="AM591" s="307"/>
      <c r="AN591" s="307"/>
      <c r="AO591" s="307"/>
      <c r="AP591" s="307"/>
      <c r="AQ591" s="307"/>
      <c r="AR591" s="307"/>
      <c r="AS591" s="307"/>
      <c r="AT591" s="307"/>
      <c r="AU591" s="307"/>
    </row>
    <row r="592" ht="15.75" customHeight="1">
      <c r="A592" s="307"/>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c r="AK592" s="307"/>
      <c r="AL592" s="307"/>
      <c r="AM592" s="307"/>
      <c r="AN592" s="307"/>
      <c r="AO592" s="307"/>
      <c r="AP592" s="307"/>
      <c r="AQ592" s="307"/>
      <c r="AR592" s="307"/>
      <c r="AS592" s="307"/>
      <c r="AT592" s="307"/>
      <c r="AU592" s="307"/>
    </row>
    <row r="593" ht="15.75" customHeight="1">
      <c r="A593" s="307"/>
      <c r="B593" s="307"/>
      <c r="C593" s="307"/>
      <c r="D593" s="307"/>
      <c r="E593" s="307"/>
      <c r="F593" s="307"/>
      <c r="G593" s="307"/>
      <c r="H593" s="307"/>
      <c r="I593" s="307"/>
      <c r="J593" s="307"/>
      <c r="K593" s="307"/>
      <c r="L593" s="307"/>
      <c r="M593" s="307"/>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c r="AK593" s="307"/>
      <c r="AL593" s="307"/>
      <c r="AM593" s="307"/>
      <c r="AN593" s="307"/>
      <c r="AO593" s="307"/>
      <c r="AP593" s="307"/>
      <c r="AQ593" s="307"/>
      <c r="AR593" s="307"/>
      <c r="AS593" s="307"/>
      <c r="AT593" s="307"/>
      <c r="AU593" s="307"/>
    </row>
    <row r="594" ht="15.75" customHeight="1">
      <c r="A594" s="307"/>
      <c r="B594" s="307"/>
      <c r="C594" s="307"/>
      <c r="D594" s="307"/>
      <c r="E594" s="307"/>
      <c r="F594" s="307"/>
      <c r="G594" s="307"/>
      <c r="H594" s="307"/>
      <c r="I594" s="307"/>
      <c r="J594" s="307"/>
      <c r="K594" s="307"/>
      <c r="L594" s="307"/>
      <c r="M594" s="307"/>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c r="AK594" s="307"/>
      <c r="AL594" s="307"/>
      <c r="AM594" s="307"/>
      <c r="AN594" s="307"/>
      <c r="AO594" s="307"/>
      <c r="AP594" s="307"/>
      <c r="AQ594" s="307"/>
      <c r="AR594" s="307"/>
      <c r="AS594" s="307"/>
      <c r="AT594" s="307"/>
      <c r="AU594" s="307"/>
    </row>
    <row r="595" ht="15.75" customHeight="1">
      <c r="A595" s="307"/>
      <c r="B595" s="307"/>
      <c r="C595" s="307"/>
      <c r="D595" s="307"/>
      <c r="E595" s="307"/>
      <c r="F595" s="307"/>
      <c r="G595" s="307"/>
      <c r="H595" s="307"/>
      <c r="I595" s="307"/>
      <c r="J595" s="307"/>
      <c r="K595" s="307"/>
      <c r="L595" s="307"/>
      <c r="M595" s="307"/>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c r="AK595" s="307"/>
      <c r="AL595" s="307"/>
      <c r="AM595" s="307"/>
      <c r="AN595" s="307"/>
      <c r="AO595" s="307"/>
      <c r="AP595" s="307"/>
      <c r="AQ595" s="307"/>
      <c r="AR595" s="307"/>
      <c r="AS595" s="307"/>
      <c r="AT595" s="307"/>
      <c r="AU595" s="307"/>
    </row>
    <row r="596" ht="15.75" customHeight="1">
      <c r="A596" s="307"/>
      <c r="B596" s="307"/>
      <c r="C596" s="307"/>
      <c r="D596" s="307"/>
      <c r="E596" s="307"/>
      <c r="F596" s="307"/>
      <c r="G596" s="307"/>
      <c r="H596" s="307"/>
      <c r="I596" s="307"/>
      <c r="J596" s="307"/>
      <c r="K596" s="307"/>
      <c r="L596" s="307"/>
      <c r="M596" s="307"/>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c r="AK596" s="307"/>
      <c r="AL596" s="307"/>
      <c r="AM596" s="307"/>
      <c r="AN596" s="307"/>
      <c r="AO596" s="307"/>
      <c r="AP596" s="307"/>
      <c r="AQ596" s="307"/>
      <c r="AR596" s="307"/>
      <c r="AS596" s="307"/>
      <c r="AT596" s="307"/>
      <c r="AU596" s="307"/>
    </row>
    <row r="597" ht="15.75" customHeight="1">
      <c r="A597" s="307"/>
      <c r="B597" s="307"/>
      <c r="C597" s="307"/>
      <c r="D597" s="307"/>
      <c r="E597" s="307"/>
      <c r="F597" s="307"/>
      <c r="G597" s="307"/>
      <c r="H597" s="307"/>
      <c r="I597" s="307"/>
      <c r="J597" s="307"/>
      <c r="K597" s="307"/>
      <c r="L597" s="307"/>
      <c r="M597" s="307"/>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c r="AK597" s="307"/>
      <c r="AL597" s="307"/>
      <c r="AM597" s="307"/>
      <c r="AN597" s="307"/>
      <c r="AO597" s="307"/>
      <c r="AP597" s="307"/>
      <c r="AQ597" s="307"/>
      <c r="AR597" s="307"/>
      <c r="AS597" s="307"/>
      <c r="AT597" s="307"/>
      <c r="AU597" s="307"/>
    </row>
    <row r="598" ht="15.75" customHeight="1">
      <c r="A598" s="307"/>
      <c r="B598" s="307"/>
      <c r="C598" s="307"/>
      <c r="D598" s="307"/>
      <c r="E598" s="307"/>
      <c r="F598" s="307"/>
      <c r="G598" s="307"/>
      <c r="H598" s="307"/>
      <c r="I598" s="307"/>
      <c r="J598" s="307"/>
      <c r="K598" s="307"/>
      <c r="L598" s="307"/>
      <c r="M598" s="307"/>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c r="AK598" s="307"/>
      <c r="AL598" s="307"/>
      <c r="AM598" s="307"/>
      <c r="AN598" s="307"/>
      <c r="AO598" s="307"/>
      <c r="AP598" s="307"/>
      <c r="AQ598" s="307"/>
      <c r="AR598" s="307"/>
      <c r="AS598" s="307"/>
      <c r="AT598" s="307"/>
      <c r="AU598" s="307"/>
    </row>
    <row r="599" ht="15.75" customHeight="1">
      <c r="A599" s="307"/>
      <c r="B599" s="307"/>
      <c r="C599" s="307"/>
      <c r="D599" s="307"/>
      <c r="E599" s="307"/>
      <c r="F599" s="307"/>
      <c r="G599" s="307"/>
      <c r="H599" s="307"/>
      <c r="I599" s="307"/>
      <c r="J599" s="307"/>
      <c r="K599" s="307"/>
      <c r="L599" s="307"/>
      <c r="M599" s="307"/>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c r="AK599" s="307"/>
      <c r="AL599" s="307"/>
      <c r="AM599" s="307"/>
      <c r="AN599" s="307"/>
      <c r="AO599" s="307"/>
      <c r="AP599" s="307"/>
      <c r="AQ599" s="307"/>
      <c r="AR599" s="307"/>
      <c r="AS599" s="307"/>
      <c r="AT599" s="307"/>
      <c r="AU599" s="307"/>
    </row>
    <row r="600" ht="15.75" customHeight="1">
      <c r="A600" s="307"/>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c r="AK600" s="307"/>
      <c r="AL600" s="307"/>
      <c r="AM600" s="307"/>
      <c r="AN600" s="307"/>
      <c r="AO600" s="307"/>
      <c r="AP600" s="307"/>
      <c r="AQ600" s="307"/>
      <c r="AR600" s="307"/>
      <c r="AS600" s="307"/>
      <c r="AT600" s="307"/>
      <c r="AU600" s="307"/>
    </row>
    <row r="601" ht="15.75" customHeight="1">
      <c r="A601" s="307"/>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c r="AK601" s="307"/>
      <c r="AL601" s="307"/>
      <c r="AM601" s="307"/>
      <c r="AN601" s="307"/>
      <c r="AO601" s="307"/>
      <c r="AP601" s="307"/>
      <c r="AQ601" s="307"/>
      <c r="AR601" s="307"/>
      <c r="AS601" s="307"/>
      <c r="AT601" s="307"/>
      <c r="AU601" s="307"/>
    </row>
    <row r="602" ht="15.75" customHeight="1">
      <c r="A602" s="307"/>
      <c r="B602" s="307"/>
      <c r="C602" s="307"/>
      <c r="D602" s="307"/>
      <c r="E602" s="307"/>
      <c r="F602" s="307"/>
      <c r="G602" s="307"/>
      <c r="H602" s="307"/>
      <c r="I602" s="307"/>
      <c r="J602" s="307"/>
      <c r="K602" s="307"/>
      <c r="L602" s="307"/>
      <c r="M602" s="307"/>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c r="AK602" s="307"/>
      <c r="AL602" s="307"/>
      <c r="AM602" s="307"/>
      <c r="AN602" s="307"/>
      <c r="AO602" s="307"/>
      <c r="AP602" s="307"/>
      <c r="AQ602" s="307"/>
      <c r="AR602" s="307"/>
      <c r="AS602" s="307"/>
      <c r="AT602" s="307"/>
      <c r="AU602" s="307"/>
    </row>
    <row r="603" ht="15.75" customHeight="1">
      <c r="A603" s="307"/>
      <c r="B603" s="307"/>
      <c r="C603" s="307"/>
      <c r="D603" s="307"/>
      <c r="E603" s="307"/>
      <c r="F603" s="307"/>
      <c r="G603" s="307"/>
      <c r="H603" s="307"/>
      <c r="I603" s="307"/>
      <c r="J603" s="307"/>
      <c r="K603" s="307"/>
      <c r="L603" s="307"/>
      <c r="M603" s="307"/>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c r="AK603" s="307"/>
      <c r="AL603" s="307"/>
      <c r="AM603" s="307"/>
      <c r="AN603" s="307"/>
      <c r="AO603" s="307"/>
      <c r="AP603" s="307"/>
      <c r="AQ603" s="307"/>
      <c r="AR603" s="307"/>
      <c r="AS603" s="307"/>
      <c r="AT603" s="307"/>
      <c r="AU603" s="307"/>
    </row>
    <row r="604" ht="15.75" customHeight="1">
      <c r="A604" s="307"/>
      <c r="B604" s="307"/>
      <c r="C604" s="307"/>
      <c r="D604" s="307"/>
      <c r="E604" s="307"/>
      <c r="F604" s="307"/>
      <c r="G604" s="307"/>
      <c r="H604" s="307"/>
      <c r="I604" s="307"/>
      <c r="J604" s="307"/>
      <c r="K604" s="307"/>
      <c r="L604" s="307"/>
      <c r="M604" s="307"/>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c r="AK604" s="307"/>
      <c r="AL604" s="307"/>
      <c r="AM604" s="307"/>
      <c r="AN604" s="307"/>
      <c r="AO604" s="307"/>
      <c r="AP604" s="307"/>
      <c r="AQ604" s="307"/>
      <c r="AR604" s="307"/>
      <c r="AS604" s="307"/>
      <c r="AT604" s="307"/>
      <c r="AU604" s="307"/>
    </row>
    <row r="605" ht="15.75" customHeight="1">
      <c r="A605" s="307"/>
      <c r="B605" s="307"/>
      <c r="C605" s="307"/>
      <c r="D605" s="307"/>
      <c r="E605" s="307"/>
      <c r="F605" s="307"/>
      <c r="G605" s="307"/>
      <c r="H605" s="307"/>
      <c r="I605" s="307"/>
      <c r="J605" s="307"/>
      <c r="K605" s="307"/>
      <c r="L605" s="307"/>
      <c r="M605" s="307"/>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c r="AK605" s="307"/>
      <c r="AL605" s="307"/>
      <c r="AM605" s="307"/>
      <c r="AN605" s="307"/>
      <c r="AO605" s="307"/>
      <c r="AP605" s="307"/>
      <c r="AQ605" s="307"/>
      <c r="AR605" s="307"/>
      <c r="AS605" s="307"/>
      <c r="AT605" s="307"/>
      <c r="AU605" s="307"/>
    </row>
    <row r="606" ht="15.75" customHeight="1">
      <c r="A606" s="307"/>
      <c r="B606" s="307"/>
      <c r="C606" s="307"/>
      <c r="D606" s="307"/>
      <c r="E606" s="307"/>
      <c r="F606" s="307"/>
      <c r="G606" s="307"/>
      <c r="H606" s="307"/>
      <c r="I606" s="307"/>
      <c r="J606" s="307"/>
      <c r="K606" s="307"/>
      <c r="L606" s="307"/>
      <c r="M606" s="307"/>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c r="AK606" s="307"/>
      <c r="AL606" s="307"/>
      <c r="AM606" s="307"/>
      <c r="AN606" s="307"/>
      <c r="AO606" s="307"/>
      <c r="AP606" s="307"/>
      <c r="AQ606" s="307"/>
      <c r="AR606" s="307"/>
      <c r="AS606" s="307"/>
      <c r="AT606" s="307"/>
      <c r="AU606" s="307"/>
    </row>
    <row r="607" ht="15.75" customHeight="1">
      <c r="A607" s="307"/>
      <c r="B607" s="307"/>
      <c r="C607" s="307"/>
      <c r="D607" s="307"/>
      <c r="E607" s="307"/>
      <c r="F607" s="307"/>
      <c r="G607" s="307"/>
      <c r="H607" s="307"/>
      <c r="I607" s="307"/>
      <c r="J607" s="307"/>
      <c r="K607" s="307"/>
      <c r="L607" s="307"/>
      <c r="M607" s="307"/>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c r="AK607" s="307"/>
      <c r="AL607" s="307"/>
      <c r="AM607" s="307"/>
      <c r="AN607" s="307"/>
      <c r="AO607" s="307"/>
      <c r="AP607" s="307"/>
      <c r="AQ607" s="307"/>
      <c r="AR607" s="307"/>
      <c r="AS607" s="307"/>
      <c r="AT607" s="307"/>
      <c r="AU607" s="307"/>
    </row>
    <row r="608" ht="15.75" customHeight="1">
      <c r="A608" s="307"/>
      <c r="B608" s="307"/>
      <c r="C608" s="307"/>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c r="AK608" s="307"/>
      <c r="AL608" s="307"/>
      <c r="AM608" s="307"/>
      <c r="AN608" s="307"/>
      <c r="AO608" s="307"/>
      <c r="AP608" s="307"/>
      <c r="AQ608" s="307"/>
      <c r="AR608" s="307"/>
      <c r="AS608" s="307"/>
      <c r="AT608" s="307"/>
      <c r="AU608" s="307"/>
    </row>
    <row r="609" ht="15.75" customHeight="1">
      <c r="A609" s="307"/>
      <c r="B609" s="307"/>
      <c r="C609" s="307"/>
      <c r="D609" s="307"/>
      <c r="E609" s="307"/>
      <c r="F609" s="307"/>
      <c r="G609" s="307"/>
      <c r="H609" s="307"/>
      <c r="I609" s="307"/>
      <c r="J609" s="307"/>
      <c r="K609" s="307"/>
      <c r="L609" s="307"/>
      <c r="M609" s="307"/>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c r="AK609" s="307"/>
      <c r="AL609" s="307"/>
      <c r="AM609" s="307"/>
      <c r="AN609" s="307"/>
      <c r="AO609" s="307"/>
      <c r="AP609" s="307"/>
      <c r="AQ609" s="307"/>
      <c r="AR609" s="307"/>
      <c r="AS609" s="307"/>
      <c r="AT609" s="307"/>
      <c r="AU609" s="307"/>
    </row>
    <row r="610" ht="15.75" customHeight="1">
      <c r="A610" s="307"/>
      <c r="B610" s="307"/>
      <c r="C610" s="307"/>
      <c r="D610" s="307"/>
      <c r="E610" s="307"/>
      <c r="F610" s="307"/>
      <c r="G610" s="307"/>
      <c r="H610" s="307"/>
      <c r="I610" s="307"/>
      <c r="J610" s="307"/>
      <c r="K610" s="307"/>
      <c r="L610" s="307"/>
      <c r="M610" s="307"/>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c r="AK610" s="307"/>
      <c r="AL610" s="307"/>
      <c r="AM610" s="307"/>
      <c r="AN610" s="307"/>
      <c r="AO610" s="307"/>
      <c r="AP610" s="307"/>
      <c r="AQ610" s="307"/>
      <c r="AR610" s="307"/>
      <c r="AS610" s="307"/>
      <c r="AT610" s="307"/>
      <c r="AU610" s="307"/>
    </row>
    <row r="611" ht="15.75" customHeight="1">
      <c r="A611" s="307"/>
      <c r="B611" s="307"/>
      <c r="C611" s="307"/>
      <c r="D611" s="307"/>
      <c r="E611" s="307"/>
      <c r="F611" s="307"/>
      <c r="G611" s="307"/>
      <c r="H611" s="307"/>
      <c r="I611" s="307"/>
      <c r="J611" s="307"/>
      <c r="K611" s="307"/>
      <c r="L611" s="307"/>
      <c r="M611" s="307"/>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c r="AK611" s="307"/>
      <c r="AL611" s="307"/>
      <c r="AM611" s="307"/>
      <c r="AN611" s="307"/>
      <c r="AO611" s="307"/>
      <c r="AP611" s="307"/>
      <c r="AQ611" s="307"/>
      <c r="AR611" s="307"/>
      <c r="AS611" s="307"/>
      <c r="AT611" s="307"/>
      <c r="AU611" s="307"/>
    </row>
    <row r="612" ht="15.75" customHeight="1">
      <c r="A612" s="307"/>
      <c r="B612" s="307"/>
      <c r="C612" s="307"/>
      <c r="D612" s="307"/>
      <c r="E612" s="307"/>
      <c r="F612" s="307"/>
      <c r="G612" s="307"/>
      <c r="H612" s="307"/>
      <c r="I612" s="307"/>
      <c r="J612" s="307"/>
      <c r="K612" s="307"/>
      <c r="L612" s="307"/>
      <c r="M612" s="307"/>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c r="AK612" s="307"/>
      <c r="AL612" s="307"/>
      <c r="AM612" s="307"/>
      <c r="AN612" s="307"/>
      <c r="AO612" s="307"/>
      <c r="AP612" s="307"/>
      <c r="AQ612" s="307"/>
      <c r="AR612" s="307"/>
      <c r="AS612" s="307"/>
      <c r="AT612" s="307"/>
      <c r="AU612" s="307"/>
    </row>
    <row r="613" ht="15.75" customHeight="1">
      <c r="A613" s="307"/>
      <c r="B613" s="307"/>
      <c r="C613" s="307"/>
      <c r="D613" s="307"/>
      <c r="E613" s="307"/>
      <c r="F613" s="307"/>
      <c r="G613" s="307"/>
      <c r="H613" s="307"/>
      <c r="I613" s="307"/>
      <c r="J613" s="307"/>
      <c r="K613" s="307"/>
      <c r="L613" s="307"/>
      <c r="M613" s="307"/>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c r="AK613" s="307"/>
      <c r="AL613" s="307"/>
      <c r="AM613" s="307"/>
      <c r="AN613" s="307"/>
      <c r="AO613" s="307"/>
      <c r="AP613" s="307"/>
      <c r="AQ613" s="307"/>
      <c r="AR613" s="307"/>
      <c r="AS613" s="307"/>
      <c r="AT613" s="307"/>
      <c r="AU613" s="307"/>
    </row>
    <row r="614" ht="15.75" customHeight="1">
      <c r="A614" s="307"/>
      <c r="B614" s="307"/>
      <c r="C614" s="307"/>
      <c r="D614" s="307"/>
      <c r="E614" s="307"/>
      <c r="F614" s="307"/>
      <c r="G614" s="307"/>
      <c r="H614" s="307"/>
      <c r="I614" s="307"/>
      <c r="J614" s="307"/>
      <c r="K614" s="307"/>
      <c r="L614" s="307"/>
      <c r="M614" s="307"/>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c r="AK614" s="307"/>
      <c r="AL614" s="307"/>
      <c r="AM614" s="307"/>
      <c r="AN614" s="307"/>
      <c r="AO614" s="307"/>
      <c r="AP614" s="307"/>
      <c r="AQ614" s="307"/>
      <c r="AR614" s="307"/>
      <c r="AS614" s="307"/>
      <c r="AT614" s="307"/>
      <c r="AU614" s="307"/>
    </row>
    <row r="615" ht="15.75" customHeight="1">
      <c r="A615" s="307"/>
      <c r="B615" s="307"/>
      <c r="C615" s="307"/>
      <c r="D615" s="307"/>
      <c r="E615" s="307"/>
      <c r="F615" s="307"/>
      <c r="G615" s="307"/>
      <c r="H615" s="307"/>
      <c r="I615" s="307"/>
      <c r="J615" s="307"/>
      <c r="K615" s="307"/>
      <c r="L615" s="307"/>
      <c r="M615" s="307"/>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c r="AK615" s="307"/>
      <c r="AL615" s="307"/>
      <c r="AM615" s="307"/>
      <c r="AN615" s="307"/>
      <c r="AO615" s="307"/>
      <c r="AP615" s="307"/>
      <c r="AQ615" s="307"/>
      <c r="AR615" s="307"/>
      <c r="AS615" s="307"/>
      <c r="AT615" s="307"/>
      <c r="AU615" s="307"/>
    </row>
    <row r="616" ht="15.75" customHeight="1">
      <c r="A616" s="307"/>
      <c r="B616" s="307"/>
      <c r="C616" s="307"/>
      <c r="D616" s="307"/>
      <c r="E616" s="307"/>
      <c r="F616" s="307"/>
      <c r="G616" s="307"/>
      <c r="H616" s="307"/>
      <c r="I616" s="307"/>
      <c r="J616" s="307"/>
      <c r="K616" s="307"/>
      <c r="L616" s="307"/>
      <c r="M616" s="307"/>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c r="AK616" s="307"/>
      <c r="AL616" s="307"/>
      <c r="AM616" s="307"/>
      <c r="AN616" s="307"/>
      <c r="AO616" s="307"/>
      <c r="AP616" s="307"/>
      <c r="AQ616" s="307"/>
      <c r="AR616" s="307"/>
      <c r="AS616" s="307"/>
      <c r="AT616" s="307"/>
      <c r="AU616" s="307"/>
    </row>
    <row r="617" ht="15.75" customHeight="1">
      <c r="A617" s="307"/>
      <c r="B617" s="307"/>
      <c r="C617" s="307"/>
      <c r="D617" s="307"/>
      <c r="E617" s="307"/>
      <c r="F617" s="307"/>
      <c r="G617" s="307"/>
      <c r="H617" s="307"/>
      <c r="I617" s="307"/>
      <c r="J617" s="307"/>
      <c r="K617" s="307"/>
      <c r="L617" s="307"/>
      <c r="M617" s="307"/>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c r="AK617" s="307"/>
      <c r="AL617" s="307"/>
      <c r="AM617" s="307"/>
      <c r="AN617" s="307"/>
      <c r="AO617" s="307"/>
      <c r="AP617" s="307"/>
      <c r="AQ617" s="307"/>
      <c r="AR617" s="307"/>
      <c r="AS617" s="307"/>
      <c r="AT617" s="307"/>
      <c r="AU617" s="307"/>
    </row>
    <row r="618" ht="15.75" customHeight="1">
      <c r="A618" s="307"/>
      <c r="B618" s="307"/>
      <c r="C618" s="307"/>
      <c r="D618" s="307"/>
      <c r="E618" s="307"/>
      <c r="F618" s="307"/>
      <c r="G618" s="307"/>
      <c r="H618" s="307"/>
      <c r="I618" s="307"/>
      <c r="J618" s="307"/>
      <c r="K618" s="307"/>
      <c r="L618" s="307"/>
      <c r="M618" s="307"/>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c r="AK618" s="307"/>
      <c r="AL618" s="307"/>
      <c r="AM618" s="307"/>
      <c r="AN618" s="307"/>
      <c r="AO618" s="307"/>
      <c r="AP618" s="307"/>
      <c r="AQ618" s="307"/>
      <c r="AR618" s="307"/>
      <c r="AS618" s="307"/>
      <c r="AT618" s="307"/>
      <c r="AU618" s="307"/>
    </row>
    <row r="619" ht="15.75" customHeight="1">
      <c r="A619" s="307"/>
      <c r="B619" s="307"/>
      <c r="C619" s="307"/>
      <c r="D619" s="307"/>
      <c r="E619" s="307"/>
      <c r="F619" s="307"/>
      <c r="G619" s="307"/>
      <c r="H619" s="307"/>
      <c r="I619" s="307"/>
      <c r="J619" s="307"/>
      <c r="K619" s="307"/>
      <c r="L619" s="307"/>
      <c r="M619" s="307"/>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c r="AK619" s="307"/>
      <c r="AL619" s="307"/>
      <c r="AM619" s="307"/>
      <c r="AN619" s="307"/>
      <c r="AO619" s="307"/>
      <c r="AP619" s="307"/>
      <c r="AQ619" s="307"/>
      <c r="AR619" s="307"/>
      <c r="AS619" s="307"/>
      <c r="AT619" s="307"/>
      <c r="AU619" s="307"/>
    </row>
    <row r="620" ht="15.75" customHeight="1">
      <c r="A620" s="307"/>
      <c r="B620" s="307"/>
      <c r="C620" s="307"/>
      <c r="D620" s="307"/>
      <c r="E620" s="307"/>
      <c r="F620" s="307"/>
      <c r="G620" s="307"/>
      <c r="H620" s="307"/>
      <c r="I620" s="307"/>
      <c r="J620" s="307"/>
      <c r="K620" s="307"/>
      <c r="L620" s="307"/>
      <c r="M620" s="307"/>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c r="AK620" s="307"/>
      <c r="AL620" s="307"/>
      <c r="AM620" s="307"/>
      <c r="AN620" s="307"/>
      <c r="AO620" s="307"/>
      <c r="AP620" s="307"/>
      <c r="AQ620" s="307"/>
      <c r="AR620" s="307"/>
      <c r="AS620" s="307"/>
      <c r="AT620" s="307"/>
      <c r="AU620" s="307"/>
    </row>
    <row r="621" ht="15.75" customHeight="1">
      <c r="A621" s="307"/>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c r="AK621" s="307"/>
      <c r="AL621" s="307"/>
      <c r="AM621" s="307"/>
      <c r="AN621" s="307"/>
      <c r="AO621" s="307"/>
      <c r="AP621" s="307"/>
      <c r="AQ621" s="307"/>
      <c r="AR621" s="307"/>
      <c r="AS621" s="307"/>
      <c r="AT621" s="307"/>
      <c r="AU621" s="307"/>
    </row>
    <row r="622" ht="15.75" customHeight="1">
      <c r="A622" s="307"/>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c r="AK622" s="307"/>
      <c r="AL622" s="307"/>
      <c r="AM622" s="307"/>
      <c r="AN622" s="307"/>
      <c r="AO622" s="307"/>
      <c r="AP622" s="307"/>
      <c r="AQ622" s="307"/>
      <c r="AR622" s="307"/>
      <c r="AS622" s="307"/>
      <c r="AT622" s="307"/>
      <c r="AU622" s="307"/>
    </row>
    <row r="623" ht="15.75" customHeight="1">
      <c r="A623" s="307"/>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c r="AK623" s="307"/>
      <c r="AL623" s="307"/>
      <c r="AM623" s="307"/>
      <c r="AN623" s="307"/>
      <c r="AO623" s="307"/>
      <c r="AP623" s="307"/>
      <c r="AQ623" s="307"/>
      <c r="AR623" s="307"/>
      <c r="AS623" s="307"/>
      <c r="AT623" s="307"/>
      <c r="AU623" s="307"/>
    </row>
    <row r="624" ht="15.75" customHeight="1">
      <c r="A624" s="307"/>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c r="AK624" s="307"/>
      <c r="AL624" s="307"/>
      <c r="AM624" s="307"/>
      <c r="AN624" s="307"/>
      <c r="AO624" s="307"/>
      <c r="AP624" s="307"/>
      <c r="AQ624" s="307"/>
      <c r="AR624" s="307"/>
      <c r="AS624" s="307"/>
      <c r="AT624" s="307"/>
      <c r="AU624" s="307"/>
    </row>
    <row r="625" ht="15.75" customHeight="1">
      <c r="A625" s="307"/>
      <c r="B625" s="307"/>
      <c r="C625" s="307"/>
      <c r="D625" s="307"/>
      <c r="E625" s="307"/>
      <c r="F625" s="307"/>
      <c r="G625" s="307"/>
      <c r="H625" s="307"/>
      <c r="I625" s="307"/>
      <c r="J625" s="307"/>
      <c r="K625" s="307"/>
      <c r="L625" s="307"/>
      <c r="M625" s="307"/>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c r="AK625" s="307"/>
      <c r="AL625" s="307"/>
      <c r="AM625" s="307"/>
      <c r="AN625" s="307"/>
      <c r="AO625" s="307"/>
      <c r="AP625" s="307"/>
      <c r="AQ625" s="307"/>
      <c r="AR625" s="307"/>
      <c r="AS625" s="307"/>
      <c r="AT625" s="307"/>
      <c r="AU625" s="307"/>
    </row>
    <row r="626" ht="15.75" customHeight="1">
      <c r="A626" s="307"/>
      <c r="B626" s="307"/>
      <c r="C626" s="307"/>
      <c r="D626" s="307"/>
      <c r="E626" s="307"/>
      <c r="F626" s="307"/>
      <c r="G626" s="307"/>
      <c r="H626" s="307"/>
      <c r="I626" s="307"/>
      <c r="J626" s="307"/>
      <c r="K626" s="307"/>
      <c r="L626" s="307"/>
      <c r="M626" s="307"/>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c r="AK626" s="307"/>
      <c r="AL626" s="307"/>
      <c r="AM626" s="307"/>
      <c r="AN626" s="307"/>
      <c r="AO626" s="307"/>
      <c r="AP626" s="307"/>
      <c r="AQ626" s="307"/>
      <c r="AR626" s="307"/>
      <c r="AS626" s="307"/>
      <c r="AT626" s="307"/>
      <c r="AU626" s="307"/>
    </row>
    <row r="627" ht="15.75" customHeight="1">
      <c r="A627" s="307"/>
      <c r="B627" s="307"/>
      <c r="C627" s="307"/>
      <c r="D627" s="307"/>
      <c r="E627" s="307"/>
      <c r="F627" s="307"/>
      <c r="G627" s="307"/>
      <c r="H627" s="307"/>
      <c r="I627" s="307"/>
      <c r="J627" s="307"/>
      <c r="K627" s="307"/>
      <c r="L627" s="307"/>
      <c r="M627" s="307"/>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c r="AK627" s="307"/>
      <c r="AL627" s="307"/>
      <c r="AM627" s="307"/>
      <c r="AN627" s="307"/>
      <c r="AO627" s="307"/>
      <c r="AP627" s="307"/>
      <c r="AQ627" s="307"/>
      <c r="AR627" s="307"/>
      <c r="AS627" s="307"/>
      <c r="AT627" s="307"/>
      <c r="AU627" s="307"/>
    </row>
    <row r="628" ht="15.75" customHeight="1">
      <c r="A628" s="307"/>
      <c r="B628" s="307"/>
      <c r="C628" s="307"/>
      <c r="D628" s="307"/>
      <c r="E628" s="307"/>
      <c r="F628" s="307"/>
      <c r="G628" s="307"/>
      <c r="H628" s="307"/>
      <c r="I628" s="307"/>
      <c r="J628" s="307"/>
      <c r="K628" s="307"/>
      <c r="L628" s="307"/>
      <c r="M628" s="307"/>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c r="AK628" s="307"/>
      <c r="AL628" s="307"/>
      <c r="AM628" s="307"/>
      <c r="AN628" s="307"/>
      <c r="AO628" s="307"/>
      <c r="AP628" s="307"/>
      <c r="AQ628" s="307"/>
      <c r="AR628" s="307"/>
      <c r="AS628" s="307"/>
      <c r="AT628" s="307"/>
      <c r="AU628" s="307"/>
    </row>
    <row r="629" ht="15.75" customHeight="1">
      <c r="A629" s="307"/>
      <c r="B629" s="307"/>
      <c r="C629" s="307"/>
      <c r="D629" s="307"/>
      <c r="E629" s="307"/>
      <c r="F629" s="307"/>
      <c r="G629" s="307"/>
      <c r="H629" s="307"/>
      <c r="I629" s="307"/>
      <c r="J629" s="307"/>
      <c r="K629" s="307"/>
      <c r="L629" s="307"/>
      <c r="M629" s="307"/>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c r="AK629" s="307"/>
      <c r="AL629" s="307"/>
      <c r="AM629" s="307"/>
      <c r="AN629" s="307"/>
      <c r="AO629" s="307"/>
      <c r="AP629" s="307"/>
      <c r="AQ629" s="307"/>
      <c r="AR629" s="307"/>
      <c r="AS629" s="307"/>
      <c r="AT629" s="307"/>
      <c r="AU629" s="307"/>
    </row>
    <row r="630" ht="15.75" customHeight="1">
      <c r="A630" s="307"/>
      <c r="B630" s="307"/>
      <c r="C630" s="307"/>
      <c r="D630" s="307"/>
      <c r="E630" s="307"/>
      <c r="F630" s="307"/>
      <c r="G630" s="307"/>
      <c r="H630" s="307"/>
      <c r="I630" s="307"/>
      <c r="J630" s="307"/>
      <c r="K630" s="307"/>
      <c r="L630" s="307"/>
      <c r="M630" s="307"/>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c r="AK630" s="307"/>
      <c r="AL630" s="307"/>
      <c r="AM630" s="307"/>
      <c r="AN630" s="307"/>
      <c r="AO630" s="307"/>
      <c r="AP630" s="307"/>
      <c r="AQ630" s="307"/>
      <c r="AR630" s="307"/>
      <c r="AS630" s="307"/>
      <c r="AT630" s="307"/>
      <c r="AU630" s="307"/>
    </row>
    <row r="631" ht="15.75" customHeight="1">
      <c r="A631" s="307"/>
      <c r="B631" s="307"/>
      <c r="C631" s="307"/>
      <c r="D631" s="307"/>
      <c r="E631" s="307"/>
      <c r="F631" s="307"/>
      <c r="G631" s="307"/>
      <c r="H631" s="307"/>
      <c r="I631" s="307"/>
      <c r="J631" s="307"/>
      <c r="K631" s="307"/>
      <c r="L631" s="307"/>
      <c r="M631" s="307"/>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c r="AK631" s="307"/>
      <c r="AL631" s="307"/>
      <c r="AM631" s="307"/>
      <c r="AN631" s="307"/>
      <c r="AO631" s="307"/>
      <c r="AP631" s="307"/>
      <c r="AQ631" s="307"/>
      <c r="AR631" s="307"/>
      <c r="AS631" s="307"/>
      <c r="AT631" s="307"/>
      <c r="AU631" s="307"/>
    </row>
    <row r="632" ht="15.75" customHeight="1">
      <c r="A632" s="307"/>
      <c r="B632" s="307"/>
      <c r="C632" s="307"/>
      <c r="D632" s="307"/>
      <c r="E632" s="307"/>
      <c r="F632" s="307"/>
      <c r="G632" s="307"/>
      <c r="H632" s="307"/>
      <c r="I632" s="307"/>
      <c r="J632" s="307"/>
      <c r="K632" s="307"/>
      <c r="L632" s="307"/>
      <c r="M632" s="307"/>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c r="AK632" s="307"/>
      <c r="AL632" s="307"/>
      <c r="AM632" s="307"/>
      <c r="AN632" s="307"/>
      <c r="AO632" s="307"/>
      <c r="AP632" s="307"/>
      <c r="AQ632" s="307"/>
      <c r="AR632" s="307"/>
      <c r="AS632" s="307"/>
      <c r="AT632" s="307"/>
      <c r="AU632" s="307"/>
    </row>
    <row r="633" ht="15.75" customHeight="1">
      <c r="A633" s="307"/>
      <c r="B633" s="307"/>
      <c r="C633" s="307"/>
      <c r="D633" s="307"/>
      <c r="E633" s="307"/>
      <c r="F633" s="307"/>
      <c r="G633" s="307"/>
      <c r="H633" s="307"/>
      <c r="I633" s="307"/>
      <c r="J633" s="307"/>
      <c r="K633" s="307"/>
      <c r="L633" s="307"/>
      <c r="M633" s="307"/>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c r="AK633" s="307"/>
      <c r="AL633" s="307"/>
      <c r="AM633" s="307"/>
      <c r="AN633" s="307"/>
      <c r="AO633" s="307"/>
      <c r="AP633" s="307"/>
      <c r="AQ633" s="307"/>
      <c r="AR633" s="307"/>
      <c r="AS633" s="307"/>
      <c r="AT633" s="307"/>
      <c r="AU633" s="307"/>
    </row>
    <row r="634" ht="15.75" customHeight="1">
      <c r="A634" s="307"/>
      <c r="B634" s="307"/>
      <c r="C634" s="307"/>
      <c r="D634" s="307"/>
      <c r="E634" s="307"/>
      <c r="F634" s="307"/>
      <c r="G634" s="307"/>
      <c r="H634" s="307"/>
      <c r="I634" s="307"/>
      <c r="J634" s="307"/>
      <c r="K634" s="307"/>
      <c r="L634" s="307"/>
      <c r="M634" s="307"/>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c r="AK634" s="307"/>
      <c r="AL634" s="307"/>
      <c r="AM634" s="307"/>
      <c r="AN634" s="307"/>
      <c r="AO634" s="307"/>
      <c r="AP634" s="307"/>
      <c r="AQ634" s="307"/>
      <c r="AR634" s="307"/>
      <c r="AS634" s="307"/>
      <c r="AT634" s="307"/>
      <c r="AU634" s="307"/>
    </row>
    <row r="635" ht="15.75" customHeight="1">
      <c r="A635" s="307"/>
      <c r="B635" s="307"/>
      <c r="C635" s="307"/>
      <c r="D635" s="307"/>
      <c r="E635" s="307"/>
      <c r="F635" s="307"/>
      <c r="G635" s="307"/>
      <c r="H635" s="307"/>
      <c r="I635" s="307"/>
      <c r="J635" s="307"/>
      <c r="K635" s="307"/>
      <c r="L635" s="307"/>
      <c r="M635" s="307"/>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c r="AK635" s="307"/>
      <c r="AL635" s="307"/>
      <c r="AM635" s="307"/>
      <c r="AN635" s="307"/>
      <c r="AO635" s="307"/>
      <c r="AP635" s="307"/>
      <c r="AQ635" s="307"/>
      <c r="AR635" s="307"/>
      <c r="AS635" s="307"/>
      <c r="AT635" s="307"/>
      <c r="AU635" s="307"/>
    </row>
    <row r="636" ht="15.75" customHeight="1">
      <c r="A636" s="307"/>
      <c r="B636" s="307"/>
      <c r="C636" s="307"/>
      <c r="D636" s="307"/>
      <c r="E636" s="307"/>
      <c r="F636" s="307"/>
      <c r="G636" s="307"/>
      <c r="H636" s="307"/>
      <c r="I636" s="307"/>
      <c r="J636" s="307"/>
      <c r="K636" s="307"/>
      <c r="L636" s="307"/>
      <c r="M636" s="307"/>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c r="AK636" s="307"/>
      <c r="AL636" s="307"/>
      <c r="AM636" s="307"/>
      <c r="AN636" s="307"/>
      <c r="AO636" s="307"/>
      <c r="AP636" s="307"/>
      <c r="AQ636" s="307"/>
      <c r="AR636" s="307"/>
      <c r="AS636" s="307"/>
      <c r="AT636" s="307"/>
      <c r="AU636" s="307"/>
    </row>
    <row r="637" ht="15.75" customHeight="1">
      <c r="A637" s="307"/>
      <c r="B637" s="307"/>
      <c r="C637" s="307"/>
      <c r="D637" s="307"/>
      <c r="E637" s="307"/>
      <c r="F637" s="307"/>
      <c r="G637" s="307"/>
      <c r="H637" s="307"/>
      <c r="I637" s="307"/>
      <c r="J637" s="307"/>
      <c r="K637" s="307"/>
      <c r="L637" s="307"/>
      <c r="M637" s="307"/>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c r="AK637" s="307"/>
      <c r="AL637" s="307"/>
      <c r="AM637" s="307"/>
      <c r="AN637" s="307"/>
      <c r="AO637" s="307"/>
      <c r="AP637" s="307"/>
      <c r="AQ637" s="307"/>
      <c r="AR637" s="307"/>
      <c r="AS637" s="307"/>
      <c r="AT637" s="307"/>
      <c r="AU637" s="307"/>
    </row>
    <row r="638" ht="15.75" customHeight="1">
      <c r="A638" s="307"/>
      <c r="B638" s="307"/>
      <c r="C638" s="307"/>
      <c r="D638" s="307"/>
      <c r="E638" s="307"/>
      <c r="F638" s="307"/>
      <c r="G638" s="307"/>
      <c r="H638" s="307"/>
      <c r="I638" s="307"/>
      <c r="J638" s="307"/>
      <c r="K638" s="307"/>
      <c r="L638" s="307"/>
      <c r="M638" s="307"/>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c r="AK638" s="307"/>
      <c r="AL638" s="307"/>
      <c r="AM638" s="307"/>
      <c r="AN638" s="307"/>
      <c r="AO638" s="307"/>
      <c r="AP638" s="307"/>
      <c r="AQ638" s="307"/>
      <c r="AR638" s="307"/>
      <c r="AS638" s="307"/>
      <c r="AT638" s="307"/>
      <c r="AU638" s="307"/>
    </row>
    <row r="639" ht="15.75" customHeight="1">
      <c r="A639" s="307"/>
      <c r="B639" s="307"/>
      <c r="C639" s="307"/>
      <c r="D639" s="307"/>
      <c r="E639" s="307"/>
      <c r="F639" s="307"/>
      <c r="G639" s="307"/>
      <c r="H639" s="307"/>
      <c r="I639" s="307"/>
      <c r="J639" s="307"/>
      <c r="K639" s="307"/>
      <c r="L639" s="307"/>
      <c r="M639" s="307"/>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c r="AK639" s="307"/>
      <c r="AL639" s="307"/>
      <c r="AM639" s="307"/>
      <c r="AN639" s="307"/>
      <c r="AO639" s="307"/>
      <c r="AP639" s="307"/>
      <c r="AQ639" s="307"/>
      <c r="AR639" s="307"/>
      <c r="AS639" s="307"/>
      <c r="AT639" s="307"/>
      <c r="AU639" s="307"/>
    </row>
    <row r="640" ht="15.75" customHeight="1">
      <c r="A640" s="307"/>
      <c r="B640" s="307"/>
      <c r="C640" s="307"/>
      <c r="D640" s="307"/>
      <c r="E640" s="307"/>
      <c r="F640" s="307"/>
      <c r="G640" s="307"/>
      <c r="H640" s="307"/>
      <c r="I640" s="307"/>
      <c r="J640" s="307"/>
      <c r="K640" s="307"/>
      <c r="L640" s="307"/>
      <c r="M640" s="307"/>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c r="AK640" s="307"/>
      <c r="AL640" s="307"/>
      <c r="AM640" s="307"/>
      <c r="AN640" s="307"/>
      <c r="AO640" s="307"/>
      <c r="AP640" s="307"/>
      <c r="AQ640" s="307"/>
      <c r="AR640" s="307"/>
      <c r="AS640" s="307"/>
      <c r="AT640" s="307"/>
      <c r="AU640" s="307"/>
    </row>
    <row r="641" ht="15.75" customHeight="1">
      <c r="A641" s="307"/>
      <c r="B641" s="307"/>
      <c r="C641" s="307"/>
      <c r="D641" s="307"/>
      <c r="E641" s="307"/>
      <c r="F641" s="307"/>
      <c r="G641" s="307"/>
      <c r="H641" s="307"/>
      <c r="I641" s="307"/>
      <c r="J641" s="307"/>
      <c r="K641" s="307"/>
      <c r="L641" s="307"/>
      <c r="M641" s="307"/>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c r="AK641" s="307"/>
      <c r="AL641" s="307"/>
      <c r="AM641" s="307"/>
      <c r="AN641" s="307"/>
      <c r="AO641" s="307"/>
      <c r="AP641" s="307"/>
      <c r="AQ641" s="307"/>
      <c r="AR641" s="307"/>
      <c r="AS641" s="307"/>
      <c r="AT641" s="307"/>
      <c r="AU641" s="307"/>
    </row>
    <row r="642" ht="15.75" customHeight="1">
      <c r="A642" s="307"/>
      <c r="B642" s="307"/>
      <c r="C642" s="307"/>
      <c r="D642" s="307"/>
      <c r="E642" s="307"/>
      <c r="F642" s="307"/>
      <c r="G642" s="307"/>
      <c r="H642" s="307"/>
      <c r="I642" s="307"/>
      <c r="J642" s="307"/>
      <c r="K642" s="307"/>
      <c r="L642" s="307"/>
      <c r="M642" s="307"/>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c r="AK642" s="307"/>
      <c r="AL642" s="307"/>
      <c r="AM642" s="307"/>
      <c r="AN642" s="307"/>
      <c r="AO642" s="307"/>
      <c r="AP642" s="307"/>
      <c r="AQ642" s="307"/>
      <c r="AR642" s="307"/>
      <c r="AS642" s="307"/>
      <c r="AT642" s="307"/>
      <c r="AU642" s="307"/>
    </row>
    <row r="643" ht="15.75" customHeight="1">
      <c r="A643" s="307"/>
      <c r="B643" s="307"/>
      <c r="C643" s="307"/>
      <c r="D643" s="307"/>
      <c r="E643" s="307"/>
      <c r="F643" s="307"/>
      <c r="G643" s="307"/>
      <c r="H643" s="307"/>
      <c r="I643" s="307"/>
      <c r="J643" s="307"/>
      <c r="K643" s="307"/>
      <c r="L643" s="307"/>
      <c r="M643" s="307"/>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c r="AK643" s="307"/>
      <c r="AL643" s="307"/>
      <c r="AM643" s="307"/>
      <c r="AN643" s="307"/>
      <c r="AO643" s="307"/>
      <c r="AP643" s="307"/>
      <c r="AQ643" s="307"/>
      <c r="AR643" s="307"/>
      <c r="AS643" s="307"/>
      <c r="AT643" s="307"/>
      <c r="AU643" s="307"/>
    </row>
    <row r="644" ht="15.75" customHeight="1">
      <c r="A644" s="307"/>
      <c r="B644" s="307"/>
      <c r="C644" s="307"/>
      <c r="D644" s="307"/>
      <c r="E644" s="307"/>
      <c r="F644" s="307"/>
      <c r="G644" s="307"/>
      <c r="H644" s="307"/>
      <c r="I644" s="307"/>
      <c r="J644" s="307"/>
      <c r="K644" s="307"/>
      <c r="L644" s="307"/>
      <c r="M644" s="307"/>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c r="AK644" s="307"/>
      <c r="AL644" s="307"/>
      <c r="AM644" s="307"/>
      <c r="AN644" s="307"/>
      <c r="AO644" s="307"/>
      <c r="AP644" s="307"/>
      <c r="AQ644" s="307"/>
      <c r="AR644" s="307"/>
      <c r="AS644" s="307"/>
      <c r="AT644" s="307"/>
      <c r="AU644" s="307"/>
    </row>
    <row r="645" ht="15.75" customHeight="1">
      <c r="A645" s="307"/>
      <c r="B645" s="307"/>
      <c r="C645" s="307"/>
      <c r="D645" s="307"/>
      <c r="E645" s="307"/>
      <c r="F645" s="307"/>
      <c r="G645" s="307"/>
      <c r="H645" s="307"/>
      <c r="I645" s="307"/>
      <c r="J645" s="307"/>
      <c r="K645" s="307"/>
      <c r="L645" s="307"/>
      <c r="M645" s="307"/>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c r="AK645" s="307"/>
      <c r="AL645" s="307"/>
      <c r="AM645" s="307"/>
      <c r="AN645" s="307"/>
      <c r="AO645" s="307"/>
      <c r="AP645" s="307"/>
      <c r="AQ645" s="307"/>
      <c r="AR645" s="307"/>
      <c r="AS645" s="307"/>
      <c r="AT645" s="307"/>
      <c r="AU645" s="307"/>
    </row>
    <row r="646" ht="15.75" customHeight="1">
      <c r="A646" s="307"/>
      <c r="B646" s="307"/>
      <c r="C646" s="307"/>
      <c r="D646" s="307"/>
      <c r="E646" s="307"/>
      <c r="F646" s="307"/>
      <c r="G646" s="307"/>
      <c r="H646" s="307"/>
      <c r="I646" s="307"/>
      <c r="J646" s="307"/>
      <c r="K646" s="307"/>
      <c r="L646" s="307"/>
      <c r="M646" s="307"/>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c r="AK646" s="307"/>
      <c r="AL646" s="307"/>
      <c r="AM646" s="307"/>
      <c r="AN646" s="307"/>
      <c r="AO646" s="307"/>
      <c r="AP646" s="307"/>
      <c r="AQ646" s="307"/>
      <c r="AR646" s="307"/>
      <c r="AS646" s="307"/>
      <c r="AT646" s="307"/>
      <c r="AU646" s="307"/>
    </row>
    <row r="647" ht="15.75" customHeight="1">
      <c r="A647" s="307"/>
      <c r="B647" s="307"/>
      <c r="C647" s="307"/>
      <c r="D647" s="307"/>
      <c r="E647" s="307"/>
      <c r="F647" s="307"/>
      <c r="G647" s="307"/>
      <c r="H647" s="307"/>
      <c r="I647" s="307"/>
      <c r="J647" s="307"/>
      <c r="K647" s="307"/>
      <c r="L647" s="307"/>
      <c r="M647" s="307"/>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c r="AK647" s="307"/>
      <c r="AL647" s="307"/>
      <c r="AM647" s="307"/>
      <c r="AN647" s="307"/>
      <c r="AO647" s="307"/>
      <c r="AP647" s="307"/>
      <c r="AQ647" s="307"/>
      <c r="AR647" s="307"/>
      <c r="AS647" s="307"/>
      <c r="AT647" s="307"/>
      <c r="AU647" s="307"/>
    </row>
    <row r="648" ht="15.75" customHeight="1">
      <c r="A648" s="307"/>
      <c r="B648" s="307"/>
      <c r="C648" s="307"/>
      <c r="D648" s="307"/>
      <c r="E648" s="307"/>
      <c r="F648" s="307"/>
      <c r="G648" s="307"/>
      <c r="H648" s="307"/>
      <c r="I648" s="307"/>
      <c r="J648" s="307"/>
      <c r="K648" s="307"/>
      <c r="L648" s="307"/>
      <c r="M648" s="307"/>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c r="AK648" s="307"/>
      <c r="AL648" s="307"/>
      <c r="AM648" s="307"/>
      <c r="AN648" s="307"/>
      <c r="AO648" s="307"/>
      <c r="AP648" s="307"/>
      <c r="AQ648" s="307"/>
      <c r="AR648" s="307"/>
      <c r="AS648" s="307"/>
      <c r="AT648" s="307"/>
      <c r="AU648" s="307"/>
    </row>
    <row r="649" ht="15.75" customHeight="1">
      <c r="A649" s="307"/>
      <c r="B649" s="307"/>
      <c r="C649" s="307"/>
      <c r="D649" s="307"/>
      <c r="E649" s="307"/>
      <c r="F649" s="307"/>
      <c r="G649" s="307"/>
      <c r="H649" s="307"/>
      <c r="I649" s="307"/>
      <c r="J649" s="307"/>
      <c r="K649" s="307"/>
      <c r="L649" s="307"/>
      <c r="M649" s="307"/>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c r="AK649" s="307"/>
      <c r="AL649" s="307"/>
      <c r="AM649" s="307"/>
      <c r="AN649" s="307"/>
      <c r="AO649" s="307"/>
      <c r="AP649" s="307"/>
      <c r="AQ649" s="307"/>
      <c r="AR649" s="307"/>
      <c r="AS649" s="307"/>
      <c r="AT649" s="307"/>
      <c r="AU649" s="307"/>
    </row>
    <row r="650" ht="15.75" customHeight="1">
      <c r="A650" s="307"/>
      <c r="B650" s="307"/>
      <c r="C650" s="307"/>
      <c r="D650" s="307"/>
      <c r="E650" s="307"/>
      <c r="F650" s="307"/>
      <c r="G650" s="307"/>
      <c r="H650" s="307"/>
      <c r="I650" s="307"/>
      <c r="J650" s="307"/>
      <c r="K650" s="307"/>
      <c r="L650" s="307"/>
      <c r="M650" s="307"/>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c r="AK650" s="307"/>
      <c r="AL650" s="307"/>
      <c r="AM650" s="307"/>
      <c r="AN650" s="307"/>
      <c r="AO650" s="307"/>
      <c r="AP650" s="307"/>
      <c r="AQ650" s="307"/>
      <c r="AR650" s="307"/>
      <c r="AS650" s="307"/>
      <c r="AT650" s="307"/>
      <c r="AU650" s="307"/>
    </row>
    <row r="651" ht="15.75" customHeight="1">
      <c r="A651" s="307"/>
      <c r="B651" s="307"/>
      <c r="C651" s="307"/>
      <c r="D651" s="307"/>
      <c r="E651" s="307"/>
      <c r="F651" s="307"/>
      <c r="G651" s="307"/>
      <c r="H651" s="307"/>
      <c r="I651" s="307"/>
      <c r="J651" s="307"/>
      <c r="K651" s="307"/>
      <c r="L651" s="307"/>
      <c r="M651" s="307"/>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c r="AK651" s="307"/>
      <c r="AL651" s="307"/>
      <c r="AM651" s="307"/>
      <c r="AN651" s="307"/>
      <c r="AO651" s="307"/>
      <c r="AP651" s="307"/>
      <c r="AQ651" s="307"/>
      <c r="AR651" s="307"/>
      <c r="AS651" s="307"/>
      <c r="AT651" s="307"/>
      <c r="AU651" s="307"/>
    </row>
    <row r="652" ht="15.75" customHeight="1">
      <c r="A652" s="307"/>
      <c r="B652" s="307"/>
      <c r="C652" s="307"/>
      <c r="D652" s="307"/>
      <c r="E652" s="307"/>
      <c r="F652" s="307"/>
      <c r="G652" s="307"/>
      <c r="H652" s="307"/>
      <c r="I652" s="307"/>
      <c r="J652" s="307"/>
      <c r="K652" s="307"/>
      <c r="L652" s="307"/>
      <c r="M652" s="307"/>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c r="AK652" s="307"/>
      <c r="AL652" s="307"/>
      <c r="AM652" s="307"/>
      <c r="AN652" s="307"/>
      <c r="AO652" s="307"/>
      <c r="AP652" s="307"/>
      <c r="AQ652" s="307"/>
      <c r="AR652" s="307"/>
      <c r="AS652" s="307"/>
      <c r="AT652" s="307"/>
      <c r="AU652" s="307"/>
    </row>
    <row r="653" ht="15.75" customHeight="1">
      <c r="A653" s="307"/>
      <c r="B653" s="307"/>
      <c r="C653" s="307"/>
      <c r="D653" s="307"/>
      <c r="E653" s="307"/>
      <c r="F653" s="307"/>
      <c r="G653" s="307"/>
      <c r="H653" s="307"/>
      <c r="I653" s="307"/>
      <c r="J653" s="307"/>
      <c r="K653" s="307"/>
      <c r="L653" s="307"/>
      <c r="M653" s="307"/>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c r="AK653" s="307"/>
      <c r="AL653" s="307"/>
      <c r="AM653" s="307"/>
      <c r="AN653" s="307"/>
      <c r="AO653" s="307"/>
      <c r="AP653" s="307"/>
      <c r="AQ653" s="307"/>
      <c r="AR653" s="307"/>
      <c r="AS653" s="307"/>
      <c r="AT653" s="307"/>
      <c r="AU653" s="307"/>
    </row>
    <row r="654" ht="15.75" customHeight="1">
      <c r="A654" s="307"/>
      <c r="B654" s="307"/>
      <c r="C654" s="307"/>
      <c r="D654" s="307"/>
      <c r="E654" s="307"/>
      <c r="F654" s="307"/>
      <c r="G654" s="307"/>
      <c r="H654" s="307"/>
      <c r="I654" s="307"/>
      <c r="J654" s="307"/>
      <c r="K654" s="307"/>
      <c r="L654" s="307"/>
      <c r="M654" s="307"/>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c r="AK654" s="307"/>
      <c r="AL654" s="307"/>
      <c r="AM654" s="307"/>
      <c r="AN654" s="307"/>
      <c r="AO654" s="307"/>
      <c r="AP654" s="307"/>
      <c r="AQ654" s="307"/>
      <c r="AR654" s="307"/>
      <c r="AS654" s="307"/>
      <c r="AT654" s="307"/>
      <c r="AU654" s="307"/>
    </row>
    <row r="655" ht="15.75" customHeight="1">
      <c r="A655" s="307"/>
      <c r="B655" s="307"/>
      <c r="C655" s="307"/>
      <c r="D655" s="307"/>
      <c r="E655" s="307"/>
      <c r="F655" s="307"/>
      <c r="G655" s="307"/>
      <c r="H655" s="307"/>
      <c r="I655" s="307"/>
      <c r="J655" s="307"/>
      <c r="K655" s="307"/>
      <c r="L655" s="307"/>
      <c r="M655" s="307"/>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c r="AK655" s="307"/>
      <c r="AL655" s="307"/>
      <c r="AM655" s="307"/>
      <c r="AN655" s="307"/>
      <c r="AO655" s="307"/>
      <c r="AP655" s="307"/>
      <c r="AQ655" s="307"/>
      <c r="AR655" s="307"/>
      <c r="AS655" s="307"/>
      <c r="AT655" s="307"/>
      <c r="AU655" s="307"/>
    </row>
    <row r="656" ht="15.75" customHeight="1">
      <c r="A656" s="307"/>
      <c r="B656" s="307"/>
      <c r="C656" s="307"/>
      <c r="D656" s="307"/>
      <c r="E656" s="307"/>
      <c r="F656" s="307"/>
      <c r="G656" s="307"/>
      <c r="H656" s="307"/>
      <c r="I656" s="307"/>
      <c r="J656" s="307"/>
      <c r="K656" s="307"/>
      <c r="L656" s="307"/>
      <c r="M656" s="307"/>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c r="AK656" s="307"/>
      <c r="AL656" s="307"/>
      <c r="AM656" s="307"/>
      <c r="AN656" s="307"/>
      <c r="AO656" s="307"/>
      <c r="AP656" s="307"/>
      <c r="AQ656" s="307"/>
      <c r="AR656" s="307"/>
      <c r="AS656" s="307"/>
      <c r="AT656" s="307"/>
      <c r="AU656" s="307"/>
    </row>
    <row r="657" ht="15.75" customHeight="1">
      <c r="A657" s="307"/>
      <c r="B657" s="307"/>
      <c r="C657" s="307"/>
      <c r="D657" s="307"/>
      <c r="E657" s="307"/>
      <c r="F657" s="307"/>
      <c r="G657" s="307"/>
      <c r="H657" s="307"/>
      <c r="I657" s="307"/>
      <c r="J657" s="307"/>
      <c r="K657" s="307"/>
      <c r="L657" s="307"/>
      <c r="M657" s="307"/>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c r="AK657" s="307"/>
      <c r="AL657" s="307"/>
      <c r="AM657" s="307"/>
      <c r="AN657" s="307"/>
      <c r="AO657" s="307"/>
      <c r="AP657" s="307"/>
      <c r="AQ657" s="307"/>
      <c r="AR657" s="307"/>
      <c r="AS657" s="307"/>
      <c r="AT657" s="307"/>
      <c r="AU657" s="307"/>
    </row>
    <row r="658" ht="15.75" customHeight="1">
      <c r="A658" s="307"/>
      <c r="B658" s="307"/>
      <c r="C658" s="307"/>
      <c r="D658" s="307"/>
      <c r="E658" s="307"/>
      <c r="F658" s="307"/>
      <c r="G658" s="307"/>
      <c r="H658" s="307"/>
      <c r="I658" s="307"/>
      <c r="J658" s="307"/>
      <c r="K658" s="307"/>
      <c r="L658" s="307"/>
      <c r="M658" s="307"/>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c r="AK658" s="307"/>
      <c r="AL658" s="307"/>
      <c r="AM658" s="307"/>
      <c r="AN658" s="307"/>
      <c r="AO658" s="307"/>
      <c r="AP658" s="307"/>
      <c r="AQ658" s="307"/>
      <c r="AR658" s="307"/>
      <c r="AS658" s="307"/>
      <c r="AT658" s="307"/>
      <c r="AU658" s="307"/>
    </row>
    <row r="659" ht="15.75" customHeight="1">
      <c r="A659" s="307"/>
      <c r="B659" s="307"/>
      <c r="C659" s="307"/>
      <c r="D659" s="307"/>
      <c r="E659" s="307"/>
      <c r="F659" s="307"/>
      <c r="G659" s="307"/>
      <c r="H659" s="307"/>
      <c r="I659" s="307"/>
      <c r="J659" s="307"/>
      <c r="K659" s="307"/>
      <c r="L659" s="307"/>
      <c r="M659" s="307"/>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c r="AK659" s="307"/>
      <c r="AL659" s="307"/>
      <c r="AM659" s="307"/>
      <c r="AN659" s="307"/>
      <c r="AO659" s="307"/>
      <c r="AP659" s="307"/>
      <c r="AQ659" s="307"/>
      <c r="AR659" s="307"/>
      <c r="AS659" s="307"/>
      <c r="AT659" s="307"/>
      <c r="AU659" s="307"/>
    </row>
    <row r="660" ht="15.75" customHeight="1">
      <c r="A660" s="307"/>
      <c r="B660" s="307"/>
      <c r="C660" s="307"/>
      <c r="D660" s="307"/>
      <c r="E660" s="307"/>
      <c r="F660" s="307"/>
      <c r="G660" s="307"/>
      <c r="H660" s="307"/>
      <c r="I660" s="307"/>
      <c r="J660" s="307"/>
      <c r="K660" s="307"/>
      <c r="L660" s="307"/>
      <c r="M660" s="307"/>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c r="AK660" s="307"/>
      <c r="AL660" s="307"/>
      <c r="AM660" s="307"/>
      <c r="AN660" s="307"/>
      <c r="AO660" s="307"/>
      <c r="AP660" s="307"/>
      <c r="AQ660" s="307"/>
      <c r="AR660" s="307"/>
      <c r="AS660" s="307"/>
      <c r="AT660" s="307"/>
      <c r="AU660" s="307"/>
    </row>
    <row r="661" ht="15.75" customHeight="1">
      <c r="A661" s="307"/>
      <c r="B661" s="307"/>
      <c r="C661" s="307"/>
      <c r="D661" s="307"/>
      <c r="E661" s="307"/>
      <c r="F661" s="307"/>
      <c r="G661" s="307"/>
      <c r="H661" s="307"/>
      <c r="I661" s="307"/>
      <c r="J661" s="307"/>
      <c r="K661" s="307"/>
      <c r="L661" s="307"/>
      <c r="M661" s="307"/>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c r="AK661" s="307"/>
      <c r="AL661" s="307"/>
      <c r="AM661" s="307"/>
      <c r="AN661" s="307"/>
      <c r="AO661" s="307"/>
      <c r="AP661" s="307"/>
      <c r="AQ661" s="307"/>
      <c r="AR661" s="307"/>
      <c r="AS661" s="307"/>
      <c r="AT661" s="307"/>
      <c r="AU661" s="307"/>
    </row>
    <row r="662" ht="15.75" customHeight="1">
      <c r="A662" s="307"/>
      <c r="B662" s="307"/>
      <c r="C662" s="307"/>
      <c r="D662" s="307"/>
      <c r="E662" s="307"/>
      <c r="F662" s="307"/>
      <c r="G662" s="307"/>
      <c r="H662" s="307"/>
      <c r="I662" s="307"/>
      <c r="J662" s="307"/>
      <c r="K662" s="307"/>
      <c r="L662" s="307"/>
      <c r="M662" s="307"/>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c r="AK662" s="307"/>
      <c r="AL662" s="307"/>
      <c r="AM662" s="307"/>
      <c r="AN662" s="307"/>
      <c r="AO662" s="307"/>
      <c r="AP662" s="307"/>
      <c r="AQ662" s="307"/>
      <c r="AR662" s="307"/>
      <c r="AS662" s="307"/>
      <c r="AT662" s="307"/>
      <c r="AU662" s="307"/>
    </row>
    <row r="663" ht="15.75" customHeight="1">
      <c r="A663" s="307"/>
      <c r="B663" s="307"/>
      <c r="C663" s="307"/>
      <c r="D663" s="307"/>
      <c r="E663" s="307"/>
      <c r="F663" s="307"/>
      <c r="G663" s="307"/>
      <c r="H663" s="307"/>
      <c r="I663" s="307"/>
      <c r="J663" s="307"/>
      <c r="K663" s="307"/>
      <c r="L663" s="307"/>
      <c r="M663" s="307"/>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c r="AK663" s="307"/>
      <c r="AL663" s="307"/>
      <c r="AM663" s="307"/>
      <c r="AN663" s="307"/>
      <c r="AO663" s="307"/>
      <c r="AP663" s="307"/>
      <c r="AQ663" s="307"/>
      <c r="AR663" s="307"/>
      <c r="AS663" s="307"/>
      <c r="AT663" s="307"/>
      <c r="AU663" s="307"/>
    </row>
    <row r="664" ht="15.75" customHeight="1">
      <c r="A664" s="307"/>
      <c r="B664" s="307"/>
      <c r="C664" s="307"/>
      <c r="D664" s="307"/>
      <c r="E664" s="307"/>
      <c r="F664" s="307"/>
      <c r="G664" s="307"/>
      <c r="H664" s="307"/>
      <c r="I664" s="307"/>
      <c r="J664" s="307"/>
      <c r="K664" s="307"/>
      <c r="L664" s="307"/>
      <c r="M664" s="307"/>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c r="AK664" s="307"/>
      <c r="AL664" s="307"/>
      <c r="AM664" s="307"/>
      <c r="AN664" s="307"/>
      <c r="AO664" s="307"/>
      <c r="AP664" s="307"/>
      <c r="AQ664" s="307"/>
      <c r="AR664" s="307"/>
      <c r="AS664" s="307"/>
      <c r="AT664" s="307"/>
      <c r="AU664" s="307"/>
    </row>
    <row r="665" ht="15.75" customHeight="1">
      <c r="A665" s="307"/>
      <c r="B665" s="307"/>
      <c r="C665" s="307"/>
      <c r="D665" s="307"/>
      <c r="E665" s="307"/>
      <c r="F665" s="307"/>
      <c r="G665" s="307"/>
      <c r="H665" s="307"/>
      <c r="I665" s="307"/>
      <c r="J665" s="307"/>
      <c r="K665" s="307"/>
      <c r="L665" s="307"/>
      <c r="M665" s="307"/>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c r="AK665" s="307"/>
      <c r="AL665" s="307"/>
      <c r="AM665" s="307"/>
      <c r="AN665" s="307"/>
      <c r="AO665" s="307"/>
      <c r="AP665" s="307"/>
      <c r="AQ665" s="307"/>
      <c r="AR665" s="307"/>
      <c r="AS665" s="307"/>
      <c r="AT665" s="307"/>
      <c r="AU665" s="307"/>
    </row>
    <row r="666" ht="15.75" customHeight="1">
      <c r="A666" s="307"/>
      <c r="B666" s="307"/>
      <c r="C666" s="307"/>
      <c r="D666" s="307"/>
      <c r="E666" s="307"/>
      <c r="F666" s="307"/>
      <c r="G666" s="307"/>
      <c r="H666" s="307"/>
      <c r="I666" s="307"/>
      <c r="J666" s="307"/>
      <c r="K666" s="307"/>
      <c r="L666" s="307"/>
      <c r="M666" s="307"/>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c r="AK666" s="307"/>
      <c r="AL666" s="307"/>
      <c r="AM666" s="307"/>
      <c r="AN666" s="307"/>
      <c r="AO666" s="307"/>
      <c r="AP666" s="307"/>
      <c r="AQ666" s="307"/>
      <c r="AR666" s="307"/>
      <c r="AS666" s="307"/>
      <c r="AT666" s="307"/>
      <c r="AU666" s="307"/>
    </row>
    <row r="667" ht="15.75" customHeight="1">
      <c r="A667" s="307"/>
      <c r="B667" s="307"/>
      <c r="C667" s="307"/>
      <c r="D667" s="307"/>
      <c r="E667" s="307"/>
      <c r="F667" s="307"/>
      <c r="G667" s="307"/>
      <c r="H667" s="307"/>
      <c r="I667" s="307"/>
      <c r="J667" s="307"/>
      <c r="K667" s="307"/>
      <c r="L667" s="307"/>
      <c r="M667" s="307"/>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c r="AK667" s="307"/>
      <c r="AL667" s="307"/>
      <c r="AM667" s="307"/>
      <c r="AN667" s="307"/>
      <c r="AO667" s="307"/>
      <c r="AP667" s="307"/>
      <c r="AQ667" s="307"/>
      <c r="AR667" s="307"/>
      <c r="AS667" s="307"/>
      <c r="AT667" s="307"/>
      <c r="AU667" s="307"/>
    </row>
    <row r="668" ht="15.75" customHeight="1">
      <c r="A668" s="307"/>
      <c r="B668" s="307"/>
      <c r="C668" s="307"/>
      <c r="D668" s="307"/>
      <c r="E668" s="307"/>
      <c r="F668" s="307"/>
      <c r="G668" s="307"/>
      <c r="H668" s="307"/>
      <c r="I668" s="307"/>
      <c r="J668" s="307"/>
      <c r="K668" s="307"/>
      <c r="L668" s="307"/>
      <c r="M668" s="307"/>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c r="AK668" s="307"/>
      <c r="AL668" s="307"/>
      <c r="AM668" s="307"/>
      <c r="AN668" s="307"/>
      <c r="AO668" s="307"/>
      <c r="AP668" s="307"/>
      <c r="AQ668" s="307"/>
      <c r="AR668" s="307"/>
      <c r="AS668" s="307"/>
      <c r="AT668" s="307"/>
      <c r="AU668" s="307"/>
    </row>
    <row r="669" ht="15.75" customHeight="1">
      <c r="A669" s="307"/>
      <c r="B669" s="307"/>
      <c r="C669" s="307"/>
      <c r="D669" s="307"/>
      <c r="E669" s="307"/>
      <c r="F669" s="307"/>
      <c r="G669" s="307"/>
      <c r="H669" s="307"/>
      <c r="I669" s="307"/>
      <c r="J669" s="307"/>
      <c r="K669" s="307"/>
      <c r="L669" s="307"/>
      <c r="M669" s="307"/>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c r="AK669" s="307"/>
      <c r="AL669" s="307"/>
      <c r="AM669" s="307"/>
      <c r="AN669" s="307"/>
      <c r="AO669" s="307"/>
      <c r="AP669" s="307"/>
      <c r="AQ669" s="307"/>
      <c r="AR669" s="307"/>
      <c r="AS669" s="307"/>
      <c r="AT669" s="307"/>
      <c r="AU669" s="307"/>
    </row>
    <row r="670" ht="15.75" customHeight="1">
      <c r="A670" s="307"/>
      <c r="B670" s="307"/>
      <c r="C670" s="307"/>
      <c r="D670" s="307"/>
      <c r="E670" s="307"/>
      <c r="F670" s="307"/>
      <c r="G670" s="307"/>
      <c r="H670" s="307"/>
      <c r="I670" s="307"/>
      <c r="J670" s="307"/>
      <c r="K670" s="307"/>
      <c r="L670" s="307"/>
      <c r="M670" s="307"/>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c r="AK670" s="307"/>
      <c r="AL670" s="307"/>
      <c r="AM670" s="307"/>
      <c r="AN670" s="307"/>
      <c r="AO670" s="307"/>
      <c r="AP670" s="307"/>
      <c r="AQ670" s="307"/>
      <c r="AR670" s="307"/>
      <c r="AS670" s="307"/>
      <c r="AT670" s="307"/>
      <c r="AU670" s="307"/>
    </row>
    <row r="671" ht="15.75" customHeight="1">
      <c r="A671" s="307"/>
      <c r="B671" s="307"/>
      <c r="C671" s="307"/>
      <c r="D671" s="307"/>
      <c r="E671" s="307"/>
      <c r="F671" s="307"/>
      <c r="G671" s="307"/>
      <c r="H671" s="307"/>
      <c r="I671" s="307"/>
      <c r="J671" s="307"/>
      <c r="K671" s="307"/>
      <c r="L671" s="307"/>
      <c r="M671" s="307"/>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c r="AK671" s="307"/>
      <c r="AL671" s="307"/>
      <c r="AM671" s="307"/>
      <c r="AN671" s="307"/>
      <c r="AO671" s="307"/>
      <c r="AP671" s="307"/>
      <c r="AQ671" s="307"/>
      <c r="AR671" s="307"/>
      <c r="AS671" s="307"/>
      <c r="AT671" s="307"/>
      <c r="AU671" s="307"/>
    </row>
    <row r="672" ht="15.75" customHeight="1">
      <c r="A672" s="307"/>
      <c r="B672" s="307"/>
      <c r="C672" s="307"/>
      <c r="D672" s="307"/>
      <c r="E672" s="307"/>
      <c r="F672" s="307"/>
      <c r="G672" s="307"/>
      <c r="H672" s="307"/>
      <c r="I672" s="307"/>
      <c r="J672" s="307"/>
      <c r="K672" s="307"/>
      <c r="L672" s="307"/>
      <c r="M672" s="307"/>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c r="AK672" s="307"/>
      <c r="AL672" s="307"/>
      <c r="AM672" s="307"/>
      <c r="AN672" s="307"/>
      <c r="AO672" s="307"/>
      <c r="AP672" s="307"/>
      <c r="AQ672" s="307"/>
      <c r="AR672" s="307"/>
      <c r="AS672" s="307"/>
      <c r="AT672" s="307"/>
      <c r="AU672" s="307"/>
    </row>
    <row r="673" ht="15.75" customHeight="1">
      <c r="A673" s="307"/>
      <c r="B673" s="307"/>
      <c r="C673" s="307"/>
      <c r="D673" s="307"/>
      <c r="E673" s="307"/>
      <c r="F673" s="307"/>
      <c r="G673" s="307"/>
      <c r="H673" s="307"/>
      <c r="I673" s="307"/>
      <c r="J673" s="307"/>
      <c r="K673" s="307"/>
      <c r="L673" s="307"/>
      <c r="M673" s="307"/>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c r="AK673" s="307"/>
      <c r="AL673" s="307"/>
      <c r="AM673" s="307"/>
      <c r="AN673" s="307"/>
      <c r="AO673" s="307"/>
      <c r="AP673" s="307"/>
      <c r="AQ673" s="307"/>
      <c r="AR673" s="307"/>
      <c r="AS673" s="307"/>
      <c r="AT673" s="307"/>
      <c r="AU673" s="307"/>
    </row>
    <row r="674" ht="15.75" customHeight="1">
      <c r="A674" s="307"/>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c r="AK674" s="307"/>
      <c r="AL674" s="307"/>
      <c r="AM674" s="307"/>
      <c r="AN674" s="307"/>
      <c r="AO674" s="307"/>
      <c r="AP674" s="307"/>
      <c r="AQ674" s="307"/>
      <c r="AR674" s="307"/>
      <c r="AS674" s="307"/>
      <c r="AT674" s="307"/>
      <c r="AU674" s="307"/>
    </row>
    <row r="675" ht="15.75" customHeight="1">
      <c r="A675" s="307"/>
      <c r="B675" s="307"/>
      <c r="C675" s="307"/>
      <c r="D675" s="307"/>
      <c r="E675" s="307"/>
      <c r="F675" s="307"/>
      <c r="G675" s="307"/>
      <c r="H675" s="307"/>
      <c r="I675" s="307"/>
      <c r="J675" s="307"/>
      <c r="K675" s="307"/>
      <c r="L675" s="307"/>
      <c r="M675" s="307"/>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c r="AK675" s="307"/>
      <c r="AL675" s="307"/>
      <c r="AM675" s="307"/>
      <c r="AN675" s="307"/>
      <c r="AO675" s="307"/>
      <c r="AP675" s="307"/>
      <c r="AQ675" s="307"/>
      <c r="AR675" s="307"/>
      <c r="AS675" s="307"/>
      <c r="AT675" s="307"/>
      <c r="AU675" s="307"/>
    </row>
    <row r="676" ht="15.75" customHeight="1">
      <c r="A676" s="307"/>
      <c r="B676" s="307"/>
      <c r="C676" s="307"/>
      <c r="D676" s="307"/>
      <c r="E676" s="307"/>
      <c r="F676" s="307"/>
      <c r="G676" s="307"/>
      <c r="H676" s="307"/>
      <c r="I676" s="307"/>
      <c r="J676" s="307"/>
      <c r="K676" s="307"/>
      <c r="L676" s="307"/>
      <c r="M676" s="307"/>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c r="AK676" s="307"/>
      <c r="AL676" s="307"/>
      <c r="AM676" s="307"/>
      <c r="AN676" s="307"/>
      <c r="AO676" s="307"/>
      <c r="AP676" s="307"/>
      <c r="AQ676" s="307"/>
      <c r="AR676" s="307"/>
      <c r="AS676" s="307"/>
      <c r="AT676" s="307"/>
      <c r="AU676" s="307"/>
    </row>
    <row r="677" ht="15.75" customHeight="1">
      <c r="A677" s="307"/>
      <c r="B677" s="307"/>
      <c r="C677" s="307"/>
      <c r="D677" s="307"/>
      <c r="E677" s="307"/>
      <c r="F677" s="307"/>
      <c r="G677" s="307"/>
      <c r="H677" s="307"/>
      <c r="I677" s="307"/>
      <c r="J677" s="307"/>
      <c r="K677" s="307"/>
      <c r="L677" s="307"/>
      <c r="M677" s="307"/>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c r="AK677" s="307"/>
      <c r="AL677" s="307"/>
      <c r="AM677" s="307"/>
      <c r="AN677" s="307"/>
      <c r="AO677" s="307"/>
      <c r="AP677" s="307"/>
      <c r="AQ677" s="307"/>
      <c r="AR677" s="307"/>
      <c r="AS677" s="307"/>
      <c r="AT677" s="307"/>
      <c r="AU677" s="307"/>
    </row>
    <row r="678" ht="15.75" customHeight="1">
      <c r="A678" s="307"/>
      <c r="B678" s="307"/>
      <c r="C678" s="307"/>
      <c r="D678" s="307"/>
      <c r="E678" s="307"/>
      <c r="F678" s="307"/>
      <c r="G678" s="307"/>
      <c r="H678" s="307"/>
      <c r="I678" s="307"/>
      <c r="J678" s="307"/>
      <c r="K678" s="307"/>
      <c r="L678" s="307"/>
      <c r="M678" s="307"/>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c r="AK678" s="307"/>
      <c r="AL678" s="307"/>
      <c r="AM678" s="307"/>
      <c r="AN678" s="307"/>
      <c r="AO678" s="307"/>
      <c r="AP678" s="307"/>
      <c r="AQ678" s="307"/>
      <c r="AR678" s="307"/>
      <c r="AS678" s="307"/>
      <c r="AT678" s="307"/>
      <c r="AU678" s="307"/>
    </row>
    <row r="679" ht="15.75" customHeight="1">
      <c r="A679" s="307"/>
      <c r="B679" s="307"/>
      <c r="C679" s="307"/>
      <c r="D679" s="307"/>
      <c r="E679" s="307"/>
      <c r="F679" s="307"/>
      <c r="G679" s="307"/>
      <c r="H679" s="307"/>
      <c r="I679" s="307"/>
      <c r="J679" s="307"/>
      <c r="K679" s="307"/>
      <c r="L679" s="307"/>
      <c r="M679" s="307"/>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c r="AK679" s="307"/>
      <c r="AL679" s="307"/>
      <c r="AM679" s="307"/>
      <c r="AN679" s="307"/>
      <c r="AO679" s="307"/>
      <c r="AP679" s="307"/>
      <c r="AQ679" s="307"/>
      <c r="AR679" s="307"/>
      <c r="AS679" s="307"/>
      <c r="AT679" s="307"/>
      <c r="AU679" s="307"/>
    </row>
    <row r="680" ht="15.75" customHeight="1">
      <c r="A680" s="307"/>
      <c r="B680" s="307"/>
      <c r="C680" s="307"/>
      <c r="D680" s="307"/>
      <c r="E680" s="307"/>
      <c r="F680" s="307"/>
      <c r="G680" s="307"/>
      <c r="H680" s="307"/>
      <c r="I680" s="307"/>
      <c r="J680" s="307"/>
      <c r="K680" s="307"/>
      <c r="L680" s="307"/>
      <c r="M680" s="307"/>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c r="AK680" s="307"/>
      <c r="AL680" s="307"/>
      <c r="AM680" s="307"/>
      <c r="AN680" s="307"/>
      <c r="AO680" s="307"/>
      <c r="AP680" s="307"/>
      <c r="AQ680" s="307"/>
      <c r="AR680" s="307"/>
      <c r="AS680" s="307"/>
      <c r="AT680" s="307"/>
      <c r="AU680" s="307"/>
    </row>
    <row r="681" ht="15.75" customHeight="1">
      <c r="A681" s="307"/>
      <c r="B681" s="307"/>
      <c r="C681" s="307"/>
      <c r="D681" s="307"/>
      <c r="E681" s="307"/>
      <c r="F681" s="307"/>
      <c r="G681" s="307"/>
      <c r="H681" s="307"/>
      <c r="I681" s="307"/>
      <c r="J681" s="307"/>
      <c r="K681" s="307"/>
      <c r="L681" s="307"/>
      <c r="M681" s="307"/>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c r="AK681" s="307"/>
      <c r="AL681" s="307"/>
      <c r="AM681" s="307"/>
      <c r="AN681" s="307"/>
      <c r="AO681" s="307"/>
      <c r="AP681" s="307"/>
      <c r="AQ681" s="307"/>
      <c r="AR681" s="307"/>
      <c r="AS681" s="307"/>
      <c r="AT681" s="307"/>
      <c r="AU681" s="307"/>
    </row>
    <row r="682" ht="15.75" customHeight="1">
      <c r="A682" s="307"/>
      <c r="B682" s="307"/>
      <c r="C682" s="307"/>
      <c r="D682" s="307"/>
      <c r="E682" s="307"/>
      <c r="F682" s="307"/>
      <c r="G682" s="307"/>
      <c r="H682" s="307"/>
      <c r="I682" s="307"/>
      <c r="J682" s="307"/>
      <c r="K682" s="307"/>
      <c r="L682" s="307"/>
      <c r="M682" s="307"/>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c r="AK682" s="307"/>
      <c r="AL682" s="307"/>
      <c r="AM682" s="307"/>
      <c r="AN682" s="307"/>
      <c r="AO682" s="307"/>
      <c r="AP682" s="307"/>
      <c r="AQ682" s="307"/>
      <c r="AR682" s="307"/>
      <c r="AS682" s="307"/>
      <c r="AT682" s="307"/>
      <c r="AU682" s="307"/>
    </row>
    <row r="683" ht="15.75" customHeight="1">
      <c r="A683" s="307"/>
      <c r="B683" s="307"/>
      <c r="C683" s="307"/>
      <c r="D683" s="307"/>
      <c r="E683" s="307"/>
      <c r="F683" s="307"/>
      <c r="G683" s="307"/>
      <c r="H683" s="307"/>
      <c r="I683" s="307"/>
      <c r="J683" s="307"/>
      <c r="K683" s="307"/>
      <c r="L683" s="307"/>
      <c r="M683" s="307"/>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c r="AK683" s="307"/>
      <c r="AL683" s="307"/>
      <c r="AM683" s="307"/>
      <c r="AN683" s="307"/>
      <c r="AO683" s="307"/>
      <c r="AP683" s="307"/>
      <c r="AQ683" s="307"/>
      <c r="AR683" s="307"/>
      <c r="AS683" s="307"/>
      <c r="AT683" s="307"/>
      <c r="AU683" s="307"/>
    </row>
    <row r="684" ht="15.75" customHeight="1">
      <c r="A684" s="307"/>
      <c r="B684" s="307"/>
      <c r="C684" s="307"/>
      <c r="D684" s="307"/>
      <c r="E684" s="307"/>
      <c r="F684" s="307"/>
      <c r="G684" s="307"/>
      <c r="H684" s="307"/>
      <c r="I684" s="307"/>
      <c r="J684" s="307"/>
      <c r="K684" s="307"/>
      <c r="L684" s="307"/>
      <c r="M684" s="307"/>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c r="AK684" s="307"/>
      <c r="AL684" s="307"/>
      <c r="AM684" s="307"/>
      <c r="AN684" s="307"/>
      <c r="AO684" s="307"/>
      <c r="AP684" s="307"/>
      <c r="AQ684" s="307"/>
      <c r="AR684" s="307"/>
      <c r="AS684" s="307"/>
      <c r="AT684" s="307"/>
      <c r="AU684" s="307"/>
    </row>
    <row r="685" ht="15.75" customHeight="1">
      <c r="A685" s="307"/>
      <c r="B685" s="307"/>
      <c r="C685" s="307"/>
      <c r="D685" s="307"/>
      <c r="E685" s="307"/>
      <c r="F685" s="307"/>
      <c r="G685" s="307"/>
      <c r="H685" s="307"/>
      <c r="I685" s="307"/>
      <c r="J685" s="307"/>
      <c r="K685" s="307"/>
      <c r="L685" s="307"/>
      <c r="M685" s="307"/>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c r="AK685" s="307"/>
      <c r="AL685" s="307"/>
      <c r="AM685" s="307"/>
      <c r="AN685" s="307"/>
      <c r="AO685" s="307"/>
      <c r="AP685" s="307"/>
      <c r="AQ685" s="307"/>
      <c r="AR685" s="307"/>
      <c r="AS685" s="307"/>
      <c r="AT685" s="307"/>
      <c r="AU685" s="307"/>
    </row>
    <row r="686" ht="15.75" customHeight="1">
      <c r="A686" s="307"/>
      <c r="B686" s="307"/>
      <c r="C686" s="307"/>
      <c r="D686" s="307"/>
      <c r="E686" s="307"/>
      <c r="F686" s="307"/>
      <c r="G686" s="307"/>
      <c r="H686" s="307"/>
      <c r="I686" s="307"/>
      <c r="J686" s="307"/>
      <c r="K686" s="307"/>
      <c r="L686" s="307"/>
      <c r="M686" s="307"/>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c r="AK686" s="307"/>
      <c r="AL686" s="307"/>
      <c r="AM686" s="307"/>
      <c r="AN686" s="307"/>
      <c r="AO686" s="307"/>
      <c r="AP686" s="307"/>
      <c r="AQ686" s="307"/>
      <c r="AR686" s="307"/>
      <c r="AS686" s="307"/>
      <c r="AT686" s="307"/>
      <c r="AU686" s="307"/>
    </row>
    <row r="687" ht="15.75" customHeight="1">
      <c r="A687" s="307"/>
      <c r="B687" s="307"/>
      <c r="C687" s="307"/>
      <c r="D687" s="307"/>
      <c r="E687" s="307"/>
      <c r="F687" s="307"/>
      <c r="G687" s="307"/>
      <c r="H687" s="307"/>
      <c r="I687" s="307"/>
      <c r="J687" s="307"/>
      <c r="K687" s="307"/>
      <c r="L687" s="307"/>
      <c r="M687" s="307"/>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c r="AK687" s="307"/>
      <c r="AL687" s="307"/>
      <c r="AM687" s="307"/>
      <c r="AN687" s="307"/>
      <c r="AO687" s="307"/>
      <c r="AP687" s="307"/>
      <c r="AQ687" s="307"/>
      <c r="AR687" s="307"/>
      <c r="AS687" s="307"/>
      <c r="AT687" s="307"/>
      <c r="AU687" s="307"/>
    </row>
    <row r="688" ht="15.75" customHeight="1">
      <c r="A688" s="307"/>
      <c r="B688" s="307"/>
      <c r="C688" s="307"/>
      <c r="D688" s="307"/>
      <c r="E688" s="307"/>
      <c r="F688" s="307"/>
      <c r="G688" s="307"/>
      <c r="H688" s="307"/>
      <c r="I688" s="307"/>
      <c r="J688" s="307"/>
      <c r="K688" s="307"/>
      <c r="L688" s="307"/>
      <c r="M688" s="307"/>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c r="AK688" s="307"/>
      <c r="AL688" s="307"/>
      <c r="AM688" s="307"/>
      <c r="AN688" s="307"/>
      <c r="AO688" s="307"/>
      <c r="AP688" s="307"/>
      <c r="AQ688" s="307"/>
      <c r="AR688" s="307"/>
      <c r="AS688" s="307"/>
      <c r="AT688" s="307"/>
      <c r="AU688" s="307"/>
    </row>
    <row r="689" ht="15.75" customHeight="1">
      <c r="A689" s="307"/>
      <c r="B689" s="307"/>
      <c r="C689" s="307"/>
      <c r="D689" s="307"/>
      <c r="E689" s="307"/>
      <c r="F689" s="307"/>
      <c r="G689" s="307"/>
      <c r="H689" s="307"/>
      <c r="I689" s="307"/>
      <c r="J689" s="307"/>
      <c r="K689" s="307"/>
      <c r="L689" s="307"/>
      <c r="M689" s="307"/>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c r="AK689" s="307"/>
      <c r="AL689" s="307"/>
      <c r="AM689" s="307"/>
      <c r="AN689" s="307"/>
      <c r="AO689" s="307"/>
      <c r="AP689" s="307"/>
      <c r="AQ689" s="307"/>
      <c r="AR689" s="307"/>
      <c r="AS689" s="307"/>
      <c r="AT689" s="307"/>
      <c r="AU689" s="307"/>
    </row>
    <row r="690" ht="15.75" customHeight="1">
      <c r="A690" s="307"/>
      <c r="B690" s="307"/>
      <c r="C690" s="307"/>
      <c r="D690" s="307"/>
      <c r="E690" s="307"/>
      <c r="F690" s="307"/>
      <c r="G690" s="307"/>
      <c r="H690" s="307"/>
      <c r="I690" s="307"/>
      <c r="J690" s="307"/>
      <c r="K690" s="307"/>
      <c r="L690" s="307"/>
      <c r="M690" s="307"/>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c r="AK690" s="307"/>
      <c r="AL690" s="307"/>
      <c r="AM690" s="307"/>
      <c r="AN690" s="307"/>
      <c r="AO690" s="307"/>
      <c r="AP690" s="307"/>
      <c r="AQ690" s="307"/>
      <c r="AR690" s="307"/>
      <c r="AS690" s="307"/>
      <c r="AT690" s="307"/>
      <c r="AU690" s="307"/>
    </row>
    <row r="691" ht="15.75" customHeight="1">
      <c r="A691" s="307"/>
      <c r="B691" s="307"/>
      <c r="C691" s="307"/>
      <c r="D691" s="307"/>
      <c r="E691" s="307"/>
      <c r="F691" s="307"/>
      <c r="G691" s="307"/>
      <c r="H691" s="307"/>
      <c r="I691" s="307"/>
      <c r="J691" s="307"/>
      <c r="K691" s="307"/>
      <c r="L691" s="307"/>
      <c r="M691" s="307"/>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c r="AK691" s="307"/>
      <c r="AL691" s="307"/>
      <c r="AM691" s="307"/>
      <c r="AN691" s="307"/>
      <c r="AO691" s="307"/>
      <c r="AP691" s="307"/>
      <c r="AQ691" s="307"/>
      <c r="AR691" s="307"/>
      <c r="AS691" s="307"/>
      <c r="AT691" s="307"/>
      <c r="AU691" s="307"/>
    </row>
    <row r="692" ht="15.75" customHeight="1">
      <c r="A692" s="307"/>
      <c r="B692" s="307"/>
      <c r="C692" s="307"/>
      <c r="D692" s="307"/>
      <c r="E692" s="307"/>
      <c r="F692" s="307"/>
      <c r="G692" s="307"/>
      <c r="H692" s="307"/>
      <c r="I692" s="307"/>
      <c r="J692" s="307"/>
      <c r="K692" s="307"/>
      <c r="L692" s="307"/>
      <c r="M692" s="307"/>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c r="AK692" s="307"/>
      <c r="AL692" s="307"/>
      <c r="AM692" s="307"/>
      <c r="AN692" s="307"/>
      <c r="AO692" s="307"/>
      <c r="AP692" s="307"/>
      <c r="AQ692" s="307"/>
      <c r="AR692" s="307"/>
      <c r="AS692" s="307"/>
      <c r="AT692" s="307"/>
      <c r="AU692" s="307"/>
    </row>
    <row r="693" ht="15.75" customHeight="1">
      <c r="A693" s="307"/>
      <c r="B693" s="307"/>
      <c r="C693" s="307"/>
      <c r="D693" s="307"/>
      <c r="E693" s="307"/>
      <c r="F693" s="307"/>
      <c r="G693" s="307"/>
      <c r="H693" s="307"/>
      <c r="I693" s="307"/>
      <c r="J693" s="307"/>
      <c r="K693" s="307"/>
      <c r="L693" s="307"/>
      <c r="M693" s="307"/>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c r="AK693" s="307"/>
      <c r="AL693" s="307"/>
      <c r="AM693" s="307"/>
      <c r="AN693" s="307"/>
      <c r="AO693" s="307"/>
      <c r="AP693" s="307"/>
      <c r="AQ693" s="307"/>
      <c r="AR693" s="307"/>
      <c r="AS693" s="307"/>
      <c r="AT693" s="307"/>
      <c r="AU693" s="307"/>
    </row>
    <row r="694" ht="15.75" customHeight="1">
      <c r="A694" s="307"/>
      <c r="B694" s="307"/>
      <c r="C694" s="307"/>
      <c r="D694" s="307"/>
      <c r="E694" s="307"/>
      <c r="F694" s="307"/>
      <c r="G694" s="307"/>
      <c r="H694" s="307"/>
      <c r="I694" s="307"/>
      <c r="J694" s="307"/>
      <c r="K694" s="307"/>
      <c r="L694" s="307"/>
      <c r="M694" s="307"/>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c r="AK694" s="307"/>
      <c r="AL694" s="307"/>
      <c r="AM694" s="307"/>
      <c r="AN694" s="307"/>
      <c r="AO694" s="307"/>
      <c r="AP694" s="307"/>
      <c r="AQ694" s="307"/>
      <c r="AR694" s="307"/>
      <c r="AS694" s="307"/>
      <c r="AT694" s="307"/>
      <c r="AU694" s="307"/>
    </row>
    <row r="695" ht="15.75" customHeight="1">
      <c r="A695" s="307"/>
      <c r="B695" s="307"/>
      <c r="C695" s="307"/>
      <c r="D695" s="307"/>
      <c r="E695" s="307"/>
      <c r="F695" s="307"/>
      <c r="G695" s="307"/>
      <c r="H695" s="307"/>
      <c r="I695" s="307"/>
      <c r="J695" s="307"/>
      <c r="K695" s="307"/>
      <c r="L695" s="307"/>
      <c r="M695" s="307"/>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c r="AK695" s="307"/>
      <c r="AL695" s="307"/>
      <c r="AM695" s="307"/>
      <c r="AN695" s="307"/>
      <c r="AO695" s="307"/>
      <c r="AP695" s="307"/>
      <c r="AQ695" s="307"/>
      <c r="AR695" s="307"/>
      <c r="AS695" s="307"/>
      <c r="AT695" s="307"/>
      <c r="AU695" s="307"/>
    </row>
    <row r="696" ht="15.75" customHeight="1">
      <c r="A696" s="307"/>
      <c r="B696" s="307"/>
      <c r="C696" s="307"/>
      <c r="D696" s="307"/>
      <c r="E696" s="307"/>
      <c r="F696" s="307"/>
      <c r="G696" s="307"/>
      <c r="H696" s="307"/>
      <c r="I696" s="307"/>
      <c r="J696" s="307"/>
      <c r="K696" s="307"/>
      <c r="L696" s="307"/>
      <c r="M696" s="307"/>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c r="AK696" s="307"/>
      <c r="AL696" s="307"/>
      <c r="AM696" s="307"/>
      <c r="AN696" s="307"/>
      <c r="AO696" s="307"/>
      <c r="AP696" s="307"/>
      <c r="AQ696" s="307"/>
      <c r="AR696" s="307"/>
      <c r="AS696" s="307"/>
      <c r="AT696" s="307"/>
      <c r="AU696" s="307"/>
    </row>
    <row r="697" ht="15.75" customHeight="1">
      <c r="A697" s="307"/>
      <c r="B697" s="307"/>
      <c r="C697" s="307"/>
      <c r="D697" s="307"/>
      <c r="E697" s="307"/>
      <c r="F697" s="307"/>
      <c r="G697" s="307"/>
      <c r="H697" s="307"/>
      <c r="I697" s="307"/>
      <c r="J697" s="307"/>
      <c r="K697" s="307"/>
      <c r="L697" s="307"/>
      <c r="M697" s="307"/>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c r="AK697" s="307"/>
      <c r="AL697" s="307"/>
      <c r="AM697" s="307"/>
      <c r="AN697" s="307"/>
      <c r="AO697" s="307"/>
      <c r="AP697" s="307"/>
      <c r="AQ697" s="307"/>
      <c r="AR697" s="307"/>
      <c r="AS697" s="307"/>
      <c r="AT697" s="307"/>
      <c r="AU697" s="307"/>
    </row>
    <row r="698" ht="15.75" customHeight="1">
      <c r="A698" s="307"/>
      <c r="B698" s="307"/>
      <c r="C698" s="307"/>
      <c r="D698" s="307"/>
      <c r="E698" s="307"/>
      <c r="F698" s="307"/>
      <c r="G698" s="307"/>
      <c r="H698" s="307"/>
      <c r="I698" s="307"/>
      <c r="J698" s="307"/>
      <c r="K698" s="307"/>
      <c r="L698" s="307"/>
      <c r="M698" s="307"/>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c r="AK698" s="307"/>
      <c r="AL698" s="307"/>
      <c r="AM698" s="307"/>
      <c r="AN698" s="307"/>
      <c r="AO698" s="307"/>
      <c r="AP698" s="307"/>
      <c r="AQ698" s="307"/>
      <c r="AR698" s="307"/>
      <c r="AS698" s="307"/>
      <c r="AT698" s="307"/>
      <c r="AU698" s="307"/>
    </row>
    <row r="699" ht="15.75" customHeight="1">
      <c r="A699" s="307"/>
      <c r="B699" s="307"/>
      <c r="C699" s="307"/>
      <c r="D699" s="307"/>
      <c r="E699" s="307"/>
      <c r="F699" s="307"/>
      <c r="G699" s="307"/>
      <c r="H699" s="307"/>
      <c r="I699" s="307"/>
      <c r="J699" s="307"/>
      <c r="K699" s="307"/>
      <c r="L699" s="307"/>
      <c r="M699" s="307"/>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c r="AK699" s="307"/>
      <c r="AL699" s="307"/>
      <c r="AM699" s="307"/>
      <c r="AN699" s="307"/>
      <c r="AO699" s="307"/>
      <c r="AP699" s="307"/>
      <c r="AQ699" s="307"/>
      <c r="AR699" s="307"/>
      <c r="AS699" s="307"/>
      <c r="AT699" s="307"/>
      <c r="AU699" s="307"/>
    </row>
    <row r="700" ht="15.75" customHeight="1">
      <c r="A700" s="307"/>
      <c r="B700" s="307"/>
      <c r="C700" s="307"/>
      <c r="D700" s="307"/>
      <c r="E700" s="307"/>
      <c r="F700" s="307"/>
      <c r="G700" s="307"/>
      <c r="H700" s="307"/>
      <c r="I700" s="307"/>
      <c r="J700" s="307"/>
      <c r="K700" s="307"/>
      <c r="L700" s="307"/>
      <c r="M700" s="307"/>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c r="AK700" s="307"/>
      <c r="AL700" s="307"/>
      <c r="AM700" s="307"/>
      <c r="AN700" s="307"/>
      <c r="AO700" s="307"/>
      <c r="AP700" s="307"/>
      <c r="AQ700" s="307"/>
      <c r="AR700" s="307"/>
      <c r="AS700" s="307"/>
      <c r="AT700" s="307"/>
      <c r="AU700" s="307"/>
    </row>
    <row r="701" ht="15.75" customHeight="1">
      <c r="A701" s="307"/>
      <c r="B701" s="307"/>
      <c r="C701" s="307"/>
      <c r="D701" s="307"/>
      <c r="E701" s="307"/>
      <c r="F701" s="307"/>
      <c r="G701" s="307"/>
      <c r="H701" s="307"/>
      <c r="I701" s="307"/>
      <c r="J701" s="307"/>
      <c r="K701" s="307"/>
      <c r="L701" s="307"/>
      <c r="M701" s="307"/>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c r="AK701" s="307"/>
      <c r="AL701" s="307"/>
      <c r="AM701" s="307"/>
      <c r="AN701" s="307"/>
      <c r="AO701" s="307"/>
      <c r="AP701" s="307"/>
      <c r="AQ701" s="307"/>
      <c r="AR701" s="307"/>
      <c r="AS701" s="307"/>
      <c r="AT701" s="307"/>
      <c r="AU701" s="307"/>
    </row>
    <row r="702" ht="15.75" customHeight="1">
      <c r="A702" s="307"/>
      <c r="B702" s="307"/>
      <c r="C702" s="307"/>
      <c r="D702" s="307"/>
      <c r="E702" s="307"/>
      <c r="F702" s="307"/>
      <c r="G702" s="307"/>
      <c r="H702" s="307"/>
      <c r="I702" s="307"/>
      <c r="J702" s="307"/>
      <c r="K702" s="307"/>
      <c r="L702" s="307"/>
      <c r="M702" s="307"/>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c r="AK702" s="307"/>
      <c r="AL702" s="307"/>
      <c r="AM702" s="307"/>
      <c r="AN702" s="307"/>
      <c r="AO702" s="307"/>
      <c r="AP702" s="307"/>
      <c r="AQ702" s="307"/>
      <c r="AR702" s="307"/>
      <c r="AS702" s="307"/>
      <c r="AT702" s="307"/>
      <c r="AU702" s="307"/>
    </row>
    <row r="703" ht="15.75" customHeight="1">
      <c r="A703" s="307"/>
      <c r="B703" s="307"/>
      <c r="C703" s="307"/>
      <c r="D703" s="307"/>
      <c r="E703" s="307"/>
      <c r="F703" s="307"/>
      <c r="G703" s="307"/>
      <c r="H703" s="307"/>
      <c r="I703" s="307"/>
      <c r="J703" s="307"/>
      <c r="K703" s="307"/>
      <c r="L703" s="307"/>
      <c r="M703" s="307"/>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c r="AK703" s="307"/>
      <c r="AL703" s="307"/>
      <c r="AM703" s="307"/>
      <c r="AN703" s="307"/>
      <c r="AO703" s="307"/>
      <c r="AP703" s="307"/>
      <c r="AQ703" s="307"/>
      <c r="AR703" s="307"/>
      <c r="AS703" s="307"/>
      <c r="AT703" s="307"/>
      <c r="AU703" s="307"/>
    </row>
    <row r="704" ht="15.75" customHeight="1">
      <c r="A704" s="307"/>
      <c r="B704" s="307"/>
      <c r="C704" s="307"/>
      <c r="D704" s="307"/>
      <c r="E704" s="307"/>
      <c r="F704" s="307"/>
      <c r="G704" s="307"/>
      <c r="H704" s="307"/>
      <c r="I704" s="307"/>
      <c r="J704" s="307"/>
      <c r="K704" s="307"/>
      <c r="L704" s="307"/>
      <c r="M704" s="307"/>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c r="AK704" s="307"/>
      <c r="AL704" s="307"/>
      <c r="AM704" s="307"/>
      <c r="AN704" s="307"/>
      <c r="AO704" s="307"/>
      <c r="AP704" s="307"/>
      <c r="AQ704" s="307"/>
      <c r="AR704" s="307"/>
      <c r="AS704" s="307"/>
      <c r="AT704" s="307"/>
      <c r="AU704" s="307"/>
    </row>
    <row r="705" ht="15.75" customHeight="1">
      <c r="A705" s="307"/>
      <c r="B705" s="307"/>
      <c r="C705" s="307"/>
      <c r="D705" s="307"/>
      <c r="E705" s="307"/>
      <c r="F705" s="307"/>
      <c r="G705" s="307"/>
      <c r="H705" s="307"/>
      <c r="I705" s="307"/>
      <c r="J705" s="307"/>
      <c r="K705" s="307"/>
      <c r="L705" s="307"/>
      <c r="M705" s="307"/>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c r="AK705" s="307"/>
      <c r="AL705" s="307"/>
      <c r="AM705" s="307"/>
      <c r="AN705" s="307"/>
      <c r="AO705" s="307"/>
      <c r="AP705" s="307"/>
      <c r="AQ705" s="307"/>
      <c r="AR705" s="307"/>
      <c r="AS705" s="307"/>
      <c r="AT705" s="307"/>
      <c r="AU705" s="307"/>
    </row>
    <row r="706" ht="15.75" customHeight="1">
      <c r="A706" s="307"/>
      <c r="B706" s="307"/>
      <c r="C706" s="307"/>
      <c r="D706" s="307"/>
      <c r="E706" s="307"/>
      <c r="F706" s="307"/>
      <c r="G706" s="307"/>
      <c r="H706" s="307"/>
      <c r="I706" s="307"/>
      <c r="J706" s="307"/>
      <c r="K706" s="307"/>
      <c r="L706" s="307"/>
      <c r="M706" s="307"/>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c r="AK706" s="307"/>
      <c r="AL706" s="307"/>
      <c r="AM706" s="307"/>
      <c r="AN706" s="307"/>
      <c r="AO706" s="307"/>
      <c r="AP706" s="307"/>
      <c r="AQ706" s="307"/>
      <c r="AR706" s="307"/>
      <c r="AS706" s="307"/>
      <c r="AT706" s="307"/>
      <c r="AU706" s="307"/>
    </row>
    <row r="707" ht="15.75" customHeight="1">
      <c r="A707" s="307"/>
      <c r="B707" s="307"/>
      <c r="C707" s="307"/>
      <c r="D707" s="307"/>
      <c r="E707" s="307"/>
      <c r="F707" s="307"/>
      <c r="G707" s="307"/>
      <c r="H707" s="307"/>
      <c r="I707" s="307"/>
      <c r="J707" s="307"/>
      <c r="K707" s="307"/>
      <c r="L707" s="307"/>
      <c r="M707" s="307"/>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c r="AK707" s="307"/>
      <c r="AL707" s="307"/>
      <c r="AM707" s="307"/>
      <c r="AN707" s="307"/>
      <c r="AO707" s="307"/>
      <c r="AP707" s="307"/>
      <c r="AQ707" s="307"/>
      <c r="AR707" s="307"/>
      <c r="AS707" s="307"/>
      <c r="AT707" s="307"/>
      <c r="AU707" s="307"/>
    </row>
    <row r="708" ht="15.75" customHeight="1">
      <c r="A708" s="307"/>
      <c r="B708" s="307"/>
      <c r="C708" s="307"/>
      <c r="D708" s="307"/>
      <c r="E708" s="307"/>
      <c r="F708" s="307"/>
      <c r="G708" s="307"/>
      <c r="H708" s="307"/>
      <c r="I708" s="307"/>
      <c r="J708" s="307"/>
      <c r="K708" s="307"/>
      <c r="L708" s="307"/>
      <c r="M708" s="307"/>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c r="AK708" s="307"/>
      <c r="AL708" s="307"/>
      <c r="AM708" s="307"/>
      <c r="AN708" s="307"/>
      <c r="AO708" s="307"/>
      <c r="AP708" s="307"/>
      <c r="AQ708" s="307"/>
      <c r="AR708" s="307"/>
      <c r="AS708" s="307"/>
      <c r="AT708" s="307"/>
      <c r="AU708" s="307"/>
    </row>
    <row r="709" ht="15.75" customHeight="1">
      <c r="A709" s="307"/>
      <c r="B709" s="307"/>
      <c r="C709" s="307"/>
      <c r="D709" s="307"/>
      <c r="E709" s="307"/>
      <c r="F709" s="307"/>
      <c r="G709" s="307"/>
      <c r="H709" s="307"/>
      <c r="I709" s="307"/>
      <c r="J709" s="307"/>
      <c r="K709" s="307"/>
      <c r="L709" s="307"/>
      <c r="M709" s="307"/>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c r="AK709" s="307"/>
      <c r="AL709" s="307"/>
      <c r="AM709" s="307"/>
      <c r="AN709" s="307"/>
      <c r="AO709" s="307"/>
      <c r="AP709" s="307"/>
      <c r="AQ709" s="307"/>
      <c r="AR709" s="307"/>
      <c r="AS709" s="307"/>
      <c r="AT709" s="307"/>
      <c r="AU709" s="307"/>
    </row>
    <row r="710" ht="15.75" customHeight="1">
      <c r="A710" s="307"/>
      <c r="B710" s="307"/>
      <c r="C710" s="307"/>
      <c r="D710" s="307"/>
      <c r="E710" s="307"/>
      <c r="F710" s="307"/>
      <c r="G710" s="307"/>
      <c r="H710" s="307"/>
      <c r="I710" s="307"/>
      <c r="J710" s="307"/>
      <c r="K710" s="307"/>
      <c r="L710" s="307"/>
      <c r="M710" s="307"/>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c r="AK710" s="307"/>
      <c r="AL710" s="307"/>
      <c r="AM710" s="307"/>
      <c r="AN710" s="307"/>
      <c r="AO710" s="307"/>
      <c r="AP710" s="307"/>
      <c r="AQ710" s="307"/>
      <c r="AR710" s="307"/>
      <c r="AS710" s="307"/>
      <c r="AT710" s="307"/>
      <c r="AU710" s="307"/>
    </row>
    <row r="711" ht="15.75" customHeight="1">
      <c r="A711" s="307"/>
      <c r="B711" s="307"/>
      <c r="C711" s="307"/>
      <c r="D711" s="307"/>
      <c r="E711" s="307"/>
      <c r="F711" s="307"/>
      <c r="G711" s="307"/>
      <c r="H711" s="307"/>
      <c r="I711" s="307"/>
      <c r="J711" s="307"/>
      <c r="K711" s="307"/>
      <c r="L711" s="307"/>
      <c r="M711" s="307"/>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c r="AK711" s="307"/>
      <c r="AL711" s="307"/>
      <c r="AM711" s="307"/>
      <c r="AN711" s="307"/>
      <c r="AO711" s="307"/>
      <c r="AP711" s="307"/>
      <c r="AQ711" s="307"/>
      <c r="AR711" s="307"/>
      <c r="AS711" s="307"/>
      <c r="AT711" s="307"/>
      <c r="AU711" s="307"/>
    </row>
    <row r="712" ht="15.75" customHeight="1">
      <c r="A712" s="307"/>
      <c r="B712" s="307"/>
      <c r="C712" s="307"/>
      <c r="D712" s="307"/>
      <c r="E712" s="307"/>
      <c r="F712" s="307"/>
      <c r="G712" s="307"/>
      <c r="H712" s="307"/>
      <c r="I712" s="307"/>
      <c r="J712" s="307"/>
      <c r="K712" s="307"/>
      <c r="L712" s="307"/>
      <c r="M712" s="307"/>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c r="AK712" s="307"/>
      <c r="AL712" s="307"/>
      <c r="AM712" s="307"/>
      <c r="AN712" s="307"/>
      <c r="AO712" s="307"/>
      <c r="AP712" s="307"/>
      <c r="AQ712" s="307"/>
      <c r="AR712" s="307"/>
      <c r="AS712" s="307"/>
      <c r="AT712" s="307"/>
      <c r="AU712" s="307"/>
    </row>
    <row r="713" ht="15.75" customHeight="1">
      <c r="A713" s="307"/>
      <c r="B713" s="307"/>
      <c r="C713" s="307"/>
      <c r="D713" s="307"/>
      <c r="E713" s="307"/>
      <c r="F713" s="307"/>
      <c r="G713" s="307"/>
      <c r="H713" s="307"/>
      <c r="I713" s="307"/>
      <c r="J713" s="307"/>
      <c r="K713" s="307"/>
      <c r="L713" s="307"/>
      <c r="M713" s="307"/>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c r="AK713" s="307"/>
      <c r="AL713" s="307"/>
      <c r="AM713" s="307"/>
      <c r="AN713" s="307"/>
      <c r="AO713" s="307"/>
      <c r="AP713" s="307"/>
      <c r="AQ713" s="307"/>
      <c r="AR713" s="307"/>
      <c r="AS713" s="307"/>
      <c r="AT713" s="307"/>
      <c r="AU713" s="307"/>
    </row>
    <row r="714" ht="15.75" customHeight="1">
      <c r="A714" s="307"/>
      <c r="B714" s="307"/>
      <c r="C714" s="307"/>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c r="AK714" s="307"/>
      <c r="AL714" s="307"/>
      <c r="AM714" s="307"/>
      <c r="AN714" s="307"/>
      <c r="AO714" s="307"/>
      <c r="AP714" s="307"/>
      <c r="AQ714" s="307"/>
      <c r="AR714" s="307"/>
      <c r="AS714" s="307"/>
      <c r="AT714" s="307"/>
      <c r="AU714" s="307"/>
    </row>
    <row r="715" ht="15.75" customHeight="1">
      <c r="A715" s="307"/>
      <c r="B715" s="307"/>
      <c r="C715" s="307"/>
      <c r="D715" s="307"/>
      <c r="E715" s="307"/>
      <c r="F715" s="307"/>
      <c r="G715" s="307"/>
      <c r="H715" s="307"/>
      <c r="I715" s="307"/>
      <c r="J715" s="307"/>
      <c r="K715" s="307"/>
      <c r="L715" s="307"/>
      <c r="M715" s="307"/>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c r="AK715" s="307"/>
      <c r="AL715" s="307"/>
      <c r="AM715" s="307"/>
      <c r="AN715" s="307"/>
      <c r="AO715" s="307"/>
      <c r="AP715" s="307"/>
      <c r="AQ715" s="307"/>
      <c r="AR715" s="307"/>
      <c r="AS715" s="307"/>
      <c r="AT715" s="307"/>
      <c r="AU715" s="307"/>
    </row>
    <row r="716" ht="15.75" customHeight="1">
      <c r="A716" s="307"/>
      <c r="B716" s="307"/>
      <c r="C716" s="307"/>
      <c r="D716" s="307"/>
      <c r="E716" s="307"/>
      <c r="F716" s="307"/>
      <c r="G716" s="307"/>
      <c r="H716" s="307"/>
      <c r="I716" s="307"/>
      <c r="J716" s="307"/>
      <c r="K716" s="307"/>
      <c r="L716" s="307"/>
      <c r="M716" s="307"/>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c r="AK716" s="307"/>
      <c r="AL716" s="307"/>
      <c r="AM716" s="307"/>
      <c r="AN716" s="307"/>
      <c r="AO716" s="307"/>
      <c r="AP716" s="307"/>
      <c r="AQ716" s="307"/>
      <c r="AR716" s="307"/>
      <c r="AS716" s="307"/>
      <c r="AT716" s="307"/>
      <c r="AU716" s="307"/>
    </row>
    <row r="717" ht="15.75" customHeight="1">
      <c r="A717" s="307"/>
      <c r="B717" s="307"/>
      <c r="C717" s="307"/>
      <c r="D717" s="307"/>
      <c r="E717" s="307"/>
      <c r="F717" s="307"/>
      <c r="G717" s="307"/>
      <c r="H717" s="307"/>
      <c r="I717" s="307"/>
      <c r="J717" s="307"/>
      <c r="K717" s="307"/>
      <c r="L717" s="307"/>
      <c r="M717" s="307"/>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c r="AK717" s="307"/>
      <c r="AL717" s="307"/>
      <c r="AM717" s="307"/>
      <c r="AN717" s="307"/>
      <c r="AO717" s="307"/>
      <c r="AP717" s="307"/>
      <c r="AQ717" s="307"/>
      <c r="AR717" s="307"/>
      <c r="AS717" s="307"/>
      <c r="AT717" s="307"/>
      <c r="AU717" s="307"/>
    </row>
    <row r="718" ht="15.75" customHeight="1">
      <c r="A718" s="307"/>
      <c r="B718" s="307"/>
      <c r="C718" s="307"/>
      <c r="D718" s="307"/>
      <c r="E718" s="307"/>
      <c r="F718" s="307"/>
      <c r="G718" s="307"/>
      <c r="H718" s="307"/>
      <c r="I718" s="307"/>
      <c r="J718" s="307"/>
      <c r="K718" s="307"/>
      <c r="L718" s="307"/>
      <c r="M718" s="307"/>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c r="AK718" s="307"/>
      <c r="AL718" s="307"/>
      <c r="AM718" s="307"/>
      <c r="AN718" s="307"/>
      <c r="AO718" s="307"/>
      <c r="AP718" s="307"/>
      <c r="AQ718" s="307"/>
      <c r="AR718" s="307"/>
      <c r="AS718" s="307"/>
      <c r="AT718" s="307"/>
      <c r="AU718" s="307"/>
    </row>
    <row r="719" ht="15.75" customHeight="1">
      <c r="A719" s="307"/>
      <c r="B719" s="307"/>
      <c r="C719" s="307"/>
      <c r="D719" s="307"/>
      <c r="E719" s="307"/>
      <c r="F719" s="307"/>
      <c r="G719" s="307"/>
      <c r="H719" s="307"/>
      <c r="I719" s="307"/>
      <c r="J719" s="307"/>
      <c r="K719" s="307"/>
      <c r="L719" s="307"/>
      <c r="M719" s="307"/>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c r="AK719" s="307"/>
      <c r="AL719" s="307"/>
      <c r="AM719" s="307"/>
      <c r="AN719" s="307"/>
      <c r="AO719" s="307"/>
      <c r="AP719" s="307"/>
      <c r="AQ719" s="307"/>
      <c r="AR719" s="307"/>
      <c r="AS719" s="307"/>
      <c r="AT719" s="307"/>
      <c r="AU719" s="307"/>
    </row>
    <row r="720" ht="15.75" customHeight="1">
      <c r="A720" s="307"/>
      <c r="B720" s="307"/>
      <c r="C720" s="307"/>
      <c r="D720" s="307"/>
      <c r="E720" s="307"/>
      <c r="F720" s="307"/>
      <c r="G720" s="307"/>
      <c r="H720" s="307"/>
      <c r="I720" s="307"/>
      <c r="J720" s="307"/>
      <c r="K720" s="307"/>
      <c r="L720" s="307"/>
      <c r="M720" s="307"/>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c r="AK720" s="307"/>
      <c r="AL720" s="307"/>
      <c r="AM720" s="307"/>
      <c r="AN720" s="307"/>
      <c r="AO720" s="307"/>
      <c r="AP720" s="307"/>
      <c r="AQ720" s="307"/>
      <c r="AR720" s="307"/>
      <c r="AS720" s="307"/>
      <c r="AT720" s="307"/>
      <c r="AU720" s="307"/>
    </row>
    <row r="721" ht="15.75" customHeight="1">
      <c r="A721" s="307"/>
      <c r="B721" s="307"/>
      <c r="C721" s="307"/>
      <c r="D721" s="307"/>
      <c r="E721" s="307"/>
      <c r="F721" s="307"/>
      <c r="G721" s="307"/>
      <c r="H721" s="307"/>
      <c r="I721" s="307"/>
      <c r="J721" s="307"/>
      <c r="K721" s="307"/>
      <c r="L721" s="307"/>
      <c r="M721" s="307"/>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c r="AK721" s="307"/>
      <c r="AL721" s="307"/>
      <c r="AM721" s="307"/>
      <c r="AN721" s="307"/>
      <c r="AO721" s="307"/>
      <c r="AP721" s="307"/>
      <c r="AQ721" s="307"/>
      <c r="AR721" s="307"/>
      <c r="AS721" s="307"/>
      <c r="AT721" s="307"/>
      <c r="AU721" s="307"/>
    </row>
    <row r="722" ht="15.75" customHeight="1">
      <c r="A722" s="307"/>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c r="AK722" s="307"/>
      <c r="AL722" s="307"/>
      <c r="AM722" s="307"/>
      <c r="AN722" s="307"/>
      <c r="AO722" s="307"/>
      <c r="AP722" s="307"/>
      <c r="AQ722" s="307"/>
      <c r="AR722" s="307"/>
      <c r="AS722" s="307"/>
      <c r="AT722" s="307"/>
      <c r="AU722" s="307"/>
    </row>
    <row r="723" ht="15.75" customHeight="1">
      <c r="A723" s="307"/>
      <c r="B723" s="307"/>
      <c r="C723" s="307"/>
      <c r="D723" s="307"/>
      <c r="E723" s="307"/>
      <c r="F723" s="307"/>
      <c r="G723" s="307"/>
      <c r="H723" s="307"/>
      <c r="I723" s="307"/>
      <c r="J723" s="307"/>
      <c r="K723" s="307"/>
      <c r="L723" s="307"/>
      <c r="M723" s="307"/>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c r="AK723" s="307"/>
      <c r="AL723" s="307"/>
      <c r="AM723" s="307"/>
      <c r="AN723" s="307"/>
      <c r="AO723" s="307"/>
      <c r="AP723" s="307"/>
      <c r="AQ723" s="307"/>
      <c r="AR723" s="307"/>
      <c r="AS723" s="307"/>
      <c r="AT723" s="307"/>
      <c r="AU723" s="307"/>
    </row>
    <row r="724" ht="15.75" customHeight="1">
      <c r="A724" s="307"/>
      <c r="B724" s="307"/>
      <c r="C724" s="307"/>
      <c r="D724" s="307"/>
      <c r="E724" s="307"/>
      <c r="F724" s="307"/>
      <c r="G724" s="307"/>
      <c r="H724" s="307"/>
      <c r="I724" s="307"/>
      <c r="J724" s="307"/>
      <c r="K724" s="307"/>
      <c r="L724" s="307"/>
      <c r="M724" s="307"/>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c r="AK724" s="307"/>
      <c r="AL724" s="307"/>
      <c r="AM724" s="307"/>
      <c r="AN724" s="307"/>
      <c r="AO724" s="307"/>
      <c r="AP724" s="307"/>
      <c r="AQ724" s="307"/>
      <c r="AR724" s="307"/>
      <c r="AS724" s="307"/>
      <c r="AT724" s="307"/>
      <c r="AU724" s="307"/>
    </row>
    <row r="725" ht="15.75" customHeight="1">
      <c r="A725" s="307"/>
      <c r="B725" s="307"/>
      <c r="C725" s="307"/>
      <c r="D725" s="307"/>
      <c r="E725" s="307"/>
      <c r="F725" s="307"/>
      <c r="G725" s="307"/>
      <c r="H725" s="307"/>
      <c r="I725" s="307"/>
      <c r="J725" s="307"/>
      <c r="K725" s="307"/>
      <c r="L725" s="307"/>
      <c r="M725" s="307"/>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c r="AK725" s="307"/>
      <c r="AL725" s="307"/>
      <c r="AM725" s="307"/>
      <c r="AN725" s="307"/>
      <c r="AO725" s="307"/>
      <c r="AP725" s="307"/>
      <c r="AQ725" s="307"/>
      <c r="AR725" s="307"/>
      <c r="AS725" s="307"/>
      <c r="AT725" s="307"/>
      <c r="AU725" s="307"/>
    </row>
    <row r="726" ht="15.75" customHeight="1">
      <c r="A726" s="307"/>
      <c r="B726" s="307"/>
      <c r="C726" s="307"/>
      <c r="D726" s="307"/>
      <c r="E726" s="307"/>
      <c r="F726" s="307"/>
      <c r="G726" s="307"/>
      <c r="H726" s="307"/>
      <c r="I726" s="307"/>
      <c r="J726" s="307"/>
      <c r="K726" s="307"/>
      <c r="L726" s="307"/>
      <c r="M726" s="307"/>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c r="AK726" s="307"/>
      <c r="AL726" s="307"/>
      <c r="AM726" s="307"/>
      <c r="AN726" s="307"/>
      <c r="AO726" s="307"/>
      <c r="AP726" s="307"/>
      <c r="AQ726" s="307"/>
      <c r="AR726" s="307"/>
      <c r="AS726" s="307"/>
      <c r="AT726" s="307"/>
      <c r="AU726" s="307"/>
    </row>
    <row r="727" ht="15.75" customHeight="1">
      <c r="A727" s="307"/>
      <c r="B727" s="307"/>
      <c r="C727" s="307"/>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c r="AK727" s="307"/>
      <c r="AL727" s="307"/>
      <c r="AM727" s="307"/>
      <c r="AN727" s="307"/>
      <c r="AO727" s="307"/>
      <c r="AP727" s="307"/>
      <c r="AQ727" s="307"/>
      <c r="AR727" s="307"/>
      <c r="AS727" s="307"/>
      <c r="AT727" s="307"/>
      <c r="AU727" s="307"/>
    </row>
    <row r="728" ht="15.75" customHeight="1">
      <c r="A728" s="307"/>
      <c r="B728" s="307"/>
      <c r="C728" s="307"/>
      <c r="D728" s="307"/>
      <c r="E728" s="307"/>
      <c r="F728" s="307"/>
      <c r="G728" s="307"/>
      <c r="H728" s="307"/>
      <c r="I728" s="307"/>
      <c r="J728" s="307"/>
      <c r="K728" s="307"/>
      <c r="L728" s="307"/>
      <c r="M728" s="307"/>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c r="AK728" s="307"/>
      <c r="AL728" s="307"/>
      <c r="AM728" s="307"/>
      <c r="AN728" s="307"/>
      <c r="AO728" s="307"/>
      <c r="AP728" s="307"/>
      <c r="AQ728" s="307"/>
      <c r="AR728" s="307"/>
      <c r="AS728" s="307"/>
      <c r="AT728" s="307"/>
      <c r="AU728" s="307"/>
    </row>
    <row r="729" ht="15.75" customHeight="1">
      <c r="A729" s="307"/>
      <c r="B729" s="307"/>
      <c r="C729" s="307"/>
      <c r="D729" s="307"/>
      <c r="E729" s="307"/>
      <c r="F729" s="307"/>
      <c r="G729" s="307"/>
      <c r="H729" s="307"/>
      <c r="I729" s="307"/>
      <c r="J729" s="307"/>
      <c r="K729" s="307"/>
      <c r="L729" s="307"/>
      <c r="M729" s="307"/>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c r="AK729" s="307"/>
      <c r="AL729" s="307"/>
      <c r="AM729" s="307"/>
      <c r="AN729" s="307"/>
      <c r="AO729" s="307"/>
      <c r="AP729" s="307"/>
      <c r="AQ729" s="307"/>
      <c r="AR729" s="307"/>
      <c r="AS729" s="307"/>
      <c r="AT729" s="307"/>
      <c r="AU729" s="307"/>
    </row>
    <row r="730" ht="15.75" customHeight="1">
      <c r="A730" s="307"/>
      <c r="B730" s="307"/>
      <c r="C730" s="307"/>
      <c r="D730" s="307"/>
      <c r="E730" s="307"/>
      <c r="F730" s="307"/>
      <c r="G730" s="307"/>
      <c r="H730" s="307"/>
      <c r="I730" s="307"/>
      <c r="J730" s="307"/>
      <c r="K730" s="307"/>
      <c r="L730" s="307"/>
      <c r="M730" s="307"/>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c r="AK730" s="307"/>
      <c r="AL730" s="307"/>
      <c r="AM730" s="307"/>
      <c r="AN730" s="307"/>
      <c r="AO730" s="307"/>
      <c r="AP730" s="307"/>
      <c r="AQ730" s="307"/>
      <c r="AR730" s="307"/>
      <c r="AS730" s="307"/>
      <c r="AT730" s="307"/>
      <c r="AU730" s="307"/>
    </row>
    <row r="731" ht="15.75" customHeight="1">
      <c r="A731" s="307"/>
      <c r="B731" s="307"/>
      <c r="C731" s="307"/>
      <c r="D731" s="307"/>
      <c r="E731" s="307"/>
      <c r="F731" s="307"/>
      <c r="G731" s="307"/>
      <c r="H731" s="307"/>
      <c r="I731" s="307"/>
      <c r="J731" s="307"/>
      <c r="K731" s="307"/>
      <c r="L731" s="307"/>
      <c r="M731" s="307"/>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c r="AK731" s="307"/>
      <c r="AL731" s="307"/>
      <c r="AM731" s="307"/>
      <c r="AN731" s="307"/>
      <c r="AO731" s="307"/>
      <c r="AP731" s="307"/>
      <c r="AQ731" s="307"/>
      <c r="AR731" s="307"/>
      <c r="AS731" s="307"/>
      <c r="AT731" s="307"/>
      <c r="AU731" s="307"/>
    </row>
    <row r="732" ht="15.75" customHeight="1">
      <c r="A732" s="307"/>
      <c r="B732" s="307"/>
      <c r="C732" s="307"/>
      <c r="D732" s="307"/>
      <c r="E732" s="307"/>
      <c r="F732" s="307"/>
      <c r="G732" s="307"/>
      <c r="H732" s="307"/>
      <c r="I732" s="307"/>
      <c r="J732" s="307"/>
      <c r="K732" s="307"/>
      <c r="L732" s="307"/>
      <c r="M732" s="307"/>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c r="AK732" s="307"/>
      <c r="AL732" s="307"/>
      <c r="AM732" s="307"/>
      <c r="AN732" s="307"/>
      <c r="AO732" s="307"/>
      <c r="AP732" s="307"/>
      <c r="AQ732" s="307"/>
      <c r="AR732" s="307"/>
      <c r="AS732" s="307"/>
      <c r="AT732" s="307"/>
      <c r="AU732" s="307"/>
    </row>
    <row r="733" ht="15.75" customHeight="1">
      <c r="A733" s="307"/>
      <c r="B733" s="307"/>
      <c r="C733" s="307"/>
      <c r="D733" s="307"/>
      <c r="E733" s="307"/>
      <c r="F733" s="307"/>
      <c r="G733" s="307"/>
      <c r="H733" s="307"/>
      <c r="I733" s="307"/>
      <c r="J733" s="307"/>
      <c r="K733" s="307"/>
      <c r="L733" s="307"/>
      <c r="M733" s="307"/>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c r="AK733" s="307"/>
      <c r="AL733" s="307"/>
      <c r="AM733" s="307"/>
      <c r="AN733" s="307"/>
      <c r="AO733" s="307"/>
      <c r="AP733" s="307"/>
      <c r="AQ733" s="307"/>
      <c r="AR733" s="307"/>
      <c r="AS733" s="307"/>
      <c r="AT733" s="307"/>
      <c r="AU733" s="307"/>
    </row>
    <row r="734" ht="15.75" customHeight="1">
      <c r="A734" s="307"/>
      <c r="B734" s="307"/>
      <c r="C734" s="307"/>
      <c r="D734" s="307"/>
      <c r="E734" s="307"/>
      <c r="F734" s="307"/>
      <c r="G734" s="307"/>
      <c r="H734" s="307"/>
      <c r="I734" s="307"/>
      <c r="J734" s="307"/>
      <c r="K734" s="307"/>
      <c r="L734" s="307"/>
      <c r="M734" s="307"/>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c r="AK734" s="307"/>
      <c r="AL734" s="307"/>
      <c r="AM734" s="307"/>
      <c r="AN734" s="307"/>
      <c r="AO734" s="307"/>
      <c r="AP734" s="307"/>
      <c r="AQ734" s="307"/>
      <c r="AR734" s="307"/>
      <c r="AS734" s="307"/>
      <c r="AT734" s="307"/>
      <c r="AU734" s="307"/>
    </row>
    <row r="735" ht="15.75" customHeight="1">
      <c r="A735" s="307"/>
      <c r="B735" s="307"/>
      <c r="C735" s="307"/>
      <c r="D735" s="307"/>
      <c r="E735" s="307"/>
      <c r="F735" s="307"/>
      <c r="G735" s="307"/>
      <c r="H735" s="307"/>
      <c r="I735" s="307"/>
      <c r="J735" s="307"/>
      <c r="K735" s="307"/>
      <c r="L735" s="307"/>
      <c r="M735" s="307"/>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c r="AK735" s="307"/>
      <c r="AL735" s="307"/>
      <c r="AM735" s="307"/>
      <c r="AN735" s="307"/>
      <c r="AO735" s="307"/>
      <c r="AP735" s="307"/>
      <c r="AQ735" s="307"/>
      <c r="AR735" s="307"/>
      <c r="AS735" s="307"/>
      <c r="AT735" s="307"/>
      <c r="AU735" s="307"/>
    </row>
    <row r="736" ht="15.75" customHeight="1">
      <c r="A736" s="307"/>
      <c r="B736" s="307"/>
      <c r="C736" s="307"/>
      <c r="D736" s="307"/>
      <c r="E736" s="307"/>
      <c r="F736" s="307"/>
      <c r="G736" s="307"/>
      <c r="H736" s="307"/>
      <c r="I736" s="307"/>
      <c r="J736" s="307"/>
      <c r="K736" s="307"/>
      <c r="L736" s="307"/>
      <c r="M736" s="307"/>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c r="AK736" s="307"/>
      <c r="AL736" s="307"/>
      <c r="AM736" s="307"/>
      <c r="AN736" s="307"/>
      <c r="AO736" s="307"/>
      <c r="AP736" s="307"/>
      <c r="AQ736" s="307"/>
      <c r="AR736" s="307"/>
      <c r="AS736" s="307"/>
      <c r="AT736" s="307"/>
      <c r="AU736" s="307"/>
    </row>
    <row r="737" ht="15.75" customHeight="1">
      <c r="A737" s="307"/>
      <c r="B737" s="307"/>
      <c r="C737" s="307"/>
      <c r="D737" s="307"/>
      <c r="E737" s="307"/>
      <c r="F737" s="307"/>
      <c r="G737" s="307"/>
      <c r="H737" s="307"/>
      <c r="I737" s="307"/>
      <c r="J737" s="307"/>
      <c r="K737" s="307"/>
      <c r="L737" s="307"/>
      <c r="M737" s="307"/>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c r="AK737" s="307"/>
      <c r="AL737" s="307"/>
      <c r="AM737" s="307"/>
      <c r="AN737" s="307"/>
      <c r="AO737" s="307"/>
      <c r="AP737" s="307"/>
      <c r="AQ737" s="307"/>
      <c r="AR737" s="307"/>
      <c r="AS737" s="307"/>
      <c r="AT737" s="307"/>
      <c r="AU737" s="307"/>
    </row>
    <row r="738" ht="15.75" customHeight="1">
      <c r="A738" s="307"/>
      <c r="B738" s="307"/>
      <c r="C738" s="307"/>
      <c r="D738" s="307"/>
      <c r="E738" s="307"/>
      <c r="F738" s="307"/>
      <c r="G738" s="307"/>
      <c r="H738" s="307"/>
      <c r="I738" s="307"/>
      <c r="J738" s="307"/>
      <c r="K738" s="307"/>
      <c r="L738" s="307"/>
      <c r="M738" s="307"/>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c r="AK738" s="307"/>
      <c r="AL738" s="307"/>
      <c r="AM738" s="307"/>
      <c r="AN738" s="307"/>
      <c r="AO738" s="307"/>
      <c r="AP738" s="307"/>
      <c r="AQ738" s="307"/>
      <c r="AR738" s="307"/>
      <c r="AS738" s="307"/>
      <c r="AT738" s="307"/>
      <c r="AU738" s="307"/>
    </row>
    <row r="739" ht="15.75" customHeight="1">
      <c r="A739" s="307"/>
      <c r="B739" s="307"/>
      <c r="C739" s="307"/>
      <c r="D739" s="307"/>
      <c r="E739" s="307"/>
      <c r="F739" s="307"/>
      <c r="G739" s="307"/>
      <c r="H739" s="307"/>
      <c r="I739" s="307"/>
      <c r="J739" s="307"/>
      <c r="K739" s="307"/>
      <c r="L739" s="307"/>
      <c r="M739" s="307"/>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c r="AK739" s="307"/>
      <c r="AL739" s="307"/>
      <c r="AM739" s="307"/>
      <c r="AN739" s="307"/>
      <c r="AO739" s="307"/>
      <c r="AP739" s="307"/>
      <c r="AQ739" s="307"/>
      <c r="AR739" s="307"/>
      <c r="AS739" s="307"/>
      <c r="AT739" s="307"/>
      <c r="AU739" s="307"/>
    </row>
    <row r="740" ht="15.75" customHeight="1">
      <c r="A740" s="307"/>
      <c r="B740" s="307"/>
      <c r="C740" s="307"/>
      <c r="D740" s="307"/>
      <c r="E740" s="307"/>
      <c r="F740" s="307"/>
      <c r="G740" s="307"/>
      <c r="H740" s="307"/>
      <c r="I740" s="307"/>
      <c r="J740" s="307"/>
      <c r="K740" s="307"/>
      <c r="L740" s="307"/>
      <c r="M740" s="307"/>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c r="AK740" s="307"/>
      <c r="AL740" s="307"/>
      <c r="AM740" s="307"/>
      <c r="AN740" s="307"/>
      <c r="AO740" s="307"/>
      <c r="AP740" s="307"/>
      <c r="AQ740" s="307"/>
      <c r="AR740" s="307"/>
      <c r="AS740" s="307"/>
      <c r="AT740" s="307"/>
      <c r="AU740" s="307"/>
    </row>
    <row r="741" ht="15.75" customHeight="1">
      <c r="A741" s="307"/>
      <c r="B741" s="307"/>
      <c r="C741" s="307"/>
      <c r="D741" s="307"/>
      <c r="E741" s="307"/>
      <c r="F741" s="307"/>
      <c r="G741" s="307"/>
      <c r="H741" s="307"/>
      <c r="I741" s="307"/>
      <c r="J741" s="307"/>
      <c r="K741" s="307"/>
      <c r="L741" s="307"/>
      <c r="M741" s="307"/>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c r="AK741" s="307"/>
      <c r="AL741" s="307"/>
      <c r="AM741" s="307"/>
      <c r="AN741" s="307"/>
      <c r="AO741" s="307"/>
      <c r="AP741" s="307"/>
      <c r="AQ741" s="307"/>
      <c r="AR741" s="307"/>
      <c r="AS741" s="307"/>
      <c r="AT741" s="307"/>
      <c r="AU741" s="307"/>
    </row>
    <row r="742" ht="15.75" customHeight="1">
      <c r="A742" s="307"/>
      <c r="B742" s="307"/>
      <c r="C742" s="307"/>
      <c r="D742" s="307"/>
      <c r="E742" s="307"/>
      <c r="F742" s="307"/>
      <c r="G742" s="307"/>
      <c r="H742" s="307"/>
      <c r="I742" s="307"/>
      <c r="J742" s="307"/>
      <c r="K742" s="307"/>
      <c r="L742" s="307"/>
      <c r="M742" s="307"/>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c r="AK742" s="307"/>
      <c r="AL742" s="307"/>
      <c r="AM742" s="307"/>
      <c r="AN742" s="307"/>
      <c r="AO742" s="307"/>
      <c r="AP742" s="307"/>
      <c r="AQ742" s="307"/>
      <c r="AR742" s="307"/>
      <c r="AS742" s="307"/>
      <c r="AT742" s="307"/>
      <c r="AU742" s="307"/>
    </row>
    <row r="743" ht="15.75" customHeight="1">
      <c r="A743" s="307"/>
      <c r="B743" s="307"/>
      <c r="C743" s="307"/>
      <c r="D743" s="307"/>
      <c r="E743" s="307"/>
      <c r="F743" s="307"/>
      <c r="G743" s="307"/>
      <c r="H743" s="307"/>
      <c r="I743" s="307"/>
      <c r="J743" s="307"/>
      <c r="K743" s="307"/>
      <c r="L743" s="307"/>
      <c r="M743" s="307"/>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c r="AK743" s="307"/>
      <c r="AL743" s="307"/>
      <c r="AM743" s="307"/>
      <c r="AN743" s="307"/>
      <c r="AO743" s="307"/>
      <c r="AP743" s="307"/>
      <c r="AQ743" s="307"/>
      <c r="AR743" s="307"/>
      <c r="AS743" s="307"/>
      <c r="AT743" s="307"/>
      <c r="AU743" s="307"/>
    </row>
    <row r="744" ht="15.75" customHeight="1">
      <c r="A744" s="307"/>
      <c r="B744" s="307"/>
      <c r="C744" s="307"/>
      <c r="D744" s="307"/>
      <c r="E744" s="307"/>
      <c r="F744" s="307"/>
      <c r="G744" s="307"/>
      <c r="H744" s="307"/>
      <c r="I744" s="307"/>
      <c r="J744" s="307"/>
      <c r="K744" s="307"/>
      <c r="L744" s="307"/>
      <c r="M744" s="307"/>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c r="AK744" s="307"/>
      <c r="AL744" s="307"/>
      <c r="AM744" s="307"/>
      <c r="AN744" s="307"/>
      <c r="AO744" s="307"/>
      <c r="AP744" s="307"/>
      <c r="AQ744" s="307"/>
      <c r="AR744" s="307"/>
      <c r="AS744" s="307"/>
      <c r="AT744" s="307"/>
      <c r="AU744" s="307"/>
    </row>
    <row r="745" ht="15.75" customHeight="1">
      <c r="A745" s="307"/>
      <c r="B745" s="307"/>
      <c r="C745" s="307"/>
      <c r="D745" s="307"/>
      <c r="E745" s="307"/>
      <c r="F745" s="307"/>
      <c r="G745" s="307"/>
      <c r="H745" s="307"/>
      <c r="I745" s="307"/>
      <c r="J745" s="307"/>
      <c r="K745" s="307"/>
      <c r="L745" s="307"/>
      <c r="M745" s="307"/>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c r="AK745" s="307"/>
      <c r="AL745" s="307"/>
      <c r="AM745" s="307"/>
      <c r="AN745" s="307"/>
      <c r="AO745" s="307"/>
      <c r="AP745" s="307"/>
      <c r="AQ745" s="307"/>
      <c r="AR745" s="307"/>
      <c r="AS745" s="307"/>
      <c r="AT745" s="307"/>
      <c r="AU745" s="307"/>
    </row>
    <row r="746" ht="15.75" customHeight="1">
      <c r="A746" s="307"/>
      <c r="B746" s="307"/>
      <c r="C746" s="307"/>
      <c r="D746" s="307"/>
      <c r="E746" s="307"/>
      <c r="F746" s="307"/>
      <c r="G746" s="307"/>
      <c r="H746" s="307"/>
      <c r="I746" s="307"/>
      <c r="J746" s="307"/>
      <c r="K746" s="307"/>
      <c r="L746" s="307"/>
      <c r="M746" s="307"/>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c r="AK746" s="307"/>
      <c r="AL746" s="307"/>
      <c r="AM746" s="307"/>
      <c r="AN746" s="307"/>
      <c r="AO746" s="307"/>
      <c r="AP746" s="307"/>
      <c r="AQ746" s="307"/>
      <c r="AR746" s="307"/>
      <c r="AS746" s="307"/>
      <c r="AT746" s="307"/>
      <c r="AU746" s="307"/>
    </row>
    <row r="747" ht="15.75" customHeight="1">
      <c r="A747" s="307"/>
      <c r="B747" s="307"/>
      <c r="C747" s="307"/>
      <c r="D747" s="307"/>
      <c r="E747" s="307"/>
      <c r="F747" s="307"/>
      <c r="G747" s="307"/>
      <c r="H747" s="307"/>
      <c r="I747" s="307"/>
      <c r="J747" s="307"/>
      <c r="K747" s="307"/>
      <c r="L747" s="307"/>
      <c r="M747" s="307"/>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c r="AK747" s="307"/>
      <c r="AL747" s="307"/>
      <c r="AM747" s="307"/>
      <c r="AN747" s="307"/>
      <c r="AO747" s="307"/>
      <c r="AP747" s="307"/>
      <c r="AQ747" s="307"/>
      <c r="AR747" s="307"/>
      <c r="AS747" s="307"/>
      <c r="AT747" s="307"/>
      <c r="AU747" s="307"/>
    </row>
    <row r="748" ht="15.75" customHeight="1">
      <c r="A748" s="307"/>
      <c r="B748" s="307"/>
      <c r="C748" s="307"/>
      <c r="D748" s="307"/>
      <c r="E748" s="307"/>
      <c r="F748" s="307"/>
      <c r="G748" s="307"/>
      <c r="H748" s="307"/>
      <c r="I748" s="307"/>
      <c r="J748" s="307"/>
      <c r="K748" s="307"/>
      <c r="L748" s="307"/>
      <c r="M748" s="307"/>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c r="AK748" s="307"/>
      <c r="AL748" s="307"/>
      <c r="AM748" s="307"/>
      <c r="AN748" s="307"/>
      <c r="AO748" s="307"/>
      <c r="AP748" s="307"/>
      <c r="AQ748" s="307"/>
      <c r="AR748" s="307"/>
      <c r="AS748" s="307"/>
      <c r="AT748" s="307"/>
      <c r="AU748" s="307"/>
    </row>
    <row r="749" ht="15.75" customHeight="1">
      <c r="A749" s="307"/>
      <c r="B749" s="307"/>
      <c r="C749" s="307"/>
      <c r="D749" s="307"/>
      <c r="E749" s="307"/>
      <c r="F749" s="307"/>
      <c r="G749" s="307"/>
      <c r="H749" s="307"/>
      <c r="I749" s="307"/>
      <c r="J749" s="307"/>
      <c r="K749" s="307"/>
      <c r="L749" s="307"/>
      <c r="M749" s="307"/>
      <c r="N749" s="307"/>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07"/>
      <c r="AJ749" s="307"/>
      <c r="AK749" s="307"/>
      <c r="AL749" s="307"/>
      <c r="AM749" s="307"/>
      <c r="AN749" s="307"/>
      <c r="AO749" s="307"/>
      <c r="AP749" s="307"/>
      <c r="AQ749" s="307"/>
      <c r="AR749" s="307"/>
      <c r="AS749" s="307"/>
      <c r="AT749" s="307"/>
      <c r="AU749" s="307"/>
    </row>
    <row r="750" ht="15.75" customHeight="1">
      <c r="A750" s="307"/>
      <c r="B750" s="307"/>
      <c r="C750" s="307"/>
      <c r="D750" s="307"/>
      <c r="E750" s="307"/>
      <c r="F750" s="307"/>
      <c r="G750" s="307"/>
      <c r="H750" s="307"/>
      <c r="I750" s="307"/>
      <c r="J750" s="307"/>
      <c r="K750" s="307"/>
      <c r="L750" s="307"/>
      <c r="M750" s="307"/>
      <c r="N750" s="307"/>
      <c r="O750" s="307"/>
      <c r="P750" s="307"/>
      <c r="Q750" s="307"/>
      <c r="R750" s="307"/>
      <c r="S750" s="307"/>
      <c r="T750" s="307"/>
      <c r="U750" s="307"/>
      <c r="V750" s="307"/>
      <c r="W750" s="307"/>
      <c r="X750" s="307"/>
      <c r="Y750" s="307"/>
      <c r="Z750" s="307"/>
      <c r="AA750" s="307"/>
      <c r="AB750" s="307"/>
      <c r="AC750" s="307"/>
      <c r="AD750" s="307"/>
      <c r="AE750" s="307"/>
      <c r="AF750" s="307"/>
      <c r="AG750" s="307"/>
      <c r="AH750" s="307"/>
      <c r="AI750" s="307"/>
      <c r="AJ750" s="307"/>
      <c r="AK750" s="307"/>
      <c r="AL750" s="307"/>
      <c r="AM750" s="307"/>
      <c r="AN750" s="307"/>
      <c r="AO750" s="307"/>
      <c r="AP750" s="307"/>
      <c r="AQ750" s="307"/>
      <c r="AR750" s="307"/>
      <c r="AS750" s="307"/>
      <c r="AT750" s="307"/>
      <c r="AU750" s="307"/>
    </row>
    <row r="751" ht="15.75" customHeight="1">
      <c r="A751" s="307"/>
      <c r="B751" s="307"/>
      <c r="C751" s="307"/>
      <c r="D751" s="307"/>
      <c r="E751" s="307"/>
      <c r="F751" s="307"/>
      <c r="G751" s="307"/>
      <c r="H751" s="307"/>
      <c r="I751" s="307"/>
      <c r="J751" s="307"/>
      <c r="K751" s="307"/>
      <c r="L751" s="307"/>
      <c r="M751" s="307"/>
      <c r="N751" s="307"/>
      <c r="O751" s="307"/>
      <c r="P751" s="307"/>
      <c r="Q751" s="307"/>
      <c r="R751" s="307"/>
      <c r="S751" s="307"/>
      <c r="T751" s="307"/>
      <c r="U751" s="307"/>
      <c r="V751" s="307"/>
      <c r="W751" s="307"/>
      <c r="X751" s="307"/>
      <c r="Y751" s="307"/>
      <c r="Z751" s="307"/>
      <c r="AA751" s="307"/>
      <c r="AB751" s="307"/>
      <c r="AC751" s="307"/>
      <c r="AD751" s="307"/>
      <c r="AE751" s="307"/>
      <c r="AF751" s="307"/>
      <c r="AG751" s="307"/>
      <c r="AH751" s="307"/>
      <c r="AI751" s="307"/>
      <c r="AJ751" s="307"/>
      <c r="AK751" s="307"/>
      <c r="AL751" s="307"/>
      <c r="AM751" s="307"/>
      <c r="AN751" s="307"/>
      <c r="AO751" s="307"/>
      <c r="AP751" s="307"/>
      <c r="AQ751" s="307"/>
      <c r="AR751" s="307"/>
      <c r="AS751" s="307"/>
      <c r="AT751" s="307"/>
      <c r="AU751" s="307"/>
    </row>
    <row r="752" ht="15.75" customHeight="1">
      <c r="A752" s="307"/>
      <c r="B752" s="307"/>
      <c r="C752" s="307"/>
      <c r="D752" s="307"/>
      <c r="E752" s="307"/>
      <c r="F752" s="307"/>
      <c r="G752" s="307"/>
      <c r="H752" s="307"/>
      <c r="I752" s="307"/>
      <c r="J752" s="307"/>
      <c r="K752" s="307"/>
      <c r="L752" s="307"/>
      <c r="M752" s="307"/>
      <c r="N752" s="307"/>
      <c r="O752" s="307"/>
      <c r="P752" s="307"/>
      <c r="Q752" s="307"/>
      <c r="R752" s="307"/>
      <c r="S752" s="307"/>
      <c r="T752" s="307"/>
      <c r="U752" s="307"/>
      <c r="V752" s="307"/>
      <c r="W752" s="307"/>
      <c r="X752" s="307"/>
      <c r="Y752" s="307"/>
      <c r="Z752" s="307"/>
      <c r="AA752" s="307"/>
      <c r="AB752" s="307"/>
      <c r="AC752" s="307"/>
      <c r="AD752" s="307"/>
      <c r="AE752" s="307"/>
      <c r="AF752" s="307"/>
      <c r="AG752" s="307"/>
      <c r="AH752" s="307"/>
      <c r="AI752" s="307"/>
      <c r="AJ752" s="307"/>
      <c r="AK752" s="307"/>
      <c r="AL752" s="307"/>
      <c r="AM752" s="307"/>
      <c r="AN752" s="307"/>
      <c r="AO752" s="307"/>
      <c r="AP752" s="307"/>
      <c r="AQ752" s="307"/>
      <c r="AR752" s="307"/>
      <c r="AS752" s="307"/>
      <c r="AT752" s="307"/>
      <c r="AU752" s="307"/>
    </row>
    <row r="753" ht="15.75" customHeight="1">
      <c r="A753" s="307"/>
      <c r="B753" s="307"/>
      <c r="C753" s="307"/>
      <c r="D753" s="307"/>
      <c r="E753" s="307"/>
      <c r="F753" s="307"/>
      <c r="G753" s="307"/>
      <c r="H753" s="307"/>
      <c r="I753" s="307"/>
      <c r="J753" s="307"/>
      <c r="K753" s="307"/>
      <c r="L753" s="307"/>
      <c r="M753" s="307"/>
      <c r="N753" s="307"/>
      <c r="O753" s="307"/>
      <c r="P753" s="307"/>
      <c r="Q753" s="307"/>
      <c r="R753" s="307"/>
      <c r="S753" s="307"/>
      <c r="T753" s="307"/>
      <c r="U753" s="307"/>
      <c r="V753" s="307"/>
      <c r="W753" s="307"/>
      <c r="X753" s="307"/>
      <c r="Y753" s="307"/>
      <c r="Z753" s="307"/>
      <c r="AA753" s="307"/>
      <c r="AB753" s="307"/>
      <c r="AC753" s="307"/>
      <c r="AD753" s="307"/>
      <c r="AE753" s="307"/>
      <c r="AF753" s="307"/>
      <c r="AG753" s="307"/>
      <c r="AH753" s="307"/>
      <c r="AI753" s="307"/>
      <c r="AJ753" s="307"/>
      <c r="AK753" s="307"/>
      <c r="AL753" s="307"/>
      <c r="AM753" s="307"/>
      <c r="AN753" s="307"/>
      <c r="AO753" s="307"/>
      <c r="AP753" s="307"/>
      <c r="AQ753" s="307"/>
      <c r="AR753" s="307"/>
      <c r="AS753" s="307"/>
      <c r="AT753" s="307"/>
      <c r="AU753" s="307"/>
    </row>
    <row r="754" ht="15.75" customHeight="1">
      <c r="A754" s="307"/>
      <c r="B754" s="307"/>
      <c r="C754" s="307"/>
      <c r="D754" s="307"/>
      <c r="E754" s="307"/>
      <c r="F754" s="307"/>
      <c r="G754" s="307"/>
      <c r="H754" s="307"/>
      <c r="I754" s="307"/>
      <c r="J754" s="307"/>
      <c r="K754" s="307"/>
      <c r="L754" s="307"/>
      <c r="M754" s="307"/>
      <c r="N754" s="307"/>
      <c r="O754" s="307"/>
      <c r="P754" s="307"/>
      <c r="Q754" s="307"/>
      <c r="R754" s="307"/>
      <c r="S754" s="307"/>
      <c r="T754" s="307"/>
      <c r="U754" s="307"/>
      <c r="V754" s="307"/>
      <c r="W754" s="307"/>
      <c r="X754" s="307"/>
      <c r="Y754" s="307"/>
      <c r="Z754" s="307"/>
      <c r="AA754" s="307"/>
      <c r="AB754" s="307"/>
      <c r="AC754" s="307"/>
      <c r="AD754" s="307"/>
      <c r="AE754" s="307"/>
      <c r="AF754" s="307"/>
      <c r="AG754" s="307"/>
      <c r="AH754" s="307"/>
      <c r="AI754" s="307"/>
      <c r="AJ754" s="307"/>
      <c r="AK754" s="307"/>
      <c r="AL754" s="307"/>
      <c r="AM754" s="307"/>
      <c r="AN754" s="307"/>
      <c r="AO754" s="307"/>
      <c r="AP754" s="307"/>
      <c r="AQ754" s="307"/>
      <c r="AR754" s="307"/>
      <c r="AS754" s="307"/>
      <c r="AT754" s="307"/>
      <c r="AU754" s="307"/>
    </row>
    <row r="755" ht="15.75" customHeight="1">
      <c r="A755" s="307"/>
      <c r="B755" s="307"/>
      <c r="C755" s="307"/>
      <c r="D755" s="307"/>
      <c r="E755" s="307"/>
      <c r="F755" s="307"/>
      <c r="G755" s="307"/>
      <c r="H755" s="307"/>
      <c r="I755" s="307"/>
      <c r="J755" s="307"/>
      <c r="K755" s="307"/>
      <c r="L755" s="307"/>
      <c r="M755" s="307"/>
      <c r="N755" s="307"/>
      <c r="O755" s="307"/>
      <c r="P755" s="307"/>
      <c r="Q755" s="307"/>
      <c r="R755" s="307"/>
      <c r="S755" s="307"/>
      <c r="T755" s="307"/>
      <c r="U755" s="307"/>
      <c r="V755" s="307"/>
      <c r="W755" s="307"/>
      <c r="X755" s="307"/>
      <c r="Y755" s="307"/>
      <c r="Z755" s="307"/>
      <c r="AA755" s="307"/>
      <c r="AB755" s="307"/>
      <c r="AC755" s="307"/>
      <c r="AD755" s="307"/>
      <c r="AE755" s="307"/>
      <c r="AF755" s="307"/>
      <c r="AG755" s="307"/>
      <c r="AH755" s="307"/>
      <c r="AI755" s="307"/>
      <c r="AJ755" s="307"/>
      <c r="AK755" s="307"/>
      <c r="AL755" s="307"/>
      <c r="AM755" s="307"/>
      <c r="AN755" s="307"/>
      <c r="AO755" s="307"/>
      <c r="AP755" s="307"/>
      <c r="AQ755" s="307"/>
      <c r="AR755" s="307"/>
      <c r="AS755" s="307"/>
      <c r="AT755" s="307"/>
      <c r="AU755" s="307"/>
    </row>
    <row r="756" ht="15.75" customHeight="1">
      <c r="A756" s="307"/>
      <c r="B756" s="307"/>
      <c r="C756" s="307"/>
      <c r="D756" s="307"/>
      <c r="E756" s="307"/>
      <c r="F756" s="307"/>
      <c r="G756" s="307"/>
      <c r="H756" s="307"/>
      <c r="I756" s="307"/>
      <c r="J756" s="307"/>
      <c r="K756" s="307"/>
      <c r="L756" s="307"/>
      <c r="M756" s="307"/>
      <c r="N756" s="307"/>
      <c r="O756" s="307"/>
      <c r="P756" s="307"/>
      <c r="Q756" s="307"/>
      <c r="R756" s="307"/>
      <c r="S756" s="307"/>
      <c r="T756" s="307"/>
      <c r="U756" s="307"/>
      <c r="V756" s="307"/>
      <c r="W756" s="307"/>
      <c r="X756" s="307"/>
      <c r="Y756" s="307"/>
      <c r="Z756" s="307"/>
      <c r="AA756" s="307"/>
      <c r="AB756" s="307"/>
      <c r="AC756" s="307"/>
      <c r="AD756" s="307"/>
      <c r="AE756" s="307"/>
      <c r="AF756" s="307"/>
      <c r="AG756" s="307"/>
      <c r="AH756" s="307"/>
      <c r="AI756" s="307"/>
      <c r="AJ756" s="307"/>
      <c r="AK756" s="307"/>
      <c r="AL756" s="307"/>
      <c r="AM756" s="307"/>
      <c r="AN756" s="307"/>
      <c r="AO756" s="307"/>
      <c r="AP756" s="307"/>
      <c r="AQ756" s="307"/>
      <c r="AR756" s="307"/>
      <c r="AS756" s="307"/>
      <c r="AT756" s="307"/>
      <c r="AU756" s="307"/>
    </row>
    <row r="757" ht="15.75" customHeight="1">
      <c r="A757" s="307"/>
      <c r="B757" s="307"/>
      <c r="C757" s="307"/>
      <c r="D757" s="307"/>
      <c r="E757" s="307"/>
      <c r="F757" s="307"/>
      <c r="G757" s="307"/>
      <c r="H757" s="307"/>
      <c r="I757" s="307"/>
      <c r="J757" s="307"/>
      <c r="K757" s="307"/>
      <c r="L757" s="307"/>
      <c r="M757" s="307"/>
      <c r="N757" s="307"/>
      <c r="O757" s="307"/>
      <c r="P757" s="307"/>
      <c r="Q757" s="307"/>
      <c r="R757" s="307"/>
      <c r="S757" s="307"/>
      <c r="T757" s="307"/>
      <c r="U757" s="307"/>
      <c r="V757" s="307"/>
      <c r="W757" s="307"/>
      <c r="X757" s="307"/>
      <c r="Y757" s="307"/>
      <c r="Z757" s="307"/>
      <c r="AA757" s="307"/>
      <c r="AB757" s="307"/>
      <c r="AC757" s="307"/>
      <c r="AD757" s="307"/>
      <c r="AE757" s="307"/>
      <c r="AF757" s="307"/>
      <c r="AG757" s="307"/>
      <c r="AH757" s="307"/>
      <c r="AI757" s="307"/>
      <c r="AJ757" s="307"/>
      <c r="AK757" s="307"/>
      <c r="AL757" s="307"/>
      <c r="AM757" s="307"/>
      <c r="AN757" s="307"/>
      <c r="AO757" s="307"/>
      <c r="AP757" s="307"/>
      <c r="AQ757" s="307"/>
      <c r="AR757" s="307"/>
      <c r="AS757" s="307"/>
      <c r="AT757" s="307"/>
      <c r="AU757" s="307"/>
    </row>
    <row r="758" ht="15.75" customHeight="1">
      <c r="A758" s="307"/>
      <c r="B758" s="307"/>
      <c r="C758" s="307"/>
      <c r="D758" s="307"/>
      <c r="E758" s="307"/>
      <c r="F758" s="307"/>
      <c r="G758" s="307"/>
      <c r="H758" s="307"/>
      <c r="I758" s="307"/>
      <c r="J758" s="307"/>
      <c r="K758" s="307"/>
      <c r="L758" s="307"/>
      <c r="M758" s="307"/>
      <c r="N758" s="307"/>
      <c r="O758" s="307"/>
      <c r="P758" s="307"/>
      <c r="Q758" s="307"/>
      <c r="R758" s="307"/>
      <c r="S758" s="307"/>
      <c r="T758" s="307"/>
      <c r="U758" s="307"/>
      <c r="V758" s="307"/>
      <c r="W758" s="307"/>
      <c r="X758" s="307"/>
      <c r="Y758" s="307"/>
      <c r="Z758" s="307"/>
      <c r="AA758" s="307"/>
      <c r="AB758" s="307"/>
      <c r="AC758" s="307"/>
      <c r="AD758" s="307"/>
      <c r="AE758" s="307"/>
      <c r="AF758" s="307"/>
      <c r="AG758" s="307"/>
      <c r="AH758" s="307"/>
      <c r="AI758" s="307"/>
      <c r="AJ758" s="307"/>
      <c r="AK758" s="307"/>
      <c r="AL758" s="307"/>
      <c r="AM758" s="307"/>
      <c r="AN758" s="307"/>
      <c r="AO758" s="307"/>
      <c r="AP758" s="307"/>
      <c r="AQ758" s="307"/>
      <c r="AR758" s="307"/>
      <c r="AS758" s="307"/>
      <c r="AT758" s="307"/>
      <c r="AU758" s="307"/>
    </row>
    <row r="759" ht="15.75" customHeight="1">
      <c r="A759" s="307"/>
      <c r="B759" s="307"/>
      <c r="C759" s="307"/>
      <c r="D759" s="307"/>
      <c r="E759" s="307"/>
      <c r="F759" s="307"/>
      <c r="G759" s="307"/>
      <c r="H759" s="307"/>
      <c r="I759" s="307"/>
      <c r="J759" s="307"/>
      <c r="K759" s="307"/>
      <c r="L759" s="307"/>
      <c r="M759" s="307"/>
      <c r="N759" s="307"/>
      <c r="O759" s="307"/>
      <c r="P759" s="307"/>
      <c r="Q759" s="307"/>
      <c r="R759" s="307"/>
      <c r="S759" s="307"/>
      <c r="T759" s="307"/>
      <c r="U759" s="307"/>
      <c r="V759" s="307"/>
      <c r="W759" s="307"/>
      <c r="X759" s="307"/>
      <c r="Y759" s="307"/>
      <c r="Z759" s="307"/>
      <c r="AA759" s="307"/>
      <c r="AB759" s="307"/>
      <c r="AC759" s="307"/>
      <c r="AD759" s="307"/>
      <c r="AE759" s="307"/>
      <c r="AF759" s="307"/>
      <c r="AG759" s="307"/>
      <c r="AH759" s="307"/>
      <c r="AI759" s="307"/>
      <c r="AJ759" s="307"/>
      <c r="AK759" s="307"/>
      <c r="AL759" s="307"/>
      <c r="AM759" s="307"/>
      <c r="AN759" s="307"/>
      <c r="AO759" s="307"/>
      <c r="AP759" s="307"/>
      <c r="AQ759" s="307"/>
      <c r="AR759" s="307"/>
      <c r="AS759" s="307"/>
      <c r="AT759" s="307"/>
      <c r="AU759" s="307"/>
    </row>
    <row r="760" ht="15.75" customHeight="1">
      <c r="A760" s="307"/>
      <c r="B760" s="307"/>
      <c r="C760" s="307"/>
      <c r="D760" s="307"/>
      <c r="E760" s="307"/>
      <c r="F760" s="307"/>
      <c r="G760" s="307"/>
      <c r="H760" s="307"/>
      <c r="I760" s="307"/>
      <c r="J760" s="307"/>
      <c r="K760" s="307"/>
      <c r="L760" s="307"/>
      <c r="M760" s="307"/>
      <c r="N760" s="307"/>
      <c r="O760" s="307"/>
      <c r="P760" s="307"/>
      <c r="Q760" s="307"/>
      <c r="R760" s="307"/>
      <c r="S760" s="307"/>
      <c r="T760" s="307"/>
      <c r="U760" s="307"/>
      <c r="V760" s="307"/>
      <c r="W760" s="307"/>
      <c r="X760" s="307"/>
      <c r="Y760" s="307"/>
      <c r="Z760" s="307"/>
      <c r="AA760" s="307"/>
      <c r="AB760" s="307"/>
      <c r="AC760" s="307"/>
      <c r="AD760" s="307"/>
      <c r="AE760" s="307"/>
      <c r="AF760" s="307"/>
      <c r="AG760" s="307"/>
      <c r="AH760" s="307"/>
      <c r="AI760" s="307"/>
      <c r="AJ760" s="307"/>
      <c r="AK760" s="307"/>
      <c r="AL760" s="307"/>
      <c r="AM760" s="307"/>
      <c r="AN760" s="307"/>
      <c r="AO760" s="307"/>
      <c r="AP760" s="307"/>
      <c r="AQ760" s="307"/>
      <c r="AR760" s="307"/>
      <c r="AS760" s="307"/>
      <c r="AT760" s="307"/>
      <c r="AU760" s="307"/>
    </row>
    <row r="761" ht="15.75" customHeight="1">
      <c r="A761" s="307"/>
      <c r="B761" s="307"/>
      <c r="C761" s="307"/>
      <c r="D761" s="307"/>
      <c r="E761" s="307"/>
      <c r="F761" s="307"/>
      <c r="G761" s="307"/>
      <c r="H761" s="307"/>
      <c r="I761" s="307"/>
      <c r="J761" s="307"/>
      <c r="K761" s="307"/>
      <c r="L761" s="307"/>
      <c r="M761" s="307"/>
      <c r="N761" s="307"/>
      <c r="O761" s="307"/>
      <c r="P761" s="307"/>
      <c r="Q761" s="307"/>
      <c r="R761" s="307"/>
      <c r="S761" s="307"/>
      <c r="T761" s="307"/>
      <c r="U761" s="307"/>
      <c r="V761" s="307"/>
      <c r="W761" s="307"/>
      <c r="X761" s="307"/>
      <c r="Y761" s="307"/>
      <c r="Z761" s="307"/>
      <c r="AA761" s="307"/>
      <c r="AB761" s="307"/>
      <c r="AC761" s="307"/>
      <c r="AD761" s="307"/>
      <c r="AE761" s="307"/>
      <c r="AF761" s="307"/>
      <c r="AG761" s="307"/>
      <c r="AH761" s="307"/>
      <c r="AI761" s="307"/>
      <c r="AJ761" s="307"/>
      <c r="AK761" s="307"/>
      <c r="AL761" s="307"/>
      <c r="AM761" s="307"/>
      <c r="AN761" s="307"/>
      <c r="AO761" s="307"/>
      <c r="AP761" s="307"/>
      <c r="AQ761" s="307"/>
      <c r="AR761" s="307"/>
      <c r="AS761" s="307"/>
      <c r="AT761" s="307"/>
      <c r="AU761" s="307"/>
    </row>
    <row r="762" ht="15.75" customHeight="1">
      <c r="A762" s="307"/>
      <c r="B762" s="307"/>
      <c r="C762" s="307"/>
      <c r="D762" s="307"/>
      <c r="E762" s="307"/>
      <c r="F762" s="307"/>
      <c r="G762" s="307"/>
      <c r="H762" s="307"/>
      <c r="I762" s="307"/>
      <c r="J762" s="307"/>
      <c r="K762" s="307"/>
      <c r="L762" s="307"/>
      <c r="M762" s="307"/>
      <c r="N762" s="307"/>
      <c r="O762" s="307"/>
      <c r="P762" s="307"/>
      <c r="Q762" s="307"/>
      <c r="R762" s="307"/>
      <c r="S762" s="307"/>
      <c r="T762" s="307"/>
      <c r="U762" s="307"/>
      <c r="V762" s="307"/>
      <c r="W762" s="307"/>
      <c r="X762" s="307"/>
      <c r="Y762" s="307"/>
      <c r="Z762" s="307"/>
      <c r="AA762" s="307"/>
      <c r="AB762" s="307"/>
      <c r="AC762" s="307"/>
      <c r="AD762" s="307"/>
      <c r="AE762" s="307"/>
      <c r="AF762" s="307"/>
      <c r="AG762" s="307"/>
      <c r="AH762" s="307"/>
      <c r="AI762" s="307"/>
      <c r="AJ762" s="307"/>
      <c r="AK762" s="307"/>
      <c r="AL762" s="307"/>
      <c r="AM762" s="307"/>
      <c r="AN762" s="307"/>
      <c r="AO762" s="307"/>
      <c r="AP762" s="307"/>
      <c r="AQ762" s="307"/>
      <c r="AR762" s="307"/>
      <c r="AS762" s="307"/>
      <c r="AT762" s="307"/>
      <c r="AU762" s="307"/>
    </row>
    <row r="763" ht="15.75" customHeight="1">
      <c r="A763" s="307"/>
      <c r="B763" s="307"/>
      <c r="C763" s="307"/>
      <c r="D763" s="307"/>
      <c r="E763" s="307"/>
      <c r="F763" s="307"/>
      <c r="G763" s="307"/>
      <c r="H763" s="307"/>
      <c r="I763" s="307"/>
      <c r="J763" s="307"/>
      <c r="K763" s="307"/>
      <c r="L763" s="307"/>
      <c r="M763" s="307"/>
      <c r="N763" s="307"/>
      <c r="O763" s="307"/>
      <c r="P763" s="307"/>
      <c r="Q763" s="307"/>
      <c r="R763" s="307"/>
      <c r="S763" s="307"/>
      <c r="T763" s="307"/>
      <c r="U763" s="307"/>
      <c r="V763" s="307"/>
      <c r="W763" s="307"/>
      <c r="X763" s="307"/>
      <c r="Y763" s="307"/>
      <c r="Z763" s="307"/>
      <c r="AA763" s="307"/>
      <c r="AB763" s="307"/>
      <c r="AC763" s="307"/>
      <c r="AD763" s="307"/>
      <c r="AE763" s="307"/>
      <c r="AF763" s="307"/>
      <c r="AG763" s="307"/>
      <c r="AH763" s="307"/>
      <c r="AI763" s="307"/>
      <c r="AJ763" s="307"/>
      <c r="AK763" s="307"/>
      <c r="AL763" s="307"/>
      <c r="AM763" s="307"/>
      <c r="AN763" s="307"/>
      <c r="AO763" s="307"/>
      <c r="AP763" s="307"/>
      <c r="AQ763" s="307"/>
      <c r="AR763" s="307"/>
      <c r="AS763" s="307"/>
      <c r="AT763" s="307"/>
      <c r="AU763" s="307"/>
    </row>
    <row r="764" ht="15.75" customHeight="1">
      <c r="A764" s="307"/>
      <c r="B764" s="307"/>
      <c r="C764" s="307"/>
      <c r="D764" s="307"/>
      <c r="E764" s="307"/>
      <c r="F764" s="307"/>
      <c r="G764" s="307"/>
      <c r="H764" s="307"/>
      <c r="I764" s="307"/>
      <c r="J764" s="307"/>
      <c r="K764" s="307"/>
      <c r="L764" s="307"/>
      <c r="M764" s="307"/>
      <c r="N764" s="307"/>
      <c r="O764" s="307"/>
      <c r="P764" s="307"/>
      <c r="Q764" s="307"/>
      <c r="R764" s="307"/>
      <c r="S764" s="307"/>
      <c r="T764" s="307"/>
      <c r="U764" s="307"/>
      <c r="V764" s="307"/>
      <c r="W764" s="307"/>
      <c r="X764" s="307"/>
      <c r="Y764" s="307"/>
      <c r="Z764" s="307"/>
      <c r="AA764" s="307"/>
      <c r="AB764" s="307"/>
      <c r="AC764" s="307"/>
      <c r="AD764" s="307"/>
      <c r="AE764" s="307"/>
      <c r="AF764" s="307"/>
      <c r="AG764" s="307"/>
      <c r="AH764" s="307"/>
      <c r="AI764" s="307"/>
      <c r="AJ764" s="307"/>
      <c r="AK764" s="307"/>
      <c r="AL764" s="307"/>
      <c r="AM764" s="307"/>
      <c r="AN764" s="307"/>
      <c r="AO764" s="307"/>
      <c r="AP764" s="307"/>
      <c r="AQ764" s="307"/>
      <c r="AR764" s="307"/>
      <c r="AS764" s="307"/>
      <c r="AT764" s="307"/>
      <c r="AU764" s="307"/>
    </row>
    <row r="765" ht="15.75" customHeight="1">
      <c r="A765" s="307"/>
      <c r="B765" s="307"/>
      <c r="C765" s="307"/>
      <c r="D765" s="307"/>
      <c r="E765" s="307"/>
      <c r="F765" s="307"/>
      <c r="G765" s="307"/>
      <c r="H765" s="307"/>
      <c r="I765" s="307"/>
      <c r="J765" s="307"/>
      <c r="K765" s="307"/>
      <c r="L765" s="307"/>
      <c r="M765" s="307"/>
      <c r="N765" s="307"/>
      <c r="O765" s="307"/>
      <c r="P765" s="307"/>
      <c r="Q765" s="307"/>
      <c r="R765" s="307"/>
      <c r="S765" s="307"/>
      <c r="T765" s="307"/>
      <c r="U765" s="307"/>
      <c r="V765" s="307"/>
      <c r="W765" s="307"/>
      <c r="X765" s="307"/>
      <c r="Y765" s="307"/>
      <c r="Z765" s="307"/>
      <c r="AA765" s="307"/>
      <c r="AB765" s="307"/>
      <c r="AC765" s="307"/>
      <c r="AD765" s="307"/>
      <c r="AE765" s="307"/>
      <c r="AF765" s="307"/>
      <c r="AG765" s="307"/>
      <c r="AH765" s="307"/>
      <c r="AI765" s="307"/>
      <c r="AJ765" s="307"/>
      <c r="AK765" s="307"/>
      <c r="AL765" s="307"/>
      <c r="AM765" s="307"/>
      <c r="AN765" s="307"/>
      <c r="AO765" s="307"/>
      <c r="AP765" s="307"/>
      <c r="AQ765" s="307"/>
      <c r="AR765" s="307"/>
      <c r="AS765" s="307"/>
      <c r="AT765" s="307"/>
      <c r="AU765" s="307"/>
    </row>
    <row r="766" ht="15.75" customHeight="1">
      <c r="A766" s="307"/>
      <c r="B766" s="307"/>
      <c r="C766" s="307"/>
      <c r="D766" s="307"/>
      <c r="E766" s="307"/>
      <c r="F766" s="307"/>
      <c r="G766" s="307"/>
      <c r="H766" s="307"/>
      <c r="I766" s="307"/>
      <c r="J766" s="307"/>
      <c r="K766" s="307"/>
      <c r="L766" s="307"/>
      <c r="M766" s="307"/>
      <c r="N766" s="307"/>
      <c r="O766" s="307"/>
      <c r="P766" s="307"/>
      <c r="Q766" s="307"/>
      <c r="R766" s="307"/>
      <c r="S766" s="307"/>
      <c r="T766" s="307"/>
      <c r="U766" s="307"/>
      <c r="V766" s="307"/>
      <c r="W766" s="307"/>
      <c r="X766" s="307"/>
      <c r="Y766" s="307"/>
      <c r="Z766" s="307"/>
      <c r="AA766" s="307"/>
      <c r="AB766" s="307"/>
      <c r="AC766" s="307"/>
      <c r="AD766" s="307"/>
      <c r="AE766" s="307"/>
      <c r="AF766" s="307"/>
      <c r="AG766" s="307"/>
      <c r="AH766" s="307"/>
      <c r="AI766" s="307"/>
      <c r="AJ766" s="307"/>
      <c r="AK766" s="307"/>
      <c r="AL766" s="307"/>
      <c r="AM766" s="307"/>
      <c r="AN766" s="307"/>
      <c r="AO766" s="307"/>
      <c r="AP766" s="307"/>
      <c r="AQ766" s="307"/>
      <c r="AR766" s="307"/>
      <c r="AS766" s="307"/>
      <c r="AT766" s="307"/>
      <c r="AU766" s="307"/>
    </row>
    <row r="767" ht="15.75" customHeight="1">
      <c r="A767" s="307"/>
      <c r="B767" s="307"/>
      <c r="C767" s="307"/>
      <c r="D767" s="307"/>
      <c r="E767" s="307"/>
      <c r="F767" s="307"/>
      <c r="G767" s="307"/>
      <c r="H767" s="307"/>
      <c r="I767" s="307"/>
      <c r="J767" s="307"/>
      <c r="K767" s="307"/>
      <c r="L767" s="307"/>
      <c r="M767" s="307"/>
      <c r="N767" s="307"/>
      <c r="O767" s="307"/>
      <c r="P767" s="307"/>
      <c r="Q767" s="307"/>
      <c r="R767" s="307"/>
      <c r="S767" s="307"/>
      <c r="T767" s="307"/>
      <c r="U767" s="307"/>
      <c r="V767" s="307"/>
      <c r="W767" s="307"/>
      <c r="X767" s="307"/>
      <c r="Y767" s="307"/>
      <c r="Z767" s="307"/>
      <c r="AA767" s="307"/>
      <c r="AB767" s="307"/>
      <c r="AC767" s="307"/>
      <c r="AD767" s="307"/>
      <c r="AE767" s="307"/>
      <c r="AF767" s="307"/>
      <c r="AG767" s="307"/>
      <c r="AH767" s="307"/>
      <c r="AI767" s="307"/>
      <c r="AJ767" s="307"/>
      <c r="AK767" s="307"/>
      <c r="AL767" s="307"/>
      <c r="AM767" s="307"/>
      <c r="AN767" s="307"/>
      <c r="AO767" s="307"/>
      <c r="AP767" s="307"/>
      <c r="AQ767" s="307"/>
      <c r="AR767" s="307"/>
      <c r="AS767" s="307"/>
      <c r="AT767" s="307"/>
      <c r="AU767" s="307"/>
    </row>
    <row r="768" ht="15.75" customHeight="1">
      <c r="A768" s="307"/>
      <c r="B768" s="307"/>
      <c r="C768" s="307"/>
      <c r="D768" s="307"/>
      <c r="E768" s="307"/>
      <c r="F768" s="307"/>
      <c r="G768" s="307"/>
      <c r="H768" s="307"/>
      <c r="I768" s="307"/>
      <c r="J768" s="307"/>
      <c r="K768" s="307"/>
      <c r="L768" s="307"/>
      <c r="M768" s="307"/>
      <c r="N768" s="307"/>
      <c r="O768" s="307"/>
      <c r="P768" s="307"/>
      <c r="Q768" s="307"/>
      <c r="R768" s="307"/>
      <c r="S768" s="307"/>
      <c r="T768" s="307"/>
      <c r="U768" s="307"/>
      <c r="V768" s="307"/>
      <c r="W768" s="307"/>
      <c r="X768" s="307"/>
      <c r="Y768" s="307"/>
      <c r="Z768" s="307"/>
      <c r="AA768" s="307"/>
      <c r="AB768" s="307"/>
      <c r="AC768" s="307"/>
      <c r="AD768" s="307"/>
      <c r="AE768" s="307"/>
      <c r="AF768" s="307"/>
      <c r="AG768" s="307"/>
      <c r="AH768" s="307"/>
      <c r="AI768" s="307"/>
      <c r="AJ768" s="307"/>
      <c r="AK768" s="307"/>
      <c r="AL768" s="307"/>
      <c r="AM768" s="307"/>
      <c r="AN768" s="307"/>
      <c r="AO768" s="307"/>
      <c r="AP768" s="307"/>
      <c r="AQ768" s="307"/>
      <c r="AR768" s="307"/>
      <c r="AS768" s="307"/>
      <c r="AT768" s="307"/>
      <c r="AU768" s="307"/>
    </row>
    <row r="769" ht="15.75" customHeight="1">
      <c r="A769" s="307"/>
      <c r="B769" s="307"/>
      <c r="C769" s="307"/>
      <c r="D769" s="307"/>
      <c r="E769" s="307"/>
      <c r="F769" s="307"/>
      <c r="G769" s="307"/>
      <c r="H769" s="307"/>
      <c r="I769" s="307"/>
      <c r="J769" s="307"/>
      <c r="K769" s="307"/>
      <c r="L769" s="307"/>
      <c r="M769" s="307"/>
      <c r="N769" s="307"/>
      <c r="O769" s="307"/>
      <c r="P769" s="307"/>
      <c r="Q769" s="307"/>
      <c r="R769" s="307"/>
      <c r="S769" s="307"/>
      <c r="T769" s="307"/>
      <c r="U769" s="307"/>
      <c r="V769" s="307"/>
      <c r="W769" s="307"/>
      <c r="X769" s="307"/>
      <c r="Y769" s="307"/>
      <c r="Z769" s="307"/>
      <c r="AA769" s="307"/>
      <c r="AB769" s="307"/>
      <c r="AC769" s="307"/>
      <c r="AD769" s="307"/>
      <c r="AE769" s="307"/>
      <c r="AF769" s="307"/>
      <c r="AG769" s="307"/>
      <c r="AH769" s="307"/>
      <c r="AI769" s="307"/>
      <c r="AJ769" s="307"/>
      <c r="AK769" s="307"/>
      <c r="AL769" s="307"/>
      <c r="AM769" s="307"/>
      <c r="AN769" s="307"/>
      <c r="AO769" s="307"/>
      <c r="AP769" s="307"/>
      <c r="AQ769" s="307"/>
      <c r="AR769" s="307"/>
      <c r="AS769" s="307"/>
      <c r="AT769" s="307"/>
      <c r="AU769" s="307"/>
    </row>
    <row r="770" ht="15.75" customHeight="1">
      <c r="A770" s="307"/>
      <c r="B770" s="307"/>
      <c r="C770" s="307"/>
      <c r="D770" s="307"/>
      <c r="E770" s="307"/>
      <c r="F770" s="307"/>
      <c r="G770" s="307"/>
      <c r="H770" s="307"/>
      <c r="I770" s="307"/>
      <c r="J770" s="307"/>
      <c r="K770" s="307"/>
      <c r="L770" s="307"/>
      <c r="M770" s="307"/>
      <c r="N770" s="307"/>
      <c r="O770" s="307"/>
      <c r="P770" s="307"/>
      <c r="Q770" s="307"/>
      <c r="R770" s="307"/>
      <c r="S770" s="307"/>
      <c r="T770" s="307"/>
      <c r="U770" s="307"/>
      <c r="V770" s="307"/>
      <c r="W770" s="307"/>
      <c r="X770" s="307"/>
      <c r="Y770" s="307"/>
      <c r="Z770" s="307"/>
      <c r="AA770" s="307"/>
      <c r="AB770" s="307"/>
      <c r="AC770" s="307"/>
      <c r="AD770" s="307"/>
      <c r="AE770" s="307"/>
      <c r="AF770" s="307"/>
      <c r="AG770" s="307"/>
      <c r="AH770" s="307"/>
      <c r="AI770" s="307"/>
      <c r="AJ770" s="307"/>
      <c r="AK770" s="307"/>
      <c r="AL770" s="307"/>
      <c r="AM770" s="307"/>
      <c r="AN770" s="307"/>
      <c r="AO770" s="307"/>
      <c r="AP770" s="307"/>
      <c r="AQ770" s="307"/>
      <c r="AR770" s="307"/>
      <c r="AS770" s="307"/>
      <c r="AT770" s="307"/>
      <c r="AU770" s="307"/>
    </row>
    <row r="771" ht="15.75" customHeight="1">
      <c r="A771" s="307"/>
      <c r="B771" s="307"/>
      <c r="C771" s="307"/>
      <c r="D771" s="307"/>
      <c r="E771" s="307"/>
      <c r="F771" s="307"/>
      <c r="G771" s="307"/>
      <c r="H771" s="307"/>
      <c r="I771" s="307"/>
      <c r="J771" s="307"/>
      <c r="K771" s="307"/>
      <c r="L771" s="307"/>
      <c r="M771" s="307"/>
      <c r="N771" s="307"/>
      <c r="O771" s="307"/>
      <c r="P771" s="307"/>
      <c r="Q771" s="307"/>
      <c r="R771" s="307"/>
      <c r="S771" s="307"/>
      <c r="T771" s="307"/>
      <c r="U771" s="307"/>
      <c r="V771" s="307"/>
      <c r="W771" s="307"/>
      <c r="X771" s="307"/>
      <c r="Y771" s="307"/>
      <c r="Z771" s="307"/>
      <c r="AA771" s="307"/>
      <c r="AB771" s="307"/>
      <c r="AC771" s="307"/>
      <c r="AD771" s="307"/>
      <c r="AE771" s="307"/>
      <c r="AF771" s="307"/>
      <c r="AG771" s="307"/>
      <c r="AH771" s="307"/>
      <c r="AI771" s="307"/>
      <c r="AJ771" s="307"/>
      <c r="AK771" s="307"/>
      <c r="AL771" s="307"/>
      <c r="AM771" s="307"/>
      <c r="AN771" s="307"/>
      <c r="AO771" s="307"/>
      <c r="AP771" s="307"/>
      <c r="AQ771" s="307"/>
      <c r="AR771" s="307"/>
      <c r="AS771" s="307"/>
      <c r="AT771" s="307"/>
      <c r="AU771" s="307"/>
    </row>
    <row r="772" ht="15.75" customHeight="1">
      <c r="A772" s="307"/>
      <c r="B772" s="307"/>
      <c r="C772" s="307"/>
      <c r="D772" s="307"/>
      <c r="E772" s="307"/>
      <c r="F772" s="307"/>
      <c r="G772" s="307"/>
      <c r="H772" s="307"/>
      <c r="I772" s="307"/>
      <c r="J772" s="307"/>
      <c r="K772" s="307"/>
      <c r="L772" s="307"/>
      <c r="M772" s="307"/>
      <c r="N772" s="307"/>
      <c r="O772" s="307"/>
      <c r="P772" s="307"/>
      <c r="Q772" s="307"/>
      <c r="R772" s="307"/>
      <c r="S772" s="307"/>
      <c r="T772" s="307"/>
      <c r="U772" s="307"/>
      <c r="V772" s="307"/>
      <c r="W772" s="307"/>
      <c r="X772" s="307"/>
      <c r="Y772" s="307"/>
      <c r="Z772" s="307"/>
      <c r="AA772" s="307"/>
      <c r="AB772" s="307"/>
      <c r="AC772" s="307"/>
      <c r="AD772" s="307"/>
      <c r="AE772" s="307"/>
      <c r="AF772" s="307"/>
      <c r="AG772" s="307"/>
      <c r="AH772" s="307"/>
      <c r="AI772" s="307"/>
      <c r="AJ772" s="307"/>
      <c r="AK772" s="307"/>
      <c r="AL772" s="307"/>
      <c r="AM772" s="307"/>
      <c r="AN772" s="307"/>
      <c r="AO772" s="307"/>
      <c r="AP772" s="307"/>
      <c r="AQ772" s="307"/>
      <c r="AR772" s="307"/>
      <c r="AS772" s="307"/>
      <c r="AT772" s="307"/>
      <c r="AU772" s="307"/>
    </row>
    <row r="773" ht="15.75" customHeight="1">
      <c r="A773" s="307"/>
      <c r="B773" s="307"/>
      <c r="C773" s="307"/>
      <c r="D773" s="307"/>
      <c r="E773" s="307"/>
      <c r="F773" s="307"/>
      <c r="G773" s="307"/>
      <c r="H773" s="307"/>
      <c r="I773" s="307"/>
      <c r="J773" s="307"/>
      <c r="K773" s="307"/>
      <c r="L773" s="307"/>
      <c r="M773" s="307"/>
      <c r="N773" s="307"/>
      <c r="O773" s="307"/>
      <c r="P773" s="307"/>
      <c r="Q773" s="307"/>
      <c r="R773" s="307"/>
      <c r="S773" s="307"/>
      <c r="T773" s="307"/>
      <c r="U773" s="307"/>
      <c r="V773" s="307"/>
      <c r="W773" s="307"/>
      <c r="X773" s="307"/>
      <c r="Y773" s="307"/>
      <c r="Z773" s="307"/>
      <c r="AA773" s="307"/>
      <c r="AB773" s="307"/>
      <c r="AC773" s="307"/>
      <c r="AD773" s="307"/>
      <c r="AE773" s="307"/>
      <c r="AF773" s="307"/>
      <c r="AG773" s="307"/>
      <c r="AH773" s="307"/>
      <c r="AI773" s="307"/>
      <c r="AJ773" s="307"/>
      <c r="AK773" s="307"/>
      <c r="AL773" s="307"/>
      <c r="AM773" s="307"/>
      <c r="AN773" s="307"/>
      <c r="AO773" s="307"/>
      <c r="AP773" s="307"/>
      <c r="AQ773" s="307"/>
      <c r="AR773" s="307"/>
      <c r="AS773" s="307"/>
      <c r="AT773" s="307"/>
      <c r="AU773" s="307"/>
    </row>
    <row r="774" ht="15.75" customHeight="1">
      <c r="A774" s="307"/>
      <c r="B774" s="307"/>
      <c r="C774" s="307"/>
      <c r="D774" s="307"/>
      <c r="E774" s="307"/>
      <c r="F774" s="307"/>
      <c r="G774" s="307"/>
      <c r="H774" s="307"/>
      <c r="I774" s="307"/>
      <c r="J774" s="307"/>
      <c r="K774" s="307"/>
      <c r="L774" s="307"/>
      <c r="M774" s="307"/>
      <c r="N774" s="307"/>
      <c r="O774" s="307"/>
      <c r="P774" s="307"/>
      <c r="Q774" s="307"/>
      <c r="R774" s="307"/>
      <c r="S774" s="307"/>
      <c r="T774" s="307"/>
      <c r="U774" s="307"/>
      <c r="V774" s="307"/>
      <c r="W774" s="307"/>
      <c r="X774" s="307"/>
      <c r="Y774" s="307"/>
      <c r="Z774" s="307"/>
      <c r="AA774" s="307"/>
      <c r="AB774" s="307"/>
      <c r="AC774" s="307"/>
      <c r="AD774" s="307"/>
      <c r="AE774" s="307"/>
      <c r="AF774" s="307"/>
      <c r="AG774" s="307"/>
      <c r="AH774" s="307"/>
      <c r="AI774" s="307"/>
      <c r="AJ774" s="307"/>
      <c r="AK774" s="307"/>
      <c r="AL774" s="307"/>
      <c r="AM774" s="307"/>
      <c r="AN774" s="307"/>
      <c r="AO774" s="307"/>
      <c r="AP774" s="307"/>
      <c r="AQ774" s="307"/>
      <c r="AR774" s="307"/>
      <c r="AS774" s="307"/>
      <c r="AT774" s="307"/>
      <c r="AU774" s="307"/>
    </row>
    <row r="775" ht="15.75" customHeight="1">
      <c r="A775" s="307"/>
      <c r="B775" s="307"/>
      <c r="C775" s="307"/>
      <c r="D775" s="307"/>
      <c r="E775" s="307"/>
      <c r="F775" s="307"/>
      <c r="G775" s="307"/>
      <c r="H775" s="307"/>
      <c r="I775" s="307"/>
      <c r="J775" s="307"/>
      <c r="K775" s="307"/>
      <c r="L775" s="307"/>
      <c r="M775" s="307"/>
      <c r="N775" s="307"/>
      <c r="O775" s="307"/>
      <c r="P775" s="307"/>
      <c r="Q775" s="307"/>
      <c r="R775" s="307"/>
      <c r="S775" s="307"/>
      <c r="T775" s="307"/>
      <c r="U775" s="307"/>
      <c r="V775" s="307"/>
      <c r="W775" s="307"/>
      <c r="X775" s="307"/>
      <c r="Y775" s="307"/>
      <c r="Z775" s="307"/>
      <c r="AA775" s="307"/>
      <c r="AB775" s="307"/>
      <c r="AC775" s="307"/>
      <c r="AD775" s="307"/>
      <c r="AE775" s="307"/>
      <c r="AF775" s="307"/>
      <c r="AG775" s="307"/>
      <c r="AH775" s="307"/>
      <c r="AI775" s="307"/>
      <c r="AJ775" s="307"/>
      <c r="AK775" s="307"/>
      <c r="AL775" s="307"/>
      <c r="AM775" s="307"/>
      <c r="AN775" s="307"/>
      <c r="AO775" s="307"/>
      <c r="AP775" s="307"/>
      <c r="AQ775" s="307"/>
      <c r="AR775" s="307"/>
      <c r="AS775" s="307"/>
      <c r="AT775" s="307"/>
      <c r="AU775" s="307"/>
    </row>
    <row r="776" ht="15.75" customHeight="1">
      <c r="A776" s="307"/>
      <c r="B776" s="307"/>
      <c r="C776" s="307"/>
      <c r="D776" s="307"/>
      <c r="E776" s="307"/>
      <c r="F776" s="307"/>
      <c r="G776" s="307"/>
      <c r="H776" s="307"/>
      <c r="I776" s="307"/>
      <c r="J776" s="307"/>
      <c r="K776" s="307"/>
      <c r="L776" s="307"/>
      <c r="M776" s="307"/>
      <c r="N776" s="307"/>
      <c r="O776" s="307"/>
      <c r="P776" s="307"/>
      <c r="Q776" s="307"/>
      <c r="R776" s="307"/>
      <c r="S776" s="307"/>
      <c r="T776" s="307"/>
      <c r="U776" s="307"/>
      <c r="V776" s="307"/>
      <c r="W776" s="307"/>
      <c r="X776" s="307"/>
      <c r="Y776" s="307"/>
      <c r="Z776" s="307"/>
      <c r="AA776" s="307"/>
      <c r="AB776" s="307"/>
      <c r="AC776" s="307"/>
      <c r="AD776" s="307"/>
      <c r="AE776" s="307"/>
      <c r="AF776" s="307"/>
      <c r="AG776" s="307"/>
      <c r="AH776" s="307"/>
      <c r="AI776" s="307"/>
      <c r="AJ776" s="307"/>
      <c r="AK776" s="307"/>
      <c r="AL776" s="307"/>
      <c r="AM776" s="307"/>
      <c r="AN776" s="307"/>
      <c r="AO776" s="307"/>
      <c r="AP776" s="307"/>
      <c r="AQ776" s="307"/>
      <c r="AR776" s="307"/>
      <c r="AS776" s="307"/>
      <c r="AT776" s="307"/>
      <c r="AU776" s="307"/>
    </row>
    <row r="777" ht="15.75" customHeight="1">
      <c r="A777" s="307"/>
      <c r="B777" s="307"/>
      <c r="C777" s="307"/>
      <c r="D777" s="307"/>
      <c r="E777" s="307"/>
      <c r="F777" s="307"/>
      <c r="G777" s="307"/>
      <c r="H777" s="307"/>
      <c r="I777" s="307"/>
      <c r="J777" s="307"/>
      <c r="K777" s="307"/>
      <c r="L777" s="307"/>
      <c r="M777" s="307"/>
      <c r="N777" s="307"/>
      <c r="O777" s="307"/>
      <c r="P777" s="307"/>
      <c r="Q777" s="307"/>
      <c r="R777" s="307"/>
      <c r="S777" s="307"/>
      <c r="T777" s="307"/>
      <c r="U777" s="307"/>
      <c r="V777" s="307"/>
      <c r="W777" s="307"/>
      <c r="X777" s="307"/>
      <c r="Y777" s="307"/>
      <c r="Z777" s="307"/>
      <c r="AA777" s="307"/>
      <c r="AB777" s="307"/>
      <c r="AC777" s="307"/>
      <c r="AD777" s="307"/>
      <c r="AE777" s="307"/>
      <c r="AF777" s="307"/>
      <c r="AG777" s="307"/>
      <c r="AH777" s="307"/>
      <c r="AI777" s="307"/>
      <c r="AJ777" s="307"/>
      <c r="AK777" s="307"/>
      <c r="AL777" s="307"/>
      <c r="AM777" s="307"/>
      <c r="AN777" s="307"/>
      <c r="AO777" s="307"/>
      <c r="AP777" s="307"/>
      <c r="AQ777" s="307"/>
      <c r="AR777" s="307"/>
      <c r="AS777" s="307"/>
      <c r="AT777" s="307"/>
      <c r="AU777" s="307"/>
    </row>
    <row r="778" ht="15.75" customHeight="1">
      <c r="A778" s="307"/>
      <c r="B778" s="307"/>
      <c r="C778" s="307"/>
      <c r="D778" s="307"/>
      <c r="E778" s="307"/>
      <c r="F778" s="307"/>
      <c r="G778" s="307"/>
      <c r="H778" s="307"/>
      <c r="I778" s="307"/>
      <c r="J778" s="307"/>
      <c r="K778" s="307"/>
      <c r="L778" s="307"/>
      <c r="M778" s="307"/>
      <c r="N778" s="307"/>
      <c r="O778" s="307"/>
      <c r="P778" s="307"/>
      <c r="Q778" s="307"/>
      <c r="R778" s="307"/>
      <c r="S778" s="307"/>
      <c r="T778" s="307"/>
      <c r="U778" s="307"/>
      <c r="V778" s="307"/>
      <c r="W778" s="307"/>
      <c r="X778" s="307"/>
      <c r="Y778" s="307"/>
      <c r="Z778" s="307"/>
      <c r="AA778" s="307"/>
      <c r="AB778" s="307"/>
      <c r="AC778" s="307"/>
      <c r="AD778" s="307"/>
      <c r="AE778" s="307"/>
      <c r="AF778" s="307"/>
      <c r="AG778" s="307"/>
      <c r="AH778" s="307"/>
      <c r="AI778" s="307"/>
      <c r="AJ778" s="307"/>
      <c r="AK778" s="307"/>
      <c r="AL778" s="307"/>
      <c r="AM778" s="307"/>
      <c r="AN778" s="307"/>
      <c r="AO778" s="307"/>
      <c r="AP778" s="307"/>
      <c r="AQ778" s="307"/>
      <c r="AR778" s="307"/>
      <c r="AS778" s="307"/>
      <c r="AT778" s="307"/>
      <c r="AU778" s="307"/>
    </row>
    <row r="779" ht="15.75" customHeight="1">
      <c r="A779" s="307"/>
      <c r="B779" s="307"/>
      <c r="C779" s="307"/>
      <c r="D779" s="307"/>
      <c r="E779" s="307"/>
      <c r="F779" s="307"/>
      <c r="G779" s="307"/>
      <c r="H779" s="307"/>
      <c r="I779" s="307"/>
      <c r="J779" s="307"/>
      <c r="K779" s="307"/>
      <c r="L779" s="307"/>
      <c r="M779" s="307"/>
      <c r="N779" s="307"/>
      <c r="O779" s="307"/>
      <c r="P779" s="307"/>
      <c r="Q779" s="307"/>
      <c r="R779" s="307"/>
      <c r="S779" s="307"/>
      <c r="T779" s="307"/>
      <c r="U779" s="307"/>
      <c r="V779" s="307"/>
      <c r="W779" s="307"/>
      <c r="X779" s="307"/>
      <c r="Y779" s="307"/>
      <c r="Z779" s="307"/>
      <c r="AA779" s="307"/>
      <c r="AB779" s="307"/>
      <c r="AC779" s="307"/>
      <c r="AD779" s="307"/>
      <c r="AE779" s="307"/>
      <c r="AF779" s="307"/>
      <c r="AG779" s="307"/>
      <c r="AH779" s="307"/>
      <c r="AI779" s="307"/>
      <c r="AJ779" s="307"/>
      <c r="AK779" s="307"/>
      <c r="AL779" s="307"/>
      <c r="AM779" s="307"/>
      <c r="AN779" s="307"/>
      <c r="AO779" s="307"/>
      <c r="AP779" s="307"/>
      <c r="AQ779" s="307"/>
      <c r="AR779" s="307"/>
      <c r="AS779" s="307"/>
      <c r="AT779" s="307"/>
      <c r="AU779" s="307"/>
    </row>
    <row r="780" ht="15.75" customHeight="1">
      <c r="A780" s="307"/>
      <c r="B780" s="307"/>
      <c r="C780" s="307"/>
      <c r="D780" s="307"/>
      <c r="E780" s="307"/>
      <c r="F780" s="307"/>
      <c r="G780" s="307"/>
      <c r="H780" s="307"/>
      <c r="I780" s="307"/>
      <c r="J780" s="307"/>
      <c r="K780" s="307"/>
      <c r="L780" s="307"/>
      <c r="M780" s="307"/>
      <c r="N780" s="307"/>
      <c r="O780" s="307"/>
      <c r="P780" s="307"/>
      <c r="Q780" s="307"/>
      <c r="R780" s="307"/>
      <c r="S780" s="307"/>
      <c r="T780" s="307"/>
      <c r="U780" s="307"/>
      <c r="V780" s="307"/>
      <c r="W780" s="307"/>
      <c r="X780" s="307"/>
      <c r="Y780" s="307"/>
      <c r="Z780" s="307"/>
      <c r="AA780" s="307"/>
      <c r="AB780" s="307"/>
      <c r="AC780" s="307"/>
      <c r="AD780" s="307"/>
      <c r="AE780" s="307"/>
      <c r="AF780" s="307"/>
      <c r="AG780" s="307"/>
      <c r="AH780" s="307"/>
      <c r="AI780" s="307"/>
      <c r="AJ780" s="307"/>
      <c r="AK780" s="307"/>
      <c r="AL780" s="307"/>
      <c r="AM780" s="307"/>
      <c r="AN780" s="307"/>
      <c r="AO780" s="307"/>
      <c r="AP780" s="307"/>
      <c r="AQ780" s="307"/>
      <c r="AR780" s="307"/>
      <c r="AS780" s="307"/>
      <c r="AT780" s="307"/>
      <c r="AU780" s="307"/>
    </row>
    <row r="781" ht="15.75" customHeight="1">
      <c r="A781" s="307"/>
      <c r="B781" s="307"/>
      <c r="C781" s="307"/>
      <c r="D781" s="307"/>
      <c r="E781" s="307"/>
      <c r="F781" s="307"/>
      <c r="G781" s="307"/>
      <c r="H781" s="307"/>
      <c r="I781" s="307"/>
      <c r="J781" s="307"/>
      <c r="K781" s="307"/>
      <c r="L781" s="307"/>
      <c r="M781" s="307"/>
      <c r="N781" s="307"/>
      <c r="O781" s="307"/>
      <c r="P781" s="307"/>
      <c r="Q781" s="307"/>
      <c r="R781" s="307"/>
      <c r="S781" s="307"/>
      <c r="T781" s="307"/>
      <c r="U781" s="307"/>
      <c r="V781" s="307"/>
      <c r="W781" s="307"/>
      <c r="X781" s="307"/>
      <c r="Y781" s="307"/>
      <c r="Z781" s="307"/>
      <c r="AA781" s="307"/>
      <c r="AB781" s="307"/>
      <c r="AC781" s="307"/>
      <c r="AD781" s="307"/>
      <c r="AE781" s="307"/>
      <c r="AF781" s="307"/>
      <c r="AG781" s="307"/>
      <c r="AH781" s="307"/>
      <c r="AI781" s="307"/>
      <c r="AJ781" s="307"/>
      <c r="AK781" s="307"/>
      <c r="AL781" s="307"/>
      <c r="AM781" s="307"/>
      <c r="AN781" s="307"/>
      <c r="AO781" s="307"/>
      <c r="AP781" s="307"/>
      <c r="AQ781" s="307"/>
      <c r="AR781" s="307"/>
      <c r="AS781" s="307"/>
      <c r="AT781" s="307"/>
      <c r="AU781" s="307"/>
    </row>
    <row r="782" ht="15.75" customHeight="1">
      <c r="A782" s="307"/>
      <c r="B782" s="307"/>
      <c r="C782" s="307"/>
      <c r="D782" s="307"/>
      <c r="E782" s="307"/>
      <c r="F782" s="307"/>
      <c r="G782" s="307"/>
      <c r="H782" s="307"/>
      <c r="I782" s="307"/>
      <c r="J782" s="307"/>
      <c r="K782" s="307"/>
      <c r="L782" s="307"/>
      <c r="M782" s="307"/>
      <c r="N782" s="307"/>
      <c r="O782" s="307"/>
      <c r="P782" s="307"/>
      <c r="Q782" s="307"/>
      <c r="R782" s="307"/>
      <c r="S782" s="307"/>
      <c r="T782" s="307"/>
      <c r="U782" s="307"/>
      <c r="V782" s="307"/>
      <c r="W782" s="307"/>
      <c r="X782" s="307"/>
      <c r="Y782" s="307"/>
      <c r="Z782" s="307"/>
      <c r="AA782" s="307"/>
      <c r="AB782" s="307"/>
      <c r="AC782" s="307"/>
      <c r="AD782" s="307"/>
      <c r="AE782" s="307"/>
      <c r="AF782" s="307"/>
      <c r="AG782" s="307"/>
      <c r="AH782" s="307"/>
      <c r="AI782" s="307"/>
      <c r="AJ782" s="307"/>
      <c r="AK782" s="307"/>
      <c r="AL782" s="307"/>
      <c r="AM782" s="307"/>
      <c r="AN782" s="307"/>
      <c r="AO782" s="307"/>
      <c r="AP782" s="307"/>
      <c r="AQ782" s="307"/>
      <c r="AR782" s="307"/>
      <c r="AS782" s="307"/>
      <c r="AT782" s="307"/>
      <c r="AU782" s="307"/>
    </row>
    <row r="783" ht="15.75" customHeight="1">
      <c r="A783" s="307"/>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c r="AA783" s="307"/>
      <c r="AB783" s="307"/>
      <c r="AC783" s="307"/>
      <c r="AD783" s="307"/>
      <c r="AE783" s="307"/>
      <c r="AF783" s="307"/>
      <c r="AG783" s="307"/>
      <c r="AH783" s="307"/>
      <c r="AI783" s="307"/>
      <c r="AJ783" s="307"/>
      <c r="AK783" s="307"/>
      <c r="AL783" s="307"/>
      <c r="AM783" s="307"/>
      <c r="AN783" s="307"/>
      <c r="AO783" s="307"/>
      <c r="AP783" s="307"/>
      <c r="AQ783" s="307"/>
      <c r="AR783" s="307"/>
      <c r="AS783" s="307"/>
      <c r="AT783" s="307"/>
      <c r="AU783" s="307"/>
    </row>
    <row r="784" ht="15.75" customHeight="1">
      <c r="A784" s="307"/>
      <c r="B784" s="307"/>
      <c r="C784" s="307"/>
      <c r="D784" s="307"/>
      <c r="E784" s="307"/>
      <c r="F784" s="307"/>
      <c r="G784" s="307"/>
      <c r="H784" s="307"/>
      <c r="I784" s="307"/>
      <c r="J784" s="307"/>
      <c r="K784" s="307"/>
      <c r="L784" s="307"/>
      <c r="M784" s="307"/>
      <c r="N784" s="307"/>
      <c r="O784" s="307"/>
      <c r="P784" s="307"/>
      <c r="Q784" s="307"/>
      <c r="R784" s="307"/>
      <c r="S784" s="307"/>
      <c r="T784" s="307"/>
      <c r="U784" s="307"/>
      <c r="V784" s="307"/>
      <c r="W784" s="307"/>
      <c r="X784" s="307"/>
      <c r="Y784" s="307"/>
      <c r="Z784" s="307"/>
      <c r="AA784" s="307"/>
      <c r="AB784" s="307"/>
      <c r="AC784" s="307"/>
      <c r="AD784" s="307"/>
      <c r="AE784" s="307"/>
      <c r="AF784" s="307"/>
      <c r="AG784" s="307"/>
      <c r="AH784" s="307"/>
      <c r="AI784" s="307"/>
      <c r="AJ784" s="307"/>
      <c r="AK784" s="307"/>
      <c r="AL784" s="307"/>
      <c r="AM784" s="307"/>
      <c r="AN784" s="307"/>
      <c r="AO784" s="307"/>
      <c r="AP784" s="307"/>
      <c r="AQ784" s="307"/>
      <c r="AR784" s="307"/>
      <c r="AS784" s="307"/>
      <c r="AT784" s="307"/>
      <c r="AU784" s="307"/>
    </row>
    <row r="785" ht="15.75" customHeight="1">
      <c r="A785" s="307"/>
      <c r="B785" s="307"/>
      <c r="C785" s="307"/>
      <c r="D785" s="307"/>
      <c r="E785" s="307"/>
      <c r="F785" s="307"/>
      <c r="G785" s="307"/>
      <c r="H785" s="307"/>
      <c r="I785" s="307"/>
      <c r="J785" s="307"/>
      <c r="K785" s="307"/>
      <c r="L785" s="307"/>
      <c r="M785" s="307"/>
      <c r="N785" s="307"/>
      <c r="O785" s="307"/>
      <c r="P785" s="307"/>
      <c r="Q785" s="307"/>
      <c r="R785" s="307"/>
      <c r="S785" s="307"/>
      <c r="T785" s="307"/>
      <c r="U785" s="307"/>
      <c r="V785" s="307"/>
      <c r="W785" s="307"/>
      <c r="X785" s="307"/>
      <c r="Y785" s="307"/>
      <c r="Z785" s="307"/>
      <c r="AA785" s="307"/>
      <c r="AB785" s="307"/>
      <c r="AC785" s="307"/>
      <c r="AD785" s="307"/>
      <c r="AE785" s="307"/>
      <c r="AF785" s="307"/>
      <c r="AG785" s="307"/>
      <c r="AH785" s="307"/>
      <c r="AI785" s="307"/>
      <c r="AJ785" s="307"/>
      <c r="AK785" s="307"/>
      <c r="AL785" s="307"/>
      <c r="AM785" s="307"/>
      <c r="AN785" s="307"/>
      <c r="AO785" s="307"/>
      <c r="AP785" s="307"/>
      <c r="AQ785" s="307"/>
      <c r="AR785" s="307"/>
      <c r="AS785" s="307"/>
      <c r="AT785" s="307"/>
      <c r="AU785" s="307"/>
    </row>
    <row r="786" ht="15.75" customHeight="1">
      <c r="A786" s="307"/>
      <c r="B786" s="307"/>
      <c r="C786" s="307"/>
      <c r="D786" s="307"/>
      <c r="E786" s="307"/>
      <c r="F786" s="307"/>
      <c r="G786" s="307"/>
      <c r="H786" s="307"/>
      <c r="I786" s="307"/>
      <c r="J786" s="307"/>
      <c r="K786" s="307"/>
      <c r="L786" s="307"/>
      <c r="M786" s="307"/>
      <c r="N786" s="307"/>
      <c r="O786" s="307"/>
      <c r="P786" s="307"/>
      <c r="Q786" s="307"/>
      <c r="R786" s="307"/>
      <c r="S786" s="307"/>
      <c r="T786" s="307"/>
      <c r="U786" s="307"/>
      <c r="V786" s="307"/>
      <c r="W786" s="307"/>
      <c r="X786" s="307"/>
      <c r="Y786" s="307"/>
      <c r="Z786" s="307"/>
      <c r="AA786" s="307"/>
      <c r="AB786" s="307"/>
      <c r="AC786" s="307"/>
      <c r="AD786" s="307"/>
      <c r="AE786" s="307"/>
      <c r="AF786" s="307"/>
      <c r="AG786" s="307"/>
      <c r="AH786" s="307"/>
      <c r="AI786" s="307"/>
      <c r="AJ786" s="307"/>
      <c r="AK786" s="307"/>
      <c r="AL786" s="307"/>
      <c r="AM786" s="307"/>
      <c r="AN786" s="307"/>
      <c r="AO786" s="307"/>
      <c r="AP786" s="307"/>
      <c r="AQ786" s="307"/>
      <c r="AR786" s="307"/>
      <c r="AS786" s="307"/>
      <c r="AT786" s="307"/>
      <c r="AU786" s="307"/>
    </row>
    <row r="787" ht="15.75" customHeight="1">
      <c r="A787" s="307"/>
      <c r="B787" s="307"/>
      <c r="C787" s="307"/>
      <c r="D787" s="307"/>
      <c r="E787" s="307"/>
      <c r="F787" s="307"/>
      <c r="G787" s="307"/>
      <c r="H787" s="307"/>
      <c r="I787" s="307"/>
      <c r="J787" s="307"/>
      <c r="K787" s="307"/>
      <c r="L787" s="307"/>
      <c r="M787" s="307"/>
      <c r="N787" s="307"/>
      <c r="O787" s="307"/>
      <c r="P787" s="307"/>
      <c r="Q787" s="307"/>
      <c r="R787" s="307"/>
      <c r="S787" s="307"/>
      <c r="T787" s="307"/>
      <c r="U787" s="307"/>
      <c r="V787" s="307"/>
      <c r="W787" s="307"/>
      <c r="X787" s="307"/>
      <c r="Y787" s="307"/>
      <c r="Z787" s="307"/>
      <c r="AA787" s="307"/>
      <c r="AB787" s="307"/>
      <c r="AC787" s="307"/>
      <c r="AD787" s="307"/>
      <c r="AE787" s="307"/>
      <c r="AF787" s="307"/>
      <c r="AG787" s="307"/>
      <c r="AH787" s="307"/>
      <c r="AI787" s="307"/>
      <c r="AJ787" s="307"/>
      <c r="AK787" s="307"/>
      <c r="AL787" s="307"/>
      <c r="AM787" s="307"/>
      <c r="AN787" s="307"/>
      <c r="AO787" s="307"/>
      <c r="AP787" s="307"/>
      <c r="AQ787" s="307"/>
      <c r="AR787" s="307"/>
      <c r="AS787" s="307"/>
      <c r="AT787" s="307"/>
      <c r="AU787" s="307"/>
    </row>
    <row r="788" ht="15.75" customHeight="1">
      <c r="A788" s="307"/>
      <c r="B788" s="307"/>
      <c r="C788" s="307"/>
      <c r="D788" s="307"/>
      <c r="E788" s="307"/>
      <c r="F788" s="307"/>
      <c r="G788" s="307"/>
      <c r="H788" s="307"/>
      <c r="I788" s="307"/>
      <c r="J788" s="307"/>
      <c r="K788" s="307"/>
      <c r="L788" s="307"/>
      <c r="M788" s="307"/>
      <c r="N788" s="307"/>
      <c r="O788" s="307"/>
      <c r="P788" s="307"/>
      <c r="Q788" s="307"/>
      <c r="R788" s="307"/>
      <c r="S788" s="307"/>
      <c r="T788" s="307"/>
      <c r="U788" s="307"/>
      <c r="V788" s="307"/>
      <c r="W788" s="307"/>
      <c r="X788" s="307"/>
      <c r="Y788" s="307"/>
      <c r="Z788" s="307"/>
      <c r="AA788" s="307"/>
      <c r="AB788" s="307"/>
      <c r="AC788" s="307"/>
      <c r="AD788" s="307"/>
      <c r="AE788" s="307"/>
      <c r="AF788" s="307"/>
      <c r="AG788" s="307"/>
      <c r="AH788" s="307"/>
      <c r="AI788" s="307"/>
      <c r="AJ788" s="307"/>
      <c r="AK788" s="307"/>
      <c r="AL788" s="307"/>
      <c r="AM788" s="307"/>
      <c r="AN788" s="307"/>
      <c r="AO788" s="307"/>
      <c r="AP788" s="307"/>
      <c r="AQ788" s="307"/>
      <c r="AR788" s="307"/>
      <c r="AS788" s="307"/>
      <c r="AT788" s="307"/>
      <c r="AU788" s="307"/>
    </row>
    <row r="789" ht="15.75" customHeight="1">
      <c r="A789" s="307"/>
      <c r="B789" s="307"/>
      <c r="C789" s="307"/>
      <c r="D789" s="307"/>
      <c r="E789" s="307"/>
      <c r="F789" s="307"/>
      <c r="G789" s="307"/>
      <c r="H789" s="307"/>
      <c r="I789" s="307"/>
      <c r="J789" s="307"/>
      <c r="K789" s="307"/>
      <c r="L789" s="307"/>
      <c r="M789" s="307"/>
      <c r="N789" s="307"/>
      <c r="O789" s="307"/>
      <c r="P789" s="307"/>
      <c r="Q789" s="307"/>
      <c r="R789" s="307"/>
      <c r="S789" s="307"/>
      <c r="T789" s="307"/>
      <c r="U789" s="307"/>
      <c r="V789" s="307"/>
      <c r="W789" s="307"/>
      <c r="X789" s="307"/>
      <c r="Y789" s="307"/>
      <c r="Z789" s="307"/>
      <c r="AA789" s="307"/>
      <c r="AB789" s="307"/>
      <c r="AC789" s="307"/>
      <c r="AD789" s="307"/>
      <c r="AE789" s="307"/>
      <c r="AF789" s="307"/>
      <c r="AG789" s="307"/>
      <c r="AH789" s="307"/>
      <c r="AI789" s="307"/>
      <c r="AJ789" s="307"/>
      <c r="AK789" s="307"/>
      <c r="AL789" s="307"/>
      <c r="AM789" s="307"/>
      <c r="AN789" s="307"/>
      <c r="AO789" s="307"/>
      <c r="AP789" s="307"/>
      <c r="AQ789" s="307"/>
      <c r="AR789" s="307"/>
      <c r="AS789" s="307"/>
      <c r="AT789" s="307"/>
      <c r="AU789" s="307"/>
    </row>
    <row r="790" ht="15.75" customHeight="1">
      <c r="A790" s="307"/>
      <c r="B790" s="307"/>
      <c r="C790" s="307"/>
      <c r="D790" s="307"/>
      <c r="E790" s="307"/>
      <c r="F790" s="307"/>
      <c r="G790" s="307"/>
      <c r="H790" s="307"/>
      <c r="I790" s="307"/>
      <c r="J790" s="307"/>
      <c r="K790" s="307"/>
      <c r="L790" s="307"/>
      <c r="M790" s="307"/>
      <c r="N790" s="307"/>
      <c r="O790" s="307"/>
      <c r="P790" s="307"/>
      <c r="Q790" s="307"/>
      <c r="R790" s="307"/>
      <c r="S790" s="307"/>
      <c r="T790" s="307"/>
      <c r="U790" s="307"/>
      <c r="V790" s="307"/>
      <c r="W790" s="307"/>
      <c r="X790" s="307"/>
      <c r="Y790" s="307"/>
      <c r="Z790" s="307"/>
      <c r="AA790" s="307"/>
      <c r="AB790" s="307"/>
      <c r="AC790" s="307"/>
      <c r="AD790" s="307"/>
      <c r="AE790" s="307"/>
      <c r="AF790" s="307"/>
      <c r="AG790" s="307"/>
      <c r="AH790" s="307"/>
      <c r="AI790" s="307"/>
      <c r="AJ790" s="307"/>
      <c r="AK790" s="307"/>
      <c r="AL790" s="307"/>
      <c r="AM790" s="307"/>
      <c r="AN790" s="307"/>
      <c r="AO790" s="307"/>
      <c r="AP790" s="307"/>
      <c r="AQ790" s="307"/>
      <c r="AR790" s="307"/>
      <c r="AS790" s="307"/>
      <c r="AT790" s="307"/>
      <c r="AU790" s="307"/>
    </row>
    <row r="791" ht="15.75" customHeight="1">
      <c r="A791" s="307"/>
      <c r="B791" s="307"/>
      <c r="C791" s="307"/>
      <c r="D791" s="307"/>
      <c r="E791" s="307"/>
      <c r="F791" s="307"/>
      <c r="G791" s="307"/>
      <c r="H791" s="307"/>
      <c r="I791" s="307"/>
      <c r="J791" s="307"/>
      <c r="K791" s="307"/>
      <c r="L791" s="307"/>
      <c r="M791" s="307"/>
      <c r="N791" s="307"/>
      <c r="O791" s="307"/>
      <c r="P791" s="307"/>
      <c r="Q791" s="307"/>
      <c r="R791" s="307"/>
      <c r="S791" s="307"/>
      <c r="T791" s="307"/>
      <c r="U791" s="307"/>
      <c r="V791" s="307"/>
      <c r="W791" s="307"/>
      <c r="X791" s="307"/>
      <c r="Y791" s="307"/>
      <c r="Z791" s="307"/>
      <c r="AA791" s="307"/>
      <c r="AB791" s="307"/>
      <c r="AC791" s="307"/>
      <c r="AD791" s="307"/>
      <c r="AE791" s="307"/>
      <c r="AF791" s="307"/>
      <c r="AG791" s="307"/>
      <c r="AH791" s="307"/>
      <c r="AI791" s="307"/>
      <c r="AJ791" s="307"/>
      <c r="AK791" s="307"/>
      <c r="AL791" s="307"/>
      <c r="AM791" s="307"/>
      <c r="AN791" s="307"/>
      <c r="AO791" s="307"/>
      <c r="AP791" s="307"/>
      <c r="AQ791" s="307"/>
      <c r="AR791" s="307"/>
      <c r="AS791" s="307"/>
      <c r="AT791" s="307"/>
      <c r="AU791" s="307"/>
    </row>
    <row r="792" ht="15.75" customHeight="1">
      <c r="A792" s="307"/>
      <c r="B792" s="307"/>
      <c r="C792" s="307"/>
      <c r="D792" s="307"/>
      <c r="E792" s="307"/>
      <c r="F792" s="307"/>
      <c r="G792" s="307"/>
      <c r="H792" s="307"/>
      <c r="I792" s="307"/>
      <c r="J792" s="307"/>
      <c r="K792" s="307"/>
      <c r="L792" s="307"/>
      <c r="M792" s="307"/>
      <c r="N792" s="307"/>
      <c r="O792" s="307"/>
      <c r="P792" s="307"/>
      <c r="Q792" s="307"/>
      <c r="R792" s="307"/>
      <c r="S792" s="307"/>
      <c r="T792" s="307"/>
      <c r="U792" s="307"/>
      <c r="V792" s="307"/>
      <c r="W792" s="307"/>
      <c r="X792" s="307"/>
      <c r="Y792" s="307"/>
      <c r="Z792" s="307"/>
      <c r="AA792" s="307"/>
      <c r="AB792" s="307"/>
      <c r="AC792" s="307"/>
      <c r="AD792" s="307"/>
      <c r="AE792" s="307"/>
      <c r="AF792" s="307"/>
      <c r="AG792" s="307"/>
      <c r="AH792" s="307"/>
      <c r="AI792" s="307"/>
      <c r="AJ792" s="307"/>
      <c r="AK792" s="307"/>
      <c r="AL792" s="307"/>
      <c r="AM792" s="307"/>
      <c r="AN792" s="307"/>
      <c r="AO792" s="307"/>
      <c r="AP792" s="307"/>
      <c r="AQ792" s="307"/>
      <c r="AR792" s="307"/>
      <c r="AS792" s="307"/>
      <c r="AT792" s="307"/>
      <c r="AU792" s="307"/>
    </row>
    <row r="793" ht="15.75" customHeight="1">
      <c r="A793" s="307"/>
      <c r="B793" s="307"/>
      <c r="C793" s="307"/>
      <c r="D793" s="307"/>
      <c r="E793" s="307"/>
      <c r="F793" s="307"/>
      <c r="G793" s="307"/>
      <c r="H793" s="307"/>
      <c r="I793" s="307"/>
      <c r="J793" s="307"/>
      <c r="K793" s="307"/>
      <c r="L793" s="307"/>
      <c r="M793" s="307"/>
      <c r="N793" s="307"/>
      <c r="O793" s="307"/>
      <c r="P793" s="307"/>
      <c r="Q793" s="307"/>
      <c r="R793" s="307"/>
      <c r="S793" s="307"/>
      <c r="T793" s="307"/>
      <c r="U793" s="307"/>
      <c r="V793" s="307"/>
      <c r="W793" s="307"/>
      <c r="X793" s="307"/>
      <c r="Y793" s="307"/>
      <c r="Z793" s="307"/>
      <c r="AA793" s="307"/>
      <c r="AB793" s="307"/>
      <c r="AC793" s="307"/>
      <c r="AD793" s="307"/>
      <c r="AE793" s="307"/>
      <c r="AF793" s="307"/>
      <c r="AG793" s="307"/>
      <c r="AH793" s="307"/>
      <c r="AI793" s="307"/>
      <c r="AJ793" s="307"/>
      <c r="AK793" s="307"/>
      <c r="AL793" s="307"/>
      <c r="AM793" s="307"/>
      <c r="AN793" s="307"/>
      <c r="AO793" s="307"/>
      <c r="AP793" s="307"/>
      <c r="AQ793" s="307"/>
      <c r="AR793" s="307"/>
      <c r="AS793" s="307"/>
      <c r="AT793" s="307"/>
      <c r="AU793" s="307"/>
    </row>
    <row r="794" ht="15.75" customHeight="1">
      <c r="A794" s="307"/>
      <c r="B794" s="307"/>
      <c r="C794" s="307"/>
      <c r="D794" s="307"/>
      <c r="E794" s="307"/>
      <c r="F794" s="307"/>
      <c r="G794" s="307"/>
      <c r="H794" s="307"/>
      <c r="I794" s="307"/>
      <c r="J794" s="307"/>
      <c r="K794" s="307"/>
      <c r="L794" s="307"/>
      <c r="M794" s="307"/>
      <c r="N794" s="307"/>
      <c r="O794" s="307"/>
      <c r="P794" s="307"/>
      <c r="Q794" s="307"/>
      <c r="R794" s="307"/>
      <c r="S794" s="307"/>
      <c r="T794" s="307"/>
      <c r="U794" s="307"/>
      <c r="V794" s="307"/>
      <c r="W794" s="307"/>
      <c r="X794" s="307"/>
      <c r="Y794" s="307"/>
      <c r="Z794" s="307"/>
      <c r="AA794" s="307"/>
      <c r="AB794" s="307"/>
      <c r="AC794" s="307"/>
      <c r="AD794" s="307"/>
      <c r="AE794" s="307"/>
      <c r="AF794" s="307"/>
      <c r="AG794" s="307"/>
      <c r="AH794" s="307"/>
      <c r="AI794" s="307"/>
      <c r="AJ794" s="307"/>
      <c r="AK794" s="307"/>
      <c r="AL794" s="307"/>
      <c r="AM794" s="307"/>
      <c r="AN794" s="307"/>
      <c r="AO794" s="307"/>
      <c r="AP794" s="307"/>
      <c r="AQ794" s="307"/>
      <c r="AR794" s="307"/>
      <c r="AS794" s="307"/>
      <c r="AT794" s="307"/>
      <c r="AU794" s="307"/>
    </row>
    <row r="795" ht="15.75" customHeight="1">
      <c r="A795" s="307"/>
      <c r="B795" s="307"/>
      <c r="C795" s="307"/>
      <c r="D795" s="307"/>
      <c r="E795" s="307"/>
      <c r="F795" s="307"/>
      <c r="G795" s="307"/>
      <c r="H795" s="307"/>
      <c r="I795" s="307"/>
      <c r="J795" s="307"/>
      <c r="K795" s="307"/>
      <c r="L795" s="307"/>
      <c r="M795" s="307"/>
      <c r="N795" s="307"/>
      <c r="O795" s="307"/>
      <c r="P795" s="307"/>
      <c r="Q795" s="307"/>
      <c r="R795" s="307"/>
      <c r="S795" s="307"/>
      <c r="T795" s="307"/>
      <c r="U795" s="307"/>
      <c r="V795" s="307"/>
      <c r="W795" s="307"/>
      <c r="X795" s="307"/>
      <c r="Y795" s="307"/>
      <c r="Z795" s="307"/>
      <c r="AA795" s="307"/>
      <c r="AB795" s="307"/>
      <c r="AC795" s="307"/>
      <c r="AD795" s="307"/>
      <c r="AE795" s="307"/>
      <c r="AF795" s="307"/>
      <c r="AG795" s="307"/>
      <c r="AH795" s="307"/>
      <c r="AI795" s="307"/>
      <c r="AJ795" s="307"/>
      <c r="AK795" s="307"/>
      <c r="AL795" s="307"/>
      <c r="AM795" s="307"/>
      <c r="AN795" s="307"/>
      <c r="AO795" s="307"/>
      <c r="AP795" s="307"/>
      <c r="AQ795" s="307"/>
      <c r="AR795" s="307"/>
      <c r="AS795" s="307"/>
      <c r="AT795" s="307"/>
      <c r="AU795" s="307"/>
    </row>
    <row r="796" ht="15.75" customHeight="1">
      <c r="A796" s="307"/>
      <c r="B796" s="307"/>
      <c r="C796" s="307"/>
      <c r="D796" s="307"/>
      <c r="E796" s="307"/>
      <c r="F796" s="307"/>
      <c r="G796" s="307"/>
      <c r="H796" s="307"/>
      <c r="I796" s="307"/>
      <c r="J796" s="307"/>
      <c r="K796" s="307"/>
      <c r="L796" s="307"/>
      <c r="M796" s="307"/>
      <c r="N796" s="307"/>
      <c r="O796" s="307"/>
      <c r="P796" s="307"/>
      <c r="Q796" s="307"/>
      <c r="R796" s="307"/>
      <c r="S796" s="307"/>
      <c r="T796" s="307"/>
      <c r="U796" s="307"/>
      <c r="V796" s="307"/>
      <c r="W796" s="307"/>
      <c r="X796" s="307"/>
      <c r="Y796" s="307"/>
      <c r="Z796" s="307"/>
      <c r="AA796" s="307"/>
      <c r="AB796" s="307"/>
      <c r="AC796" s="307"/>
      <c r="AD796" s="307"/>
      <c r="AE796" s="307"/>
      <c r="AF796" s="307"/>
      <c r="AG796" s="307"/>
      <c r="AH796" s="307"/>
      <c r="AI796" s="307"/>
      <c r="AJ796" s="307"/>
      <c r="AK796" s="307"/>
      <c r="AL796" s="307"/>
      <c r="AM796" s="307"/>
      <c r="AN796" s="307"/>
      <c r="AO796" s="307"/>
      <c r="AP796" s="307"/>
      <c r="AQ796" s="307"/>
      <c r="AR796" s="307"/>
      <c r="AS796" s="307"/>
      <c r="AT796" s="307"/>
      <c r="AU796" s="307"/>
    </row>
    <row r="797" ht="15.75" customHeight="1">
      <c r="A797" s="307"/>
      <c r="B797" s="307"/>
      <c r="C797" s="307"/>
      <c r="D797" s="307"/>
      <c r="E797" s="307"/>
      <c r="F797" s="307"/>
      <c r="G797" s="307"/>
      <c r="H797" s="307"/>
      <c r="I797" s="307"/>
      <c r="J797" s="307"/>
      <c r="K797" s="307"/>
      <c r="L797" s="307"/>
      <c r="M797" s="307"/>
      <c r="N797" s="307"/>
      <c r="O797" s="307"/>
      <c r="P797" s="307"/>
      <c r="Q797" s="307"/>
      <c r="R797" s="307"/>
      <c r="S797" s="307"/>
      <c r="T797" s="307"/>
      <c r="U797" s="307"/>
      <c r="V797" s="307"/>
      <c r="W797" s="307"/>
      <c r="X797" s="307"/>
      <c r="Y797" s="307"/>
      <c r="Z797" s="307"/>
      <c r="AA797" s="307"/>
      <c r="AB797" s="307"/>
      <c r="AC797" s="307"/>
      <c r="AD797" s="307"/>
      <c r="AE797" s="307"/>
      <c r="AF797" s="307"/>
      <c r="AG797" s="307"/>
      <c r="AH797" s="307"/>
      <c r="AI797" s="307"/>
      <c r="AJ797" s="307"/>
      <c r="AK797" s="307"/>
      <c r="AL797" s="307"/>
      <c r="AM797" s="307"/>
      <c r="AN797" s="307"/>
      <c r="AO797" s="307"/>
      <c r="AP797" s="307"/>
      <c r="AQ797" s="307"/>
      <c r="AR797" s="307"/>
      <c r="AS797" s="307"/>
      <c r="AT797" s="307"/>
      <c r="AU797" s="307"/>
    </row>
    <row r="798" ht="15.75" customHeight="1">
      <c r="A798" s="307"/>
      <c r="B798" s="307"/>
      <c r="C798" s="307"/>
      <c r="D798" s="307"/>
      <c r="E798" s="307"/>
      <c r="F798" s="307"/>
      <c r="G798" s="307"/>
      <c r="H798" s="307"/>
      <c r="I798" s="307"/>
      <c r="J798" s="307"/>
      <c r="K798" s="307"/>
      <c r="L798" s="307"/>
      <c r="M798" s="307"/>
      <c r="N798" s="307"/>
      <c r="O798" s="307"/>
      <c r="P798" s="307"/>
      <c r="Q798" s="307"/>
      <c r="R798" s="307"/>
      <c r="S798" s="307"/>
      <c r="T798" s="307"/>
      <c r="U798" s="307"/>
      <c r="V798" s="307"/>
      <c r="W798" s="307"/>
      <c r="X798" s="307"/>
      <c r="Y798" s="307"/>
      <c r="Z798" s="307"/>
      <c r="AA798" s="307"/>
      <c r="AB798" s="307"/>
      <c r="AC798" s="307"/>
      <c r="AD798" s="307"/>
      <c r="AE798" s="307"/>
      <c r="AF798" s="307"/>
      <c r="AG798" s="307"/>
      <c r="AH798" s="307"/>
      <c r="AI798" s="307"/>
      <c r="AJ798" s="307"/>
      <c r="AK798" s="307"/>
      <c r="AL798" s="307"/>
      <c r="AM798" s="307"/>
      <c r="AN798" s="307"/>
      <c r="AO798" s="307"/>
      <c r="AP798" s="307"/>
      <c r="AQ798" s="307"/>
      <c r="AR798" s="307"/>
      <c r="AS798" s="307"/>
      <c r="AT798" s="307"/>
      <c r="AU798" s="307"/>
    </row>
    <row r="799" ht="15.75" customHeight="1">
      <c r="A799" s="307"/>
      <c r="B799" s="307"/>
      <c r="C799" s="307"/>
      <c r="D799" s="307"/>
      <c r="E799" s="307"/>
      <c r="F799" s="307"/>
      <c r="G799" s="307"/>
      <c r="H799" s="307"/>
      <c r="I799" s="307"/>
      <c r="J799" s="307"/>
      <c r="K799" s="307"/>
      <c r="L799" s="307"/>
      <c r="M799" s="307"/>
      <c r="N799" s="307"/>
      <c r="O799" s="307"/>
      <c r="P799" s="307"/>
      <c r="Q799" s="307"/>
      <c r="R799" s="307"/>
      <c r="S799" s="307"/>
      <c r="T799" s="307"/>
      <c r="U799" s="307"/>
      <c r="V799" s="307"/>
      <c r="W799" s="307"/>
      <c r="X799" s="307"/>
      <c r="Y799" s="307"/>
      <c r="Z799" s="307"/>
      <c r="AA799" s="307"/>
      <c r="AB799" s="307"/>
      <c r="AC799" s="307"/>
      <c r="AD799" s="307"/>
      <c r="AE799" s="307"/>
      <c r="AF799" s="307"/>
      <c r="AG799" s="307"/>
      <c r="AH799" s="307"/>
      <c r="AI799" s="307"/>
      <c r="AJ799" s="307"/>
      <c r="AK799" s="307"/>
      <c r="AL799" s="307"/>
      <c r="AM799" s="307"/>
      <c r="AN799" s="307"/>
      <c r="AO799" s="307"/>
      <c r="AP799" s="307"/>
      <c r="AQ799" s="307"/>
      <c r="AR799" s="307"/>
      <c r="AS799" s="307"/>
      <c r="AT799" s="307"/>
      <c r="AU799" s="307"/>
    </row>
    <row r="800" ht="15.75" customHeight="1">
      <c r="A800" s="307"/>
      <c r="B800" s="307"/>
      <c r="C800" s="307"/>
      <c r="D800" s="307"/>
      <c r="E800" s="307"/>
      <c r="F800" s="307"/>
      <c r="G800" s="307"/>
      <c r="H800" s="307"/>
      <c r="I800" s="307"/>
      <c r="J800" s="307"/>
      <c r="K800" s="307"/>
      <c r="L800" s="307"/>
      <c r="M800" s="307"/>
      <c r="N800" s="307"/>
      <c r="O800" s="307"/>
      <c r="P800" s="307"/>
      <c r="Q800" s="307"/>
      <c r="R800" s="307"/>
      <c r="S800" s="307"/>
      <c r="T800" s="307"/>
      <c r="U800" s="307"/>
      <c r="V800" s="307"/>
      <c r="W800" s="307"/>
      <c r="X800" s="307"/>
      <c r="Y800" s="307"/>
      <c r="Z800" s="307"/>
      <c r="AA800" s="307"/>
      <c r="AB800" s="307"/>
      <c r="AC800" s="307"/>
      <c r="AD800" s="307"/>
      <c r="AE800" s="307"/>
      <c r="AF800" s="307"/>
      <c r="AG800" s="307"/>
      <c r="AH800" s="307"/>
      <c r="AI800" s="307"/>
      <c r="AJ800" s="307"/>
      <c r="AK800" s="307"/>
      <c r="AL800" s="307"/>
      <c r="AM800" s="307"/>
      <c r="AN800" s="307"/>
      <c r="AO800" s="307"/>
      <c r="AP800" s="307"/>
      <c r="AQ800" s="307"/>
      <c r="AR800" s="307"/>
      <c r="AS800" s="307"/>
      <c r="AT800" s="307"/>
      <c r="AU800" s="307"/>
    </row>
    <row r="801" ht="15.75" customHeight="1">
      <c r="A801" s="307"/>
      <c r="B801" s="307"/>
      <c r="C801" s="307"/>
      <c r="D801" s="307"/>
      <c r="E801" s="307"/>
      <c r="F801" s="307"/>
      <c r="G801" s="307"/>
      <c r="H801" s="307"/>
      <c r="I801" s="307"/>
      <c r="J801" s="307"/>
      <c r="K801" s="307"/>
      <c r="L801" s="307"/>
      <c r="M801" s="307"/>
      <c r="N801" s="307"/>
      <c r="O801" s="307"/>
      <c r="P801" s="307"/>
      <c r="Q801" s="307"/>
      <c r="R801" s="307"/>
      <c r="S801" s="307"/>
      <c r="T801" s="307"/>
      <c r="U801" s="307"/>
      <c r="V801" s="307"/>
      <c r="W801" s="307"/>
      <c r="X801" s="307"/>
      <c r="Y801" s="307"/>
      <c r="Z801" s="307"/>
      <c r="AA801" s="307"/>
      <c r="AB801" s="307"/>
      <c r="AC801" s="307"/>
      <c r="AD801" s="307"/>
      <c r="AE801" s="307"/>
      <c r="AF801" s="307"/>
      <c r="AG801" s="307"/>
      <c r="AH801" s="307"/>
      <c r="AI801" s="307"/>
      <c r="AJ801" s="307"/>
      <c r="AK801" s="307"/>
      <c r="AL801" s="307"/>
      <c r="AM801" s="307"/>
      <c r="AN801" s="307"/>
      <c r="AO801" s="307"/>
      <c r="AP801" s="307"/>
      <c r="AQ801" s="307"/>
      <c r="AR801" s="307"/>
      <c r="AS801" s="307"/>
      <c r="AT801" s="307"/>
      <c r="AU801" s="307"/>
    </row>
    <row r="802" ht="15.75" customHeight="1">
      <c r="A802" s="307"/>
      <c r="B802" s="307"/>
      <c r="C802" s="307"/>
      <c r="D802" s="307"/>
      <c r="E802" s="307"/>
      <c r="F802" s="307"/>
      <c r="G802" s="307"/>
      <c r="H802" s="307"/>
      <c r="I802" s="307"/>
      <c r="J802" s="307"/>
      <c r="K802" s="307"/>
      <c r="L802" s="307"/>
      <c r="M802" s="307"/>
      <c r="N802" s="307"/>
      <c r="O802" s="307"/>
      <c r="P802" s="307"/>
      <c r="Q802" s="307"/>
      <c r="R802" s="307"/>
      <c r="S802" s="307"/>
      <c r="T802" s="307"/>
      <c r="U802" s="307"/>
      <c r="V802" s="307"/>
      <c r="W802" s="307"/>
      <c r="X802" s="307"/>
      <c r="Y802" s="307"/>
      <c r="Z802" s="307"/>
      <c r="AA802" s="307"/>
      <c r="AB802" s="307"/>
      <c r="AC802" s="307"/>
      <c r="AD802" s="307"/>
      <c r="AE802" s="307"/>
      <c r="AF802" s="307"/>
      <c r="AG802" s="307"/>
      <c r="AH802" s="307"/>
      <c r="AI802" s="307"/>
      <c r="AJ802" s="307"/>
      <c r="AK802" s="307"/>
      <c r="AL802" s="307"/>
      <c r="AM802" s="307"/>
      <c r="AN802" s="307"/>
      <c r="AO802" s="307"/>
      <c r="AP802" s="307"/>
      <c r="AQ802" s="307"/>
      <c r="AR802" s="307"/>
      <c r="AS802" s="307"/>
      <c r="AT802" s="307"/>
      <c r="AU802" s="307"/>
    </row>
    <row r="803" ht="15.75" customHeight="1">
      <c r="A803" s="307"/>
      <c r="B803" s="307"/>
      <c r="C803" s="307"/>
      <c r="D803" s="307"/>
      <c r="E803" s="307"/>
      <c r="F803" s="307"/>
      <c r="G803" s="307"/>
      <c r="H803" s="307"/>
      <c r="I803" s="307"/>
      <c r="J803" s="307"/>
      <c r="K803" s="307"/>
      <c r="L803" s="307"/>
      <c r="M803" s="307"/>
      <c r="N803" s="307"/>
      <c r="O803" s="307"/>
      <c r="P803" s="307"/>
      <c r="Q803" s="307"/>
      <c r="R803" s="307"/>
      <c r="S803" s="307"/>
      <c r="T803" s="307"/>
      <c r="U803" s="307"/>
      <c r="V803" s="307"/>
      <c r="W803" s="307"/>
      <c r="X803" s="307"/>
      <c r="Y803" s="307"/>
      <c r="Z803" s="307"/>
      <c r="AA803" s="307"/>
      <c r="AB803" s="307"/>
      <c r="AC803" s="307"/>
      <c r="AD803" s="307"/>
      <c r="AE803" s="307"/>
      <c r="AF803" s="307"/>
      <c r="AG803" s="307"/>
      <c r="AH803" s="307"/>
      <c r="AI803" s="307"/>
      <c r="AJ803" s="307"/>
      <c r="AK803" s="307"/>
      <c r="AL803" s="307"/>
      <c r="AM803" s="307"/>
      <c r="AN803" s="307"/>
      <c r="AO803" s="307"/>
      <c r="AP803" s="307"/>
      <c r="AQ803" s="307"/>
      <c r="AR803" s="307"/>
      <c r="AS803" s="307"/>
      <c r="AT803" s="307"/>
      <c r="AU803" s="307"/>
    </row>
    <row r="804" ht="15.75" customHeight="1">
      <c r="A804" s="307"/>
      <c r="B804" s="307"/>
      <c r="C804" s="307"/>
      <c r="D804" s="307"/>
      <c r="E804" s="307"/>
      <c r="F804" s="307"/>
      <c r="G804" s="307"/>
      <c r="H804" s="307"/>
      <c r="I804" s="307"/>
      <c r="J804" s="307"/>
      <c r="K804" s="307"/>
      <c r="L804" s="307"/>
      <c r="M804" s="307"/>
      <c r="N804" s="307"/>
      <c r="O804" s="307"/>
      <c r="P804" s="307"/>
      <c r="Q804" s="307"/>
      <c r="R804" s="307"/>
      <c r="S804" s="307"/>
      <c r="T804" s="307"/>
      <c r="U804" s="307"/>
      <c r="V804" s="307"/>
      <c r="W804" s="307"/>
      <c r="X804" s="307"/>
      <c r="Y804" s="307"/>
      <c r="Z804" s="307"/>
      <c r="AA804" s="307"/>
      <c r="AB804" s="307"/>
      <c r="AC804" s="307"/>
      <c r="AD804" s="307"/>
      <c r="AE804" s="307"/>
      <c r="AF804" s="307"/>
      <c r="AG804" s="307"/>
      <c r="AH804" s="307"/>
      <c r="AI804" s="307"/>
      <c r="AJ804" s="307"/>
      <c r="AK804" s="307"/>
      <c r="AL804" s="307"/>
      <c r="AM804" s="307"/>
      <c r="AN804" s="307"/>
      <c r="AO804" s="307"/>
      <c r="AP804" s="307"/>
      <c r="AQ804" s="307"/>
      <c r="AR804" s="307"/>
      <c r="AS804" s="307"/>
      <c r="AT804" s="307"/>
      <c r="AU804" s="307"/>
    </row>
    <row r="805" ht="15.75" customHeight="1">
      <c r="A805" s="307"/>
      <c r="B805" s="307"/>
      <c r="C805" s="307"/>
      <c r="D805" s="307"/>
      <c r="E805" s="307"/>
      <c r="F805" s="307"/>
      <c r="G805" s="307"/>
      <c r="H805" s="307"/>
      <c r="I805" s="307"/>
      <c r="J805" s="307"/>
      <c r="K805" s="307"/>
      <c r="L805" s="307"/>
      <c r="M805" s="307"/>
      <c r="N805" s="307"/>
      <c r="O805" s="307"/>
      <c r="P805" s="307"/>
      <c r="Q805" s="307"/>
      <c r="R805" s="307"/>
      <c r="S805" s="307"/>
      <c r="T805" s="307"/>
      <c r="U805" s="307"/>
      <c r="V805" s="307"/>
      <c r="W805" s="307"/>
      <c r="X805" s="307"/>
      <c r="Y805" s="307"/>
      <c r="Z805" s="307"/>
      <c r="AA805" s="307"/>
      <c r="AB805" s="307"/>
      <c r="AC805" s="307"/>
      <c r="AD805" s="307"/>
      <c r="AE805" s="307"/>
      <c r="AF805" s="307"/>
      <c r="AG805" s="307"/>
      <c r="AH805" s="307"/>
      <c r="AI805" s="307"/>
      <c r="AJ805" s="307"/>
      <c r="AK805" s="307"/>
      <c r="AL805" s="307"/>
      <c r="AM805" s="307"/>
      <c r="AN805" s="307"/>
      <c r="AO805" s="307"/>
      <c r="AP805" s="307"/>
      <c r="AQ805" s="307"/>
      <c r="AR805" s="307"/>
      <c r="AS805" s="307"/>
      <c r="AT805" s="307"/>
      <c r="AU805" s="307"/>
    </row>
    <row r="806" ht="15.75" customHeight="1">
      <c r="A806" s="307"/>
      <c r="B806" s="307"/>
      <c r="C806" s="307"/>
      <c r="D806" s="307"/>
      <c r="E806" s="307"/>
      <c r="F806" s="307"/>
      <c r="G806" s="307"/>
      <c r="H806" s="307"/>
      <c r="I806" s="307"/>
      <c r="J806" s="307"/>
      <c r="K806" s="307"/>
      <c r="L806" s="307"/>
      <c r="M806" s="307"/>
      <c r="N806" s="307"/>
      <c r="O806" s="307"/>
      <c r="P806" s="307"/>
      <c r="Q806" s="307"/>
      <c r="R806" s="307"/>
      <c r="S806" s="307"/>
      <c r="T806" s="307"/>
      <c r="U806" s="307"/>
      <c r="V806" s="307"/>
      <c r="W806" s="307"/>
      <c r="X806" s="307"/>
      <c r="Y806" s="307"/>
      <c r="Z806" s="307"/>
      <c r="AA806" s="307"/>
      <c r="AB806" s="307"/>
      <c r="AC806" s="307"/>
      <c r="AD806" s="307"/>
      <c r="AE806" s="307"/>
      <c r="AF806" s="307"/>
      <c r="AG806" s="307"/>
      <c r="AH806" s="307"/>
      <c r="AI806" s="307"/>
      <c r="AJ806" s="307"/>
      <c r="AK806" s="307"/>
      <c r="AL806" s="307"/>
      <c r="AM806" s="307"/>
      <c r="AN806" s="307"/>
      <c r="AO806" s="307"/>
      <c r="AP806" s="307"/>
      <c r="AQ806" s="307"/>
      <c r="AR806" s="307"/>
      <c r="AS806" s="307"/>
      <c r="AT806" s="307"/>
      <c r="AU806" s="307"/>
    </row>
    <row r="807" ht="15.75" customHeight="1">
      <c r="A807" s="307"/>
      <c r="B807" s="307"/>
      <c r="C807" s="307"/>
      <c r="D807" s="307"/>
      <c r="E807" s="307"/>
      <c r="F807" s="307"/>
      <c r="G807" s="307"/>
      <c r="H807" s="307"/>
      <c r="I807" s="307"/>
      <c r="J807" s="307"/>
      <c r="K807" s="307"/>
      <c r="L807" s="307"/>
      <c r="M807" s="307"/>
      <c r="N807" s="307"/>
      <c r="O807" s="307"/>
      <c r="P807" s="307"/>
      <c r="Q807" s="307"/>
      <c r="R807" s="307"/>
      <c r="S807" s="307"/>
      <c r="T807" s="307"/>
      <c r="U807" s="307"/>
      <c r="V807" s="307"/>
      <c r="W807" s="307"/>
      <c r="X807" s="307"/>
      <c r="Y807" s="307"/>
      <c r="Z807" s="307"/>
      <c r="AA807" s="307"/>
      <c r="AB807" s="307"/>
      <c r="AC807" s="307"/>
      <c r="AD807" s="307"/>
      <c r="AE807" s="307"/>
      <c r="AF807" s="307"/>
      <c r="AG807" s="307"/>
      <c r="AH807" s="307"/>
      <c r="AI807" s="307"/>
      <c r="AJ807" s="307"/>
      <c r="AK807" s="307"/>
      <c r="AL807" s="307"/>
      <c r="AM807" s="307"/>
      <c r="AN807" s="307"/>
      <c r="AO807" s="307"/>
      <c r="AP807" s="307"/>
      <c r="AQ807" s="307"/>
      <c r="AR807" s="307"/>
      <c r="AS807" s="307"/>
      <c r="AT807" s="307"/>
      <c r="AU807" s="307"/>
    </row>
    <row r="808" ht="15.75" customHeight="1">
      <c r="A808" s="307"/>
      <c r="B808" s="307"/>
      <c r="C808" s="307"/>
      <c r="D808" s="307"/>
      <c r="E808" s="307"/>
      <c r="F808" s="307"/>
      <c r="G808" s="307"/>
      <c r="H808" s="307"/>
      <c r="I808" s="307"/>
      <c r="J808" s="307"/>
      <c r="K808" s="307"/>
      <c r="L808" s="307"/>
      <c r="M808" s="307"/>
      <c r="N808" s="307"/>
      <c r="O808" s="307"/>
      <c r="P808" s="307"/>
      <c r="Q808" s="307"/>
      <c r="R808" s="307"/>
      <c r="S808" s="307"/>
      <c r="T808" s="307"/>
      <c r="U808" s="307"/>
      <c r="V808" s="307"/>
      <c r="W808" s="307"/>
      <c r="X808" s="307"/>
      <c r="Y808" s="307"/>
      <c r="Z808" s="307"/>
      <c r="AA808" s="307"/>
      <c r="AB808" s="307"/>
      <c r="AC808" s="307"/>
      <c r="AD808" s="307"/>
      <c r="AE808" s="307"/>
      <c r="AF808" s="307"/>
      <c r="AG808" s="307"/>
      <c r="AH808" s="307"/>
      <c r="AI808" s="307"/>
      <c r="AJ808" s="307"/>
      <c r="AK808" s="307"/>
      <c r="AL808" s="307"/>
      <c r="AM808" s="307"/>
      <c r="AN808" s="307"/>
      <c r="AO808" s="307"/>
      <c r="AP808" s="307"/>
      <c r="AQ808" s="307"/>
      <c r="AR808" s="307"/>
      <c r="AS808" s="307"/>
      <c r="AT808" s="307"/>
      <c r="AU808" s="307"/>
    </row>
    <row r="809" ht="15.75" customHeight="1">
      <c r="A809" s="307"/>
      <c r="B809" s="307"/>
      <c r="C809" s="307"/>
      <c r="D809" s="307"/>
      <c r="E809" s="307"/>
      <c r="F809" s="307"/>
      <c r="G809" s="307"/>
      <c r="H809" s="307"/>
      <c r="I809" s="307"/>
      <c r="J809" s="307"/>
      <c r="K809" s="307"/>
      <c r="L809" s="307"/>
      <c r="M809" s="307"/>
      <c r="N809" s="307"/>
      <c r="O809" s="307"/>
      <c r="P809" s="307"/>
      <c r="Q809" s="307"/>
      <c r="R809" s="307"/>
      <c r="S809" s="307"/>
      <c r="T809" s="307"/>
      <c r="U809" s="307"/>
      <c r="V809" s="307"/>
      <c r="W809" s="307"/>
      <c r="X809" s="307"/>
      <c r="Y809" s="307"/>
      <c r="Z809" s="307"/>
      <c r="AA809" s="307"/>
      <c r="AB809" s="307"/>
      <c r="AC809" s="307"/>
      <c r="AD809" s="307"/>
      <c r="AE809" s="307"/>
      <c r="AF809" s="307"/>
      <c r="AG809" s="307"/>
      <c r="AH809" s="307"/>
      <c r="AI809" s="307"/>
      <c r="AJ809" s="307"/>
      <c r="AK809" s="307"/>
      <c r="AL809" s="307"/>
      <c r="AM809" s="307"/>
      <c r="AN809" s="307"/>
      <c r="AO809" s="307"/>
      <c r="AP809" s="307"/>
      <c r="AQ809" s="307"/>
      <c r="AR809" s="307"/>
      <c r="AS809" s="307"/>
      <c r="AT809" s="307"/>
      <c r="AU809" s="307"/>
    </row>
    <row r="810" ht="15.75" customHeight="1">
      <c r="A810" s="307"/>
      <c r="B810" s="307"/>
      <c r="C810" s="307"/>
      <c r="D810" s="307"/>
      <c r="E810" s="307"/>
      <c r="F810" s="307"/>
      <c r="G810" s="307"/>
      <c r="H810" s="307"/>
      <c r="I810" s="307"/>
      <c r="J810" s="307"/>
      <c r="K810" s="307"/>
      <c r="L810" s="307"/>
      <c r="M810" s="307"/>
      <c r="N810" s="307"/>
      <c r="O810" s="307"/>
      <c r="P810" s="307"/>
      <c r="Q810" s="307"/>
      <c r="R810" s="307"/>
      <c r="S810" s="307"/>
      <c r="T810" s="307"/>
      <c r="U810" s="307"/>
      <c r="V810" s="307"/>
      <c r="W810" s="307"/>
      <c r="X810" s="307"/>
      <c r="Y810" s="307"/>
      <c r="Z810" s="307"/>
      <c r="AA810" s="307"/>
      <c r="AB810" s="307"/>
      <c r="AC810" s="307"/>
      <c r="AD810" s="307"/>
      <c r="AE810" s="307"/>
      <c r="AF810" s="307"/>
      <c r="AG810" s="307"/>
      <c r="AH810" s="307"/>
      <c r="AI810" s="307"/>
      <c r="AJ810" s="307"/>
      <c r="AK810" s="307"/>
      <c r="AL810" s="307"/>
      <c r="AM810" s="307"/>
      <c r="AN810" s="307"/>
      <c r="AO810" s="307"/>
      <c r="AP810" s="307"/>
      <c r="AQ810" s="307"/>
      <c r="AR810" s="307"/>
      <c r="AS810" s="307"/>
      <c r="AT810" s="307"/>
      <c r="AU810" s="307"/>
    </row>
    <row r="811" ht="15.75" customHeight="1">
      <c r="A811" s="307"/>
      <c r="B811" s="307"/>
      <c r="C811" s="307"/>
      <c r="D811" s="307"/>
      <c r="E811" s="307"/>
      <c r="F811" s="307"/>
      <c r="G811" s="307"/>
      <c r="H811" s="307"/>
      <c r="I811" s="307"/>
      <c r="J811" s="307"/>
      <c r="K811" s="307"/>
      <c r="L811" s="307"/>
      <c r="M811" s="307"/>
      <c r="N811" s="307"/>
      <c r="O811" s="307"/>
      <c r="P811" s="307"/>
      <c r="Q811" s="307"/>
      <c r="R811" s="307"/>
      <c r="S811" s="307"/>
      <c r="T811" s="307"/>
      <c r="U811" s="307"/>
      <c r="V811" s="307"/>
      <c r="W811" s="307"/>
      <c r="X811" s="307"/>
      <c r="Y811" s="307"/>
      <c r="Z811" s="307"/>
      <c r="AA811" s="307"/>
      <c r="AB811" s="307"/>
      <c r="AC811" s="307"/>
      <c r="AD811" s="307"/>
      <c r="AE811" s="307"/>
      <c r="AF811" s="307"/>
      <c r="AG811" s="307"/>
      <c r="AH811" s="307"/>
      <c r="AI811" s="307"/>
      <c r="AJ811" s="307"/>
      <c r="AK811" s="307"/>
      <c r="AL811" s="307"/>
      <c r="AM811" s="307"/>
      <c r="AN811" s="307"/>
      <c r="AO811" s="307"/>
      <c r="AP811" s="307"/>
      <c r="AQ811" s="307"/>
      <c r="AR811" s="307"/>
      <c r="AS811" s="307"/>
      <c r="AT811" s="307"/>
      <c r="AU811" s="307"/>
    </row>
    <row r="812" ht="15.75" customHeight="1">
      <c r="A812" s="307"/>
      <c r="B812" s="307"/>
      <c r="C812" s="307"/>
      <c r="D812" s="307"/>
      <c r="E812" s="307"/>
      <c r="F812" s="307"/>
      <c r="G812" s="307"/>
      <c r="H812" s="307"/>
      <c r="I812" s="307"/>
      <c r="J812" s="307"/>
      <c r="K812" s="307"/>
      <c r="L812" s="307"/>
      <c r="M812" s="307"/>
      <c r="N812" s="307"/>
      <c r="O812" s="307"/>
      <c r="P812" s="307"/>
      <c r="Q812" s="307"/>
      <c r="R812" s="307"/>
      <c r="S812" s="307"/>
      <c r="T812" s="307"/>
      <c r="U812" s="307"/>
      <c r="V812" s="307"/>
      <c r="W812" s="307"/>
      <c r="X812" s="307"/>
      <c r="Y812" s="307"/>
      <c r="Z812" s="307"/>
      <c r="AA812" s="307"/>
      <c r="AB812" s="307"/>
      <c r="AC812" s="307"/>
      <c r="AD812" s="307"/>
      <c r="AE812" s="307"/>
      <c r="AF812" s="307"/>
      <c r="AG812" s="307"/>
      <c r="AH812" s="307"/>
      <c r="AI812" s="307"/>
      <c r="AJ812" s="307"/>
      <c r="AK812" s="307"/>
      <c r="AL812" s="307"/>
      <c r="AM812" s="307"/>
      <c r="AN812" s="307"/>
      <c r="AO812" s="307"/>
      <c r="AP812" s="307"/>
      <c r="AQ812" s="307"/>
      <c r="AR812" s="307"/>
      <c r="AS812" s="307"/>
      <c r="AT812" s="307"/>
      <c r="AU812" s="307"/>
    </row>
    <row r="813" ht="15.75" customHeight="1">
      <c r="A813" s="307"/>
      <c r="B813" s="307"/>
      <c r="C813" s="307"/>
      <c r="D813" s="307"/>
      <c r="E813" s="307"/>
      <c r="F813" s="307"/>
      <c r="G813" s="307"/>
      <c r="H813" s="307"/>
      <c r="I813" s="307"/>
      <c r="J813" s="307"/>
      <c r="K813" s="307"/>
      <c r="L813" s="307"/>
      <c r="M813" s="307"/>
      <c r="N813" s="307"/>
      <c r="O813" s="307"/>
      <c r="P813" s="307"/>
      <c r="Q813" s="307"/>
      <c r="R813" s="307"/>
      <c r="S813" s="307"/>
      <c r="T813" s="307"/>
      <c r="U813" s="307"/>
      <c r="V813" s="307"/>
      <c r="W813" s="307"/>
      <c r="X813" s="307"/>
      <c r="Y813" s="307"/>
      <c r="Z813" s="307"/>
      <c r="AA813" s="307"/>
      <c r="AB813" s="307"/>
      <c r="AC813" s="307"/>
      <c r="AD813" s="307"/>
      <c r="AE813" s="307"/>
      <c r="AF813" s="307"/>
      <c r="AG813" s="307"/>
      <c r="AH813" s="307"/>
      <c r="AI813" s="307"/>
      <c r="AJ813" s="307"/>
      <c r="AK813" s="307"/>
      <c r="AL813" s="307"/>
      <c r="AM813" s="307"/>
      <c r="AN813" s="307"/>
      <c r="AO813" s="307"/>
      <c r="AP813" s="307"/>
      <c r="AQ813" s="307"/>
      <c r="AR813" s="307"/>
      <c r="AS813" s="307"/>
      <c r="AT813" s="307"/>
      <c r="AU813" s="307"/>
    </row>
    <row r="814" ht="15.75" customHeight="1">
      <c r="A814" s="307"/>
      <c r="B814" s="307"/>
      <c r="C814" s="307"/>
      <c r="D814" s="307"/>
      <c r="E814" s="307"/>
      <c r="F814" s="307"/>
      <c r="G814" s="307"/>
      <c r="H814" s="307"/>
      <c r="I814" s="307"/>
      <c r="J814" s="307"/>
      <c r="K814" s="307"/>
      <c r="L814" s="307"/>
      <c r="M814" s="307"/>
      <c r="N814" s="307"/>
      <c r="O814" s="307"/>
      <c r="P814" s="307"/>
      <c r="Q814" s="307"/>
      <c r="R814" s="307"/>
      <c r="S814" s="307"/>
      <c r="T814" s="307"/>
      <c r="U814" s="307"/>
      <c r="V814" s="307"/>
      <c r="W814" s="307"/>
      <c r="X814" s="307"/>
      <c r="Y814" s="307"/>
      <c r="Z814" s="307"/>
      <c r="AA814" s="307"/>
      <c r="AB814" s="307"/>
      <c r="AC814" s="307"/>
      <c r="AD814" s="307"/>
      <c r="AE814" s="307"/>
      <c r="AF814" s="307"/>
      <c r="AG814" s="307"/>
      <c r="AH814" s="307"/>
      <c r="AI814" s="307"/>
      <c r="AJ814" s="307"/>
      <c r="AK814" s="307"/>
      <c r="AL814" s="307"/>
      <c r="AM814" s="307"/>
      <c r="AN814" s="307"/>
      <c r="AO814" s="307"/>
      <c r="AP814" s="307"/>
      <c r="AQ814" s="307"/>
      <c r="AR814" s="307"/>
      <c r="AS814" s="307"/>
      <c r="AT814" s="307"/>
      <c r="AU814" s="307"/>
    </row>
    <row r="815" ht="15.75" customHeight="1">
      <c r="A815" s="307"/>
      <c r="B815" s="307"/>
      <c r="C815" s="307"/>
      <c r="D815" s="307"/>
      <c r="E815" s="307"/>
      <c r="F815" s="307"/>
      <c r="G815" s="307"/>
      <c r="H815" s="307"/>
      <c r="I815" s="307"/>
      <c r="J815" s="307"/>
      <c r="K815" s="307"/>
      <c r="L815" s="307"/>
      <c r="M815" s="307"/>
      <c r="N815" s="307"/>
      <c r="O815" s="307"/>
      <c r="P815" s="307"/>
      <c r="Q815" s="307"/>
      <c r="R815" s="307"/>
      <c r="S815" s="307"/>
      <c r="T815" s="307"/>
      <c r="U815" s="307"/>
      <c r="V815" s="307"/>
      <c r="W815" s="307"/>
      <c r="X815" s="307"/>
      <c r="Y815" s="307"/>
      <c r="Z815" s="307"/>
      <c r="AA815" s="307"/>
      <c r="AB815" s="307"/>
      <c r="AC815" s="307"/>
      <c r="AD815" s="307"/>
      <c r="AE815" s="307"/>
      <c r="AF815" s="307"/>
      <c r="AG815" s="307"/>
      <c r="AH815" s="307"/>
      <c r="AI815" s="307"/>
      <c r="AJ815" s="307"/>
      <c r="AK815" s="307"/>
      <c r="AL815" s="307"/>
      <c r="AM815" s="307"/>
      <c r="AN815" s="307"/>
      <c r="AO815" s="307"/>
      <c r="AP815" s="307"/>
      <c r="AQ815" s="307"/>
      <c r="AR815" s="307"/>
      <c r="AS815" s="307"/>
      <c r="AT815" s="307"/>
      <c r="AU815" s="307"/>
    </row>
    <row r="816" ht="15.75" customHeight="1">
      <c r="A816" s="307"/>
      <c r="B816" s="307"/>
      <c r="C816" s="307"/>
      <c r="D816" s="307"/>
      <c r="E816" s="307"/>
      <c r="F816" s="307"/>
      <c r="G816" s="307"/>
      <c r="H816" s="307"/>
      <c r="I816" s="307"/>
      <c r="J816" s="307"/>
      <c r="K816" s="307"/>
      <c r="L816" s="307"/>
      <c r="M816" s="307"/>
      <c r="N816" s="307"/>
      <c r="O816" s="307"/>
      <c r="P816" s="307"/>
      <c r="Q816" s="307"/>
      <c r="R816" s="307"/>
      <c r="S816" s="307"/>
      <c r="T816" s="307"/>
      <c r="U816" s="307"/>
      <c r="V816" s="307"/>
      <c r="W816" s="307"/>
      <c r="X816" s="307"/>
      <c r="Y816" s="307"/>
      <c r="Z816" s="307"/>
      <c r="AA816" s="307"/>
      <c r="AB816" s="307"/>
      <c r="AC816" s="307"/>
      <c r="AD816" s="307"/>
      <c r="AE816" s="307"/>
      <c r="AF816" s="307"/>
      <c r="AG816" s="307"/>
      <c r="AH816" s="307"/>
      <c r="AI816" s="307"/>
      <c r="AJ816" s="307"/>
      <c r="AK816" s="307"/>
      <c r="AL816" s="307"/>
      <c r="AM816" s="307"/>
      <c r="AN816" s="307"/>
      <c r="AO816" s="307"/>
      <c r="AP816" s="307"/>
      <c r="AQ816" s="307"/>
      <c r="AR816" s="307"/>
      <c r="AS816" s="307"/>
      <c r="AT816" s="307"/>
      <c r="AU816" s="307"/>
    </row>
    <row r="817" ht="15.75" customHeight="1">
      <c r="A817" s="307"/>
      <c r="B817" s="307"/>
      <c r="C817" s="307"/>
      <c r="D817" s="307"/>
      <c r="E817" s="307"/>
      <c r="F817" s="307"/>
      <c r="G817" s="307"/>
      <c r="H817" s="307"/>
      <c r="I817" s="307"/>
      <c r="J817" s="307"/>
      <c r="K817" s="307"/>
      <c r="L817" s="307"/>
      <c r="M817" s="307"/>
      <c r="N817" s="307"/>
      <c r="O817" s="307"/>
      <c r="P817" s="307"/>
      <c r="Q817" s="307"/>
      <c r="R817" s="307"/>
      <c r="S817" s="307"/>
      <c r="T817" s="307"/>
      <c r="U817" s="307"/>
      <c r="V817" s="307"/>
      <c r="W817" s="307"/>
      <c r="X817" s="307"/>
      <c r="Y817" s="307"/>
      <c r="Z817" s="307"/>
      <c r="AA817" s="307"/>
      <c r="AB817" s="307"/>
      <c r="AC817" s="307"/>
      <c r="AD817" s="307"/>
      <c r="AE817" s="307"/>
      <c r="AF817" s="307"/>
      <c r="AG817" s="307"/>
      <c r="AH817" s="307"/>
      <c r="AI817" s="307"/>
      <c r="AJ817" s="307"/>
      <c r="AK817" s="307"/>
      <c r="AL817" s="307"/>
      <c r="AM817" s="307"/>
      <c r="AN817" s="307"/>
      <c r="AO817" s="307"/>
      <c r="AP817" s="307"/>
      <c r="AQ817" s="307"/>
      <c r="AR817" s="307"/>
      <c r="AS817" s="307"/>
      <c r="AT817" s="307"/>
      <c r="AU817" s="307"/>
    </row>
    <row r="818" ht="15.75" customHeight="1">
      <c r="A818" s="30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c r="AA818" s="307"/>
      <c r="AB818" s="307"/>
      <c r="AC818" s="307"/>
      <c r="AD818" s="307"/>
      <c r="AE818" s="307"/>
      <c r="AF818" s="307"/>
      <c r="AG818" s="307"/>
      <c r="AH818" s="307"/>
      <c r="AI818" s="307"/>
      <c r="AJ818" s="307"/>
      <c r="AK818" s="307"/>
      <c r="AL818" s="307"/>
      <c r="AM818" s="307"/>
      <c r="AN818" s="307"/>
      <c r="AO818" s="307"/>
      <c r="AP818" s="307"/>
      <c r="AQ818" s="307"/>
      <c r="AR818" s="307"/>
      <c r="AS818" s="307"/>
      <c r="AT818" s="307"/>
      <c r="AU818" s="307"/>
    </row>
    <row r="819" ht="15.75" customHeight="1">
      <c r="A819" s="307"/>
      <c r="B819" s="307"/>
      <c r="C819" s="307"/>
      <c r="D819" s="307"/>
      <c r="E819" s="307"/>
      <c r="F819" s="307"/>
      <c r="G819" s="307"/>
      <c r="H819" s="307"/>
      <c r="I819" s="307"/>
      <c r="J819" s="307"/>
      <c r="K819" s="307"/>
      <c r="L819" s="307"/>
      <c r="M819" s="307"/>
      <c r="N819" s="307"/>
      <c r="O819" s="307"/>
      <c r="P819" s="307"/>
      <c r="Q819" s="307"/>
      <c r="R819" s="307"/>
      <c r="S819" s="307"/>
      <c r="T819" s="307"/>
      <c r="U819" s="307"/>
      <c r="V819" s="307"/>
      <c r="W819" s="307"/>
      <c r="X819" s="307"/>
      <c r="Y819" s="307"/>
      <c r="Z819" s="307"/>
      <c r="AA819" s="307"/>
      <c r="AB819" s="307"/>
      <c r="AC819" s="307"/>
      <c r="AD819" s="307"/>
      <c r="AE819" s="307"/>
      <c r="AF819" s="307"/>
      <c r="AG819" s="307"/>
      <c r="AH819" s="307"/>
      <c r="AI819" s="307"/>
      <c r="AJ819" s="307"/>
      <c r="AK819" s="307"/>
      <c r="AL819" s="307"/>
      <c r="AM819" s="307"/>
      <c r="AN819" s="307"/>
      <c r="AO819" s="307"/>
      <c r="AP819" s="307"/>
      <c r="AQ819" s="307"/>
      <c r="AR819" s="307"/>
      <c r="AS819" s="307"/>
      <c r="AT819" s="307"/>
      <c r="AU819" s="307"/>
    </row>
    <row r="820" ht="15.75" customHeight="1">
      <c r="A820" s="307"/>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c r="AA820" s="307"/>
      <c r="AB820" s="307"/>
      <c r="AC820" s="307"/>
      <c r="AD820" s="307"/>
      <c r="AE820" s="307"/>
      <c r="AF820" s="307"/>
      <c r="AG820" s="307"/>
      <c r="AH820" s="307"/>
      <c r="AI820" s="307"/>
      <c r="AJ820" s="307"/>
      <c r="AK820" s="307"/>
      <c r="AL820" s="307"/>
      <c r="AM820" s="307"/>
      <c r="AN820" s="307"/>
      <c r="AO820" s="307"/>
      <c r="AP820" s="307"/>
      <c r="AQ820" s="307"/>
      <c r="AR820" s="307"/>
      <c r="AS820" s="307"/>
      <c r="AT820" s="307"/>
      <c r="AU820" s="307"/>
    </row>
    <row r="821" ht="15.75" customHeight="1">
      <c r="A821" s="307"/>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c r="AA821" s="307"/>
      <c r="AB821" s="307"/>
      <c r="AC821" s="307"/>
      <c r="AD821" s="307"/>
      <c r="AE821" s="307"/>
      <c r="AF821" s="307"/>
      <c r="AG821" s="307"/>
      <c r="AH821" s="307"/>
      <c r="AI821" s="307"/>
      <c r="AJ821" s="307"/>
      <c r="AK821" s="307"/>
      <c r="AL821" s="307"/>
      <c r="AM821" s="307"/>
      <c r="AN821" s="307"/>
      <c r="AO821" s="307"/>
      <c r="AP821" s="307"/>
      <c r="AQ821" s="307"/>
      <c r="AR821" s="307"/>
      <c r="AS821" s="307"/>
      <c r="AT821" s="307"/>
      <c r="AU821" s="307"/>
    </row>
    <row r="822" ht="15.75" customHeight="1">
      <c r="A822" s="307"/>
      <c r="B822" s="307"/>
      <c r="C822" s="307"/>
      <c r="D822" s="307"/>
      <c r="E822" s="307"/>
      <c r="F822" s="307"/>
      <c r="G822" s="307"/>
      <c r="H822" s="307"/>
      <c r="I822" s="307"/>
      <c r="J822" s="307"/>
      <c r="K822" s="307"/>
      <c r="L822" s="307"/>
      <c r="M822" s="307"/>
      <c r="N822" s="307"/>
      <c r="O822" s="307"/>
      <c r="P822" s="307"/>
      <c r="Q822" s="307"/>
      <c r="R822" s="307"/>
      <c r="S822" s="307"/>
      <c r="T822" s="307"/>
      <c r="U822" s="307"/>
      <c r="V822" s="307"/>
      <c r="W822" s="307"/>
      <c r="X822" s="307"/>
      <c r="Y822" s="307"/>
      <c r="Z822" s="307"/>
      <c r="AA822" s="307"/>
      <c r="AB822" s="307"/>
      <c r="AC822" s="307"/>
      <c r="AD822" s="307"/>
      <c r="AE822" s="307"/>
      <c r="AF822" s="307"/>
      <c r="AG822" s="307"/>
      <c r="AH822" s="307"/>
      <c r="AI822" s="307"/>
      <c r="AJ822" s="307"/>
      <c r="AK822" s="307"/>
      <c r="AL822" s="307"/>
      <c r="AM822" s="307"/>
      <c r="AN822" s="307"/>
      <c r="AO822" s="307"/>
      <c r="AP822" s="307"/>
      <c r="AQ822" s="307"/>
      <c r="AR822" s="307"/>
      <c r="AS822" s="307"/>
      <c r="AT822" s="307"/>
      <c r="AU822" s="307"/>
    </row>
    <row r="823" ht="15.75" customHeight="1">
      <c r="A823" s="307"/>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c r="AA823" s="307"/>
      <c r="AB823" s="307"/>
      <c r="AC823" s="307"/>
      <c r="AD823" s="307"/>
      <c r="AE823" s="307"/>
      <c r="AF823" s="307"/>
      <c r="AG823" s="307"/>
      <c r="AH823" s="307"/>
      <c r="AI823" s="307"/>
      <c r="AJ823" s="307"/>
      <c r="AK823" s="307"/>
      <c r="AL823" s="307"/>
      <c r="AM823" s="307"/>
      <c r="AN823" s="307"/>
      <c r="AO823" s="307"/>
      <c r="AP823" s="307"/>
      <c r="AQ823" s="307"/>
      <c r="AR823" s="307"/>
      <c r="AS823" s="307"/>
      <c r="AT823" s="307"/>
      <c r="AU823" s="307"/>
    </row>
    <row r="824" ht="15.75" customHeight="1">
      <c r="A824" s="307"/>
      <c r="B824" s="307"/>
      <c r="C824" s="307"/>
      <c r="D824" s="307"/>
      <c r="E824" s="307"/>
      <c r="F824" s="307"/>
      <c r="G824" s="307"/>
      <c r="H824" s="307"/>
      <c r="I824" s="307"/>
      <c r="J824" s="307"/>
      <c r="K824" s="307"/>
      <c r="L824" s="307"/>
      <c r="M824" s="307"/>
      <c r="N824" s="307"/>
      <c r="O824" s="307"/>
      <c r="P824" s="307"/>
      <c r="Q824" s="307"/>
      <c r="R824" s="307"/>
      <c r="S824" s="307"/>
      <c r="T824" s="307"/>
      <c r="U824" s="307"/>
      <c r="V824" s="307"/>
      <c r="W824" s="307"/>
      <c r="X824" s="307"/>
      <c r="Y824" s="307"/>
      <c r="Z824" s="307"/>
      <c r="AA824" s="307"/>
      <c r="AB824" s="307"/>
      <c r="AC824" s="307"/>
      <c r="AD824" s="307"/>
      <c r="AE824" s="307"/>
      <c r="AF824" s="307"/>
      <c r="AG824" s="307"/>
      <c r="AH824" s="307"/>
      <c r="AI824" s="307"/>
      <c r="AJ824" s="307"/>
      <c r="AK824" s="307"/>
      <c r="AL824" s="307"/>
      <c r="AM824" s="307"/>
      <c r="AN824" s="307"/>
      <c r="AO824" s="307"/>
      <c r="AP824" s="307"/>
      <c r="AQ824" s="307"/>
      <c r="AR824" s="307"/>
      <c r="AS824" s="307"/>
      <c r="AT824" s="307"/>
      <c r="AU824" s="307"/>
    </row>
    <row r="825" ht="15.75" customHeight="1">
      <c r="A825" s="307"/>
      <c r="B825" s="307"/>
      <c r="C825" s="307"/>
      <c r="D825" s="307"/>
      <c r="E825" s="307"/>
      <c r="F825" s="307"/>
      <c r="G825" s="307"/>
      <c r="H825" s="307"/>
      <c r="I825" s="307"/>
      <c r="J825" s="307"/>
      <c r="K825" s="307"/>
      <c r="L825" s="307"/>
      <c r="M825" s="307"/>
      <c r="N825" s="307"/>
      <c r="O825" s="307"/>
      <c r="P825" s="307"/>
      <c r="Q825" s="307"/>
      <c r="R825" s="307"/>
      <c r="S825" s="307"/>
      <c r="T825" s="307"/>
      <c r="U825" s="307"/>
      <c r="V825" s="307"/>
      <c r="W825" s="307"/>
      <c r="X825" s="307"/>
      <c r="Y825" s="307"/>
      <c r="Z825" s="307"/>
      <c r="AA825" s="307"/>
      <c r="AB825" s="307"/>
      <c r="AC825" s="307"/>
      <c r="AD825" s="307"/>
      <c r="AE825" s="307"/>
      <c r="AF825" s="307"/>
      <c r="AG825" s="307"/>
      <c r="AH825" s="307"/>
      <c r="AI825" s="307"/>
      <c r="AJ825" s="307"/>
      <c r="AK825" s="307"/>
      <c r="AL825" s="307"/>
      <c r="AM825" s="307"/>
      <c r="AN825" s="307"/>
      <c r="AO825" s="307"/>
      <c r="AP825" s="307"/>
      <c r="AQ825" s="307"/>
      <c r="AR825" s="307"/>
      <c r="AS825" s="307"/>
      <c r="AT825" s="307"/>
      <c r="AU825" s="307"/>
    </row>
    <row r="826" ht="15.75" customHeight="1">
      <c r="A826" s="307"/>
      <c r="B826" s="307"/>
      <c r="C826" s="307"/>
      <c r="D826" s="307"/>
      <c r="E826" s="307"/>
      <c r="F826" s="307"/>
      <c r="G826" s="307"/>
      <c r="H826" s="307"/>
      <c r="I826" s="307"/>
      <c r="J826" s="307"/>
      <c r="K826" s="307"/>
      <c r="L826" s="307"/>
      <c r="M826" s="307"/>
      <c r="N826" s="307"/>
      <c r="O826" s="307"/>
      <c r="P826" s="307"/>
      <c r="Q826" s="307"/>
      <c r="R826" s="307"/>
      <c r="S826" s="307"/>
      <c r="T826" s="307"/>
      <c r="U826" s="307"/>
      <c r="V826" s="307"/>
      <c r="W826" s="307"/>
      <c r="X826" s="307"/>
      <c r="Y826" s="307"/>
      <c r="Z826" s="307"/>
      <c r="AA826" s="307"/>
      <c r="AB826" s="307"/>
      <c r="AC826" s="307"/>
      <c r="AD826" s="307"/>
      <c r="AE826" s="307"/>
      <c r="AF826" s="307"/>
      <c r="AG826" s="307"/>
      <c r="AH826" s="307"/>
      <c r="AI826" s="307"/>
      <c r="AJ826" s="307"/>
      <c r="AK826" s="307"/>
      <c r="AL826" s="307"/>
      <c r="AM826" s="307"/>
      <c r="AN826" s="307"/>
      <c r="AO826" s="307"/>
      <c r="AP826" s="307"/>
      <c r="AQ826" s="307"/>
      <c r="AR826" s="307"/>
      <c r="AS826" s="307"/>
      <c r="AT826" s="307"/>
      <c r="AU826" s="307"/>
    </row>
    <row r="827" ht="15.75" customHeight="1">
      <c r="A827" s="307"/>
      <c r="B827" s="307"/>
      <c r="C827" s="307"/>
      <c r="D827" s="307"/>
      <c r="E827" s="307"/>
      <c r="F827" s="307"/>
      <c r="G827" s="307"/>
      <c r="H827" s="307"/>
      <c r="I827" s="307"/>
      <c r="J827" s="307"/>
      <c r="K827" s="307"/>
      <c r="L827" s="307"/>
      <c r="M827" s="307"/>
      <c r="N827" s="307"/>
      <c r="O827" s="307"/>
      <c r="P827" s="307"/>
      <c r="Q827" s="307"/>
      <c r="R827" s="307"/>
      <c r="S827" s="307"/>
      <c r="T827" s="307"/>
      <c r="U827" s="307"/>
      <c r="V827" s="307"/>
      <c r="W827" s="307"/>
      <c r="X827" s="307"/>
      <c r="Y827" s="307"/>
      <c r="Z827" s="307"/>
      <c r="AA827" s="307"/>
      <c r="AB827" s="307"/>
      <c r="AC827" s="307"/>
      <c r="AD827" s="307"/>
      <c r="AE827" s="307"/>
      <c r="AF827" s="307"/>
      <c r="AG827" s="307"/>
      <c r="AH827" s="307"/>
      <c r="AI827" s="307"/>
      <c r="AJ827" s="307"/>
      <c r="AK827" s="307"/>
      <c r="AL827" s="307"/>
      <c r="AM827" s="307"/>
      <c r="AN827" s="307"/>
      <c r="AO827" s="307"/>
      <c r="AP827" s="307"/>
      <c r="AQ827" s="307"/>
      <c r="AR827" s="307"/>
      <c r="AS827" s="307"/>
      <c r="AT827" s="307"/>
      <c r="AU827" s="307"/>
    </row>
    <row r="828" ht="15.75" customHeight="1">
      <c r="A828" s="307"/>
      <c r="B828" s="307"/>
      <c r="C828" s="307"/>
      <c r="D828" s="307"/>
      <c r="E828" s="307"/>
      <c r="F828" s="307"/>
      <c r="G828" s="307"/>
      <c r="H828" s="307"/>
      <c r="I828" s="307"/>
      <c r="J828" s="307"/>
      <c r="K828" s="307"/>
      <c r="L828" s="307"/>
      <c r="M828" s="307"/>
      <c r="N828" s="307"/>
      <c r="O828" s="307"/>
      <c r="P828" s="307"/>
      <c r="Q828" s="307"/>
      <c r="R828" s="307"/>
      <c r="S828" s="307"/>
      <c r="T828" s="307"/>
      <c r="U828" s="307"/>
      <c r="V828" s="307"/>
      <c r="W828" s="307"/>
      <c r="X828" s="307"/>
      <c r="Y828" s="307"/>
      <c r="Z828" s="307"/>
      <c r="AA828" s="307"/>
      <c r="AB828" s="307"/>
      <c r="AC828" s="307"/>
      <c r="AD828" s="307"/>
      <c r="AE828" s="307"/>
      <c r="AF828" s="307"/>
      <c r="AG828" s="307"/>
      <c r="AH828" s="307"/>
      <c r="AI828" s="307"/>
      <c r="AJ828" s="307"/>
      <c r="AK828" s="307"/>
      <c r="AL828" s="307"/>
      <c r="AM828" s="307"/>
      <c r="AN828" s="307"/>
      <c r="AO828" s="307"/>
      <c r="AP828" s="307"/>
      <c r="AQ828" s="307"/>
      <c r="AR828" s="307"/>
      <c r="AS828" s="307"/>
      <c r="AT828" s="307"/>
      <c r="AU828" s="307"/>
    </row>
    <row r="829" ht="15.75" customHeight="1">
      <c r="A829" s="307"/>
      <c r="B829" s="307"/>
      <c r="C829" s="307"/>
      <c r="D829" s="307"/>
      <c r="E829" s="307"/>
      <c r="F829" s="307"/>
      <c r="G829" s="307"/>
      <c r="H829" s="307"/>
      <c r="I829" s="307"/>
      <c r="J829" s="307"/>
      <c r="K829" s="307"/>
      <c r="L829" s="307"/>
      <c r="M829" s="307"/>
      <c r="N829" s="307"/>
      <c r="O829" s="307"/>
      <c r="P829" s="307"/>
      <c r="Q829" s="307"/>
      <c r="R829" s="307"/>
      <c r="S829" s="307"/>
      <c r="T829" s="307"/>
      <c r="U829" s="307"/>
      <c r="V829" s="307"/>
      <c r="W829" s="307"/>
      <c r="X829" s="307"/>
      <c r="Y829" s="307"/>
      <c r="Z829" s="307"/>
      <c r="AA829" s="307"/>
      <c r="AB829" s="307"/>
      <c r="AC829" s="307"/>
      <c r="AD829" s="307"/>
      <c r="AE829" s="307"/>
      <c r="AF829" s="307"/>
      <c r="AG829" s="307"/>
      <c r="AH829" s="307"/>
      <c r="AI829" s="307"/>
      <c r="AJ829" s="307"/>
      <c r="AK829" s="307"/>
      <c r="AL829" s="307"/>
      <c r="AM829" s="307"/>
      <c r="AN829" s="307"/>
      <c r="AO829" s="307"/>
      <c r="AP829" s="307"/>
      <c r="AQ829" s="307"/>
      <c r="AR829" s="307"/>
      <c r="AS829" s="307"/>
      <c r="AT829" s="307"/>
      <c r="AU829" s="307"/>
    </row>
    <row r="830" ht="15.75" customHeight="1">
      <c r="A830" s="307"/>
      <c r="B830" s="307"/>
      <c r="C830" s="307"/>
      <c r="D830" s="307"/>
      <c r="E830" s="307"/>
      <c r="F830" s="307"/>
      <c r="G830" s="307"/>
      <c r="H830" s="307"/>
      <c r="I830" s="307"/>
      <c r="J830" s="307"/>
      <c r="K830" s="307"/>
      <c r="L830" s="307"/>
      <c r="M830" s="307"/>
      <c r="N830" s="307"/>
      <c r="O830" s="307"/>
      <c r="P830" s="307"/>
      <c r="Q830" s="307"/>
      <c r="R830" s="307"/>
      <c r="S830" s="307"/>
      <c r="T830" s="307"/>
      <c r="U830" s="307"/>
      <c r="V830" s="307"/>
      <c r="W830" s="307"/>
      <c r="X830" s="307"/>
      <c r="Y830" s="307"/>
      <c r="Z830" s="307"/>
      <c r="AA830" s="307"/>
      <c r="AB830" s="307"/>
      <c r="AC830" s="307"/>
      <c r="AD830" s="307"/>
      <c r="AE830" s="307"/>
      <c r="AF830" s="307"/>
      <c r="AG830" s="307"/>
      <c r="AH830" s="307"/>
      <c r="AI830" s="307"/>
      <c r="AJ830" s="307"/>
      <c r="AK830" s="307"/>
      <c r="AL830" s="307"/>
      <c r="AM830" s="307"/>
      <c r="AN830" s="307"/>
      <c r="AO830" s="307"/>
      <c r="AP830" s="307"/>
      <c r="AQ830" s="307"/>
      <c r="AR830" s="307"/>
      <c r="AS830" s="307"/>
      <c r="AT830" s="307"/>
      <c r="AU830" s="307"/>
    </row>
    <row r="831" ht="15.75" customHeight="1">
      <c r="A831" s="307"/>
      <c r="B831" s="307"/>
      <c r="C831" s="307"/>
      <c r="D831" s="307"/>
      <c r="E831" s="307"/>
      <c r="F831" s="307"/>
      <c r="G831" s="307"/>
      <c r="H831" s="307"/>
      <c r="I831" s="307"/>
      <c r="J831" s="307"/>
      <c r="K831" s="307"/>
      <c r="L831" s="307"/>
      <c r="M831" s="307"/>
      <c r="N831" s="307"/>
      <c r="O831" s="307"/>
      <c r="P831" s="307"/>
      <c r="Q831" s="307"/>
      <c r="R831" s="307"/>
      <c r="S831" s="307"/>
      <c r="T831" s="307"/>
      <c r="U831" s="307"/>
      <c r="V831" s="307"/>
      <c r="W831" s="307"/>
      <c r="X831" s="307"/>
      <c r="Y831" s="307"/>
      <c r="Z831" s="307"/>
      <c r="AA831" s="307"/>
      <c r="AB831" s="307"/>
      <c r="AC831" s="307"/>
      <c r="AD831" s="307"/>
      <c r="AE831" s="307"/>
      <c r="AF831" s="307"/>
      <c r="AG831" s="307"/>
      <c r="AH831" s="307"/>
      <c r="AI831" s="307"/>
      <c r="AJ831" s="307"/>
      <c r="AK831" s="307"/>
      <c r="AL831" s="307"/>
      <c r="AM831" s="307"/>
      <c r="AN831" s="307"/>
      <c r="AO831" s="307"/>
      <c r="AP831" s="307"/>
      <c r="AQ831" s="307"/>
      <c r="AR831" s="307"/>
      <c r="AS831" s="307"/>
      <c r="AT831" s="307"/>
      <c r="AU831" s="307"/>
    </row>
    <row r="832" ht="15.75" customHeight="1">
      <c r="A832" s="307"/>
      <c r="B832" s="307"/>
      <c r="C832" s="307"/>
      <c r="D832" s="307"/>
      <c r="E832" s="307"/>
      <c r="F832" s="307"/>
      <c r="G832" s="307"/>
      <c r="H832" s="307"/>
      <c r="I832" s="307"/>
      <c r="J832" s="307"/>
      <c r="K832" s="307"/>
      <c r="L832" s="307"/>
      <c r="M832" s="307"/>
      <c r="N832" s="307"/>
      <c r="O832" s="307"/>
      <c r="P832" s="307"/>
      <c r="Q832" s="307"/>
      <c r="R832" s="307"/>
      <c r="S832" s="307"/>
      <c r="T832" s="307"/>
      <c r="U832" s="307"/>
      <c r="V832" s="307"/>
      <c r="W832" s="307"/>
      <c r="X832" s="307"/>
      <c r="Y832" s="307"/>
      <c r="Z832" s="307"/>
      <c r="AA832" s="307"/>
      <c r="AB832" s="307"/>
      <c r="AC832" s="307"/>
      <c r="AD832" s="307"/>
      <c r="AE832" s="307"/>
      <c r="AF832" s="307"/>
      <c r="AG832" s="307"/>
      <c r="AH832" s="307"/>
      <c r="AI832" s="307"/>
      <c r="AJ832" s="307"/>
      <c r="AK832" s="307"/>
      <c r="AL832" s="307"/>
      <c r="AM832" s="307"/>
      <c r="AN832" s="307"/>
      <c r="AO832" s="307"/>
      <c r="AP832" s="307"/>
      <c r="AQ832" s="307"/>
      <c r="AR832" s="307"/>
      <c r="AS832" s="307"/>
      <c r="AT832" s="307"/>
      <c r="AU832" s="307"/>
    </row>
    <row r="833" ht="15.75" customHeight="1">
      <c r="A833" s="307"/>
      <c r="B833" s="307"/>
      <c r="C833" s="307"/>
      <c r="D833" s="307"/>
      <c r="E833" s="307"/>
      <c r="F833" s="307"/>
      <c r="G833" s="307"/>
      <c r="H833" s="307"/>
      <c r="I833" s="307"/>
      <c r="J833" s="307"/>
      <c r="K833" s="307"/>
      <c r="L833" s="307"/>
      <c r="M833" s="307"/>
      <c r="N833" s="307"/>
      <c r="O833" s="307"/>
      <c r="P833" s="307"/>
      <c r="Q833" s="307"/>
      <c r="R833" s="307"/>
      <c r="S833" s="307"/>
      <c r="T833" s="307"/>
      <c r="U833" s="307"/>
      <c r="V833" s="307"/>
      <c r="W833" s="307"/>
      <c r="X833" s="307"/>
      <c r="Y833" s="307"/>
      <c r="Z833" s="307"/>
      <c r="AA833" s="307"/>
      <c r="AB833" s="307"/>
      <c r="AC833" s="307"/>
      <c r="AD833" s="307"/>
      <c r="AE833" s="307"/>
      <c r="AF833" s="307"/>
      <c r="AG833" s="307"/>
      <c r="AH833" s="307"/>
      <c r="AI833" s="307"/>
      <c r="AJ833" s="307"/>
      <c r="AK833" s="307"/>
      <c r="AL833" s="307"/>
      <c r="AM833" s="307"/>
      <c r="AN833" s="307"/>
      <c r="AO833" s="307"/>
      <c r="AP833" s="307"/>
      <c r="AQ833" s="307"/>
      <c r="AR833" s="307"/>
      <c r="AS833" s="307"/>
      <c r="AT833" s="307"/>
      <c r="AU833" s="307"/>
    </row>
    <row r="834" ht="15.75" customHeight="1">
      <c r="A834" s="307"/>
      <c r="B834" s="307"/>
      <c r="C834" s="307"/>
      <c r="D834" s="307"/>
      <c r="E834" s="307"/>
      <c r="F834" s="307"/>
      <c r="G834" s="307"/>
      <c r="H834" s="307"/>
      <c r="I834" s="307"/>
      <c r="J834" s="307"/>
      <c r="K834" s="307"/>
      <c r="L834" s="307"/>
      <c r="M834" s="307"/>
      <c r="N834" s="307"/>
      <c r="O834" s="307"/>
      <c r="P834" s="307"/>
      <c r="Q834" s="307"/>
      <c r="R834" s="307"/>
      <c r="S834" s="307"/>
      <c r="T834" s="307"/>
      <c r="U834" s="307"/>
      <c r="V834" s="307"/>
      <c r="W834" s="307"/>
      <c r="X834" s="307"/>
      <c r="Y834" s="307"/>
      <c r="Z834" s="307"/>
      <c r="AA834" s="307"/>
      <c r="AB834" s="307"/>
      <c r="AC834" s="307"/>
      <c r="AD834" s="307"/>
      <c r="AE834" s="307"/>
      <c r="AF834" s="307"/>
      <c r="AG834" s="307"/>
      <c r="AH834" s="307"/>
      <c r="AI834" s="307"/>
      <c r="AJ834" s="307"/>
      <c r="AK834" s="307"/>
      <c r="AL834" s="307"/>
      <c r="AM834" s="307"/>
      <c r="AN834" s="307"/>
      <c r="AO834" s="307"/>
      <c r="AP834" s="307"/>
      <c r="AQ834" s="307"/>
      <c r="AR834" s="307"/>
      <c r="AS834" s="307"/>
      <c r="AT834" s="307"/>
      <c r="AU834" s="307"/>
    </row>
    <row r="835" ht="15.75" customHeight="1">
      <c r="A835" s="307"/>
      <c r="B835" s="307"/>
      <c r="C835" s="307"/>
      <c r="D835" s="307"/>
      <c r="E835" s="307"/>
      <c r="F835" s="307"/>
      <c r="G835" s="307"/>
      <c r="H835" s="307"/>
      <c r="I835" s="307"/>
      <c r="J835" s="307"/>
      <c r="K835" s="307"/>
      <c r="L835" s="307"/>
      <c r="M835" s="307"/>
      <c r="N835" s="307"/>
      <c r="O835" s="307"/>
      <c r="P835" s="307"/>
      <c r="Q835" s="307"/>
      <c r="R835" s="307"/>
      <c r="S835" s="307"/>
      <c r="T835" s="307"/>
      <c r="U835" s="307"/>
      <c r="V835" s="307"/>
      <c r="W835" s="307"/>
      <c r="X835" s="307"/>
      <c r="Y835" s="307"/>
      <c r="Z835" s="307"/>
      <c r="AA835" s="307"/>
      <c r="AB835" s="307"/>
      <c r="AC835" s="307"/>
      <c r="AD835" s="307"/>
      <c r="AE835" s="307"/>
      <c r="AF835" s="307"/>
      <c r="AG835" s="307"/>
      <c r="AH835" s="307"/>
      <c r="AI835" s="307"/>
      <c r="AJ835" s="307"/>
      <c r="AK835" s="307"/>
      <c r="AL835" s="307"/>
      <c r="AM835" s="307"/>
      <c r="AN835" s="307"/>
      <c r="AO835" s="307"/>
      <c r="AP835" s="307"/>
      <c r="AQ835" s="307"/>
      <c r="AR835" s="307"/>
      <c r="AS835" s="307"/>
      <c r="AT835" s="307"/>
      <c r="AU835" s="307"/>
    </row>
    <row r="836" ht="15.75" customHeight="1">
      <c r="A836" s="307"/>
      <c r="B836" s="307"/>
      <c r="C836" s="307"/>
      <c r="D836" s="307"/>
      <c r="E836" s="307"/>
      <c r="F836" s="307"/>
      <c r="G836" s="307"/>
      <c r="H836" s="307"/>
      <c r="I836" s="307"/>
      <c r="J836" s="307"/>
      <c r="K836" s="307"/>
      <c r="L836" s="307"/>
      <c r="M836" s="307"/>
      <c r="N836" s="307"/>
      <c r="O836" s="307"/>
      <c r="P836" s="307"/>
      <c r="Q836" s="307"/>
      <c r="R836" s="307"/>
      <c r="S836" s="307"/>
      <c r="T836" s="307"/>
      <c r="U836" s="307"/>
      <c r="V836" s="307"/>
      <c r="W836" s="307"/>
      <c r="X836" s="307"/>
      <c r="Y836" s="307"/>
      <c r="Z836" s="307"/>
      <c r="AA836" s="307"/>
      <c r="AB836" s="307"/>
      <c r="AC836" s="307"/>
      <c r="AD836" s="307"/>
      <c r="AE836" s="307"/>
      <c r="AF836" s="307"/>
      <c r="AG836" s="307"/>
      <c r="AH836" s="307"/>
      <c r="AI836" s="307"/>
      <c r="AJ836" s="307"/>
      <c r="AK836" s="307"/>
      <c r="AL836" s="307"/>
      <c r="AM836" s="307"/>
      <c r="AN836" s="307"/>
      <c r="AO836" s="307"/>
      <c r="AP836" s="307"/>
      <c r="AQ836" s="307"/>
      <c r="AR836" s="307"/>
      <c r="AS836" s="307"/>
      <c r="AT836" s="307"/>
      <c r="AU836" s="307"/>
    </row>
    <row r="837" ht="15.75" customHeight="1">
      <c r="A837" s="307"/>
      <c r="B837" s="307"/>
      <c r="C837" s="307"/>
      <c r="D837" s="307"/>
      <c r="E837" s="307"/>
      <c r="F837" s="307"/>
      <c r="G837" s="307"/>
      <c r="H837" s="307"/>
      <c r="I837" s="307"/>
      <c r="J837" s="307"/>
      <c r="K837" s="307"/>
      <c r="L837" s="307"/>
      <c r="M837" s="307"/>
      <c r="N837" s="307"/>
      <c r="O837" s="307"/>
      <c r="P837" s="307"/>
      <c r="Q837" s="307"/>
      <c r="R837" s="307"/>
      <c r="S837" s="307"/>
      <c r="T837" s="307"/>
      <c r="U837" s="307"/>
      <c r="V837" s="307"/>
      <c r="W837" s="307"/>
      <c r="X837" s="307"/>
      <c r="Y837" s="307"/>
      <c r="Z837" s="307"/>
      <c r="AA837" s="307"/>
      <c r="AB837" s="307"/>
      <c r="AC837" s="307"/>
      <c r="AD837" s="307"/>
      <c r="AE837" s="307"/>
      <c r="AF837" s="307"/>
      <c r="AG837" s="307"/>
      <c r="AH837" s="307"/>
      <c r="AI837" s="307"/>
      <c r="AJ837" s="307"/>
      <c r="AK837" s="307"/>
      <c r="AL837" s="307"/>
      <c r="AM837" s="307"/>
      <c r="AN837" s="307"/>
      <c r="AO837" s="307"/>
      <c r="AP837" s="307"/>
      <c r="AQ837" s="307"/>
      <c r="AR837" s="307"/>
      <c r="AS837" s="307"/>
      <c r="AT837" s="307"/>
      <c r="AU837" s="307"/>
    </row>
    <row r="838" ht="15.75" customHeight="1">
      <c r="A838" s="307"/>
      <c r="B838" s="307"/>
      <c r="C838" s="307"/>
      <c r="D838" s="307"/>
      <c r="E838" s="307"/>
      <c r="F838" s="307"/>
      <c r="G838" s="307"/>
      <c r="H838" s="307"/>
      <c r="I838" s="307"/>
      <c r="J838" s="307"/>
      <c r="K838" s="307"/>
      <c r="L838" s="307"/>
      <c r="M838" s="307"/>
      <c r="N838" s="307"/>
      <c r="O838" s="307"/>
      <c r="P838" s="307"/>
      <c r="Q838" s="307"/>
      <c r="R838" s="307"/>
      <c r="S838" s="307"/>
      <c r="T838" s="307"/>
      <c r="U838" s="307"/>
      <c r="V838" s="307"/>
      <c r="W838" s="307"/>
      <c r="X838" s="307"/>
      <c r="Y838" s="307"/>
      <c r="Z838" s="307"/>
      <c r="AA838" s="307"/>
      <c r="AB838" s="307"/>
      <c r="AC838" s="307"/>
      <c r="AD838" s="307"/>
      <c r="AE838" s="307"/>
      <c r="AF838" s="307"/>
      <c r="AG838" s="307"/>
      <c r="AH838" s="307"/>
      <c r="AI838" s="307"/>
      <c r="AJ838" s="307"/>
      <c r="AK838" s="307"/>
      <c r="AL838" s="307"/>
      <c r="AM838" s="307"/>
      <c r="AN838" s="307"/>
      <c r="AO838" s="307"/>
      <c r="AP838" s="307"/>
      <c r="AQ838" s="307"/>
      <c r="AR838" s="307"/>
      <c r="AS838" s="307"/>
      <c r="AT838" s="307"/>
      <c r="AU838" s="307"/>
    </row>
    <row r="839" ht="15.75" customHeight="1">
      <c r="A839" s="307"/>
      <c r="B839" s="307"/>
      <c r="C839" s="307"/>
      <c r="D839" s="307"/>
      <c r="E839" s="307"/>
      <c r="F839" s="307"/>
      <c r="G839" s="307"/>
      <c r="H839" s="307"/>
      <c r="I839" s="307"/>
      <c r="J839" s="307"/>
      <c r="K839" s="307"/>
      <c r="L839" s="307"/>
      <c r="M839" s="307"/>
      <c r="N839" s="307"/>
      <c r="O839" s="307"/>
      <c r="P839" s="307"/>
      <c r="Q839" s="307"/>
      <c r="R839" s="307"/>
      <c r="S839" s="307"/>
      <c r="T839" s="307"/>
      <c r="U839" s="307"/>
      <c r="V839" s="307"/>
      <c r="W839" s="307"/>
      <c r="X839" s="307"/>
      <c r="Y839" s="307"/>
      <c r="Z839" s="307"/>
      <c r="AA839" s="307"/>
      <c r="AB839" s="307"/>
      <c r="AC839" s="307"/>
      <c r="AD839" s="307"/>
      <c r="AE839" s="307"/>
      <c r="AF839" s="307"/>
      <c r="AG839" s="307"/>
      <c r="AH839" s="307"/>
      <c r="AI839" s="307"/>
      <c r="AJ839" s="307"/>
      <c r="AK839" s="307"/>
      <c r="AL839" s="307"/>
      <c r="AM839" s="307"/>
      <c r="AN839" s="307"/>
      <c r="AO839" s="307"/>
      <c r="AP839" s="307"/>
      <c r="AQ839" s="307"/>
      <c r="AR839" s="307"/>
      <c r="AS839" s="307"/>
      <c r="AT839" s="307"/>
      <c r="AU839" s="307"/>
    </row>
    <row r="840" ht="15.75" customHeight="1">
      <c r="A840" s="307"/>
      <c r="B840" s="307"/>
      <c r="C840" s="307"/>
      <c r="D840" s="307"/>
      <c r="E840" s="307"/>
      <c r="F840" s="307"/>
      <c r="G840" s="307"/>
      <c r="H840" s="307"/>
      <c r="I840" s="307"/>
      <c r="J840" s="307"/>
      <c r="K840" s="307"/>
      <c r="L840" s="307"/>
      <c r="M840" s="307"/>
      <c r="N840" s="307"/>
      <c r="O840" s="307"/>
      <c r="P840" s="307"/>
      <c r="Q840" s="307"/>
      <c r="R840" s="307"/>
      <c r="S840" s="307"/>
      <c r="T840" s="307"/>
      <c r="U840" s="307"/>
      <c r="V840" s="307"/>
      <c r="W840" s="307"/>
      <c r="X840" s="307"/>
      <c r="Y840" s="307"/>
      <c r="Z840" s="307"/>
      <c r="AA840" s="307"/>
      <c r="AB840" s="307"/>
      <c r="AC840" s="307"/>
      <c r="AD840" s="307"/>
      <c r="AE840" s="307"/>
      <c r="AF840" s="307"/>
      <c r="AG840" s="307"/>
      <c r="AH840" s="307"/>
      <c r="AI840" s="307"/>
      <c r="AJ840" s="307"/>
      <c r="AK840" s="307"/>
      <c r="AL840" s="307"/>
      <c r="AM840" s="307"/>
      <c r="AN840" s="307"/>
      <c r="AO840" s="307"/>
      <c r="AP840" s="307"/>
      <c r="AQ840" s="307"/>
      <c r="AR840" s="307"/>
      <c r="AS840" s="307"/>
      <c r="AT840" s="307"/>
      <c r="AU840" s="307"/>
    </row>
    <row r="841" ht="15.75" customHeight="1">
      <c r="A841" s="307"/>
      <c r="B841" s="307"/>
      <c r="C841" s="307"/>
      <c r="D841" s="307"/>
      <c r="E841" s="307"/>
      <c r="F841" s="307"/>
      <c r="G841" s="307"/>
      <c r="H841" s="307"/>
      <c r="I841" s="307"/>
      <c r="J841" s="307"/>
      <c r="K841" s="307"/>
      <c r="L841" s="307"/>
      <c r="M841" s="307"/>
      <c r="N841" s="307"/>
      <c r="O841" s="307"/>
      <c r="P841" s="307"/>
      <c r="Q841" s="307"/>
      <c r="R841" s="307"/>
      <c r="S841" s="307"/>
      <c r="T841" s="307"/>
      <c r="U841" s="307"/>
      <c r="V841" s="307"/>
      <c r="W841" s="307"/>
      <c r="X841" s="307"/>
      <c r="Y841" s="307"/>
      <c r="Z841" s="307"/>
      <c r="AA841" s="307"/>
      <c r="AB841" s="307"/>
      <c r="AC841" s="307"/>
      <c r="AD841" s="307"/>
      <c r="AE841" s="307"/>
      <c r="AF841" s="307"/>
      <c r="AG841" s="307"/>
      <c r="AH841" s="307"/>
      <c r="AI841" s="307"/>
      <c r="AJ841" s="307"/>
      <c r="AK841" s="307"/>
      <c r="AL841" s="307"/>
      <c r="AM841" s="307"/>
      <c r="AN841" s="307"/>
      <c r="AO841" s="307"/>
      <c r="AP841" s="307"/>
      <c r="AQ841" s="307"/>
      <c r="AR841" s="307"/>
      <c r="AS841" s="307"/>
      <c r="AT841" s="307"/>
      <c r="AU841" s="307"/>
    </row>
    <row r="842" ht="15.75" customHeight="1">
      <c r="A842" s="307"/>
      <c r="B842" s="307"/>
      <c r="C842" s="307"/>
      <c r="D842" s="307"/>
      <c r="E842" s="307"/>
      <c r="F842" s="307"/>
      <c r="G842" s="307"/>
      <c r="H842" s="307"/>
      <c r="I842" s="307"/>
      <c r="J842" s="307"/>
      <c r="K842" s="307"/>
      <c r="L842" s="307"/>
      <c r="M842" s="307"/>
      <c r="N842" s="307"/>
      <c r="O842" s="307"/>
      <c r="P842" s="307"/>
      <c r="Q842" s="307"/>
      <c r="R842" s="307"/>
      <c r="S842" s="307"/>
      <c r="T842" s="307"/>
      <c r="U842" s="307"/>
      <c r="V842" s="307"/>
      <c r="W842" s="307"/>
      <c r="X842" s="307"/>
      <c r="Y842" s="307"/>
      <c r="Z842" s="307"/>
      <c r="AA842" s="307"/>
      <c r="AB842" s="307"/>
      <c r="AC842" s="307"/>
      <c r="AD842" s="307"/>
      <c r="AE842" s="307"/>
      <c r="AF842" s="307"/>
      <c r="AG842" s="307"/>
      <c r="AH842" s="307"/>
      <c r="AI842" s="307"/>
      <c r="AJ842" s="307"/>
      <c r="AK842" s="307"/>
      <c r="AL842" s="307"/>
      <c r="AM842" s="307"/>
      <c r="AN842" s="307"/>
      <c r="AO842" s="307"/>
      <c r="AP842" s="307"/>
      <c r="AQ842" s="307"/>
      <c r="AR842" s="307"/>
      <c r="AS842" s="307"/>
      <c r="AT842" s="307"/>
      <c r="AU842" s="307"/>
    </row>
    <row r="843" ht="15.75" customHeight="1">
      <c r="A843" s="307"/>
      <c r="B843" s="307"/>
      <c r="C843" s="307"/>
      <c r="D843" s="307"/>
      <c r="E843" s="307"/>
      <c r="F843" s="307"/>
      <c r="G843" s="307"/>
      <c r="H843" s="307"/>
      <c r="I843" s="307"/>
      <c r="J843" s="307"/>
      <c r="K843" s="307"/>
      <c r="L843" s="307"/>
      <c r="M843" s="307"/>
      <c r="N843" s="307"/>
      <c r="O843" s="307"/>
      <c r="P843" s="307"/>
      <c r="Q843" s="307"/>
      <c r="R843" s="307"/>
      <c r="S843" s="307"/>
      <c r="T843" s="307"/>
      <c r="U843" s="307"/>
      <c r="V843" s="307"/>
      <c r="W843" s="307"/>
      <c r="X843" s="307"/>
      <c r="Y843" s="307"/>
      <c r="Z843" s="307"/>
      <c r="AA843" s="307"/>
      <c r="AB843" s="307"/>
      <c r="AC843" s="307"/>
      <c r="AD843" s="307"/>
      <c r="AE843" s="307"/>
      <c r="AF843" s="307"/>
      <c r="AG843" s="307"/>
      <c r="AH843" s="307"/>
      <c r="AI843" s="307"/>
      <c r="AJ843" s="307"/>
      <c r="AK843" s="307"/>
      <c r="AL843" s="307"/>
      <c r="AM843" s="307"/>
      <c r="AN843" s="307"/>
      <c r="AO843" s="307"/>
      <c r="AP843" s="307"/>
      <c r="AQ843" s="307"/>
      <c r="AR843" s="307"/>
      <c r="AS843" s="307"/>
      <c r="AT843" s="307"/>
      <c r="AU843" s="307"/>
    </row>
    <row r="844" ht="15.75" customHeight="1">
      <c r="A844" s="307"/>
      <c r="B844" s="307"/>
      <c r="C844" s="307"/>
      <c r="D844" s="307"/>
      <c r="E844" s="307"/>
      <c r="F844" s="307"/>
      <c r="G844" s="307"/>
      <c r="H844" s="307"/>
      <c r="I844" s="307"/>
      <c r="J844" s="307"/>
      <c r="K844" s="307"/>
      <c r="L844" s="307"/>
      <c r="M844" s="307"/>
      <c r="N844" s="307"/>
      <c r="O844" s="307"/>
      <c r="P844" s="307"/>
      <c r="Q844" s="307"/>
      <c r="R844" s="307"/>
      <c r="S844" s="307"/>
      <c r="T844" s="307"/>
      <c r="U844" s="307"/>
      <c r="V844" s="307"/>
      <c r="W844" s="307"/>
      <c r="X844" s="307"/>
      <c r="Y844" s="307"/>
      <c r="Z844" s="307"/>
      <c r="AA844" s="307"/>
      <c r="AB844" s="307"/>
      <c r="AC844" s="307"/>
      <c r="AD844" s="307"/>
      <c r="AE844" s="307"/>
      <c r="AF844" s="307"/>
      <c r="AG844" s="307"/>
      <c r="AH844" s="307"/>
      <c r="AI844" s="307"/>
      <c r="AJ844" s="307"/>
      <c r="AK844" s="307"/>
      <c r="AL844" s="307"/>
      <c r="AM844" s="307"/>
      <c r="AN844" s="307"/>
      <c r="AO844" s="307"/>
      <c r="AP844" s="307"/>
      <c r="AQ844" s="307"/>
      <c r="AR844" s="307"/>
      <c r="AS844" s="307"/>
      <c r="AT844" s="307"/>
      <c r="AU844" s="307"/>
    </row>
    <row r="845" ht="15.75" customHeight="1">
      <c r="A845" s="307"/>
      <c r="B845" s="307"/>
      <c r="C845" s="307"/>
      <c r="D845" s="307"/>
      <c r="E845" s="307"/>
      <c r="F845" s="307"/>
      <c r="G845" s="307"/>
      <c r="H845" s="307"/>
      <c r="I845" s="307"/>
      <c r="J845" s="307"/>
      <c r="K845" s="307"/>
      <c r="L845" s="307"/>
      <c r="M845" s="307"/>
      <c r="N845" s="307"/>
      <c r="O845" s="307"/>
      <c r="P845" s="307"/>
      <c r="Q845" s="307"/>
      <c r="R845" s="307"/>
      <c r="S845" s="307"/>
      <c r="T845" s="307"/>
      <c r="U845" s="307"/>
      <c r="V845" s="307"/>
      <c r="W845" s="307"/>
      <c r="X845" s="307"/>
      <c r="Y845" s="307"/>
      <c r="Z845" s="307"/>
      <c r="AA845" s="307"/>
      <c r="AB845" s="307"/>
      <c r="AC845" s="307"/>
      <c r="AD845" s="307"/>
      <c r="AE845" s="307"/>
      <c r="AF845" s="307"/>
      <c r="AG845" s="307"/>
      <c r="AH845" s="307"/>
      <c r="AI845" s="307"/>
      <c r="AJ845" s="307"/>
      <c r="AK845" s="307"/>
      <c r="AL845" s="307"/>
      <c r="AM845" s="307"/>
      <c r="AN845" s="307"/>
      <c r="AO845" s="307"/>
      <c r="AP845" s="307"/>
      <c r="AQ845" s="307"/>
      <c r="AR845" s="307"/>
      <c r="AS845" s="307"/>
      <c r="AT845" s="307"/>
      <c r="AU845" s="307"/>
    </row>
    <row r="846" ht="15.75" customHeight="1">
      <c r="A846" s="307"/>
      <c r="B846" s="307"/>
      <c r="C846" s="307"/>
      <c r="D846" s="307"/>
      <c r="E846" s="307"/>
      <c r="F846" s="307"/>
      <c r="G846" s="307"/>
      <c r="H846" s="307"/>
      <c r="I846" s="307"/>
      <c r="J846" s="307"/>
      <c r="K846" s="307"/>
      <c r="L846" s="307"/>
      <c r="M846" s="307"/>
      <c r="N846" s="307"/>
      <c r="O846" s="307"/>
      <c r="P846" s="307"/>
      <c r="Q846" s="307"/>
      <c r="R846" s="307"/>
      <c r="S846" s="307"/>
      <c r="T846" s="307"/>
      <c r="U846" s="307"/>
      <c r="V846" s="307"/>
      <c r="W846" s="307"/>
      <c r="X846" s="307"/>
      <c r="Y846" s="307"/>
      <c r="Z846" s="307"/>
      <c r="AA846" s="307"/>
      <c r="AB846" s="307"/>
      <c r="AC846" s="307"/>
      <c r="AD846" s="307"/>
      <c r="AE846" s="307"/>
      <c r="AF846" s="307"/>
      <c r="AG846" s="307"/>
      <c r="AH846" s="307"/>
      <c r="AI846" s="307"/>
      <c r="AJ846" s="307"/>
      <c r="AK846" s="307"/>
      <c r="AL846" s="307"/>
      <c r="AM846" s="307"/>
      <c r="AN846" s="307"/>
      <c r="AO846" s="307"/>
      <c r="AP846" s="307"/>
      <c r="AQ846" s="307"/>
      <c r="AR846" s="307"/>
      <c r="AS846" s="307"/>
      <c r="AT846" s="307"/>
      <c r="AU846" s="307"/>
    </row>
    <row r="847" ht="15.75" customHeight="1">
      <c r="A847" s="307"/>
      <c r="B847" s="307"/>
      <c r="C847" s="307"/>
      <c r="D847" s="307"/>
      <c r="E847" s="307"/>
      <c r="F847" s="307"/>
      <c r="G847" s="307"/>
      <c r="H847" s="307"/>
      <c r="I847" s="307"/>
      <c r="J847" s="307"/>
      <c r="K847" s="307"/>
      <c r="L847" s="307"/>
      <c r="M847" s="307"/>
      <c r="N847" s="307"/>
      <c r="O847" s="307"/>
      <c r="P847" s="307"/>
      <c r="Q847" s="307"/>
      <c r="R847" s="307"/>
      <c r="S847" s="307"/>
      <c r="T847" s="307"/>
      <c r="U847" s="307"/>
      <c r="V847" s="307"/>
      <c r="W847" s="307"/>
      <c r="X847" s="307"/>
      <c r="Y847" s="307"/>
      <c r="Z847" s="307"/>
      <c r="AA847" s="307"/>
      <c r="AB847" s="307"/>
      <c r="AC847" s="307"/>
      <c r="AD847" s="307"/>
      <c r="AE847" s="307"/>
      <c r="AF847" s="307"/>
      <c r="AG847" s="307"/>
      <c r="AH847" s="307"/>
      <c r="AI847" s="307"/>
      <c r="AJ847" s="307"/>
      <c r="AK847" s="307"/>
      <c r="AL847" s="307"/>
      <c r="AM847" s="307"/>
      <c r="AN847" s="307"/>
      <c r="AO847" s="307"/>
      <c r="AP847" s="307"/>
      <c r="AQ847" s="307"/>
      <c r="AR847" s="307"/>
      <c r="AS847" s="307"/>
      <c r="AT847" s="307"/>
      <c r="AU847" s="307"/>
    </row>
    <row r="848" ht="15.75" customHeight="1">
      <c r="A848" s="307"/>
      <c r="B848" s="307"/>
      <c r="C848" s="307"/>
      <c r="D848" s="307"/>
      <c r="E848" s="307"/>
      <c r="F848" s="307"/>
      <c r="G848" s="307"/>
      <c r="H848" s="307"/>
      <c r="I848" s="307"/>
      <c r="J848" s="307"/>
      <c r="K848" s="307"/>
      <c r="L848" s="307"/>
      <c r="M848" s="307"/>
      <c r="N848" s="307"/>
      <c r="O848" s="307"/>
      <c r="P848" s="307"/>
      <c r="Q848" s="307"/>
      <c r="R848" s="307"/>
      <c r="S848" s="307"/>
      <c r="T848" s="307"/>
      <c r="U848" s="307"/>
      <c r="V848" s="307"/>
      <c r="W848" s="307"/>
      <c r="X848" s="307"/>
      <c r="Y848" s="307"/>
      <c r="Z848" s="307"/>
      <c r="AA848" s="307"/>
      <c r="AB848" s="307"/>
      <c r="AC848" s="307"/>
      <c r="AD848" s="307"/>
      <c r="AE848" s="307"/>
      <c r="AF848" s="307"/>
      <c r="AG848" s="307"/>
      <c r="AH848" s="307"/>
      <c r="AI848" s="307"/>
      <c r="AJ848" s="307"/>
      <c r="AK848" s="307"/>
      <c r="AL848" s="307"/>
      <c r="AM848" s="307"/>
      <c r="AN848" s="307"/>
      <c r="AO848" s="307"/>
      <c r="AP848" s="307"/>
      <c r="AQ848" s="307"/>
      <c r="AR848" s="307"/>
      <c r="AS848" s="307"/>
      <c r="AT848" s="307"/>
      <c r="AU848" s="307"/>
    </row>
    <row r="849" ht="15.75" customHeight="1">
      <c r="A849" s="307"/>
      <c r="B849" s="307"/>
      <c r="C849" s="307"/>
      <c r="D849" s="307"/>
      <c r="E849" s="307"/>
      <c r="F849" s="307"/>
      <c r="G849" s="307"/>
      <c r="H849" s="307"/>
      <c r="I849" s="307"/>
      <c r="J849" s="307"/>
      <c r="K849" s="307"/>
      <c r="L849" s="307"/>
      <c r="M849" s="307"/>
      <c r="N849" s="307"/>
      <c r="O849" s="307"/>
      <c r="P849" s="307"/>
      <c r="Q849" s="307"/>
      <c r="R849" s="307"/>
      <c r="S849" s="307"/>
      <c r="T849" s="307"/>
      <c r="U849" s="307"/>
      <c r="V849" s="307"/>
      <c r="W849" s="307"/>
      <c r="X849" s="307"/>
      <c r="Y849" s="307"/>
      <c r="Z849" s="307"/>
      <c r="AA849" s="307"/>
      <c r="AB849" s="307"/>
      <c r="AC849" s="307"/>
      <c r="AD849" s="307"/>
      <c r="AE849" s="307"/>
      <c r="AF849" s="307"/>
      <c r="AG849" s="307"/>
      <c r="AH849" s="307"/>
      <c r="AI849" s="307"/>
      <c r="AJ849" s="307"/>
      <c r="AK849" s="307"/>
      <c r="AL849" s="307"/>
      <c r="AM849" s="307"/>
      <c r="AN849" s="307"/>
      <c r="AO849" s="307"/>
      <c r="AP849" s="307"/>
      <c r="AQ849" s="307"/>
      <c r="AR849" s="307"/>
      <c r="AS849" s="307"/>
      <c r="AT849" s="307"/>
      <c r="AU849" s="307"/>
    </row>
    <row r="850" ht="15.75" customHeight="1">
      <c r="A850" s="307"/>
      <c r="B850" s="307"/>
      <c r="C850" s="307"/>
      <c r="D850" s="307"/>
      <c r="E850" s="307"/>
      <c r="F850" s="307"/>
      <c r="G850" s="307"/>
      <c r="H850" s="307"/>
      <c r="I850" s="307"/>
      <c r="J850" s="307"/>
      <c r="K850" s="307"/>
      <c r="L850" s="307"/>
      <c r="M850" s="307"/>
      <c r="N850" s="307"/>
      <c r="O850" s="307"/>
      <c r="P850" s="307"/>
      <c r="Q850" s="307"/>
      <c r="R850" s="307"/>
      <c r="S850" s="307"/>
      <c r="T850" s="307"/>
      <c r="U850" s="307"/>
      <c r="V850" s="307"/>
      <c r="W850" s="307"/>
      <c r="X850" s="307"/>
      <c r="Y850" s="307"/>
      <c r="Z850" s="307"/>
      <c r="AA850" s="307"/>
      <c r="AB850" s="307"/>
      <c r="AC850" s="307"/>
      <c r="AD850" s="307"/>
      <c r="AE850" s="307"/>
      <c r="AF850" s="307"/>
      <c r="AG850" s="307"/>
      <c r="AH850" s="307"/>
      <c r="AI850" s="307"/>
      <c r="AJ850" s="307"/>
      <c r="AK850" s="307"/>
      <c r="AL850" s="307"/>
      <c r="AM850" s="307"/>
      <c r="AN850" s="307"/>
      <c r="AO850" s="307"/>
      <c r="AP850" s="307"/>
      <c r="AQ850" s="307"/>
      <c r="AR850" s="307"/>
      <c r="AS850" s="307"/>
      <c r="AT850" s="307"/>
      <c r="AU850" s="307"/>
    </row>
    <row r="851" ht="15.75" customHeight="1">
      <c r="A851" s="307"/>
      <c r="B851" s="307"/>
      <c r="C851" s="307"/>
      <c r="D851" s="307"/>
      <c r="E851" s="307"/>
      <c r="F851" s="307"/>
      <c r="G851" s="307"/>
      <c r="H851" s="307"/>
      <c r="I851" s="307"/>
      <c r="J851" s="307"/>
      <c r="K851" s="307"/>
      <c r="L851" s="307"/>
      <c r="M851" s="307"/>
      <c r="N851" s="307"/>
      <c r="O851" s="307"/>
      <c r="P851" s="307"/>
      <c r="Q851" s="307"/>
      <c r="R851" s="307"/>
      <c r="S851" s="307"/>
      <c r="T851" s="307"/>
      <c r="U851" s="307"/>
      <c r="V851" s="307"/>
      <c r="W851" s="307"/>
      <c r="X851" s="307"/>
      <c r="Y851" s="307"/>
      <c r="Z851" s="307"/>
      <c r="AA851" s="307"/>
      <c r="AB851" s="307"/>
      <c r="AC851" s="307"/>
      <c r="AD851" s="307"/>
      <c r="AE851" s="307"/>
      <c r="AF851" s="307"/>
      <c r="AG851" s="307"/>
      <c r="AH851" s="307"/>
      <c r="AI851" s="307"/>
      <c r="AJ851" s="307"/>
      <c r="AK851" s="307"/>
      <c r="AL851" s="307"/>
      <c r="AM851" s="307"/>
      <c r="AN851" s="307"/>
      <c r="AO851" s="307"/>
      <c r="AP851" s="307"/>
      <c r="AQ851" s="307"/>
      <c r="AR851" s="307"/>
      <c r="AS851" s="307"/>
      <c r="AT851" s="307"/>
      <c r="AU851" s="307"/>
    </row>
    <row r="852" ht="15.75" customHeight="1">
      <c r="A852" s="307"/>
      <c r="B852" s="307"/>
      <c r="C852" s="307"/>
      <c r="D852" s="307"/>
      <c r="E852" s="307"/>
      <c r="F852" s="307"/>
      <c r="G852" s="307"/>
      <c r="H852" s="307"/>
      <c r="I852" s="307"/>
      <c r="J852" s="307"/>
      <c r="K852" s="307"/>
      <c r="L852" s="307"/>
      <c r="M852" s="307"/>
      <c r="N852" s="307"/>
      <c r="O852" s="307"/>
      <c r="P852" s="307"/>
      <c r="Q852" s="307"/>
      <c r="R852" s="307"/>
      <c r="S852" s="307"/>
      <c r="T852" s="307"/>
      <c r="U852" s="307"/>
      <c r="V852" s="307"/>
      <c r="W852" s="307"/>
      <c r="X852" s="307"/>
      <c r="Y852" s="307"/>
      <c r="Z852" s="307"/>
      <c r="AA852" s="307"/>
      <c r="AB852" s="307"/>
      <c r="AC852" s="307"/>
      <c r="AD852" s="307"/>
      <c r="AE852" s="307"/>
      <c r="AF852" s="307"/>
      <c r="AG852" s="307"/>
      <c r="AH852" s="307"/>
      <c r="AI852" s="307"/>
      <c r="AJ852" s="307"/>
      <c r="AK852" s="307"/>
      <c r="AL852" s="307"/>
      <c r="AM852" s="307"/>
      <c r="AN852" s="307"/>
      <c r="AO852" s="307"/>
      <c r="AP852" s="307"/>
      <c r="AQ852" s="307"/>
      <c r="AR852" s="307"/>
      <c r="AS852" s="307"/>
      <c r="AT852" s="307"/>
      <c r="AU852" s="307"/>
    </row>
    <row r="853" ht="15.75" customHeight="1">
      <c r="A853" s="307"/>
      <c r="B853" s="307"/>
      <c r="C853" s="307"/>
      <c r="D853" s="307"/>
      <c r="E853" s="307"/>
      <c r="F853" s="307"/>
      <c r="G853" s="307"/>
      <c r="H853" s="307"/>
      <c r="I853" s="307"/>
      <c r="J853" s="307"/>
      <c r="K853" s="307"/>
      <c r="L853" s="307"/>
      <c r="M853" s="307"/>
      <c r="N853" s="307"/>
      <c r="O853" s="307"/>
      <c r="P853" s="307"/>
      <c r="Q853" s="307"/>
      <c r="R853" s="307"/>
      <c r="S853" s="307"/>
      <c r="T853" s="307"/>
      <c r="U853" s="307"/>
      <c r="V853" s="307"/>
      <c r="W853" s="307"/>
      <c r="X853" s="307"/>
      <c r="Y853" s="307"/>
      <c r="Z853" s="307"/>
      <c r="AA853" s="307"/>
      <c r="AB853" s="307"/>
      <c r="AC853" s="307"/>
      <c r="AD853" s="307"/>
      <c r="AE853" s="307"/>
      <c r="AF853" s="307"/>
      <c r="AG853" s="307"/>
      <c r="AH853" s="307"/>
      <c r="AI853" s="307"/>
      <c r="AJ853" s="307"/>
      <c r="AK853" s="307"/>
      <c r="AL853" s="307"/>
      <c r="AM853" s="307"/>
      <c r="AN853" s="307"/>
      <c r="AO853" s="307"/>
      <c r="AP853" s="307"/>
      <c r="AQ853" s="307"/>
      <c r="AR853" s="307"/>
      <c r="AS853" s="307"/>
      <c r="AT853" s="307"/>
      <c r="AU853" s="307"/>
    </row>
    <row r="854" ht="15.75" customHeight="1">
      <c r="A854" s="307"/>
      <c r="B854" s="307"/>
      <c r="C854" s="307"/>
      <c r="D854" s="307"/>
      <c r="E854" s="307"/>
      <c r="F854" s="307"/>
      <c r="G854" s="307"/>
      <c r="H854" s="307"/>
      <c r="I854" s="307"/>
      <c r="J854" s="307"/>
      <c r="K854" s="307"/>
      <c r="L854" s="307"/>
      <c r="M854" s="307"/>
      <c r="N854" s="307"/>
      <c r="O854" s="307"/>
      <c r="P854" s="307"/>
      <c r="Q854" s="307"/>
      <c r="R854" s="307"/>
      <c r="S854" s="307"/>
      <c r="T854" s="307"/>
      <c r="U854" s="307"/>
      <c r="V854" s="307"/>
      <c r="W854" s="307"/>
      <c r="X854" s="307"/>
      <c r="Y854" s="307"/>
      <c r="Z854" s="307"/>
      <c r="AA854" s="307"/>
      <c r="AB854" s="307"/>
      <c r="AC854" s="307"/>
      <c r="AD854" s="307"/>
      <c r="AE854" s="307"/>
      <c r="AF854" s="307"/>
      <c r="AG854" s="307"/>
      <c r="AH854" s="307"/>
      <c r="AI854" s="307"/>
      <c r="AJ854" s="307"/>
      <c r="AK854" s="307"/>
      <c r="AL854" s="307"/>
      <c r="AM854" s="307"/>
      <c r="AN854" s="307"/>
      <c r="AO854" s="307"/>
      <c r="AP854" s="307"/>
      <c r="AQ854" s="307"/>
      <c r="AR854" s="307"/>
      <c r="AS854" s="307"/>
      <c r="AT854" s="307"/>
      <c r="AU854" s="307"/>
    </row>
    <row r="855" ht="15.75" customHeight="1">
      <c r="A855" s="307"/>
      <c r="B855" s="307"/>
      <c r="C855" s="307"/>
      <c r="D855" s="307"/>
      <c r="E855" s="307"/>
      <c r="F855" s="307"/>
      <c r="G855" s="307"/>
      <c r="H855" s="307"/>
      <c r="I855" s="307"/>
      <c r="J855" s="307"/>
      <c r="K855" s="307"/>
      <c r="L855" s="307"/>
      <c r="M855" s="307"/>
      <c r="N855" s="307"/>
      <c r="O855" s="307"/>
      <c r="P855" s="307"/>
      <c r="Q855" s="307"/>
      <c r="R855" s="307"/>
      <c r="S855" s="307"/>
      <c r="T855" s="307"/>
      <c r="U855" s="307"/>
      <c r="V855" s="307"/>
      <c r="W855" s="307"/>
      <c r="X855" s="307"/>
      <c r="Y855" s="307"/>
      <c r="Z855" s="307"/>
      <c r="AA855" s="307"/>
      <c r="AB855" s="307"/>
      <c r="AC855" s="307"/>
      <c r="AD855" s="307"/>
      <c r="AE855" s="307"/>
      <c r="AF855" s="307"/>
      <c r="AG855" s="307"/>
      <c r="AH855" s="307"/>
      <c r="AI855" s="307"/>
      <c r="AJ855" s="307"/>
      <c r="AK855" s="307"/>
      <c r="AL855" s="307"/>
      <c r="AM855" s="307"/>
      <c r="AN855" s="307"/>
      <c r="AO855" s="307"/>
      <c r="AP855" s="307"/>
      <c r="AQ855" s="307"/>
      <c r="AR855" s="307"/>
      <c r="AS855" s="307"/>
      <c r="AT855" s="307"/>
      <c r="AU855" s="307"/>
    </row>
    <row r="856" ht="15.75" customHeight="1">
      <c r="A856" s="307"/>
      <c r="B856" s="307"/>
      <c r="C856" s="307"/>
      <c r="D856" s="307"/>
      <c r="E856" s="307"/>
      <c r="F856" s="307"/>
      <c r="G856" s="307"/>
      <c r="H856" s="307"/>
      <c r="I856" s="307"/>
      <c r="J856" s="307"/>
      <c r="K856" s="307"/>
      <c r="L856" s="307"/>
      <c r="M856" s="307"/>
      <c r="N856" s="307"/>
      <c r="O856" s="307"/>
      <c r="P856" s="307"/>
      <c r="Q856" s="307"/>
      <c r="R856" s="307"/>
      <c r="S856" s="307"/>
      <c r="T856" s="307"/>
      <c r="U856" s="307"/>
      <c r="V856" s="307"/>
      <c r="W856" s="307"/>
      <c r="X856" s="307"/>
      <c r="Y856" s="307"/>
      <c r="Z856" s="307"/>
      <c r="AA856" s="307"/>
      <c r="AB856" s="307"/>
      <c r="AC856" s="307"/>
      <c r="AD856" s="307"/>
      <c r="AE856" s="307"/>
      <c r="AF856" s="307"/>
      <c r="AG856" s="307"/>
      <c r="AH856" s="307"/>
      <c r="AI856" s="307"/>
      <c r="AJ856" s="307"/>
      <c r="AK856" s="307"/>
      <c r="AL856" s="307"/>
      <c r="AM856" s="307"/>
      <c r="AN856" s="307"/>
      <c r="AO856" s="307"/>
      <c r="AP856" s="307"/>
      <c r="AQ856" s="307"/>
      <c r="AR856" s="307"/>
      <c r="AS856" s="307"/>
      <c r="AT856" s="307"/>
      <c r="AU856" s="307"/>
    </row>
    <row r="857" ht="15.75" customHeight="1">
      <c r="A857" s="307"/>
      <c r="B857" s="307"/>
      <c r="C857" s="307"/>
      <c r="D857" s="307"/>
      <c r="E857" s="307"/>
      <c r="F857" s="307"/>
      <c r="G857" s="307"/>
      <c r="H857" s="307"/>
      <c r="I857" s="307"/>
      <c r="J857" s="307"/>
      <c r="K857" s="307"/>
      <c r="L857" s="307"/>
      <c r="M857" s="307"/>
      <c r="N857" s="307"/>
      <c r="O857" s="307"/>
      <c r="P857" s="307"/>
      <c r="Q857" s="307"/>
      <c r="R857" s="307"/>
      <c r="S857" s="307"/>
      <c r="T857" s="307"/>
      <c r="U857" s="307"/>
      <c r="V857" s="307"/>
      <c r="W857" s="307"/>
      <c r="X857" s="307"/>
      <c r="Y857" s="307"/>
      <c r="Z857" s="307"/>
      <c r="AA857" s="307"/>
      <c r="AB857" s="307"/>
      <c r="AC857" s="307"/>
      <c r="AD857" s="307"/>
      <c r="AE857" s="307"/>
      <c r="AF857" s="307"/>
      <c r="AG857" s="307"/>
      <c r="AH857" s="307"/>
      <c r="AI857" s="307"/>
      <c r="AJ857" s="307"/>
      <c r="AK857" s="307"/>
      <c r="AL857" s="307"/>
      <c r="AM857" s="307"/>
      <c r="AN857" s="307"/>
      <c r="AO857" s="307"/>
      <c r="AP857" s="307"/>
      <c r="AQ857" s="307"/>
      <c r="AR857" s="307"/>
      <c r="AS857" s="307"/>
      <c r="AT857" s="307"/>
      <c r="AU857" s="307"/>
    </row>
    <row r="858" ht="15.75" customHeight="1">
      <c r="A858" s="307"/>
      <c r="B858" s="307"/>
      <c r="C858" s="307"/>
      <c r="D858" s="307"/>
      <c r="E858" s="307"/>
      <c r="F858" s="307"/>
      <c r="G858" s="307"/>
      <c r="H858" s="307"/>
      <c r="I858" s="307"/>
      <c r="J858" s="307"/>
      <c r="K858" s="307"/>
      <c r="L858" s="307"/>
      <c r="M858" s="307"/>
      <c r="N858" s="307"/>
      <c r="O858" s="307"/>
      <c r="P858" s="307"/>
      <c r="Q858" s="307"/>
      <c r="R858" s="307"/>
      <c r="S858" s="307"/>
      <c r="T858" s="307"/>
      <c r="U858" s="307"/>
      <c r="V858" s="307"/>
      <c r="W858" s="307"/>
      <c r="X858" s="307"/>
      <c r="Y858" s="307"/>
      <c r="Z858" s="307"/>
      <c r="AA858" s="307"/>
      <c r="AB858" s="307"/>
      <c r="AC858" s="307"/>
      <c r="AD858" s="307"/>
      <c r="AE858" s="307"/>
      <c r="AF858" s="307"/>
      <c r="AG858" s="307"/>
      <c r="AH858" s="307"/>
      <c r="AI858" s="307"/>
      <c r="AJ858" s="307"/>
      <c r="AK858" s="307"/>
      <c r="AL858" s="307"/>
      <c r="AM858" s="307"/>
      <c r="AN858" s="307"/>
      <c r="AO858" s="307"/>
      <c r="AP858" s="307"/>
      <c r="AQ858" s="307"/>
      <c r="AR858" s="307"/>
      <c r="AS858" s="307"/>
      <c r="AT858" s="307"/>
      <c r="AU858" s="307"/>
    </row>
    <row r="859" ht="15.75" customHeight="1">
      <c r="A859" s="307"/>
      <c r="B859" s="307"/>
      <c r="C859" s="307"/>
      <c r="D859" s="307"/>
      <c r="E859" s="307"/>
      <c r="F859" s="307"/>
      <c r="G859" s="307"/>
      <c r="H859" s="307"/>
      <c r="I859" s="307"/>
      <c r="J859" s="307"/>
      <c r="K859" s="307"/>
      <c r="L859" s="307"/>
      <c r="M859" s="307"/>
      <c r="N859" s="307"/>
      <c r="O859" s="307"/>
      <c r="P859" s="307"/>
      <c r="Q859" s="307"/>
      <c r="R859" s="307"/>
      <c r="S859" s="307"/>
      <c r="T859" s="307"/>
      <c r="U859" s="307"/>
      <c r="V859" s="307"/>
      <c r="W859" s="307"/>
      <c r="X859" s="307"/>
      <c r="Y859" s="307"/>
      <c r="Z859" s="307"/>
      <c r="AA859" s="307"/>
      <c r="AB859" s="307"/>
      <c r="AC859" s="307"/>
      <c r="AD859" s="307"/>
      <c r="AE859" s="307"/>
      <c r="AF859" s="307"/>
      <c r="AG859" s="307"/>
      <c r="AH859" s="307"/>
      <c r="AI859" s="307"/>
      <c r="AJ859" s="307"/>
      <c r="AK859" s="307"/>
      <c r="AL859" s="307"/>
      <c r="AM859" s="307"/>
      <c r="AN859" s="307"/>
      <c r="AO859" s="307"/>
      <c r="AP859" s="307"/>
      <c r="AQ859" s="307"/>
      <c r="AR859" s="307"/>
      <c r="AS859" s="307"/>
      <c r="AT859" s="307"/>
      <c r="AU859" s="307"/>
    </row>
    <row r="860" ht="15.75" customHeight="1">
      <c r="A860" s="307"/>
      <c r="B860" s="307"/>
      <c r="C860" s="307"/>
      <c r="D860" s="307"/>
      <c r="E860" s="307"/>
      <c r="F860" s="307"/>
      <c r="G860" s="307"/>
      <c r="H860" s="307"/>
      <c r="I860" s="307"/>
      <c r="J860" s="307"/>
      <c r="K860" s="307"/>
      <c r="L860" s="307"/>
      <c r="M860" s="307"/>
      <c r="N860" s="307"/>
      <c r="O860" s="307"/>
      <c r="P860" s="307"/>
      <c r="Q860" s="307"/>
      <c r="R860" s="307"/>
      <c r="S860" s="307"/>
      <c r="T860" s="307"/>
      <c r="U860" s="307"/>
      <c r="V860" s="307"/>
      <c r="W860" s="307"/>
      <c r="X860" s="307"/>
      <c r="Y860" s="307"/>
      <c r="Z860" s="307"/>
      <c r="AA860" s="307"/>
      <c r="AB860" s="307"/>
      <c r="AC860" s="307"/>
      <c r="AD860" s="307"/>
      <c r="AE860" s="307"/>
      <c r="AF860" s="307"/>
      <c r="AG860" s="307"/>
      <c r="AH860" s="307"/>
      <c r="AI860" s="307"/>
      <c r="AJ860" s="307"/>
      <c r="AK860" s="307"/>
      <c r="AL860" s="307"/>
      <c r="AM860" s="307"/>
      <c r="AN860" s="307"/>
      <c r="AO860" s="307"/>
      <c r="AP860" s="307"/>
      <c r="AQ860" s="307"/>
      <c r="AR860" s="307"/>
      <c r="AS860" s="307"/>
      <c r="AT860" s="307"/>
      <c r="AU860" s="307"/>
    </row>
    <row r="861" ht="15.75" customHeight="1">
      <c r="A861" s="307"/>
      <c r="B861" s="307"/>
      <c r="C861" s="307"/>
      <c r="D861" s="307"/>
      <c r="E861" s="307"/>
      <c r="F861" s="307"/>
      <c r="G861" s="307"/>
      <c r="H861" s="307"/>
      <c r="I861" s="307"/>
      <c r="J861" s="307"/>
      <c r="K861" s="307"/>
      <c r="L861" s="307"/>
      <c r="M861" s="307"/>
      <c r="N861" s="307"/>
      <c r="O861" s="307"/>
      <c r="P861" s="307"/>
      <c r="Q861" s="307"/>
      <c r="R861" s="307"/>
      <c r="S861" s="307"/>
      <c r="T861" s="307"/>
      <c r="U861" s="307"/>
      <c r="V861" s="307"/>
      <c r="W861" s="307"/>
      <c r="X861" s="307"/>
      <c r="Y861" s="307"/>
      <c r="Z861" s="307"/>
      <c r="AA861" s="307"/>
      <c r="AB861" s="307"/>
      <c r="AC861" s="307"/>
      <c r="AD861" s="307"/>
      <c r="AE861" s="307"/>
      <c r="AF861" s="307"/>
      <c r="AG861" s="307"/>
      <c r="AH861" s="307"/>
      <c r="AI861" s="307"/>
      <c r="AJ861" s="307"/>
      <c r="AK861" s="307"/>
      <c r="AL861" s="307"/>
      <c r="AM861" s="307"/>
      <c r="AN861" s="307"/>
      <c r="AO861" s="307"/>
      <c r="AP861" s="307"/>
      <c r="AQ861" s="307"/>
      <c r="AR861" s="307"/>
      <c r="AS861" s="307"/>
      <c r="AT861" s="307"/>
      <c r="AU861" s="307"/>
    </row>
    <row r="862" ht="15.75" customHeight="1">
      <c r="A862" s="307"/>
      <c r="B862" s="307"/>
      <c r="C862" s="307"/>
      <c r="D862" s="307"/>
      <c r="E862" s="307"/>
      <c r="F862" s="307"/>
      <c r="G862" s="307"/>
      <c r="H862" s="307"/>
      <c r="I862" s="307"/>
      <c r="J862" s="307"/>
      <c r="K862" s="307"/>
      <c r="L862" s="307"/>
      <c r="M862" s="307"/>
      <c r="N862" s="307"/>
      <c r="O862" s="307"/>
      <c r="P862" s="307"/>
      <c r="Q862" s="307"/>
      <c r="R862" s="307"/>
      <c r="S862" s="307"/>
      <c r="T862" s="307"/>
      <c r="U862" s="307"/>
      <c r="V862" s="307"/>
      <c r="W862" s="307"/>
      <c r="X862" s="307"/>
      <c r="Y862" s="307"/>
      <c r="Z862" s="307"/>
      <c r="AA862" s="307"/>
      <c r="AB862" s="307"/>
      <c r="AC862" s="307"/>
      <c r="AD862" s="307"/>
      <c r="AE862" s="307"/>
      <c r="AF862" s="307"/>
      <c r="AG862" s="307"/>
      <c r="AH862" s="307"/>
      <c r="AI862" s="307"/>
      <c r="AJ862" s="307"/>
      <c r="AK862" s="307"/>
      <c r="AL862" s="307"/>
      <c r="AM862" s="307"/>
      <c r="AN862" s="307"/>
      <c r="AO862" s="307"/>
      <c r="AP862" s="307"/>
      <c r="AQ862" s="307"/>
      <c r="AR862" s="307"/>
      <c r="AS862" s="307"/>
      <c r="AT862" s="307"/>
      <c r="AU862" s="307"/>
    </row>
    <row r="863" ht="15.75" customHeight="1">
      <c r="A863" s="307"/>
      <c r="B863" s="307"/>
      <c r="C863" s="307"/>
      <c r="D863" s="307"/>
      <c r="E863" s="307"/>
      <c r="F863" s="307"/>
      <c r="G863" s="307"/>
      <c r="H863" s="307"/>
      <c r="I863" s="307"/>
      <c r="J863" s="307"/>
      <c r="K863" s="307"/>
      <c r="L863" s="307"/>
      <c r="M863" s="307"/>
      <c r="N863" s="307"/>
      <c r="O863" s="307"/>
      <c r="P863" s="307"/>
      <c r="Q863" s="307"/>
      <c r="R863" s="307"/>
      <c r="S863" s="307"/>
      <c r="T863" s="307"/>
      <c r="U863" s="307"/>
      <c r="V863" s="307"/>
      <c r="W863" s="307"/>
      <c r="X863" s="307"/>
      <c r="Y863" s="307"/>
      <c r="Z863" s="307"/>
      <c r="AA863" s="307"/>
      <c r="AB863" s="307"/>
      <c r="AC863" s="307"/>
      <c r="AD863" s="307"/>
      <c r="AE863" s="307"/>
      <c r="AF863" s="307"/>
      <c r="AG863" s="307"/>
      <c r="AH863" s="307"/>
      <c r="AI863" s="307"/>
      <c r="AJ863" s="307"/>
      <c r="AK863" s="307"/>
      <c r="AL863" s="307"/>
      <c r="AM863" s="307"/>
      <c r="AN863" s="307"/>
      <c r="AO863" s="307"/>
      <c r="AP863" s="307"/>
      <c r="AQ863" s="307"/>
      <c r="AR863" s="307"/>
      <c r="AS863" s="307"/>
      <c r="AT863" s="307"/>
      <c r="AU863" s="307"/>
    </row>
    <row r="864" ht="15.75" customHeight="1">
      <c r="A864" s="307"/>
      <c r="B864" s="307"/>
      <c r="C864" s="307"/>
      <c r="D864" s="307"/>
      <c r="E864" s="307"/>
      <c r="F864" s="307"/>
      <c r="G864" s="307"/>
      <c r="H864" s="307"/>
      <c r="I864" s="307"/>
      <c r="J864" s="307"/>
      <c r="K864" s="307"/>
      <c r="L864" s="307"/>
      <c r="M864" s="307"/>
      <c r="N864" s="307"/>
      <c r="O864" s="307"/>
      <c r="P864" s="307"/>
      <c r="Q864" s="307"/>
      <c r="R864" s="307"/>
      <c r="S864" s="307"/>
      <c r="T864" s="307"/>
      <c r="U864" s="307"/>
      <c r="V864" s="307"/>
      <c r="W864" s="307"/>
      <c r="X864" s="307"/>
      <c r="Y864" s="307"/>
      <c r="Z864" s="307"/>
      <c r="AA864" s="307"/>
      <c r="AB864" s="307"/>
      <c r="AC864" s="307"/>
      <c r="AD864" s="307"/>
      <c r="AE864" s="307"/>
      <c r="AF864" s="307"/>
      <c r="AG864" s="307"/>
      <c r="AH864" s="307"/>
      <c r="AI864" s="307"/>
      <c r="AJ864" s="307"/>
      <c r="AK864" s="307"/>
      <c r="AL864" s="307"/>
      <c r="AM864" s="307"/>
      <c r="AN864" s="307"/>
      <c r="AO864" s="307"/>
      <c r="AP864" s="307"/>
      <c r="AQ864" s="307"/>
      <c r="AR864" s="307"/>
      <c r="AS864" s="307"/>
      <c r="AT864" s="307"/>
      <c r="AU864" s="307"/>
    </row>
    <row r="865" ht="15.75" customHeight="1">
      <c r="A865" s="307"/>
      <c r="B865" s="307"/>
      <c r="C865" s="307"/>
      <c r="D865" s="307"/>
      <c r="E865" s="307"/>
      <c r="F865" s="307"/>
      <c r="G865" s="307"/>
      <c r="H865" s="307"/>
      <c r="I865" s="307"/>
      <c r="J865" s="307"/>
      <c r="K865" s="307"/>
      <c r="L865" s="307"/>
      <c r="M865" s="307"/>
      <c r="N865" s="307"/>
      <c r="O865" s="307"/>
      <c r="P865" s="307"/>
      <c r="Q865" s="307"/>
      <c r="R865" s="307"/>
      <c r="S865" s="307"/>
      <c r="T865" s="307"/>
      <c r="U865" s="307"/>
      <c r="V865" s="307"/>
      <c r="W865" s="307"/>
      <c r="X865" s="307"/>
      <c r="Y865" s="307"/>
      <c r="Z865" s="307"/>
      <c r="AA865" s="307"/>
      <c r="AB865" s="307"/>
      <c r="AC865" s="307"/>
      <c r="AD865" s="307"/>
      <c r="AE865" s="307"/>
      <c r="AF865" s="307"/>
      <c r="AG865" s="307"/>
      <c r="AH865" s="307"/>
      <c r="AI865" s="307"/>
      <c r="AJ865" s="307"/>
      <c r="AK865" s="307"/>
      <c r="AL865" s="307"/>
      <c r="AM865" s="307"/>
      <c r="AN865" s="307"/>
      <c r="AO865" s="307"/>
      <c r="AP865" s="307"/>
      <c r="AQ865" s="307"/>
      <c r="AR865" s="307"/>
      <c r="AS865" s="307"/>
      <c r="AT865" s="307"/>
      <c r="AU865" s="307"/>
    </row>
    <row r="866" ht="15.75" customHeight="1">
      <c r="A866" s="307"/>
      <c r="B866" s="307"/>
      <c r="C866" s="307"/>
      <c r="D866" s="307"/>
      <c r="E866" s="307"/>
      <c r="F866" s="307"/>
      <c r="G866" s="307"/>
      <c r="H866" s="307"/>
      <c r="I866" s="307"/>
      <c r="J866" s="307"/>
      <c r="K866" s="307"/>
      <c r="L866" s="307"/>
      <c r="M866" s="307"/>
      <c r="N866" s="307"/>
      <c r="O866" s="307"/>
      <c r="P866" s="307"/>
      <c r="Q866" s="307"/>
      <c r="R866" s="307"/>
      <c r="S866" s="307"/>
      <c r="T866" s="307"/>
      <c r="U866" s="307"/>
      <c r="V866" s="307"/>
      <c r="W866" s="307"/>
      <c r="X866" s="307"/>
      <c r="Y866" s="307"/>
      <c r="Z866" s="307"/>
      <c r="AA866" s="307"/>
      <c r="AB866" s="307"/>
      <c r="AC866" s="307"/>
      <c r="AD866" s="307"/>
      <c r="AE866" s="307"/>
      <c r="AF866" s="307"/>
      <c r="AG866" s="307"/>
      <c r="AH866" s="307"/>
      <c r="AI866" s="307"/>
      <c r="AJ866" s="307"/>
      <c r="AK866" s="307"/>
      <c r="AL866" s="307"/>
      <c r="AM866" s="307"/>
      <c r="AN866" s="307"/>
      <c r="AO866" s="307"/>
      <c r="AP866" s="307"/>
      <c r="AQ866" s="307"/>
      <c r="AR866" s="307"/>
      <c r="AS866" s="307"/>
      <c r="AT866" s="307"/>
      <c r="AU866" s="307"/>
    </row>
    <row r="867" ht="15.75" customHeight="1">
      <c r="A867" s="307"/>
      <c r="B867" s="307"/>
      <c r="C867" s="307"/>
      <c r="D867" s="307"/>
      <c r="E867" s="307"/>
      <c r="F867" s="307"/>
      <c r="G867" s="307"/>
      <c r="H867" s="307"/>
      <c r="I867" s="307"/>
      <c r="J867" s="307"/>
      <c r="K867" s="307"/>
      <c r="L867" s="307"/>
      <c r="M867" s="307"/>
      <c r="N867" s="307"/>
      <c r="O867" s="307"/>
      <c r="P867" s="307"/>
      <c r="Q867" s="307"/>
      <c r="R867" s="307"/>
      <c r="S867" s="307"/>
      <c r="T867" s="307"/>
      <c r="U867" s="307"/>
      <c r="V867" s="307"/>
      <c r="W867" s="307"/>
      <c r="X867" s="307"/>
      <c r="Y867" s="307"/>
      <c r="Z867" s="307"/>
      <c r="AA867" s="307"/>
      <c r="AB867" s="307"/>
      <c r="AC867" s="307"/>
      <c r="AD867" s="307"/>
      <c r="AE867" s="307"/>
      <c r="AF867" s="307"/>
      <c r="AG867" s="307"/>
      <c r="AH867" s="307"/>
      <c r="AI867" s="307"/>
      <c r="AJ867" s="307"/>
      <c r="AK867" s="307"/>
      <c r="AL867" s="307"/>
      <c r="AM867" s="307"/>
      <c r="AN867" s="307"/>
      <c r="AO867" s="307"/>
      <c r="AP867" s="307"/>
      <c r="AQ867" s="307"/>
      <c r="AR867" s="307"/>
      <c r="AS867" s="307"/>
      <c r="AT867" s="307"/>
      <c r="AU867" s="307"/>
    </row>
    <row r="868" ht="15.75" customHeight="1">
      <c r="A868" s="307"/>
      <c r="B868" s="307"/>
      <c r="C868" s="307"/>
      <c r="D868" s="307"/>
      <c r="E868" s="307"/>
      <c r="F868" s="307"/>
      <c r="G868" s="307"/>
      <c r="H868" s="307"/>
      <c r="I868" s="307"/>
      <c r="J868" s="307"/>
      <c r="K868" s="307"/>
      <c r="L868" s="307"/>
      <c r="M868" s="307"/>
      <c r="N868" s="307"/>
      <c r="O868" s="307"/>
      <c r="P868" s="307"/>
      <c r="Q868" s="307"/>
      <c r="R868" s="307"/>
      <c r="S868" s="307"/>
      <c r="T868" s="307"/>
      <c r="U868" s="307"/>
      <c r="V868" s="307"/>
      <c r="W868" s="307"/>
      <c r="X868" s="307"/>
      <c r="Y868" s="307"/>
      <c r="Z868" s="307"/>
      <c r="AA868" s="307"/>
      <c r="AB868" s="307"/>
      <c r="AC868" s="307"/>
      <c r="AD868" s="307"/>
      <c r="AE868" s="307"/>
      <c r="AF868" s="307"/>
      <c r="AG868" s="307"/>
      <c r="AH868" s="307"/>
      <c r="AI868" s="307"/>
      <c r="AJ868" s="307"/>
      <c r="AK868" s="307"/>
      <c r="AL868" s="307"/>
      <c r="AM868" s="307"/>
      <c r="AN868" s="307"/>
      <c r="AO868" s="307"/>
      <c r="AP868" s="307"/>
      <c r="AQ868" s="307"/>
      <c r="AR868" s="307"/>
      <c r="AS868" s="307"/>
      <c r="AT868" s="307"/>
      <c r="AU868" s="307"/>
    </row>
    <row r="869" ht="15.75" customHeight="1">
      <c r="A869" s="307"/>
      <c r="B869" s="307"/>
      <c r="C869" s="307"/>
      <c r="D869" s="307"/>
      <c r="E869" s="307"/>
      <c r="F869" s="307"/>
      <c r="G869" s="307"/>
      <c r="H869" s="307"/>
      <c r="I869" s="307"/>
      <c r="J869" s="307"/>
      <c r="K869" s="307"/>
      <c r="L869" s="307"/>
      <c r="M869" s="307"/>
      <c r="N869" s="307"/>
      <c r="O869" s="307"/>
      <c r="P869" s="307"/>
      <c r="Q869" s="307"/>
      <c r="R869" s="307"/>
      <c r="S869" s="307"/>
      <c r="T869" s="307"/>
      <c r="U869" s="307"/>
      <c r="V869" s="307"/>
      <c r="W869" s="307"/>
      <c r="X869" s="307"/>
      <c r="Y869" s="307"/>
      <c r="Z869" s="307"/>
      <c r="AA869" s="307"/>
      <c r="AB869" s="307"/>
      <c r="AC869" s="307"/>
      <c r="AD869" s="307"/>
      <c r="AE869" s="307"/>
      <c r="AF869" s="307"/>
      <c r="AG869" s="307"/>
      <c r="AH869" s="307"/>
      <c r="AI869" s="307"/>
      <c r="AJ869" s="307"/>
      <c r="AK869" s="307"/>
      <c r="AL869" s="307"/>
      <c r="AM869" s="307"/>
      <c r="AN869" s="307"/>
      <c r="AO869" s="307"/>
      <c r="AP869" s="307"/>
      <c r="AQ869" s="307"/>
      <c r="AR869" s="307"/>
      <c r="AS869" s="307"/>
      <c r="AT869" s="307"/>
      <c r="AU869" s="307"/>
    </row>
    <row r="870" ht="15.75" customHeight="1">
      <c r="A870" s="307"/>
      <c r="B870" s="307"/>
      <c r="C870" s="307"/>
      <c r="D870" s="307"/>
      <c r="E870" s="307"/>
      <c r="F870" s="307"/>
      <c r="G870" s="307"/>
      <c r="H870" s="307"/>
      <c r="I870" s="307"/>
      <c r="J870" s="307"/>
      <c r="K870" s="307"/>
      <c r="L870" s="307"/>
      <c r="M870" s="307"/>
      <c r="N870" s="307"/>
      <c r="O870" s="307"/>
      <c r="P870" s="307"/>
      <c r="Q870" s="307"/>
      <c r="R870" s="307"/>
      <c r="S870" s="307"/>
      <c r="T870" s="307"/>
      <c r="U870" s="307"/>
      <c r="V870" s="307"/>
      <c r="W870" s="307"/>
      <c r="X870" s="307"/>
      <c r="Y870" s="307"/>
      <c r="Z870" s="307"/>
      <c r="AA870" s="307"/>
      <c r="AB870" s="307"/>
      <c r="AC870" s="307"/>
      <c r="AD870" s="307"/>
      <c r="AE870" s="307"/>
      <c r="AF870" s="307"/>
      <c r="AG870" s="307"/>
      <c r="AH870" s="307"/>
      <c r="AI870" s="307"/>
      <c r="AJ870" s="307"/>
      <c r="AK870" s="307"/>
      <c r="AL870" s="307"/>
      <c r="AM870" s="307"/>
      <c r="AN870" s="307"/>
      <c r="AO870" s="307"/>
      <c r="AP870" s="307"/>
      <c r="AQ870" s="307"/>
      <c r="AR870" s="307"/>
      <c r="AS870" s="307"/>
      <c r="AT870" s="307"/>
      <c r="AU870" s="307"/>
    </row>
    <row r="871" ht="15.75" customHeight="1">
      <c r="A871" s="307"/>
      <c r="B871" s="307"/>
      <c r="C871" s="307"/>
      <c r="D871" s="307"/>
      <c r="E871" s="307"/>
      <c r="F871" s="307"/>
      <c r="G871" s="307"/>
      <c r="H871" s="307"/>
      <c r="I871" s="307"/>
      <c r="J871" s="307"/>
      <c r="K871" s="307"/>
      <c r="L871" s="307"/>
      <c r="M871" s="307"/>
      <c r="N871" s="307"/>
      <c r="O871" s="307"/>
      <c r="P871" s="307"/>
      <c r="Q871" s="307"/>
      <c r="R871" s="307"/>
      <c r="S871" s="307"/>
      <c r="T871" s="307"/>
      <c r="U871" s="307"/>
      <c r="V871" s="307"/>
      <c r="W871" s="307"/>
      <c r="X871" s="307"/>
      <c r="Y871" s="307"/>
      <c r="Z871" s="307"/>
      <c r="AA871" s="307"/>
      <c r="AB871" s="307"/>
      <c r="AC871" s="307"/>
      <c r="AD871" s="307"/>
      <c r="AE871" s="307"/>
      <c r="AF871" s="307"/>
      <c r="AG871" s="307"/>
      <c r="AH871" s="307"/>
      <c r="AI871" s="307"/>
      <c r="AJ871" s="307"/>
      <c r="AK871" s="307"/>
      <c r="AL871" s="307"/>
      <c r="AM871" s="307"/>
      <c r="AN871" s="307"/>
      <c r="AO871" s="307"/>
      <c r="AP871" s="307"/>
      <c r="AQ871" s="307"/>
      <c r="AR871" s="307"/>
      <c r="AS871" s="307"/>
      <c r="AT871" s="307"/>
      <c r="AU871" s="307"/>
    </row>
    <row r="872" ht="15.75" customHeight="1">
      <c r="A872" s="307"/>
      <c r="B872" s="307"/>
      <c r="C872" s="307"/>
      <c r="D872" s="307"/>
      <c r="E872" s="307"/>
      <c r="F872" s="307"/>
      <c r="G872" s="307"/>
      <c r="H872" s="307"/>
      <c r="I872" s="307"/>
      <c r="J872" s="307"/>
      <c r="K872" s="307"/>
      <c r="L872" s="307"/>
      <c r="M872" s="307"/>
      <c r="N872" s="307"/>
      <c r="O872" s="307"/>
      <c r="P872" s="307"/>
      <c r="Q872" s="307"/>
      <c r="R872" s="307"/>
      <c r="S872" s="307"/>
      <c r="T872" s="307"/>
      <c r="U872" s="307"/>
      <c r="V872" s="307"/>
      <c r="W872" s="307"/>
      <c r="X872" s="307"/>
      <c r="Y872" s="307"/>
      <c r="Z872" s="307"/>
      <c r="AA872" s="307"/>
      <c r="AB872" s="307"/>
      <c r="AC872" s="307"/>
      <c r="AD872" s="307"/>
      <c r="AE872" s="307"/>
      <c r="AF872" s="307"/>
      <c r="AG872" s="307"/>
      <c r="AH872" s="307"/>
      <c r="AI872" s="307"/>
      <c r="AJ872" s="307"/>
      <c r="AK872" s="307"/>
      <c r="AL872" s="307"/>
      <c r="AM872" s="307"/>
      <c r="AN872" s="307"/>
      <c r="AO872" s="307"/>
      <c r="AP872" s="307"/>
      <c r="AQ872" s="307"/>
      <c r="AR872" s="307"/>
      <c r="AS872" s="307"/>
      <c r="AT872" s="307"/>
      <c r="AU872" s="307"/>
    </row>
    <row r="873" ht="15.75" customHeight="1">
      <c r="A873" s="307"/>
      <c r="B873" s="307"/>
      <c r="C873" s="307"/>
      <c r="D873" s="307"/>
      <c r="E873" s="307"/>
      <c r="F873" s="307"/>
      <c r="G873" s="307"/>
      <c r="H873" s="307"/>
      <c r="I873" s="307"/>
      <c r="J873" s="307"/>
      <c r="K873" s="307"/>
      <c r="L873" s="307"/>
      <c r="M873" s="307"/>
      <c r="N873" s="307"/>
      <c r="O873" s="307"/>
      <c r="P873" s="307"/>
      <c r="Q873" s="307"/>
      <c r="R873" s="307"/>
      <c r="S873" s="307"/>
      <c r="T873" s="307"/>
      <c r="U873" s="307"/>
      <c r="V873" s="307"/>
      <c r="W873" s="307"/>
      <c r="X873" s="307"/>
      <c r="Y873" s="307"/>
      <c r="Z873" s="307"/>
      <c r="AA873" s="307"/>
      <c r="AB873" s="307"/>
      <c r="AC873" s="307"/>
      <c r="AD873" s="307"/>
      <c r="AE873" s="307"/>
      <c r="AF873" s="307"/>
      <c r="AG873" s="307"/>
      <c r="AH873" s="307"/>
      <c r="AI873" s="307"/>
      <c r="AJ873" s="307"/>
      <c r="AK873" s="307"/>
      <c r="AL873" s="307"/>
      <c r="AM873" s="307"/>
      <c r="AN873" s="307"/>
      <c r="AO873" s="307"/>
      <c r="AP873" s="307"/>
      <c r="AQ873" s="307"/>
      <c r="AR873" s="307"/>
      <c r="AS873" s="307"/>
      <c r="AT873" s="307"/>
      <c r="AU873" s="307"/>
    </row>
    <row r="874" ht="15.75" customHeight="1">
      <c r="A874" s="307"/>
      <c r="B874" s="307"/>
      <c r="C874" s="307"/>
      <c r="D874" s="307"/>
      <c r="E874" s="307"/>
      <c r="F874" s="307"/>
      <c r="G874" s="307"/>
      <c r="H874" s="307"/>
      <c r="I874" s="307"/>
      <c r="J874" s="307"/>
      <c r="K874" s="307"/>
      <c r="L874" s="307"/>
      <c r="M874" s="307"/>
      <c r="N874" s="307"/>
      <c r="O874" s="307"/>
      <c r="P874" s="307"/>
      <c r="Q874" s="307"/>
      <c r="R874" s="307"/>
      <c r="S874" s="307"/>
      <c r="T874" s="307"/>
      <c r="U874" s="307"/>
      <c r="V874" s="307"/>
      <c r="W874" s="307"/>
      <c r="X874" s="307"/>
      <c r="Y874" s="307"/>
      <c r="Z874" s="307"/>
      <c r="AA874" s="307"/>
      <c r="AB874" s="307"/>
      <c r="AC874" s="307"/>
      <c r="AD874" s="307"/>
      <c r="AE874" s="307"/>
      <c r="AF874" s="307"/>
      <c r="AG874" s="307"/>
      <c r="AH874" s="307"/>
      <c r="AI874" s="307"/>
      <c r="AJ874" s="307"/>
      <c r="AK874" s="307"/>
      <c r="AL874" s="307"/>
      <c r="AM874" s="307"/>
      <c r="AN874" s="307"/>
      <c r="AO874" s="307"/>
      <c r="AP874" s="307"/>
      <c r="AQ874" s="307"/>
      <c r="AR874" s="307"/>
      <c r="AS874" s="307"/>
      <c r="AT874" s="307"/>
      <c r="AU874" s="307"/>
    </row>
    <row r="875" ht="15.75" customHeight="1">
      <c r="A875" s="307"/>
      <c r="B875" s="307"/>
      <c r="C875" s="307"/>
      <c r="D875" s="307"/>
      <c r="E875" s="307"/>
      <c r="F875" s="307"/>
      <c r="G875" s="307"/>
      <c r="H875" s="307"/>
      <c r="I875" s="307"/>
      <c r="J875" s="307"/>
      <c r="K875" s="307"/>
      <c r="L875" s="307"/>
      <c r="M875" s="307"/>
      <c r="N875" s="307"/>
      <c r="O875" s="307"/>
      <c r="P875" s="307"/>
      <c r="Q875" s="307"/>
      <c r="R875" s="307"/>
      <c r="S875" s="307"/>
      <c r="T875" s="307"/>
      <c r="U875" s="307"/>
      <c r="V875" s="307"/>
      <c r="W875" s="307"/>
      <c r="X875" s="307"/>
      <c r="Y875" s="307"/>
      <c r="Z875" s="307"/>
      <c r="AA875" s="307"/>
      <c r="AB875" s="307"/>
      <c r="AC875" s="307"/>
      <c r="AD875" s="307"/>
      <c r="AE875" s="307"/>
      <c r="AF875" s="307"/>
      <c r="AG875" s="307"/>
      <c r="AH875" s="307"/>
      <c r="AI875" s="307"/>
      <c r="AJ875" s="307"/>
      <c r="AK875" s="307"/>
      <c r="AL875" s="307"/>
      <c r="AM875" s="307"/>
      <c r="AN875" s="307"/>
      <c r="AO875" s="307"/>
      <c r="AP875" s="307"/>
      <c r="AQ875" s="307"/>
      <c r="AR875" s="307"/>
      <c r="AS875" s="307"/>
      <c r="AT875" s="307"/>
      <c r="AU875" s="307"/>
    </row>
    <row r="876" ht="15.75" customHeight="1">
      <c r="A876" s="307"/>
      <c r="B876" s="307"/>
      <c r="C876" s="307"/>
      <c r="D876" s="307"/>
      <c r="E876" s="307"/>
      <c r="F876" s="307"/>
      <c r="G876" s="307"/>
      <c r="H876" s="307"/>
      <c r="I876" s="307"/>
      <c r="J876" s="307"/>
      <c r="K876" s="307"/>
      <c r="L876" s="307"/>
      <c r="M876" s="307"/>
      <c r="N876" s="307"/>
      <c r="O876" s="307"/>
      <c r="P876" s="307"/>
      <c r="Q876" s="307"/>
      <c r="R876" s="307"/>
      <c r="S876" s="307"/>
      <c r="T876" s="307"/>
      <c r="U876" s="307"/>
      <c r="V876" s="307"/>
      <c r="W876" s="307"/>
      <c r="X876" s="307"/>
      <c r="Y876" s="307"/>
      <c r="Z876" s="307"/>
      <c r="AA876" s="307"/>
      <c r="AB876" s="307"/>
      <c r="AC876" s="307"/>
      <c r="AD876" s="307"/>
      <c r="AE876" s="307"/>
      <c r="AF876" s="307"/>
      <c r="AG876" s="307"/>
      <c r="AH876" s="307"/>
      <c r="AI876" s="307"/>
      <c r="AJ876" s="307"/>
      <c r="AK876" s="307"/>
      <c r="AL876" s="307"/>
      <c r="AM876" s="307"/>
      <c r="AN876" s="307"/>
      <c r="AO876" s="307"/>
      <c r="AP876" s="307"/>
      <c r="AQ876" s="307"/>
      <c r="AR876" s="307"/>
      <c r="AS876" s="307"/>
      <c r="AT876" s="307"/>
      <c r="AU876" s="307"/>
    </row>
    <row r="877" ht="15.75" customHeight="1">
      <c r="A877" s="307"/>
      <c r="B877" s="307"/>
      <c r="C877" s="307"/>
      <c r="D877" s="307"/>
      <c r="E877" s="307"/>
      <c r="F877" s="307"/>
      <c r="G877" s="307"/>
      <c r="H877" s="307"/>
      <c r="I877" s="307"/>
      <c r="J877" s="307"/>
      <c r="K877" s="307"/>
      <c r="L877" s="307"/>
      <c r="M877" s="307"/>
      <c r="N877" s="307"/>
      <c r="O877" s="307"/>
      <c r="P877" s="307"/>
      <c r="Q877" s="307"/>
      <c r="R877" s="307"/>
      <c r="S877" s="307"/>
      <c r="T877" s="307"/>
      <c r="U877" s="307"/>
      <c r="V877" s="307"/>
      <c r="W877" s="307"/>
      <c r="X877" s="307"/>
      <c r="Y877" s="307"/>
      <c r="Z877" s="307"/>
      <c r="AA877" s="307"/>
      <c r="AB877" s="307"/>
      <c r="AC877" s="307"/>
      <c r="AD877" s="307"/>
      <c r="AE877" s="307"/>
      <c r="AF877" s="307"/>
      <c r="AG877" s="307"/>
      <c r="AH877" s="307"/>
      <c r="AI877" s="307"/>
      <c r="AJ877" s="307"/>
      <c r="AK877" s="307"/>
      <c r="AL877" s="307"/>
      <c r="AM877" s="307"/>
      <c r="AN877" s="307"/>
      <c r="AO877" s="307"/>
      <c r="AP877" s="307"/>
      <c r="AQ877" s="307"/>
      <c r="AR877" s="307"/>
      <c r="AS877" s="307"/>
      <c r="AT877" s="307"/>
      <c r="AU877" s="307"/>
    </row>
    <row r="878" ht="15.75" customHeight="1">
      <c r="A878" s="307"/>
      <c r="B878" s="307"/>
      <c r="C878" s="307"/>
      <c r="D878" s="307"/>
      <c r="E878" s="307"/>
      <c r="F878" s="307"/>
      <c r="G878" s="307"/>
      <c r="H878" s="307"/>
      <c r="I878" s="307"/>
      <c r="J878" s="307"/>
      <c r="K878" s="307"/>
      <c r="L878" s="307"/>
      <c r="M878" s="307"/>
      <c r="N878" s="307"/>
      <c r="O878" s="307"/>
      <c r="P878" s="307"/>
      <c r="Q878" s="307"/>
      <c r="R878" s="307"/>
      <c r="S878" s="307"/>
      <c r="T878" s="307"/>
      <c r="U878" s="307"/>
      <c r="V878" s="307"/>
      <c r="W878" s="307"/>
      <c r="X878" s="307"/>
      <c r="Y878" s="307"/>
      <c r="Z878" s="307"/>
      <c r="AA878" s="307"/>
      <c r="AB878" s="307"/>
      <c r="AC878" s="307"/>
      <c r="AD878" s="307"/>
      <c r="AE878" s="307"/>
      <c r="AF878" s="307"/>
      <c r="AG878" s="307"/>
      <c r="AH878" s="307"/>
      <c r="AI878" s="307"/>
      <c r="AJ878" s="307"/>
      <c r="AK878" s="307"/>
      <c r="AL878" s="307"/>
      <c r="AM878" s="307"/>
      <c r="AN878" s="307"/>
      <c r="AO878" s="307"/>
      <c r="AP878" s="307"/>
      <c r="AQ878" s="307"/>
      <c r="AR878" s="307"/>
      <c r="AS878" s="307"/>
      <c r="AT878" s="307"/>
      <c r="AU878" s="307"/>
    </row>
    <row r="879" ht="15.75" customHeight="1">
      <c r="A879" s="307"/>
      <c r="B879" s="307"/>
      <c r="C879" s="307"/>
      <c r="D879" s="307"/>
      <c r="E879" s="307"/>
      <c r="F879" s="307"/>
      <c r="G879" s="307"/>
      <c r="H879" s="307"/>
      <c r="I879" s="307"/>
      <c r="J879" s="307"/>
      <c r="K879" s="307"/>
      <c r="L879" s="307"/>
      <c r="M879" s="307"/>
      <c r="N879" s="307"/>
      <c r="O879" s="307"/>
      <c r="P879" s="307"/>
      <c r="Q879" s="307"/>
      <c r="R879" s="307"/>
      <c r="S879" s="307"/>
      <c r="T879" s="307"/>
      <c r="U879" s="307"/>
      <c r="V879" s="307"/>
      <c r="W879" s="307"/>
      <c r="X879" s="307"/>
      <c r="Y879" s="307"/>
      <c r="Z879" s="307"/>
      <c r="AA879" s="307"/>
      <c r="AB879" s="307"/>
      <c r="AC879" s="307"/>
      <c r="AD879" s="307"/>
      <c r="AE879" s="307"/>
      <c r="AF879" s="307"/>
      <c r="AG879" s="307"/>
      <c r="AH879" s="307"/>
      <c r="AI879" s="307"/>
      <c r="AJ879" s="307"/>
      <c r="AK879" s="307"/>
      <c r="AL879" s="307"/>
      <c r="AM879" s="307"/>
      <c r="AN879" s="307"/>
      <c r="AO879" s="307"/>
      <c r="AP879" s="307"/>
      <c r="AQ879" s="307"/>
      <c r="AR879" s="307"/>
      <c r="AS879" s="307"/>
      <c r="AT879" s="307"/>
      <c r="AU879" s="307"/>
    </row>
    <row r="880" ht="15.75" customHeight="1">
      <c r="A880" s="307"/>
      <c r="B880" s="307"/>
      <c r="C880" s="307"/>
      <c r="D880" s="307"/>
      <c r="E880" s="307"/>
      <c r="F880" s="307"/>
      <c r="G880" s="307"/>
      <c r="H880" s="307"/>
      <c r="I880" s="307"/>
      <c r="J880" s="307"/>
      <c r="K880" s="307"/>
      <c r="L880" s="307"/>
      <c r="M880" s="307"/>
      <c r="N880" s="307"/>
      <c r="O880" s="307"/>
      <c r="P880" s="307"/>
      <c r="Q880" s="307"/>
      <c r="R880" s="307"/>
      <c r="S880" s="307"/>
      <c r="T880" s="307"/>
      <c r="U880" s="307"/>
      <c r="V880" s="307"/>
      <c r="W880" s="307"/>
      <c r="X880" s="307"/>
      <c r="Y880" s="307"/>
      <c r="Z880" s="307"/>
      <c r="AA880" s="307"/>
      <c r="AB880" s="307"/>
      <c r="AC880" s="307"/>
      <c r="AD880" s="307"/>
      <c r="AE880" s="307"/>
      <c r="AF880" s="307"/>
      <c r="AG880" s="307"/>
      <c r="AH880" s="307"/>
      <c r="AI880" s="307"/>
      <c r="AJ880" s="307"/>
      <c r="AK880" s="307"/>
      <c r="AL880" s="307"/>
      <c r="AM880" s="307"/>
      <c r="AN880" s="307"/>
      <c r="AO880" s="307"/>
      <c r="AP880" s="307"/>
      <c r="AQ880" s="307"/>
      <c r="AR880" s="307"/>
      <c r="AS880" s="307"/>
      <c r="AT880" s="307"/>
      <c r="AU880" s="307"/>
    </row>
    <row r="881" ht="15.75" customHeight="1">
      <c r="A881" s="307"/>
      <c r="B881" s="307"/>
      <c r="C881" s="307"/>
      <c r="D881" s="307"/>
      <c r="E881" s="307"/>
      <c r="F881" s="307"/>
      <c r="G881" s="307"/>
      <c r="H881" s="307"/>
      <c r="I881" s="307"/>
      <c r="J881" s="307"/>
      <c r="K881" s="307"/>
      <c r="L881" s="307"/>
      <c r="M881" s="307"/>
      <c r="N881" s="307"/>
      <c r="O881" s="307"/>
      <c r="P881" s="307"/>
      <c r="Q881" s="307"/>
      <c r="R881" s="307"/>
      <c r="S881" s="307"/>
      <c r="T881" s="307"/>
      <c r="U881" s="307"/>
      <c r="V881" s="307"/>
      <c r="W881" s="307"/>
      <c r="X881" s="307"/>
      <c r="Y881" s="307"/>
      <c r="Z881" s="307"/>
      <c r="AA881" s="307"/>
      <c r="AB881" s="307"/>
      <c r="AC881" s="307"/>
      <c r="AD881" s="307"/>
      <c r="AE881" s="307"/>
      <c r="AF881" s="307"/>
      <c r="AG881" s="307"/>
      <c r="AH881" s="307"/>
      <c r="AI881" s="307"/>
      <c r="AJ881" s="307"/>
      <c r="AK881" s="307"/>
      <c r="AL881" s="307"/>
      <c r="AM881" s="307"/>
      <c r="AN881" s="307"/>
      <c r="AO881" s="307"/>
      <c r="AP881" s="307"/>
      <c r="AQ881" s="307"/>
      <c r="AR881" s="307"/>
      <c r="AS881" s="307"/>
      <c r="AT881" s="307"/>
      <c r="AU881" s="307"/>
    </row>
    <row r="882" ht="15.75" customHeight="1">
      <c r="A882" s="307"/>
      <c r="B882" s="307"/>
      <c r="C882" s="307"/>
      <c r="D882" s="307"/>
      <c r="E882" s="307"/>
      <c r="F882" s="307"/>
      <c r="G882" s="307"/>
      <c r="H882" s="307"/>
      <c r="I882" s="307"/>
      <c r="J882" s="307"/>
      <c r="K882" s="307"/>
      <c r="L882" s="307"/>
      <c r="M882" s="307"/>
      <c r="N882" s="307"/>
      <c r="O882" s="307"/>
      <c r="P882" s="307"/>
      <c r="Q882" s="307"/>
      <c r="R882" s="307"/>
      <c r="S882" s="307"/>
      <c r="T882" s="307"/>
      <c r="U882" s="307"/>
      <c r="V882" s="307"/>
      <c r="W882" s="307"/>
      <c r="X882" s="307"/>
      <c r="Y882" s="307"/>
      <c r="Z882" s="307"/>
      <c r="AA882" s="307"/>
      <c r="AB882" s="307"/>
      <c r="AC882" s="307"/>
      <c r="AD882" s="307"/>
      <c r="AE882" s="307"/>
      <c r="AF882" s="307"/>
      <c r="AG882" s="307"/>
      <c r="AH882" s="307"/>
      <c r="AI882" s="307"/>
      <c r="AJ882" s="307"/>
      <c r="AK882" s="307"/>
      <c r="AL882" s="307"/>
      <c r="AM882" s="307"/>
      <c r="AN882" s="307"/>
      <c r="AO882" s="307"/>
      <c r="AP882" s="307"/>
      <c r="AQ882" s="307"/>
      <c r="AR882" s="307"/>
      <c r="AS882" s="307"/>
      <c r="AT882" s="307"/>
      <c r="AU882" s="307"/>
    </row>
    <row r="883" ht="15.75" customHeight="1">
      <c r="A883" s="307"/>
      <c r="B883" s="307"/>
      <c r="C883" s="307"/>
      <c r="D883" s="307"/>
      <c r="E883" s="307"/>
      <c r="F883" s="307"/>
      <c r="G883" s="307"/>
      <c r="H883" s="307"/>
      <c r="I883" s="307"/>
      <c r="J883" s="307"/>
      <c r="K883" s="307"/>
      <c r="L883" s="307"/>
      <c r="M883" s="307"/>
      <c r="N883" s="307"/>
      <c r="O883" s="307"/>
      <c r="P883" s="307"/>
      <c r="Q883" s="307"/>
      <c r="R883" s="307"/>
      <c r="S883" s="307"/>
      <c r="T883" s="307"/>
      <c r="U883" s="307"/>
      <c r="V883" s="307"/>
      <c r="W883" s="307"/>
      <c r="X883" s="307"/>
      <c r="Y883" s="307"/>
      <c r="Z883" s="307"/>
      <c r="AA883" s="307"/>
      <c r="AB883" s="307"/>
      <c r="AC883" s="307"/>
      <c r="AD883" s="307"/>
      <c r="AE883" s="307"/>
      <c r="AF883" s="307"/>
      <c r="AG883" s="307"/>
      <c r="AH883" s="307"/>
      <c r="AI883" s="307"/>
      <c r="AJ883" s="307"/>
      <c r="AK883" s="307"/>
      <c r="AL883" s="307"/>
      <c r="AM883" s="307"/>
      <c r="AN883" s="307"/>
      <c r="AO883" s="307"/>
      <c r="AP883" s="307"/>
      <c r="AQ883" s="307"/>
      <c r="AR883" s="307"/>
      <c r="AS883" s="307"/>
      <c r="AT883" s="307"/>
      <c r="AU883" s="307"/>
    </row>
    <row r="884" ht="15.75" customHeight="1">
      <c r="A884" s="307"/>
      <c r="B884" s="307"/>
      <c r="C884" s="307"/>
      <c r="D884" s="307"/>
      <c r="E884" s="307"/>
      <c r="F884" s="307"/>
      <c r="G884" s="307"/>
      <c r="H884" s="307"/>
      <c r="I884" s="307"/>
      <c r="J884" s="307"/>
      <c r="K884" s="307"/>
      <c r="L884" s="307"/>
      <c r="M884" s="307"/>
      <c r="N884" s="307"/>
      <c r="O884" s="307"/>
      <c r="P884" s="307"/>
      <c r="Q884" s="307"/>
      <c r="R884" s="307"/>
      <c r="S884" s="307"/>
      <c r="T884" s="307"/>
      <c r="U884" s="307"/>
      <c r="V884" s="307"/>
      <c r="W884" s="307"/>
      <c r="X884" s="307"/>
      <c r="Y884" s="307"/>
      <c r="Z884" s="307"/>
      <c r="AA884" s="307"/>
      <c r="AB884" s="307"/>
      <c r="AC884" s="307"/>
      <c r="AD884" s="307"/>
      <c r="AE884" s="307"/>
      <c r="AF884" s="307"/>
      <c r="AG884" s="307"/>
      <c r="AH884" s="307"/>
      <c r="AI884" s="307"/>
      <c r="AJ884" s="307"/>
      <c r="AK884" s="307"/>
      <c r="AL884" s="307"/>
      <c r="AM884" s="307"/>
      <c r="AN884" s="307"/>
      <c r="AO884" s="307"/>
      <c r="AP884" s="307"/>
      <c r="AQ884" s="307"/>
      <c r="AR884" s="307"/>
      <c r="AS884" s="307"/>
      <c r="AT884" s="307"/>
      <c r="AU884" s="307"/>
    </row>
    <row r="885" ht="15.75" customHeight="1">
      <c r="A885" s="307"/>
      <c r="B885" s="307"/>
      <c r="C885" s="307"/>
      <c r="D885" s="307"/>
      <c r="E885" s="307"/>
      <c r="F885" s="307"/>
      <c r="G885" s="307"/>
      <c r="H885" s="307"/>
      <c r="I885" s="307"/>
      <c r="J885" s="307"/>
      <c r="K885" s="307"/>
      <c r="L885" s="307"/>
      <c r="M885" s="307"/>
      <c r="N885" s="307"/>
      <c r="O885" s="307"/>
      <c r="P885" s="307"/>
      <c r="Q885" s="307"/>
      <c r="R885" s="307"/>
      <c r="S885" s="307"/>
      <c r="T885" s="307"/>
      <c r="U885" s="307"/>
      <c r="V885" s="307"/>
      <c r="W885" s="307"/>
      <c r="X885" s="307"/>
      <c r="Y885" s="307"/>
      <c r="Z885" s="307"/>
      <c r="AA885" s="307"/>
      <c r="AB885" s="307"/>
      <c r="AC885" s="307"/>
      <c r="AD885" s="307"/>
      <c r="AE885" s="307"/>
      <c r="AF885" s="307"/>
      <c r="AG885" s="307"/>
      <c r="AH885" s="307"/>
      <c r="AI885" s="307"/>
      <c r="AJ885" s="307"/>
      <c r="AK885" s="307"/>
      <c r="AL885" s="307"/>
      <c r="AM885" s="307"/>
      <c r="AN885" s="307"/>
      <c r="AO885" s="307"/>
      <c r="AP885" s="307"/>
      <c r="AQ885" s="307"/>
      <c r="AR885" s="307"/>
      <c r="AS885" s="307"/>
      <c r="AT885" s="307"/>
      <c r="AU885" s="307"/>
    </row>
    <row r="886" ht="15.75" customHeight="1">
      <c r="A886" s="307"/>
      <c r="B886" s="307"/>
      <c r="C886" s="307"/>
      <c r="D886" s="307"/>
      <c r="E886" s="307"/>
      <c r="F886" s="307"/>
      <c r="G886" s="307"/>
      <c r="H886" s="307"/>
      <c r="I886" s="307"/>
      <c r="J886" s="307"/>
      <c r="K886" s="307"/>
      <c r="L886" s="307"/>
      <c r="M886" s="307"/>
      <c r="N886" s="307"/>
      <c r="O886" s="307"/>
      <c r="P886" s="307"/>
      <c r="Q886" s="307"/>
      <c r="R886" s="307"/>
      <c r="S886" s="307"/>
      <c r="T886" s="307"/>
      <c r="U886" s="307"/>
      <c r="V886" s="307"/>
      <c r="W886" s="307"/>
      <c r="X886" s="307"/>
      <c r="Y886" s="307"/>
      <c r="Z886" s="307"/>
      <c r="AA886" s="307"/>
      <c r="AB886" s="307"/>
      <c r="AC886" s="307"/>
      <c r="AD886" s="307"/>
      <c r="AE886" s="307"/>
      <c r="AF886" s="307"/>
      <c r="AG886" s="307"/>
      <c r="AH886" s="307"/>
      <c r="AI886" s="307"/>
      <c r="AJ886" s="307"/>
      <c r="AK886" s="307"/>
      <c r="AL886" s="307"/>
      <c r="AM886" s="307"/>
      <c r="AN886" s="307"/>
      <c r="AO886" s="307"/>
      <c r="AP886" s="307"/>
      <c r="AQ886" s="307"/>
      <c r="AR886" s="307"/>
      <c r="AS886" s="307"/>
      <c r="AT886" s="307"/>
      <c r="AU886" s="307"/>
    </row>
    <row r="887" ht="15.75" customHeight="1">
      <c r="A887" s="307"/>
      <c r="B887" s="307"/>
      <c r="C887" s="307"/>
      <c r="D887" s="307"/>
      <c r="E887" s="307"/>
      <c r="F887" s="307"/>
      <c r="G887" s="307"/>
      <c r="H887" s="307"/>
      <c r="I887" s="307"/>
      <c r="J887" s="307"/>
      <c r="K887" s="307"/>
      <c r="L887" s="307"/>
      <c r="M887" s="307"/>
      <c r="N887" s="307"/>
      <c r="O887" s="307"/>
      <c r="P887" s="307"/>
      <c r="Q887" s="307"/>
      <c r="R887" s="307"/>
      <c r="S887" s="307"/>
      <c r="T887" s="307"/>
      <c r="U887" s="307"/>
      <c r="V887" s="307"/>
      <c r="W887" s="307"/>
      <c r="X887" s="307"/>
      <c r="Y887" s="307"/>
      <c r="Z887" s="307"/>
      <c r="AA887" s="307"/>
      <c r="AB887" s="307"/>
      <c r="AC887" s="307"/>
      <c r="AD887" s="307"/>
      <c r="AE887" s="307"/>
      <c r="AF887" s="307"/>
      <c r="AG887" s="307"/>
      <c r="AH887" s="307"/>
      <c r="AI887" s="307"/>
      <c r="AJ887" s="307"/>
      <c r="AK887" s="307"/>
      <c r="AL887" s="307"/>
      <c r="AM887" s="307"/>
      <c r="AN887" s="307"/>
      <c r="AO887" s="307"/>
      <c r="AP887" s="307"/>
      <c r="AQ887" s="307"/>
      <c r="AR887" s="307"/>
      <c r="AS887" s="307"/>
      <c r="AT887" s="307"/>
      <c r="AU887" s="307"/>
    </row>
    <row r="888" ht="15.75" customHeight="1">
      <c r="A888" s="307"/>
      <c r="B888" s="307"/>
      <c r="C888" s="307"/>
      <c r="D888" s="307"/>
      <c r="E888" s="307"/>
      <c r="F888" s="307"/>
      <c r="G888" s="307"/>
      <c r="H888" s="307"/>
      <c r="I888" s="307"/>
      <c r="J888" s="307"/>
      <c r="K888" s="307"/>
      <c r="L888" s="307"/>
      <c r="M888" s="307"/>
      <c r="N888" s="307"/>
      <c r="O888" s="307"/>
      <c r="P888" s="307"/>
      <c r="Q888" s="307"/>
      <c r="R888" s="307"/>
      <c r="S888" s="307"/>
      <c r="T888" s="307"/>
      <c r="U888" s="307"/>
      <c r="V888" s="307"/>
      <c r="W888" s="307"/>
      <c r="X888" s="307"/>
      <c r="Y888" s="307"/>
      <c r="Z888" s="307"/>
      <c r="AA888" s="307"/>
      <c r="AB888" s="307"/>
      <c r="AC888" s="307"/>
      <c r="AD888" s="307"/>
      <c r="AE888" s="307"/>
      <c r="AF888" s="307"/>
      <c r="AG888" s="307"/>
      <c r="AH888" s="307"/>
      <c r="AI888" s="307"/>
      <c r="AJ888" s="307"/>
      <c r="AK888" s="307"/>
      <c r="AL888" s="307"/>
      <c r="AM888" s="307"/>
      <c r="AN888" s="307"/>
      <c r="AO888" s="307"/>
      <c r="AP888" s="307"/>
      <c r="AQ888" s="307"/>
      <c r="AR888" s="307"/>
      <c r="AS888" s="307"/>
      <c r="AT888" s="307"/>
      <c r="AU888" s="307"/>
    </row>
    <row r="889" ht="15.75" customHeight="1">
      <c r="A889" s="307"/>
      <c r="B889" s="307"/>
      <c r="C889" s="307"/>
      <c r="D889" s="307"/>
      <c r="E889" s="307"/>
      <c r="F889" s="307"/>
      <c r="G889" s="307"/>
      <c r="H889" s="307"/>
      <c r="I889" s="307"/>
      <c r="J889" s="307"/>
      <c r="K889" s="307"/>
      <c r="L889" s="307"/>
      <c r="M889" s="307"/>
      <c r="N889" s="307"/>
      <c r="O889" s="307"/>
      <c r="P889" s="307"/>
      <c r="Q889" s="307"/>
      <c r="R889" s="307"/>
      <c r="S889" s="307"/>
      <c r="T889" s="307"/>
      <c r="U889" s="307"/>
      <c r="V889" s="307"/>
      <c r="W889" s="307"/>
      <c r="X889" s="307"/>
      <c r="Y889" s="307"/>
      <c r="Z889" s="307"/>
      <c r="AA889" s="307"/>
      <c r="AB889" s="307"/>
      <c r="AC889" s="307"/>
      <c r="AD889" s="307"/>
      <c r="AE889" s="307"/>
      <c r="AF889" s="307"/>
      <c r="AG889" s="307"/>
      <c r="AH889" s="307"/>
      <c r="AI889" s="307"/>
      <c r="AJ889" s="307"/>
      <c r="AK889" s="307"/>
      <c r="AL889" s="307"/>
      <c r="AM889" s="307"/>
      <c r="AN889" s="307"/>
      <c r="AO889" s="307"/>
      <c r="AP889" s="307"/>
      <c r="AQ889" s="307"/>
      <c r="AR889" s="307"/>
      <c r="AS889" s="307"/>
      <c r="AT889" s="307"/>
      <c r="AU889" s="307"/>
    </row>
    <row r="890" ht="15.75" customHeight="1">
      <c r="A890" s="307"/>
      <c r="B890" s="307"/>
      <c r="C890" s="307"/>
      <c r="D890" s="307"/>
      <c r="E890" s="307"/>
      <c r="F890" s="307"/>
      <c r="G890" s="307"/>
      <c r="H890" s="307"/>
      <c r="I890" s="307"/>
      <c r="J890" s="307"/>
      <c r="K890" s="307"/>
      <c r="L890" s="307"/>
      <c r="M890" s="307"/>
      <c r="N890" s="307"/>
      <c r="O890" s="307"/>
      <c r="P890" s="307"/>
      <c r="Q890" s="307"/>
      <c r="R890" s="307"/>
      <c r="S890" s="307"/>
      <c r="T890" s="307"/>
      <c r="U890" s="307"/>
      <c r="V890" s="307"/>
      <c r="W890" s="307"/>
      <c r="X890" s="307"/>
      <c r="Y890" s="307"/>
      <c r="Z890" s="307"/>
      <c r="AA890" s="307"/>
      <c r="AB890" s="307"/>
      <c r="AC890" s="307"/>
      <c r="AD890" s="307"/>
      <c r="AE890" s="307"/>
      <c r="AF890" s="307"/>
      <c r="AG890" s="307"/>
      <c r="AH890" s="307"/>
      <c r="AI890" s="307"/>
      <c r="AJ890" s="307"/>
      <c r="AK890" s="307"/>
      <c r="AL890" s="307"/>
      <c r="AM890" s="307"/>
      <c r="AN890" s="307"/>
      <c r="AO890" s="307"/>
      <c r="AP890" s="307"/>
      <c r="AQ890" s="307"/>
      <c r="AR890" s="307"/>
      <c r="AS890" s="307"/>
      <c r="AT890" s="307"/>
      <c r="AU890" s="307"/>
    </row>
    <row r="891" ht="15.75" customHeight="1">
      <c r="A891" s="307"/>
      <c r="B891" s="307"/>
      <c r="C891" s="307"/>
      <c r="D891" s="307"/>
      <c r="E891" s="307"/>
      <c r="F891" s="307"/>
      <c r="G891" s="307"/>
      <c r="H891" s="307"/>
      <c r="I891" s="307"/>
      <c r="J891" s="307"/>
      <c r="K891" s="307"/>
      <c r="L891" s="307"/>
      <c r="M891" s="307"/>
      <c r="N891" s="307"/>
      <c r="O891" s="307"/>
      <c r="P891" s="307"/>
      <c r="Q891" s="307"/>
      <c r="R891" s="307"/>
      <c r="S891" s="307"/>
      <c r="T891" s="307"/>
      <c r="U891" s="307"/>
      <c r="V891" s="307"/>
      <c r="W891" s="307"/>
      <c r="X891" s="307"/>
      <c r="Y891" s="307"/>
      <c r="Z891" s="307"/>
      <c r="AA891" s="307"/>
      <c r="AB891" s="307"/>
      <c r="AC891" s="307"/>
      <c r="AD891" s="307"/>
      <c r="AE891" s="307"/>
      <c r="AF891" s="307"/>
      <c r="AG891" s="307"/>
      <c r="AH891" s="307"/>
      <c r="AI891" s="307"/>
      <c r="AJ891" s="307"/>
      <c r="AK891" s="307"/>
      <c r="AL891" s="307"/>
      <c r="AM891" s="307"/>
      <c r="AN891" s="307"/>
      <c r="AO891" s="307"/>
      <c r="AP891" s="307"/>
      <c r="AQ891" s="307"/>
      <c r="AR891" s="307"/>
      <c r="AS891" s="307"/>
      <c r="AT891" s="307"/>
      <c r="AU891" s="307"/>
    </row>
    <row r="892" ht="15.75" customHeight="1">
      <c r="A892" s="307"/>
      <c r="B892" s="307"/>
      <c r="C892" s="307"/>
      <c r="D892" s="307"/>
      <c r="E892" s="307"/>
      <c r="F892" s="307"/>
      <c r="G892" s="307"/>
      <c r="H892" s="307"/>
      <c r="I892" s="307"/>
      <c r="J892" s="307"/>
      <c r="K892" s="307"/>
      <c r="L892" s="307"/>
      <c r="M892" s="307"/>
      <c r="N892" s="307"/>
      <c r="O892" s="307"/>
      <c r="P892" s="307"/>
      <c r="Q892" s="307"/>
      <c r="R892" s="307"/>
      <c r="S892" s="307"/>
      <c r="T892" s="307"/>
      <c r="U892" s="307"/>
      <c r="V892" s="307"/>
      <c r="W892" s="307"/>
      <c r="X892" s="307"/>
      <c r="Y892" s="307"/>
      <c r="Z892" s="307"/>
      <c r="AA892" s="307"/>
      <c r="AB892" s="307"/>
      <c r="AC892" s="307"/>
      <c r="AD892" s="307"/>
      <c r="AE892" s="307"/>
      <c r="AF892" s="307"/>
      <c r="AG892" s="307"/>
      <c r="AH892" s="307"/>
      <c r="AI892" s="307"/>
      <c r="AJ892" s="307"/>
      <c r="AK892" s="307"/>
      <c r="AL892" s="307"/>
      <c r="AM892" s="307"/>
      <c r="AN892" s="307"/>
      <c r="AO892" s="307"/>
      <c r="AP892" s="307"/>
      <c r="AQ892" s="307"/>
      <c r="AR892" s="307"/>
      <c r="AS892" s="307"/>
      <c r="AT892" s="307"/>
      <c r="AU892" s="307"/>
    </row>
    <row r="893" ht="15.75" customHeight="1">
      <c r="A893" s="307"/>
      <c r="B893" s="307"/>
      <c r="C893" s="307"/>
      <c r="D893" s="307"/>
      <c r="E893" s="307"/>
      <c r="F893" s="307"/>
      <c r="G893" s="307"/>
      <c r="H893" s="307"/>
      <c r="I893" s="307"/>
      <c r="J893" s="307"/>
      <c r="K893" s="307"/>
      <c r="L893" s="307"/>
      <c r="M893" s="307"/>
      <c r="N893" s="307"/>
      <c r="O893" s="307"/>
      <c r="P893" s="307"/>
      <c r="Q893" s="307"/>
      <c r="R893" s="307"/>
      <c r="S893" s="307"/>
      <c r="T893" s="307"/>
      <c r="U893" s="307"/>
      <c r="V893" s="307"/>
      <c r="W893" s="307"/>
      <c r="X893" s="307"/>
      <c r="Y893" s="307"/>
      <c r="Z893" s="307"/>
      <c r="AA893" s="307"/>
      <c r="AB893" s="307"/>
      <c r="AC893" s="307"/>
      <c r="AD893" s="307"/>
      <c r="AE893" s="307"/>
      <c r="AF893" s="307"/>
      <c r="AG893" s="307"/>
      <c r="AH893" s="307"/>
      <c r="AI893" s="307"/>
      <c r="AJ893" s="307"/>
      <c r="AK893" s="307"/>
      <c r="AL893" s="307"/>
      <c r="AM893" s="307"/>
      <c r="AN893" s="307"/>
      <c r="AO893" s="307"/>
      <c r="AP893" s="307"/>
      <c r="AQ893" s="307"/>
      <c r="AR893" s="307"/>
      <c r="AS893" s="307"/>
      <c r="AT893" s="307"/>
      <c r="AU893" s="307"/>
    </row>
    <row r="894" ht="15.75" customHeight="1">
      <c r="A894" s="307"/>
      <c r="B894" s="307"/>
      <c r="C894" s="307"/>
      <c r="D894" s="307"/>
      <c r="E894" s="307"/>
      <c r="F894" s="307"/>
      <c r="G894" s="307"/>
      <c r="H894" s="307"/>
      <c r="I894" s="307"/>
      <c r="J894" s="307"/>
      <c r="K894" s="307"/>
      <c r="L894" s="307"/>
      <c r="M894" s="307"/>
      <c r="N894" s="307"/>
      <c r="O894" s="307"/>
      <c r="P894" s="307"/>
      <c r="Q894" s="307"/>
      <c r="R894" s="307"/>
      <c r="S894" s="307"/>
      <c r="T894" s="307"/>
      <c r="U894" s="307"/>
      <c r="V894" s="307"/>
      <c r="W894" s="307"/>
      <c r="X894" s="307"/>
      <c r="Y894" s="307"/>
      <c r="Z894" s="307"/>
      <c r="AA894" s="307"/>
      <c r="AB894" s="307"/>
      <c r="AC894" s="307"/>
      <c r="AD894" s="307"/>
      <c r="AE894" s="307"/>
      <c r="AF894" s="307"/>
      <c r="AG894" s="307"/>
      <c r="AH894" s="307"/>
      <c r="AI894" s="307"/>
      <c r="AJ894" s="307"/>
      <c r="AK894" s="307"/>
      <c r="AL894" s="307"/>
      <c r="AM894" s="307"/>
      <c r="AN894" s="307"/>
      <c r="AO894" s="307"/>
      <c r="AP894" s="307"/>
      <c r="AQ894" s="307"/>
      <c r="AR894" s="307"/>
      <c r="AS894" s="307"/>
      <c r="AT894" s="307"/>
      <c r="AU894" s="307"/>
    </row>
    <row r="895" ht="15.75" customHeight="1">
      <c r="A895" s="307"/>
      <c r="B895" s="307"/>
      <c r="C895" s="307"/>
      <c r="D895" s="307"/>
      <c r="E895" s="307"/>
      <c r="F895" s="307"/>
      <c r="G895" s="307"/>
      <c r="H895" s="307"/>
      <c r="I895" s="307"/>
      <c r="J895" s="307"/>
      <c r="K895" s="307"/>
      <c r="L895" s="307"/>
      <c r="M895" s="307"/>
      <c r="N895" s="307"/>
      <c r="O895" s="307"/>
      <c r="P895" s="307"/>
      <c r="Q895" s="307"/>
      <c r="R895" s="307"/>
      <c r="S895" s="307"/>
      <c r="T895" s="307"/>
      <c r="U895" s="307"/>
      <c r="V895" s="307"/>
      <c r="W895" s="307"/>
      <c r="X895" s="307"/>
      <c r="Y895" s="307"/>
      <c r="Z895" s="307"/>
      <c r="AA895" s="307"/>
      <c r="AB895" s="307"/>
      <c r="AC895" s="307"/>
      <c r="AD895" s="307"/>
      <c r="AE895" s="307"/>
      <c r="AF895" s="307"/>
      <c r="AG895" s="307"/>
      <c r="AH895" s="307"/>
      <c r="AI895" s="307"/>
      <c r="AJ895" s="307"/>
      <c r="AK895" s="307"/>
      <c r="AL895" s="307"/>
      <c r="AM895" s="307"/>
      <c r="AN895" s="307"/>
      <c r="AO895" s="307"/>
      <c r="AP895" s="307"/>
      <c r="AQ895" s="307"/>
      <c r="AR895" s="307"/>
      <c r="AS895" s="307"/>
      <c r="AT895" s="307"/>
      <c r="AU895" s="307"/>
    </row>
    <row r="896" ht="15.75" customHeight="1">
      <c r="A896" s="307"/>
      <c r="B896" s="307"/>
      <c r="C896" s="307"/>
      <c r="D896" s="307"/>
      <c r="E896" s="307"/>
      <c r="F896" s="307"/>
      <c r="G896" s="307"/>
      <c r="H896" s="307"/>
      <c r="I896" s="307"/>
      <c r="J896" s="307"/>
      <c r="K896" s="307"/>
      <c r="L896" s="307"/>
      <c r="M896" s="307"/>
      <c r="N896" s="307"/>
      <c r="O896" s="307"/>
      <c r="P896" s="307"/>
      <c r="Q896" s="307"/>
      <c r="R896" s="307"/>
      <c r="S896" s="307"/>
      <c r="T896" s="307"/>
      <c r="U896" s="307"/>
      <c r="V896" s="307"/>
      <c r="W896" s="307"/>
      <c r="X896" s="307"/>
      <c r="Y896" s="307"/>
      <c r="Z896" s="307"/>
      <c r="AA896" s="307"/>
      <c r="AB896" s="307"/>
      <c r="AC896" s="307"/>
      <c r="AD896" s="307"/>
      <c r="AE896" s="307"/>
      <c r="AF896" s="307"/>
      <c r="AG896" s="307"/>
      <c r="AH896" s="307"/>
      <c r="AI896" s="307"/>
      <c r="AJ896" s="307"/>
      <c r="AK896" s="307"/>
      <c r="AL896" s="307"/>
      <c r="AM896" s="307"/>
      <c r="AN896" s="307"/>
      <c r="AO896" s="307"/>
      <c r="AP896" s="307"/>
      <c r="AQ896" s="307"/>
      <c r="AR896" s="307"/>
      <c r="AS896" s="307"/>
      <c r="AT896" s="307"/>
      <c r="AU896" s="307"/>
    </row>
    <row r="897" ht="15.75" customHeight="1">
      <c r="A897" s="307"/>
      <c r="B897" s="307"/>
      <c r="C897" s="307"/>
      <c r="D897" s="307"/>
      <c r="E897" s="307"/>
      <c r="F897" s="307"/>
      <c r="G897" s="307"/>
      <c r="H897" s="307"/>
      <c r="I897" s="307"/>
      <c r="J897" s="307"/>
      <c r="K897" s="307"/>
      <c r="L897" s="307"/>
      <c r="M897" s="307"/>
      <c r="N897" s="307"/>
      <c r="O897" s="307"/>
      <c r="P897" s="307"/>
      <c r="Q897" s="307"/>
      <c r="R897" s="307"/>
      <c r="S897" s="307"/>
      <c r="T897" s="307"/>
      <c r="U897" s="307"/>
      <c r="V897" s="307"/>
      <c r="W897" s="307"/>
      <c r="X897" s="307"/>
      <c r="Y897" s="307"/>
      <c r="Z897" s="307"/>
      <c r="AA897" s="307"/>
      <c r="AB897" s="307"/>
      <c r="AC897" s="307"/>
      <c r="AD897" s="307"/>
      <c r="AE897" s="307"/>
      <c r="AF897" s="307"/>
      <c r="AG897" s="307"/>
      <c r="AH897" s="307"/>
      <c r="AI897" s="307"/>
      <c r="AJ897" s="307"/>
      <c r="AK897" s="307"/>
      <c r="AL897" s="307"/>
      <c r="AM897" s="307"/>
      <c r="AN897" s="307"/>
      <c r="AO897" s="307"/>
      <c r="AP897" s="307"/>
      <c r="AQ897" s="307"/>
      <c r="AR897" s="307"/>
      <c r="AS897" s="307"/>
      <c r="AT897" s="307"/>
      <c r="AU897" s="307"/>
    </row>
    <row r="898" ht="15.75" customHeight="1">
      <c r="A898" s="307"/>
      <c r="B898" s="307"/>
      <c r="C898" s="307"/>
      <c r="D898" s="307"/>
      <c r="E898" s="307"/>
      <c r="F898" s="307"/>
      <c r="G898" s="307"/>
      <c r="H898" s="307"/>
      <c r="I898" s="307"/>
      <c r="J898" s="307"/>
      <c r="K898" s="307"/>
      <c r="L898" s="307"/>
      <c r="M898" s="307"/>
      <c r="N898" s="307"/>
      <c r="O898" s="307"/>
      <c r="P898" s="307"/>
      <c r="Q898" s="307"/>
      <c r="R898" s="307"/>
      <c r="S898" s="307"/>
      <c r="T898" s="307"/>
      <c r="U898" s="307"/>
      <c r="V898" s="307"/>
      <c r="W898" s="307"/>
      <c r="X898" s="307"/>
      <c r="Y898" s="307"/>
      <c r="Z898" s="307"/>
      <c r="AA898" s="307"/>
      <c r="AB898" s="307"/>
      <c r="AC898" s="307"/>
      <c r="AD898" s="307"/>
      <c r="AE898" s="307"/>
      <c r="AF898" s="307"/>
      <c r="AG898" s="307"/>
      <c r="AH898" s="307"/>
      <c r="AI898" s="307"/>
      <c r="AJ898" s="307"/>
      <c r="AK898" s="307"/>
      <c r="AL898" s="307"/>
      <c r="AM898" s="307"/>
      <c r="AN898" s="307"/>
      <c r="AO898" s="307"/>
      <c r="AP898" s="307"/>
      <c r="AQ898" s="307"/>
      <c r="AR898" s="307"/>
      <c r="AS898" s="307"/>
      <c r="AT898" s="307"/>
      <c r="AU898" s="307"/>
    </row>
    <row r="899" ht="15.75" customHeight="1">
      <c r="A899" s="307"/>
      <c r="B899" s="307"/>
      <c r="C899" s="307"/>
      <c r="D899" s="307"/>
      <c r="E899" s="307"/>
      <c r="F899" s="307"/>
      <c r="G899" s="307"/>
      <c r="H899" s="307"/>
      <c r="I899" s="307"/>
      <c r="J899" s="307"/>
      <c r="K899" s="307"/>
      <c r="L899" s="307"/>
      <c r="M899" s="307"/>
      <c r="N899" s="307"/>
      <c r="O899" s="307"/>
      <c r="P899" s="307"/>
      <c r="Q899" s="307"/>
      <c r="R899" s="307"/>
      <c r="S899" s="307"/>
      <c r="T899" s="307"/>
      <c r="U899" s="307"/>
      <c r="V899" s="307"/>
      <c r="W899" s="307"/>
      <c r="X899" s="307"/>
      <c r="Y899" s="307"/>
      <c r="Z899" s="307"/>
      <c r="AA899" s="307"/>
      <c r="AB899" s="307"/>
      <c r="AC899" s="307"/>
      <c r="AD899" s="307"/>
      <c r="AE899" s="307"/>
      <c r="AF899" s="307"/>
      <c r="AG899" s="307"/>
      <c r="AH899" s="307"/>
      <c r="AI899" s="307"/>
      <c r="AJ899" s="307"/>
      <c r="AK899" s="307"/>
      <c r="AL899" s="307"/>
      <c r="AM899" s="307"/>
      <c r="AN899" s="307"/>
      <c r="AO899" s="307"/>
      <c r="AP899" s="307"/>
      <c r="AQ899" s="307"/>
      <c r="AR899" s="307"/>
      <c r="AS899" s="307"/>
      <c r="AT899" s="307"/>
      <c r="AU899" s="307"/>
    </row>
    <row r="900" ht="15.75" customHeight="1">
      <c r="A900" s="307"/>
      <c r="B900" s="307"/>
      <c r="C900" s="307"/>
      <c r="D900" s="307"/>
      <c r="E900" s="307"/>
      <c r="F900" s="307"/>
      <c r="G900" s="307"/>
      <c r="H900" s="307"/>
      <c r="I900" s="307"/>
      <c r="J900" s="307"/>
      <c r="K900" s="307"/>
      <c r="L900" s="307"/>
      <c r="M900" s="307"/>
      <c r="N900" s="307"/>
      <c r="O900" s="307"/>
      <c r="P900" s="307"/>
      <c r="Q900" s="307"/>
      <c r="R900" s="307"/>
      <c r="S900" s="307"/>
      <c r="T900" s="307"/>
      <c r="U900" s="307"/>
      <c r="V900" s="307"/>
      <c r="W900" s="307"/>
      <c r="X900" s="307"/>
      <c r="Y900" s="307"/>
      <c r="Z900" s="307"/>
      <c r="AA900" s="307"/>
      <c r="AB900" s="307"/>
      <c r="AC900" s="307"/>
      <c r="AD900" s="307"/>
      <c r="AE900" s="307"/>
      <c r="AF900" s="307"/>
      <c r="AG900" s="307"/>
      <c r="AH900" s="307"/>
      <c r="AI900" s="307"/>
      <c r="AJ900" s="307"/>
      <c r="AK900" s="307"/>
      <c r="AL900" s="307"/>
      <c r="AM900" s="307"/>
      <c r="AN900" s="307"/>
      <c r="AO900" s="307"/>
      <c r="AP900" s="307"/>
      <c r="AQ900" s="307"/>
      <c r="AR900" s="307"/>
      <c r="AS900" s="307"/>
      <c r="AT900" s="307"/>
      <c r="AU900" s="307"/>
    </row>
    <row r="901" ht="15.75" customHeight="1">
      <c r="A901" s="307"/>
      <c r="B901" s="307"/>
      <c r="C901" s="307"/>
      <c r="D901" s="307"/>
      <c r="E901" s="307"/>
      <c r="F901" s="307"/>
      <c r="G901" s="307"/>
      <c r="H901" s="307"/>
      <c r="I901" s="307"/>
      <c r="J901" s="307"/>
      <c r="K901" s="307"/>
      <c r="L901" s="307"/>
      <c r="M901" s="307"/>
      <c r="N901" s="307"/>
      <c r="O901" s="307"/>
      <c r="P901" s="307"/>
      <c r="Q901" s="307"/>
      <c r="R901" s="307"/>
      <c r="S901" s="307"/>
      <c r="T901" s="307"/>
      <c r="U901" s="307"/>
      <c r="V901" s="307"/>
      <c r="W901" s="307"/>
      <c r="X901" s="307"/>
      <c r="Y901" s="307"/>
      <c r="Z901" s="307"/>
      <c r="AA901" s="307"/>
      <c r="AB901" s="307"/>
      <c r="AC901" s="307"/>
      <c r="AD901" s="307"/>
      <c r="AE901" s="307"/>
      <c r="AF901" s="307"/>
      <c r="AG901" s="307"/>
      <c r="AH901" s="307"/>
      <c r="AI901" s="307"/>
      <c r="AJ901" s="307"/>
      <c r="AK901" s="307"/>
      <c r="AL901" s="307"/>
      <c r="AM901" s="307"/>
      <c r="AN901" s="307"/>
      <c r="AO901" s="307"/>
      <c r="AP901" s="307"/>
      <c r="AQ901" s="307"/>
      <c r="AR901" s="307"/>
      <c r="AS901" s="307"/>
      <c r="AT901" s="307"/>
      <c r="AU901" s="307"/>
    </row>
    <row r="902" ht="15.75" customHeight="1">
      <c r="A902" s="307"/>
      <c r="B902" s="307"/>
      <c r="C902" s="307"/>
      <c r="D902" s="307"/>
      <c r="E902" s="307"/>
      <c r="F902" s="307"/>
      <c r="G902" s="307"/>
      <c r="H902" s="307"/>
      <c r="I902" s="307"/>
      <c r="J902" s="307"/>
      <c r="K902" s="307"/>
      <c r="L902" s="307"/>
      <c r="M902" s="307"/>
      <c r="N902" s="307"/>
      <c r="O902" s="307"/>
      <c r="P902" s="307"/>
      <c r="Q902" s="307"/>
      <c r="R902" s="307"/>
      <c r="S902" s="307"/>
      <c r="T902" s="307"/>
      <c r="U902" s="307"/>
      <c r="V902" s="307"/>
      <c r="W902" s="307"/>
      <c r="X902" s="307"/>
      <c r="Y902" s="307"/>
      <c r="Z902" s="307"/>
      <c r="AA902" s="307"/>
      <c r="AB902" s="307"/>
      <c r="AC902" s="307"/>
      <c r="AD902" s="307"/>
      <c r="AE902" s="307"/>
      <c r="AF902" s="307"/>
      <c r="AG902" s="307"/>
      <c r="AH902" s="307"/>
      <c r="AI902" s="307"/>
      <c r="AJ902" s="307"/>
      <c r="AK902" s="307"/>
      <c r="AL902" s="307"/>
      <c r="AM902" s="307"/>
      <c r="AN902" s="307"/>
      <c r="AO902" s="307"/>
      <c r="AP902" s="307"/>
      <c r="AQ902" s="307"/>
      <c r="AR902" s="307"/>
      <c r="AS902" s="307"/>
      <c r="AT902" s="307"/>
      <c r="AU902" s="307"/>
    </row>
    <row r="903" ht="15.75" customHeight="1">
      <c r="A903" s="307"/>
      <c r="B903" s="307"/>
      <c r="C903" s="307"/>
      <c r="D903" s="307"/>
      <c r="E903" s="307"/>
      <c r="F903" s="307"/>
      <c r="G903" s="307"/>
      <c r="H903" s="307"/>
      <c r="I903" s="307"/>
      <c r="J903" s="307"/>
      <c r="K903" s="307"/>
      <c r="L903" s="307"/>
      <c r="M903" s="307"/>
      <c r="N903" s="307"/>
      <c r="O903" s="307"/>
      <c r="P903" s="307"/>
      <c r="Q903" s="307"/>
      <c r="R903" s="307"/>
      <c r="S903" s="307"/>
      <c r="T903" s="307"/>
      <c r="U903" s="307"/>
      <c r="V903" s="307"/>
      <c r="W903" s="307"/>
      <c r="X903" s="307"/>
      <c r="Y903" s="307"/>
      <c r="Z903" s="307"/>
      <c r="AA903" s="307"/>
      <c r="AB903" s="307"/>
      <c r="AC903" s="307"/>
      <c r="AD903" s="307"/>
      <c r="AE903" s="307"/>
      <c r="AF903" s="307"/>
      <c r="AG903" s="307"/>
      <c r="AH903" s="307"/>
      <c r="AI903" s="307"/>
      <c r="AJ903" s="307"/>
      <c r="AK903" s="307"/>
      <c r="AL903" s="307"/>
      <c r="AM903" s="307"/>
      <c r="AN903" s="307"/>
      <c r="AO903" s="307"/>
      <c r="AP903" s="307"/>
      <c r="AQ903" s="307"/>
      <c r="AR903" s="307"/>
      <c r="AS903" s="307"/>
      <c r="AT903" s="307"/>
      <c r="AU903" s="307"/>
    </row>
    <row r="904" ht="15.75" customHeight="1">
      <c r="A904" s="307"/>
      <c r="B904" s="307"/>
      <c r="C904" s="307"/>
      <c r="D904" s="307"/>
      <c r="E904" s="307"/>
      <c r="F904" s="307"/>
      <c r="G904" s="307"/>
      <c r="H904" s="307"/>
      <c r="I904" s="307"/>
      <c r="J904" s="307"/>
      <c r="K904" s="307"/>
      <c r="L904" s="307"/>
      <c r="M904" s="307"/>
      <c r="N904" s="307"/>
      <c r="O904" s="307"/>
      <c r="P904" s="307"/>
      <c r="Q904" s="307"/>
      <c r="R904" s="307"/>
      <c r="S904" s="307"/>
      <c r="T904" s="307"/>
      <c r="U904" s="307"/>
      <c r="V904" s="307"/>
      <c r="W904" s="307"/>
      <c r="X904" s="307"/>
      <c r="Y904" s="307"/>
      <c r="Z904" s="307"/>
      <c r="AA904" s="307"/>
      <c r="AB904" s="307"/>
      <c r="AC904" s="307"/>
      <c r="AD904" s="307"/>
      <c r="AE904" s="307"/>
      <c r="AF904" s="307"/>
      <c r="AG904" s="307"/>
      <c r="AH904" s="307"/>
      <c r="AI904" s="307"/>
      <c r="AJ904" s="307"/>
      <c r="AK904" s="307"/>
      <c r="AL904" s="307"/>
      <c r="AM904" s="307"/>
      <c r="AN904" s="307"/>
      <c r="AO904" s="307"/>
      <c r="AP904" s="307"/>
      <c r="AQ904" s="307"/>
      <c r="AR904" s="307"/>
      <c r="AS904" s="307"/>
      <c r="AT904" s="307"/>
      <c r="AU904" s="307"/>
    </row>
    <row r="905" ht="15.75" customHeight="1">
      <c r="A905" s="307"/>
      <c r="B905" s="307"/>
      <c r="C905" s="307"/>
      <c r="D905" s="307"/>
      <c r="E905" s="307"/>
      <c r="F905" s="307"/>
      <c r="G905" s="307"/>
      <c r="H905" s="307"/>
      <c r="I905" s="307"/>
      <c r="J905" s="307"/>
      <c r="K905" s="307"/>
      <c r="L905" s="307"/>
      <c r="M905" s="307"/>
      <c r="N905" s="307"/>
      <c r="O905" s="307"/>
      <c r="P905" s="307"/>
      <c r="Q905" s="307"/>
      <c r="R905" s="307"/>
      <c r="S905" s="307"/>
      <c r="T905" s="307"/>
      <c r="U905" s="307"/>
      <c r="V905" s="307"/>
      <c r="W905" s="307"/>
      <c r="X905" s="307"/>
      <c r="Y905" s="307"/>
      <c r="Z905" s="307"/>
      <c r="AA905" s="307"/>
      <c r="AB905" s="307"/>
      <c r="AC905" s="307"/>
      <c r="AD905" s="307"/>
      <c r="AE905" s="307"/>
      <c r="AF905" s="307"/>
      <c r="AG905" s="307"/>
      <c r="AH905" s="307"/>
      <c r="AI905" s="307"/>
      <c r="AJ905" s="307"/>
      <c r="AK905" s="307"/>
      <c r="AL905" s="307"/>
      <c r="AM905" s="307"/>
      <c r="AN905" s="307"/>
      <c r="AO905" s="307"/>
      <c r="AP905" s="307"/>
      <c r="AQ905" s="307"/>
      <c r="AR905" s="307"/>
      <c r="AS905" s="307"/>
      <c r="AT905" s="307"/>
      <c r="AU905" s="307"/>
    </row>
    <row r="906" ht="15.75" customHeight="1">
      <c r="A906" s="307"/>
      <c r="B906" s="307"/>
      <c r="C906" s="307"/>
      <c r="D906" s="307"/>
      <c r="E906" s="307"/>
      <c r="F906" s="307"/>
      <c r="G906" s="307"/>
      <c r="H906" s="307"/>
      <c r="I906" s="307"/>
      <c r="J906" s="307"/>
      <c r="K906" s="307"/>
      <c r="L906" s="307"/>
      <c r="M906" s="307"/>
      <c r="N906" s="307"/>
      <c r="O906" s="307"/>
      <c r="P906" s="307"/>
      <c r="Q906" s="307"/>
      <c r="R906" s="307"/>
      <c r="S906" s="307"/>
      <c r="T906" s="307"/>
      <c r="U906" s="307"/>
      <c r="V906" s="307"/>
      <c r="W906" s="307"/>
      <c r="X906" s="307"/>
      <c r="Y906" s="307"/>
      <c r="Z906" s="307"/>
      <c r="AA906" s="307"/>
      <c r="AB906" s="307"/>
      <c r="AC906" s="307"/>
      <c r="AD906" s="307"/>
      <c r="AE906" s="307"/>
      <c r="AF906" s="307"/>
      <c r="AG906" s="307"/>
      <c r="AH906" s="307"/>
      <c r="AI906" s="307"/>
      <c r="AJ906" s="307"/>
      <c r="AK906" s="307"/>
      <c r="AL906" s="307"/>
      <c r="AM906" s="307"/>
      <c r="AN906" s="307"/>
      <c r="AO906" s="307"/>
      <c r="AP906" s="307"/>
      <c r="AQ906" s="307"/>
      <c r="AR906" s="307"/>
      <c r="AS906" s="307"/>
      <c r="AT906" s="307"/>
      <c r="AU906" s="307"/>
    </row>
    <row r="907" ht="15.75" customHeight="1">
      <c r="A907" s="307"/>
      <c r="B907" s="307"/>
      <c r="C907" s="307"/>
      <c r="D907" s="307"/>
      <c r="E907" s="307"/>
      <c r="F907" s="307"/>
      <c r="G907" s="307"/>
      <c r="H907" s="307"/>
      <c r="I907" s="307"/>
      <c r="J907" s="307"/>
      <c r="K907" s="307"/>
      <c r="L907" s="307"/>
      <c r="M907" s="307"/>
      <c r="N907" s="307"/>
      <c r="O907" s="307"/>
      <c r="P907" s="307"/>
      <c r="Q907" s="307"/>
      <c r="R907" s="307"/>
      <c r="S907" s="307"/>
      <c r="T907" s="307"/>
      <c r="U907" s="307"/>
      <c r="V907" s="307"/>
      <c r="W907" s="307"/>
      <c r="X907" s="307"/>
      <c r="Y907" s="307"/>
      <c r="Z907" s="307"/>
      <c r="AA907" s="307"/>
      <c r="AB907" s="307"/>
      <c r="AC907" s="307"/>
      <c r="AD907" s="307"/>
      <c r="AE907" s="307"/>
      <c r="AF907" s="307"/>
      <c r="AG907" s="307"/>
      <c r="AH907" s="307"/>
      <c r="AI907" s="307"/>
      <c r="AJ907" s="307"/>
      <c r="AK907" s="307"/>
      <c r="AL907" s="307"/>
      <c r="AM907" s="307"/>
      <c r="AN907" s="307"/>
      <c r="AO907" s="307"/>
      <c r="AP907" s="307"/>
      <c r="AQ907" s="307"/>
      <c r="AR907" s="307"/>
      <c r="AS907" s="307"/>
      <c r="AT907" s="307"/>
      <c r="AU907" s="307"/>
    </row>
    <row r="908" ht="15.75" customHeight="1">
      <c r="A908" s="307"/>
      <c r="B908" s="307"/>
      <c r="C908" s="307"/>
      <c r="D908" s="307"/>
      <c r="E908" s="307"/>
      <c r="F908" s="307"/>
      <c r="G908" s="307"/>
      <c r="H908" s="307"/>
      <c r="I908" s="307"/>
      <c r="J908" s="307"/>
      <c r="K908" s="307"/>
      <c r="L908" s="307"/>
      <c r="M908" s="307"/>
      <c r="N908" s="307"/>
      <c r="O908" s="307"/>
      <c r="P908" s="307"/>
      <c r="Q908" s="307"/>
      <c r="R908" s="307"/>
      <c r="S908" s="307"/>
      <c r="T908" s="307"/>
      <c r="U908" s="307"/>
      <c r="V908" s="307"/>
      <c r="W908" s="307"/>
      <c r="X908" s="307"/>
      <c r="Y908" s="307"/>
      <c r="Z908" s="307"/>
      <c r="AA908" s="307"/>
      <c r="AB908" s="307"/>
      <c r="AC908" s="307"/>
      <c r="AD908" s="307"/>
      <c r="AE908" s="307"/>
      <c r="AF908" s="307"/>
      <c r="AG908" s="307"/>
      <c r="AH908" s="307"/>
      <c r="AI908" s="307"/>
      <c r="AJ908" s="307"/>
      <c r="AK908" s="307"/>
      <c r="AL908" s="307"/>
      <c r="AM908" s="307"/>
      <c r="AN908" s="307"/>
      <c r="AO908" s="307"/>
      <c r="AP908" s="307"/>
      <c r="AQ908" s="307"/>
      <c r="AR908" s="307"/>
      <c r="AS908" s="307"/>
      <c r="AT908" s="307"/>
      <c r="AU908" s="307"/>
    </row>
    <row r="909" ht="15.75" customHeight="1">
      <c r="A909" s="307"/>
      <c r="B909" s="307"/>
      <c r="C909" s="307"/>
      <c r="D909" s="307"/>
      <c r="E909" s="307"/>
      <c r="F909" s="307"/>
      <c r="G909" s="307"/>
      <c r="H909" s="307"/>
      <c r="I909" s="307"/>
      <c r="J909" s="307"/>
      <c r="K909" s="307"/>
      <c r="L909" s="307"/>
      <c r="M909" s="307"/>
      <c r="N909" s="307"/>
      <c r="O909" s="307"/>
      <c r="P909" s="307"/>
      <c r="Q909" s="307"/>
      <c r="R909" s="307"/>
      <c r="S909" s="307"/>
      <c r="T909" s="307"/>
      <c r="U909" s="307"/>
      <c r="V909" s="307"/>
      <c r="W909" s="307"/>
      <c r="X909" s="307"/>
      <c r="Y909" s="307"/>
      <c r="Z909" s="307"/>
      <c r="AA909" s="307"/>
      <c r="AB909" s="307"/>
      <c r="AC909" s="307"/>
      <c r="AD909" s="307"/>
      <c r="AE909" s="307"/>
      <c r="AF909" s="307"/>
      <c r="AG909" s="307"/>
      <c r="AH909" s="307"/>
      <c r="AI909" s="307"/>
      <c r="AJ909" s="307"/>
      <c r="AK909" s="307"/>
      <c r="AL909" s="307"/>
      <c r="AM909" s="307"/>
      <c r="AN909" s="307"/>
      <c r="AO909" s="307"/>
      <c r="AP909" s="307"/>
      <c r="AQ909" s="307"/>
      <c r="AR909" s="307"/>
      <c r="AS909" s="307"/>
      <c r="AT909" s="307"/>
      <c r="AU909" s="307"/>
    </row>
    <row r="910" ht="15.75" customHeight="1">
      <c r="A910" s="307"/>
      <c r="B910" s="307"/>
      <c r="C910" s="307"/>
      <c r="D910" s="307"/>
      <c r="E910" s="307"/>
      <c r="F910" s="307"/>
      <c r="G910" s="307"/>
      <c r="H910" s="307"/>
      <c r="I910" s="307"/>
      <c r="J910" s="307"/>
      <c r="K910" s="307"/>
      <c r="L910" s="307"/>
      <c r="M910" s="307"/>
      <c r="N910" s="307"/>
      <c r="O910" s="307"/>
      <c r="P910" s="307"/>
      <c r="Q910" s="307"/>
      <c r="R910" s="307"/>
      <c r="S910" s="307"/>
      <c r="T910" s="307"/>
      <c r="U910" s="307"/>
      <c r="V910" s="307"/>
      <c r="W910" s="307"/>
      <c r="X910" s="307"/>
      <c r="Y910" s="307"/>
      <c r="Z910" s="307"/>
      <c r="AA910" s="307"/>
      <c r="AB910" s="307"/>
      <c r="AC910" s="307"/>
      <c r="AD910" s="307"/>
      <c r="AE910" s="307"/>
      <c r="AF910" s="307"/>
      <c r="AG910" s="307"/>
      <c r="AH910" s="307"/>
      <c r="AI910" s="307"/>
      <c r="AJ910" s="307"/>
      <c r="AK910" s="307"/>
      <c r="AL910" s="307"/>
      <c r="AM910" s="307"/>
      <c r="AN910" s="307"/>
      <c r="AO910" s="307"/>
      <c r="AP910" s="307"/>
      <c r="AQ910" s="307"/>
      <c r="AR910" s="307"/>
      <c r="AS910" s="307"/>
      <c r="AT910" s="307"/>
      <c r="AU910" s="307"/>
    </row>
    <row r="911" ht="15.75" customHeight="1">
      <c r="A911" s="307"/>
      <c r="B911" s="307"/>
      <c r="C911" s="307"/>
      <c r="D911" s="307"/>
      <c r="E911" s="307"/>
      <c r="F911" s="307"/>
      <c r="G911" s="307"/>
      <c r="H911" s="307"/>
      <c r="I911" s="307"/>
      <c r="J911" s="307"/>
      <c r="K911" s="307"/>
      <c r="L911" s="307"/>
      <c r="M911" s="307"/>
      <c r="N911" s="307"/>
      <c r="O911" s="307"/>
      <c r="P911" s="307"/>
      <c r="Q911" s="307"/>
      <c r="R911" s="307"/>
      <c r="S911" s="307"/>
      <c r="T911" s="307"/>
      <c r="U911" s="307"/>
      <c r="V911" s="307"/>
      <c r="W911" s="307"/>
      <c r="X911" s="307"/>
      <c r="Y911" s="307"/>
      <c r="Z911" s="307"/>
      <c r="AA911" s="307"/>
      <c r="AB911" s="307"/>
      <c r="AC911" s="307"/>
      <c r="AD911" s="307"/>
      <c r="AE911" s="307"/>
      <c r="AF911" s="307"/>
      <c r="AG911" s="307"/>
      <c r="AH911" s="307"/>
      <c r="AI911" s="307"/>
      <c r="AJ911" s="307"/>
      <c r="AK911" s="307"/>
      <c r="AL911" s="307"/>
      <c r="AM911" s="307"/>
      <c r="AN911" s="307"/>
      <c r="AO911" s="307"/>
      <c r="AP911" s="307"/>
      <c r="AQ911" s="307"/>
      <c r="AR911" s="307"/>
      <c r="AS911" s="307"/>
      <c r="AT911" s="307"/>
      <c r="AU911" s="307"/>
    </row>
    <row r="912" ht="15.75" customHeight="1">
      <c r="A912" s="307"/>
      <c r="B912" s="307"/>
      <c r="C912" s="307"/>
      <c r="D912" s="307"/>
      <c r="E912" s="307"/>
      <c r="F912" s="307"/>
      <c r="G912" s="307"/>
      <c r="H912" s="307"/>
      <c r="I912" s="307"/>
      <c r="J912" s="307"/>
      <c r="K912" s="307"/>
      <c r="L912" s="307"/>
      <c r="M912" s="307"/>
      <c r="N912" s="307"/>
      <c r="O912" s="307"/>
      <c r="P912" s="307"/>
      <c r="Q912" s="307"/>
      <c r="R912" s="307"/>
      <c r="S912" s="307"/>
      <c r="T912" s="307"/>
      <c r="U912" s="307"/>
      <c r="V912" s="307"/>
      <c r="W912" s="307"/>
      <c r="X912" s="307"/>
      <c r="Y912" s="307"/>
      <c r="Z912" s="307"/>
      <c r="AA912" s="307"/>
      <c r="AB912" s="307"/>
      <c r="AC912" s="307"/>
      <c r="AD912" s="307"/>
      <c r="AE912" s="307"/>
      <c r="AF912" s="307"/>
      <c r="AG912" s="307"/>
      <c r="AH912" s="307"/>
      <c r="AI912" s="307"/>
      <c r="AJ912" s="307"/>
      <c r="AK912" s="307"/>
      <c r="AL912" s="307"/>
      <c r="AM912" s="307"/>
      <c r="AN912" s="307"/>
      <c r="AO912" s="307"/>
      <c r="AP912" s="307"/>
      <c r="AQ912" s="307"/>
      <c r="AR912" s="307"/>
      <c r="AS912" s="307"/>
      <c r="AT912" s="307"/>
      <c r="AU912" s="307"/>
    </row>
    <row r="913" ht="15.75" customHeight="1">
      <c r="A913" s="307"/>
      <c r="B913" s="307"/>
      <c r="C913" s="307"/>
      <c r="D913" s="307"/>
      <c r="E913" s="307"/>
      <c r="F913" s="307"/>
      <c r="G913" s="307"/>
      <c r="H913" s="307"/>
      <c r="I913" s="307"/>
      <c r="J913" s="307"/>
      <c r="K913" s="307"/>
      <c r="L913" s="307"/>
      <c r="M913" s="307"/>
      <c r="N913" s="307"/>
      <c r="O913" s="307"/>
      <c r="P913" s="307"/>
      <c r="Q913" s="307"/>
      <c r="R913" s="307"/>
      <c r="S913" s="307"/>
      <c r="T913" s="307"/>
      <c r="U913" s="307"/>
      <c r="V913" s="307"/>
      <c r="W913" s="307"/>
      <c r="X913" s="307"/>
      <c r="Y913" s="307"/>
      <c r="Z913" s="307"/>
      <c r="AA913" s="307"/>
      <c r="AB913" s="307"/>
      <c r="AC913" s="307"/>
      <c r="AD913" s="307"/>
      <c r="AE913" s="307"/>
      <c r="AF913" s="307"/>
      <c r="AG913" s="307"/>
      <c r="AH913" s="307"/>
      <c r="AI913" s="307"/>
      <c r="AJ913" s="307"/>
      <c r="AK913" s="307"/>
      <c r="AL913" s="307"/>
      <c r="AM913" s="307"/>
      <c r="AN913" s="307"/>
      <c r="AO913" s="307"/>
      <c r="AP913" s="307"/>
      <c r="AQ913" s="307"/>
      <c r="AR913" s="307"/>
      <c r="AS913" s="307"/>
      <c r="AT913" s="307"/>
      <c r="AU913" s="307"/>
    </row>
    <row r="914" ht="15.75" customHeight="1">
      <c r="A914" s="307"/>
      <c r="B914" s="307"/>
      <c r="C914" s="307"/>
      <c r="D914" s="307"/>
      <c r="E914" s="307"/>
      <c r="F914" s="307"/>
      <c r="G914" s="307"/>
      <c r="H914" s="307"/>
      <c r="I914" s="307"/>
      <c r="J914" s="307"/>
      <c r="K914" s="307"/>
      <c r="L914" s="307"/>
      <c r="M914" s="307"/>
      <c r="N914" s="307"/>
      <c r="O914" s="307"/>
      <c r="P914" s="307"/>
      <c r="Q914" s="307"/>
      <c r="R914" s="307"/>
      <c r="S914" s="307"/>
      <c r="T914" s="307"/>
      <c r="U914" s="307"/>
      <c r="V914" s="307"/>
      <c r="W914" s="307"/>
      <c r="X914" s="307"/>
      <c r="Y914" s="307"/>
      <c r="Z914" s="307"/>
      <c r="AA914" s="307"/>
      <c r="AB914" s="307"/>
      <c r="AC914" s="307"/>
      <c r="AD914" s="307"/>
      <c r="AE914" s="307"/>
      <c r="AF914" s="307"/>
      <c r="AG914" s="307"/>
      <c r="AH914" s="307"/>
      <c r="AI914" s="307"/>
      <c r="AJ914" s="307"/>
      <c r="AK914" s="307"/>
      <c r="AL914" s="307"/>
      <c r="AM914" s="307"/>
      <c r="AN914" s="307"/>
      <c r="AO914" s="307"/>
      <c r="AP914" s="307"/>
      <c r="AQ914" s="307"/>
      <c r="AR914" s="307"/>
      <c r="AS914" s="307"/>
      <c r="AT914" s="307"/>
      <c r="AU914" s="307"/>
    </row>
    <row r="915" ht="15.75" customHeight="1">
      <c r="A915" s="307"/>
      <c r="B915" s="307"/>
      <c r="C915" s="307"/>
      <c r="D915" s="307"/>
      <c r="E915" s="307"/>
      <c r="F915" s="307"/>
      <c r="G915" s="307"/>
      <c r="H915" s="307"/>
      <c r="I915" s="307"/>
      <c r="J915" s="307"/>
      <c r="K915" s="307"/>
      <c r="L915" s="307"/>
      <c r="M915" s="307"/>
      <c r="N915" s="307"/>
      <c r="O915" s="307"/>
      <c r="P915" s="307"/>
      <c r="Q915" s="307"/>
      <c r="R915" s="307"/>
      <c r="S915" s="307"/>
      <c r="T915" s="307"/>
      <c r="U915" s="307"/>
      <c r="V915" s="307"/>
      <c r="W915" s="307"/>
      <c r="X915" s="307"/>
      <c r="Y915" s="307"/>
      <c r="Z915" s="307"/>
      <c r="AA915" s="307"/>
      <c r="AB915" s="307"/>
      <c r="AC915" s="307"/>
      <c r="AD915" s="307"/>
      <c r="AE915" s="307"/>
      <c r="AF915" s="307"/>
      <c r="AG915" s="307"/>
      <c r="AH915" s="307"/>
      <c r="AI915" s="307"/>
      <c r="AJ915" s="307"/>
      <c r="AK915" s="307"/>
      <c r="AL915" s="307"/>
      <c r="AM915" s="307"/>
      <c r="AN915" s="307"/>
      <c r="AO915" s="307"/>
      <c r="AP915" s="307"/>
      <c r="AQ915" s="307"/>
      <c r="AR915" s="307"/>
      <c r="AS915" s="307"/>
      <c r="AT915" s="307"/>
      <c r="AU915" s="307"/>
    </row>
    <row r="916" ht="15.75" customHeight="1">
      <c r="A916" s="307"/>
      <c r="B916" s="307"/>
      <c r="C916" s="307"/>
      <c r="D916" s="307"/>
      <c r="E916" s="307"/>
      <c r="F916" s="307"/>
      <c r="G916" s="307"/>
      <c r="H916" s="307"/>
      <c r="I916" s="307"/>
      <c r="J916" s="307"/>
      <c r="K916" s="307"/>
      <c r="L916" s="307"/>
      <c r="M916" s="307"/>
      <c r="N916" s="307"/>
      <c r="O916" s="307"/>
      <c r="P916" s="307"/>
      <c r="Q916" s="307"/>
      <c r="R916" s="307"/>
      <c r="S916" s="307"/>
      <c r="T916" s="307"/>
      <c r="U916" s="307"/>
      <c r="V916" s="307"/>
      <c r="W916" s="307"/>
      <c r="X916" s="307"/>
      <c r="Y916" s="307"/>
      <c r="Z916" s="307"/>
      <c r="AA916" s="307"/>
      <c r="AB916" s="307"/>
      <c r="AC916" s="307"/>
      <c r="AD916" s="307"/>
      <c r="AE916" s="307"/>
      <c r="AF916" s="307"/>
      <c r="AG916" s="307"/>
      <c r="AH916" s="307"/>
      <c r="AI916" s="307"/>
      <c r="AJ916" s="307"/>
      <c r="AK916" s="307"/>
      <c r="AL916" s="307"/>
      <c r="AM916" s="307"/>
      <c r="AN916" s="307"/>
      <c r="AO916" s="307"/>
      <c r="AP916" s="307"/>
      <c r="AQ916" s="307"/>
      <c r="AR916" s="307"/>
      <c r="AS916" s="307"/>
      <c r="AT916" s="307"/>
      <c r="AU916" s="307"/>
    </row>
    <row r="917" ht="15.75" customHeight="1">
      <c r="A917" s="307"/>
      <c r="B917" s="307"/>
      <c r="C917" s="307"/>
      <c r="D917" s="307"/>
      <c r="E917" s="307"/>
      <c r="F917" s="307"/>
      <c r="G917" s="307"/>
      <c r="H917" s="307"/>
      <c r="I917" s="307"/>
      <c r="J917" s="307"/>
      <c r="K917" s="307"/>
      <c r="L917" s="307"/>
      <c r="M917" s="307"/>
      <c r="N917" s="307"/>
      <c r="O917" s="307"/>
      <c r="P917" s="307"/>
      <c r="Q917" s="307"/>
      <c r="R917" s="307"/>
      <c r="S917" s="307"/>
      <c r="T917" s="307"/>
      <c r="U917" s="307"/>
      <c r="V917" s="307"/>
      <c r="W917" s="307"/>
      <c r="X917" s="307"/>
      <c r="Y917" s="307"/>
      <c r="Z917" s="307"/>
      <c r="AA917" s="307"/>
      <c r="AB917" s="307"/>
      <c r="AC917" s="307"/>
      <c r="AD917" s="307"/>
      <c r="AE917" s="307"/>
      <c r="AF917" s="307"/>
      <c r="AG917" s="307"/>
      <c r="AH917" s="307"/>
      <c r="AI917" s="307"/>
      <c r="AJ917" s="307"/>
      <c r="AK917" s="307"/>
      <c r="AL917" s="307"/>
      <c r="AM917" s="307"/>
      <c r="AN917" s="307"/>
      <c r="AO917" s="307"/>
      <c r="AP917" s="307"/>
      <c r="AQ917" s="307"/>
      <c r="AR917" s="307"/>
      <c r="AS917" s="307"/>
      <c r="AT917" s="307"/>
      <c r="AU917" s="307"/>
    </row>
    <row r="918" ht="15.75" customHeight="1">
      <c r="A918" s="307"/>
      <c r="B918" s="307"/>
      <c r="C918" s="307"/>
      <c r="D918" s="307"/>
      <c r="E918" s="307"/>
      <c r="F918" s="307"/>
      <c r="G918" s="307"/>
      <c r="H918" s="307"/>
      <c r="I918" s="307"/>
      <c r="J918" s="307"/>
      <c r="K918" s="307"/>
      <c r="L918" s="307"/>
      <c r="M918" s="307"/>
      <c r="N918" s="307"/>
      <c r="O918" s="307"/>
      <c r="P918" s="307"/>
      <c r="Q918" s="307"/>
      <c r="R918" s="307"/>
      <c r="S918" s="307"/>
      <c r="T918" s="307"/>
      <c r="U918" s="307"/>
      <c r="V918" s="307"/>
      <c r="W918" s="307"/>
      <c r="X918" s="307"/>
      <c r="Y918" s="307"/>
      <c r="Z918" s="307"/>
      <c r="AA918" s="307"/>
      <c r="AB918" s="307"/>
      <c r="AC918" s="307"/>
      <c r="AD918" s="307"/>
      <c r="AE918" s="307"/>
      <c r="AF918" s="307"/>
      <c r="AG918" s="307"/>
      <c r="AH918" s="307"/>
      <c r="AI918" s="307"/>
      <c r="AJ918" s="307"/>
      <c r="AK918" s="307"/>
      <c r="AL918" s="307"/>
      <c r="AM918" s="307"/>
      <c r="AN918" s="307"/>
      <c r="AO918" s="307"/>
      <c r="AP918" s="307"/>
      <c r="AQ918" s="307"/>
      <c r="AR918" s="307"/>
      <c r="AS918" s="307"/>
      <c r="AT918" s="307"/>
      <c r="AU918" s="307"/>
    </row>
    <row r="919" ht="15.75" customHeight="1">
      <c r="A919" s="307"/>
      <c r="B919" s="307"/>
      <c r="C919" s="307"/>
      <c r="D919" s="307"/>
      <c r="E919" s="307"/>
      <c r="F919" s="307"/>
      <c r="G919" s="307"/>
      <c r="H919" s="307"/>
      <c r="I919" s="307"/>
      <c r="J919" s="307"/>
      <c r="K919" s="307"/>
      <c r="L919" s="307"/>
      <c r="M919" s="307"/>
      <c r="N919" s="307"/>
      <c r="O919" s="307"/>
      <c r="P919" s="307"/>
      <c r="Q919" s="307"/>
      <c r="R919" s="307"/>
      <c r="S919" s="307"/>
      <c r="T919" s="307"/>
      <c r="U919" s="307"/>
      <c r="V919" s="307"/>
      <c r="W919" s="307"/>
      <c r="X919" s="307"/>
      <c r="Y919" s="307"/>
      <c r="Z919" s="307"/>
      <c r="AA919" s="307"/>
      <c r="AB919" s="307"/>
      <c r="AC919" s="307"/>
      <c r="AD919" s="307"/>
      <c r="AE919" s="307"/>
      <c r="AF919" s="307"/>
      <c r="AG919" s="307"/>
      <c r="AH919" s="307"/>
      <c r="AI919" s="307"/>
      <c r="AJ919" s="307"/>
      <c r="AK919" s="307"/>
      <c r="AL919" s="307"/>
      <c r="AM919" s="307"/>
      <c r="AN919" s="307"/>
      <c r="AO919" s="307"/>
      <c r="AP919" s="307"/>
      <c r="AQ919" s="307"/>
      <c r="AR919" s="307"/>
      <c r="AS919" s="307"/>
      <c r="AT919" s="307"/>
      <c r="AU919" s="307"/>
    </row>
    <row r="920" ht="15.75" customHeight="1">
      <c r="A920" s="307"/>
      <c r="B920" s="307"/>
      <c r="C920" s="307"/>
      <c r="D920" s="307"/>
      <c r="E920" s="307"/>
      <c r="F920" s="307"/>
      <c r="G920" s="307"/>
      <c r="H920" s="307"/>
      <c r="I920" s="307"/>
      <c r="J920" s="307"/>
      <c r="K920" s="307"/>
      <c r="L920" s="307"/>
      <c r="M920" s="307"/>
      <c r="N920" s="307"/>
      <c r="O920" s="307"/>
      <c r="P920" s="307"/>
      <c r="Q920" s="307"/>
      <c r="R920" s="307"/>
      <c r="S920" s="307"/>
      <c r="T920" s="307"/>
      <c r="U920" s="307"/>
      <c r="V920" s="307"/>
      <c r="W920" s="307"/>
      <c r="X920" s="307"/>
      <c r="Y920" s="307"/>
      <c r="Z920" s="307"/>
      <c r="AA920" s="307"/>
      <c r="AB920" s="307"/>
      <c r="AC920" s="307"/>
      <c r="AD920" s="307"/>
      <c r="AE920" s="307"/>
      <c r="AF920" s="307"/>
      <c r="AG920" s="307"/>
      <c r="AH920" s="307"/>
      <c r="AI920" s="307"/>
      <c r="AJ920" s="307"/>
      <c r="AK920" s="307"/>
      <c r="AL920" s="307"/>
      <c r="AM920" s="307"/>
      <c r="AN920" s="307"/>
      <c r="AO920" s="307"/>
      <c r="AP920" s="307"/>
      <c r="AQ920" s="307"/>
      <c r="AR920" s="307"/>
      <c r="AS920" s="307"/>
      <c r="AT920" s="307"/>
      <c r="AU920" s="307"/>
    </row>
    <row r="921" ht="15.75" customHeight="1">
      <c r="A921" s="307"/>
      <c r="B921" s="307"/>
      <c r="C921" s="307"/>
      <c r="D921" s="307"/>
      <c r="E921" s="307"/>
      <c r="F921" s="307"/>
      <c r="G921" s="307"/>
      <c r="H921" s="307"/>
      <c r="I921" s="307"/>
      <c r="J921" s="307"/>
      <c r="K921" s="307"/>
      <c r="L921" s="307"/>
      <c r="M921" s="307"/>
      <c r="N921" s="307"/>
      <c r="O921" s="307"/>
      <c r="P921" s="307"/>
      <c r="Q921" s="307"/>
      <c r="R921" s="307"/>
      <c r="S921" s="307"/>
      <c r="T921" s="307"/>
      <c r="U921" s="307"/>
      <c r="V921" s="307"/>
      <c r="W921" s="307"/>
      <c r="X921" s="307"/>
      <c r="Y921" s="307"/>
      <c r="Z921" s="307"/>
      <c r="AA921" s="307"/>
      <c r="AB921" s="307"/>
      <c r="AC921" s="307"/>
      <c r="AD921" s="307"/>
      <c r="AE921" s="307"/>
      <c r="AF921" s="307"/>
      <c r="AG921" s="307"/>
      <c r="AH921" s="307"/>
      <c r="AI921" s="307"/>
      <c r="AJ921" s="307"/>
      <c r="AK921" s="307"/>
      <c r="AL921" s="307"/>
      <c r="AM921" s="307"/>
      <c r="AN921" s="307"/>
      <c r="AO921" s="307"/>
      <c r="AP921" s="307"/>
      <c r="AQ921" s="307"/>
      <c r="AR921" s="307"/>
      <c r="AS921" s="307"/>
      <c r="AT921" s="307"/>
      <c r="AU921" s="307"/>
    </row>
    <row r="922" ht="15.75" customHeight="1">
      <c r="A922" s="307"/>
      <c r="B922" s="307"/>
      <c r="C922" s="307"/>
      <c r="D922" s="307"/>
      <c r="E922" s="307"/>
      <c r="F922" s="307"/>
      <c r="G922" s="307"/>
      <c r="H922" s="307"/>
      <c r="I922" s="307"/>
      <c r="J922" s="307"/>
      <c r="K922" s="307"/>
      <c r="L922" s="307"/>
      <c r="M922" s="307"/>
      <c r="N922" s="307"/>
      <c r="O922" s="307"/>
      <c r="P922" s="307"/>
      <c r="Q922" s="307"/>
      <c r="R922" s="307"/>
      <c r="S922" s="307"/>
      <c r="T922" s="307"/>
      <c r="U922" s="307"/>
      <c r="V922" s="307"/>
      <c r="W922" s="307"/>
      <c r="X922" s="307"/>
      <c r="Y922" s="307"/>
      <c r="Z922" s="307"/>
      <c r="AA922" s="307"/>
      <c r="AB922" s="307"/>
      <c r="AC922" s="307"/>
      <c r="AD922" s="307"/>
      <c r="AE922" s="307"/>
      <c r="AF922" s="307"/>
      <c r="AG922" s="307"/>
      <c r="AH922" s="307"/>
      <c r="AI922" s="307"/>
      <c r="AJ922" s="307"/>
      <c r="AK922" s="307"/>
      <c r="AL922" s="307"/>
      <c r="AM922" s="307"/>
      <c r="AN922" s="307"/>
      <c r="AO922" s="307"/>
      <c r="AP922" s="307"/>
      <c r="AQ922" s="307"/>
      <c r="AR922" s="307"/>
      <c r="AS922" s="307"/>
      <c r="AT922" s="307"/>
      <c r="AU922" s="307"/>
    </row>
    <row r="923" ht="15.75" customHeight="1">
      <c r="A923" s="307"/>
      <c r="B923" s="307"/>
      <c r="C923" s="307"/>
      <c r="D923" s="307"/>
      <c r="E923" s="307"/>
      <c r="F923" s="307"/>
      <c r="G923" s="307"/>
      <c r="H923" s="307"/>
      <c r="I923" s="307"/>
      <c r="J923" s="307"/>
      <c r="K923" s="307"/>
      <c r="L923" s="307"/>
      <c r="M923" s="307"/>
      <c r="N923" s="307"/>
      <c r="O923" s="307"/>
      <c r="P923" s="307"/>
      <c r="Q923" s="307"/>
      <c r="R923" s="307"/>
      <c r="S923" s="307"/>
      <c r="T923" s="307"/>
      <c r="U923" s="307"/>
      <c r="V923" s="307"/>
      <c r="W923" s="307"/>
      <c r="X923" s="307"/>
      <c r="Y923" s="307"/>
      <c r="Z923" s="307"/>
      <c r="AA923" s="307"/>
      <c r="AB923" s="307"/>
      <c r="AC923" s="307"/>
      <c r="AD923" s="307"/>
      <c r="AE923" s="307"/>
      <c r="AF923" s="307"/>
      <c r="AG923" s="307"/>
      <c r="AH923" s="307"/>
      <c r="AI923" s="307"/>
      <c r="AJ923" s="307"/>
      <c r="AK923" s="307"/>
      <c r="AL923" s="307"/>
      <c r="AM923" s="307"/>
      <c r="AN923" s="307"/>
      <c r="AO923" s="307"/>
      <c r="AP923" s="307"/>
      <c r="AQ923" s="307"/>
      <c r="AR923" s="307"/>
      <c r="AS923" s="307"/>
      <c r="AT923" s="307"/>
      <c r="AU923" s="307"/>
    </row>
    <row r="924" ht="15.75" customHeight="1">
      <c r="A924" s="307"/>
      <c r="B924" s="307"/>
      <c r="C924" s="307"/>
      <c r="D924" s="307"/>
      <c r="E924" s="307"/>
      <c r="F924" s="307"/>
      <c r="G924" s="307"/>
      <c r="H924" s="307"/>
      <c r="I924" s="307"/>
      <c r="J924" s="307"/>
      <c r="K924" s="307"/>
      <c r="L924" s="307"/>
      <c r="M924" s="307"/>
      <c r="N924" s="307"/>
      <c r="O924" s="307"/>
      <c r="P924" s="307"/>
      <c r="Q924" s="307"/>
      <c r="R924" s="307"/>
      <c r="S924" s="307"/>
      <c r="T924" s="307"/>
      <c r="U924" s="307"/>
      <c r="V924" s="307"/>
      <c r="W924" s="307"/>
      <c r="X924" s="307"/>
      <c r="Y924" s="307"/>
      <c r="Z924" s="307"/>
      <c r="AA924" s="307"/>
      <c r="AB924" s="307"/>
      <c r="AC924" s="307"/>
      <c r="AD924" s="307"/>
      <c r="AE924" s="307"/>
      <c r="AF924" s="307"/>
      <c r="AG924" s="307"/>
      <c r="AH924" s="307"/>
      <c r="AI924" s="307"/>
      <c r="AJ924" s="307"/>
      <c r="AK924" s="307"/>
      <c r="AL924" s="307"/>
      <c r="AM924" s="307"/>
      <c r="AN924" s="307"/>
      <c r="AO924" s="307"/>
      <c r="AP924" s="307"/>
      <c r="AQ924" s="307"/>
      <c r="AR924" s="307"/>
      <c r="AS924" s="307"/>
      <c r="AT924" s="307"/>
      <c r="AU924" s="307"/>
    </row>
    <row r="925" ht="15.75" customHeight="1">
      <c r="A925" s="307"/>
      <c r="B925" s="307"/>
      <c r="C925" s="307"/>
      <c r="D925" s="307"/>
      <c r="E925" s="307"/>
      <c r="F925" s="307"/>
      <c r="G925" s="307"/>
      <c r="H925" s="307"/>
      <c r="I925" s="307"/>
      <c r="J925" s="307"/>
      <c r="K925" s="307"/>
      <c r="L925" s="307"/>
      <c r="M925" s="307"/>
      <c r="N925" s="307"/>
      <c r="O925" s="307"/>
      <c r="P925" s="307"/>
      <c r="Q925" s="307"/>
      <c r="R925" s="307"/>
      <c r="S925" s="307"/>
      <c r="T925" s="307"/>
      <c r="U925" s="307"/>
      <c r="V925" s="307"/>
      <c r="W925" s="307"/>
      <c r="X925" s="307"/>
      <c r="Y925" s="307"/>
      <c r="Z925" s="307"/>
      <c r="AA925" s="307"/>
      <c r="AB925" s="307"/>
      <c r="AC925" s="307"/>
      <c r="AD925" s="307"/>
      <c r="AE925" s="307"/>
      <c r="AF925" s="307"/>
      <c r="AG925" s="307"/>
      <c r="AH925" s="307"/>
      <c r="AI925" s="307"/>
      <c r="AJ925" s="307"/>
      <c r="AK925" s="307"/>
      <c r="AL925" s="307"/>
      <c r="AM925" s="307"/>
      <c r="AN925" s="307"/>
      <c r="AO925" s="307"/>
      <c r="AP925" s="307"/>
      <c r="AQ925" s="307"/>
      <c r="AR925" s="307"/>
      <c r="AS925" s="307"/>
      <c r="AT925" s="307"/>
      <c r="AU925" s="307"/>
    </row>
    <row r="926" ht="15.75" customHeight="1">
      <c r="A926" s="307"/>
      <c r="B926" s="307"/>
      <c r="C926" s="307"/>
      <c r="D926" s="307"/>
      <c r="E926" s="307"/>
      <c r="F926" s="307"/>
      <c r="G926" s="307"/>
      <c r="H926" s="307"/>
      <c r="I926" s="307"/>
      <c r="J926" s="307"/>
      <c r="K926" s="307"/>
      <c r="L926" s="307"/>
      <c r="M926" s="307"/>
      <c r="N926" s="307"/>
      <c r="O926" s="307"/>
      <c r="P926" s="307"/>
      <c r="Q926" s="307"/>
      <c r="R926" s="307"/>
      <c r="S926" s="307"/>
      <c r="T926" s="307"/>
      <c r="U926" s="307"/>
      <c r="V926" s="307"/>
      <c r="W926" s="307"/>
      <c r="X926" s="307"/>
      <c r="Y926" s="307"/>
      <c r="Z926" s="307"/>
      <c r="AA926" s="307"/>
      <c r="AB926" s="307"/>
      <c r="AC926" s="307"/>
      <c r="AD926" s="307"/>
      <c r="AE926" s="307"/>
      <c r="AF926" s="307"/>
      <c r="AG926" s="307"/>
      <c r="AH926" s="307"/>
      <c r="AI926" s="307"/>
      <c r="AJ926" s="307"/>
      <c r="AK926" s="307"/>
      <c r="AL926" s="307"/>
      <c r="AM926" s="307"/>
      <c r="AN926" s="307"/>
      <c r="AO926" s="307"/>
      <c r="AP926" s="307"/>
      <c r="AQ926" s="307"/>
      <c r="AR926" s="307"/>
      <c r="AS926" s="307"/>
      <c r="AT926" s="307"/>
      <c r="AU926" s="307"/>
    </row>
    <row r="927" ht="15.75" customHeight="1">
      <c r="A927" s="307"/>
      <c r="B927" s="307"/>
      <c r="C927" s="307"/>
      <c r="D927" s="307"/>
      <c r="E927" s="307"/>
      <c r="F927" s="307"/>
      <c r="G927" s="307"/>
      <c r="H927" s="307"/>
      <c r="I927" s="307"/>
      <c r="J927" s="307"/>
      <c r="K927" s="307"/>
      <c r="L927" s="307"/>
      <c r="M927" s="307"/>
      <c r="N927" s="307"/>
      <c r="O927" s="307"/>
      <c r="P927" s="307"/>
      <c r="Q927" s="307"/>
      <c r="R927" s="307"/>
      <c r="S927" s="307"/>
      <c r="T927" s="307"/>
      <c r="U927" s="307"/>
      <c r="V927" s="307"/>
      <c r="W927" s="307"/>
      <c r="X927" s="307"/>
      <c r="Y927" s="307"/>
      <c r="Z927" s="307"/>
      <c r="AA927" s="307"/>
      <c r="AB927" s="307"/>
      <c r="AC927" s="307"/>
      <c r="AD927" s="307"/>
      <c r="AE927" s="307"/>
      <c r="AF927" s="307"/>
      <c r="AG927" s="307"/>
      <c r="AH927" s="307"/>
      <c r="AI927" s="307"/>
      <c r="AJ927" s="307"/>
      <c r="AK927" s="307"/>
      <c r="AL927" s="307"/>
      <c r="AM927" s="307"/>
      <c r="AN927" s="307"/>
      <c r="AO927" s="307"/>
      <c r="AP927" s="307"/>
      <c r="AQ927" s="307"/>
      <c r="AR927" s="307"/>
      <c r="AS927" s="307"/>
      <c r="AT927" s="307"/>
      <c r="AU927" s="307"/>
    </row>
    <row r="928" ht="15.75" customHeight="1">
      <c r="A928" s="307"/>
      <c r="B928" s="307"/>
      <c r="C928" s="307"/>
      <c r="D928" s="307"/>
      <c r="E928" s="307"/>
      <c r="F928" s="307"/>
      <c r="G928" s="307"/>
      <c r="H928" s="307"/>
      <c r="I928" s="307"/>
      <c r="J928" s="307"/>
      <c r="K928" s="307"/>
      <c r="L928" s="307"/>
      <c r="M928" s="307"/>
      <c r="N928" s="307"/>
      <c r="O928" s="307"/>
      <c r="P928" s="307"/>
      <c r="Q928" s="307"/>
      <c r="R928" s="307"/>
      <c r="S928" s="307"/>
      <c r="T928" s="307"/>
      <c r="U928" s="307"/>
      <c r="V928" s="307"/>
      <c r="W928" s="307"/>
      <c r="X928" s="307"/>
      <c r="Y928" s="307"/>
      <c r="Z928" s="307"/>
      <c r="AA928" s="307"/>
      <c r="AB928" s="307"/>
      <c r="AC928" s="307"/>
      <c r="AD928" s="307"/>
      <c r="AE928" s="307"/>
      <c r="AF928" s="307"/>
      <c r="AG928" s="307"/>
      <c r="AH928" s="307"/>
      <c r="AI928" s="307"/>
      <c r="AJ928" s="307"/>
      <c r="AK928" s="307"/>
      <c r="AL928" s="307"/>
      <c r="AM928" s="307"/>
      <c r="AN928" s="307"/>
      <c r="AO928" s="307"/>
      <c r="AP928" s="307"/>
      <c r="AQ928" s="307"/>
      <c r="AR928" s="307"/>
      <c r="AS928" s="307"/>
      <c r="AT928" s="307"/>
      <c r="AU928" s="307"/>
    </row>
    <row r="929" ht="15.75" customHeight="1">
      <c r="A929" s="307"/>
      <c r="B929" s="307"/>
      <c r="C929" s="307"/>
      <c r="D929" s="307"/>
      <c r="E929" s="307"/>
      <c r="F929" s="307"/>
      <c r="G929" s="307"/>
      <c r="H929" s="307"/>
      <c r="I929" s="307"/>
      <c r="J929" s="307"/>
      <c r="K929" s="307"/>
      <c r="L929" s="307"/>
      <c r="M929" s="307"/>
      <c r="N929" s="307"/>
      <c r="O929" s="307"/>
      <c r="P929" s="307"/>
      <c r="Q929" s="307"/>
      <c r="R929" s="307"/>
      <c r="S929" s="307"/>
      <c r="T929" s="307"/>
      <c r="U929" s="307"/>
      <c r="V929" s="307"/>
      <c r="W929" s="307"/>
      <c r="X929" s="307"/>
      <c r="Y929" s="307"/>
      <c r="Z929" s="307"/>
      <c r="AA929" s="307"/>
      <c r="AB929" s="307"/>
      <c r="AC929" s="307"/>
      <c r="AD929" s="307"/>
      <c r="AE929" s="307"/>
      <c r="AF929" s="307"/>
      <c r="AG929" s="307"/>
      <c r="AH929" s="307"/>
      <c r="AI929" s="307"/>
      <c r="AJ929" s="307"/>
      <c r="AK929" s="307"/>
      <c r="AL929" s="307"/>
      <c r="AM929" s="307"/>
      <c r="AN929" s="307"/>
      <c r="AO929" s="307"/>
      <c r="AP929" s="307"/>
      <c r="AQ929" s="307"/>
      <c r="AR929" s="307"/>
      <c r="AS929" s="307"/>
      <c r="AT929" s="307"/>
      <c r="AU929" s="307"/>
    </row>
    <row r="930" ht="15.75" customHeight="1">
      <c r="A930" s="307"/>
      <c r="B930" s="307"/>
      <c r="C930" s="307"/>
      <c r="D930" s="307"/>
      <c r="E930" s="307"/>
      <c r="F930" s="307"/>
      <c r="G930" s="307"/>
      <c r="H930" s="307"/>
      <c r="I930" s="307"/>
      <c r="J930" s="307"/>
      <c r="K930" s="307"/>
      <c r="L930" s="307"/>
      <c r="M930" s="307"/>
      <c r="N930" s="307"/>
      <c r="O930" s="307"/>
      <c r="P930" s="307"/>
      <c r="Q930" s="307"/>
      <c r="R930" s="307"/>
      <c r="S930" s="307"/>
      <c r="T930" s="307"/>
      <c r="U930" s="307"/>
      <c r="V930" s="307"/>
      <c r="W930" s="307"/>
      <c r="X930" s="307"/>
      <c r="Y930" s="307"/>
      <c r="Z930" s="307"/>
      <c r="AA930" s="307"/>
      <c r="AB930" s="307"/>
      <c r="AC930" s="307"/>
      <c r="AD930" s="307"/>
      <c r="AE930" s="307"/>
      <c r="AF930" s="307"/>
      <c r="AG930" s="307"/>
      <c r="AH930" s="307"/>
      <c r="AI930" s="307"/>
      <c r="AJ930" s="307"/>
      <c r="AK930" s="307"/>
      <c r="AL930" s="307"/>
      <c r="AM930" s="307"/>
      <c r="AN930" s="307"/>
      <c r="AO930" s="307"/>
      <c r="AP930" s="307"/>
      <c r="AQ930" s="307"/>
      <c r="AR930" s="307"/>
      <c r="AS930" s="307"/>
      <c r="AT930" s="307"/>
      <c r="AU930" s="307"/>
    </row>
    <row r="931" ht="15.75" customHeight="1">
      <c r="A931" s="307"/>
      <c r="B931" s="307"/>
      <c r="C931" s="307"/>
      <c r="D931" s="307"/>
      <c r="E931" s="307"/>
      <c r="F931" s="307"/>
      <c r="G931" s="307"/>
      <c r="H931" s="307"/>
      <c r="I931" s="307"/>
      <c r="J931" s="307"/>
      <c r="K931" s="307"/>
      <c r="L931" s="307"/>
      <c r="M931" s="307"/>
      <c r="N931" s="307"/>
      <c r="O931" s="307"/>
      <c r="P931" s="307"/>
      <c r="Q931" s="307"/>
      <c r="R931" s="307"/>
      <c r="S931" s="307"/>
      <c r="T931" s="307"/>
      <c r="U931" s="307"/>
      <c r="V931" s="307"/>
      <c r="W931" s="307"/>
      <c r="X931" s="307"/>
      <c r="Y931" s="307"/>
      <c r="Z931" s="307"/>
      <c r="AA931" s="307"/>
      <c r="AB931" s="307"/>
      <c r="AC931" s="307"/>
      <c r="AD931" s="307"/>
      <c r="AE931" s="307"/>
      <c r="AF931" s="307"/>
      <c r="AG931" s="307"/>
      <c r="AH931" s="307"/>
      <c r="AI931" s="307"/>
      <c r="AJ931" s="307"/>
      <c r="AK931" s="307"/>
      <c r="AL931" s="307"/>
      <c r="AM931" s="307"/>
      <c r="AN931" s="307"/>
      <c r="AO931" s="307"/>
      <c r="AP931" s="307"/>
      <c r="AQ931" s="307"/>
      <c r="AR931" s="307"/>
      <c r="AS931" s="307"/>
      <c r="AT931" s="307"/>
      <c r="AU931" s="307"/>
    </row>
    <row r="932" ht="15.75" customHeight="1">
      <c r="A932" s="307"/>
      <c r="B932" s="307"/>
      <c r="C932" s="307"/>
      <c r="D932" s="307"/>
      <c r="E932" s="307"/>
      <c r="F932" s="307"/>
      <c r="G932" s="307"/>
      <c r="H932" s="307"/>
      <c r="I932" s="307"/>
      <c r="J932" s="307"/>
      <c r="K932" s="307"/>
      <c r="L932" s="307"/>
      <c r="M932" s="307"/>
      <c r="N932" s="307"/>
      <c r="O932" s="307"/>
      <c r="P932" s="307"/>
      <c r="Q932" s="307"/>
      <c r="R932" s="307"/>
      <c r="S932" s="307"/>
      <c r="T932" s="307"/>
      <c r="U932" s="307"/>
      <c r="V932" s="307"/>
      <c r="W932" s="307"/>
      <c r="X932" s="307"/>
      <c r="Y932" s="307"/>
      <c r="Z932" s="307"/>
      <c r="AA932" s="307"/>
      <c r="AB932" s="307"/>
      <c r="AC932" s="307"/>
      <c r="AD932" s="307"/>
      <c r="AE932" s="307"/>
      <c r="AF932" s="307"/>
      <c r="AG932" s="307"/>
      <c r="AH932" s="307"/>
      <c r="AI932" s="307"/>
      <c r="AJ932" s="307"/>
      <c r="AK932" s="307"/>
      <c r="AL932" s="307"/>
      <c r="AM932" s="307"/>
      <c r="AN932" s="307"/>
      <c r="AO932" s="307"/>
      <c r="AP932" s="307"/>
      <c r="AQ932" s="307"/>
      <c r="AR932" s="307"/>
      <c r="AS932" s="307"/>
      <c r="AT932" s="307"/>
      <c r="AU932" s="307"/>
    </row>
    <row r="933" ht="15.75" customHeight="1">
      <c r="A933" s="307"/>
      <c r="B933" s="307"/>
      <c r="C933" s="307"/>
      <c r="D933" s="307"/>
      <c r="E933" s="307"/>
      <c r="F933" s="307"/>
      <c r="G933" s="307"/>
      <c r="H933" s="307"/>
      <c r="I933" s="307"/>
      <c r="J933" s="307"/>
      <c r="K933" s="307"/>
      <c r="L933" s="307"/>
      <c r="M933" s="307"/>
      <c r="N933" s="307"/>
      <c r="O933" s="307"/>
      <c r="P933" s="307"/>
      <c r="Q933" s="307"/>
      <c r="R933" s="307"/>
      <c r="S933" s="307"/>
      <c r="T933" s="307"/>
      <c r="U933" s="307"/>
      <c r="V933" s="307"/>
      <c r="W933" s="307"/>
      <c r="X933" s="307"/>
      <c r="Y933" s="307"/>
      <c r="Z933" s="307"/>
      <c r="AA933" s="307"/>
      <c r="AB933" s="307"/>
      <c r="AC933" s="307"/>
      <c r="AD933" s="307"/>
      <c r="AE933" s="307"/>
      <c r="AF933" s="307"/>
      <c r="AG933" s="307"/>
      <c r="AH933" s="307"/>
      <c r="AI933" s="307"/>
      <c r="AJ933" s="307"/>
      <c r="AK933" s="307"/>
      <c r="AL933" s="307"/>
      <c r="AM933" s="307"/>
      <c r="AN933" s="307"/>
      <c r="AO933" s="307"/>
      <c r="AP933" s="307"/>
      <c r="AQ933" s="307"/>
      <c r="AR933" s="307"/>
      <c r="AS933" s="307"/>
      <c r="AT933" s="307"/>
      <c r="AU933" s="307"/>
    </row>
    <row r="934" ht="15.75" customHeight="1">
      <c r="A934" s="307"/>
      <c r="B934" s="307"/>
      <c r="C934" s="307"/>
      <c r="D934" s="307"/>
      <c r="E934" s="307"/>
      <c r="F934" s="307"/>
      <c r="G934" s="307"/>
      <c r="H934" s="307"/>
      <c r="I934" s="307"/>
      <c r="J934" s="307"/>
      <c r="K934" s="307"/>
      <c r="L934" s="307"/>
      <c r="M934" s="307"/>
      <c r="N934" s="307"/>
      <c r="O934" s="307"/>
      <c r="P934" s="307"/>
      <c r="Q934" s="307"/>
      <c r="R934" s="307"/>
      <c r="S934" s="307"/>
      <c r="T934" s="307"/>
      <c r="U934" s="307"/>
      <c r="V934" s="307"/>
      <c r="W934" s="307"/>
      <c r="X934" s="307"/>
      <c r="Y934" s="307"/>
      <c r="Z934" s="307"/>
      <c r="AA934" s="307"/>
      <c r="AB934" s="307"/>
      <c r="AC934" s="307"/>
      <c r="AD934" s="307"/>
      <c r="AE934" s="307"/>
      <c r="AF934" s="307"/>
      <c r="AG934" s="307"/>
      <c r="AH934" s="307"/>
      <c r="AI934" s="307"/>
      <c r="AJ934" s="307"/>
      <c r="AK934" s="307"/>
      <c r="AL934" s="307"/>
      <c r="AM934" s="307"/>
      <c r="AN934" s="307"/>
      <c r="AO934" s="307"/>
      <c r="AP934" s="307"/>
      <c r="AQ934" s="307"/>
      <c r="AR934" s="307"/>
      <c r="AS934" s="307"/>
      <c r="AT934" s="307"/>
      <c r="AU934" s="307"/>
    </row>
    <row r="935" ht="15.75" customHeight="1">
      <c r="A935" s="307"/>
      <c r="B935" s="307"/>
      <c r="C935" s="307"/>
      <c r="D935" s="307"/>
      <c r="E935" s="307"/>
      <c r="F935" s="307"/>
      <c r="G935" s="307"/>
      <c r="H935" s="307"/>
      <c r="I935" s="307"/>
      <c r="J935" s="307"/>
      <c r="K935" s="307"/>
      <c r="L935" s="307"/>
      <c r="M935" s="307"/>
      <c r="N935" s="307"/>
      <c r="O935" s="307"/>
      <c r="P935" s="307"/>
      <c r="Q935" s="307"/>
      <c r="R935" s="307"/>
      <c r="S935" s="307"/>
      <c r="T935" s="307"/>
      <c r="U935" s="307"/>
      <c r="V935" s="307"/>
      <c r="W935" s="307"/>
      <c r="X935" s="307"/>
      <c r="Y935" s="307"/>
      <c r="Z935" s="307"/>
      <c r="AA935" s="307"/>
      <c r="AB935" s="307"/>
      <c r="AC935" s="307"/>
      <c r="AD935" s="307"/>
      <c r="AE935" s="307"/>
      <c r="AF935" s="307"/>
      <c r="AG935" s="307"/>
      <c r="AH935" s="307"/>
      <c r="AI935" s="307"/>
      <c r="AJ935" s="307"/>
      <c r="AK935" s="307"/>
      <c r="AL935" s="307"/>
      <c r="AM935" s="307"/>
      <c r="AN935" s="307"/>
      <c r="AO935" s="307"/>
      <c r="AP935" s="307"/>
      <c r="AQ935" s="307"/>
      <c r="AR935" s="307"/>
      <c r="AS935" s="307"/>
      <c r="AT935" s="307"/>
      <c r="AU935" s="307"/>
    </row>
    <row r="936" ht="15.75" customHeight="1">
      <c r="A936" s="307"/>
      <c r="B936" s="307"/>
      <c r="C936" s="307"/>
      <c r="D936" s="307"/>
      <c r="E936" s="307"/>
      <c r="F936" s="307"/>
      <c r="G936" s="307"/>
      <c r="H936" s="307"/>
      <c r="I936" s="307"/>
      <c r="J936" s="307"/>
      <c r="K936" s="307"/>
      <c r="L936" s="307"/>
      <c r="M936" s="307"/>
      <c r="N936" s="307"/>
      <c r="O936" s="307"/>
      <c r="P936" s="307"/>
      <c r="Q936" s="307"/>
      <c r="R936" s="307"/>
      <c r="S936" s="307"/>
      <c r="T936" s="307"/>
      <c r="U936" s="307"/>
      <c r="V936" s="307"/>
      <c r="W936" s="307"/>
      <c r="X936" s="307"/>
      <c r="Y936" s="307"/>
      <c r="Z936" s="307"/>
      <c r="AA936" s="307"/>
      <c r="AB936" s="307"/>
      <c r="AC936" s="307"/>
      <c r="AD936" s="307"/>
      <c r="AE936" s="307"/>
      <c r="AF936" s="307"/>
      <c r="AG936" s="307"/>
      <c r="AH936" s="307"/>
      <c r="AI936" s="307"/>
      <c r="AJ936" s="307"/>
      <c r="AK936" s="307"/>
      <c r="AL936" s="307"/>
      <c r="AM936" s="307"/>
      <c r="AN936" s="307"/>
      <c r="AO936" s="307"/>
      <c r="AP936" s="307"/>
      <c r="AQ936" s="307"/>
      <c r="AR936" s="307"/>
      <c r="AS936" s="307"/>
      <c r="AT936" s="307"/>
      <c r="AU936" s="307"/>
    </row>
    <row r="937" ht="15.75" customHeight="1">
      <c r="A937" s="307"/>
      <c r="B937" s="307"/>
      <c r="C937" s="307"/>
      <c r="D937" s="307"/>
      <c r="E937" s="307"/>
      <c r="F937" s="307"/>
      <c r="G937" s="307"/>
      <c r="H937" s="307"/>
      <c r="I937" s="307"/>
      <c r="J937" s="307"/>
      <c r="K937" s="307"/>
      <c r="L937" s="307"/>
      <c r="M937" s="307"/>
      <c r="N937" s="307"/>
      <c r="O937" s="307"/>
      <c r="P937" s="307"/>
      <c r="Q937" s="307"/>
      <c r="R937" s="307"/>
      <c r="S937" s="307"/>
      <c r="T937" s="307"/>
      <c r="U937" s="307"/>
      <c r="V937" s="307"/>
      <c r="W937" s="307"/>
      <c r="X937" s="307"/>
      <c r="Y937" s="307"/>
      <c r="Z937" s="307"/>
      <c r="AA937" s="307"/>
      <c r="AB937" s="307"/>
      <c r="AC937" s="307"/>
      <c r="AD937" s="307"/>
      <c r="AE937" s="307"/>
      <c r="AF937" s="307"/>
      <c r="AG937" s="307"/>
      <c r="AH937" s="307"/>
      <c r="AI937" s="307"/>
      <c r="AJ937" s="307"/>
      <c r="AK937" s="307"/>
      <c r="AL937" s="307"/>
      <c r="AM937" s="307"/>
      <c r="AN937" s="307"/>
      <c r="AO937" s="307"/>
      <c r="AP937" s="307"/>
      <c r="AQ937" s="307"/>
      <c r="AR937" s="307"/>
      <c r="AS937" s="307"/>
      <c r="AT937" s="307"/>
      <c r="AU937" s="307"/>
    </row>
    <row r="938" ht="15.75" customHeight="1">
      <c r="A938" s="307"/>
      <c r="B938" s="307"/>
      <c r="C938" s="307"/>
      <c r="D938" s="307"/>
      <c r="E938" s="307"/>
      <c r="F938" s="307"/>
      <c r="G938" s="307"/>
      <c r="H938" s="307"/>
      <c r="I938" s="307"/>
      <c r="J938" s="307"/>
      <c r="K938" s="307"/>
      <c r="L938" s="307"/>
      <c r="M938" s="307"/>
      <c r="N938" s="307"/>
      <c r="O938" s="307"/>
      <c r="P938" s="307"/>
      <c r="Q938" s="307"/>
      <c r="R938" s="307"/>
      <c r="S938" s="307"/>
      <c r="T938" s="307"/>
      <c r="U938" s="307"/>
      <c r="V938" s="307"/>
      <c r="W938" s="307"/>
      <c r="X938" s="307"/>
      <c r="Y938" s="307"/>
      <c r="Z938" s="307"/>
      <c r="AA938" s="307"/>
      <c r="AB938" s="307"/>
      <c r="AC938" s="307"/>
      <c r="AD938" s="307"/>
      <c r="AE938" s="307"/>
      <c r="AF938" s="307"/>
      <c r="AG938" s="307"/>
      <c r="AH938" s="307"/>
      <c r="AI938" s="307"/>
      <c r="AJ938" s="307"/>
      <c r="AK938" s="307"/>
      <c r="AL938" s="307"/>
      <c r="AM938" s="307"/>
      <c r="AN938" s="307"/>
      <c r="AO938" s="307"/>
      <c r="AP938" s="307"/>
      <c r="AQ938" s="307"/>
      <c r="AR938" s="307"/>
      <c r="AS938" s="307"/>
      <c r="AT938" s="307"/>
      <c r="AU938" s="307"/>
    </row>
    <row r="939" ht="15.75" customHeight="1">
      <c r="A939" s="307"/>
      <c r="B939" s="307"/>
      <c r="C939" s="307"/>
      <c r="D939" s="307"/>
      <c r="E939" s="307"/>
      <c r="F939" s="307"/>
      <c r="G939" s="307"/>
      <c r="H939" s="307"/>
      <c r="I939" s="307"/>
      <c r="J939" s="307"/>
      <c r="K939" s="307"/>
      <c r="L939" s="307"/>
      <c r="M939" s="307"/>
      <c r="N939" s="307"/>
      <c r="O939" s="307"/>
      <c r="P939" s="307"/>
      <c r="Q939" s="307"/>
      <c r="R939" s="307"/>
      <c r="S939" s="307"/>
      <c r="T939" s="307"/>
      <c r="U939" s="307"/>
      <c r="V939" s="307"/>
      <c r="W939" s="307"/>
      <c r="X939" s="307"/>
      <c r="Y939" s="307"/>
      <c r="Z939" s="307"/>
      <c r="AA939" s="307"/>
      <c r="AB939" s="307"/>
      <c r="AC939" s="307"/>
      <c r="AD939" s="307"/>
      <c r="AE939" s="307"/>
      <c r="AF939" s="307"/>
      <c r="AG939" s="307"/>
      <c r="AH939" s="307"/>
      <c r="AI939" s="307"/>
      <c r="AJ939" s="307"/>
      <c r="AK939" s="307"/>
      <c r="AL939" s="307"/>
      <c r="AM939" s="307"/>
      <c r="AN939" s="307"/>
      <c r="AO939" s="307"/>
      <c r="AP939" s="307"/>
      <c r="AQ939" s="307"/>
      <c r="AR939" s="307"/>
      <c r="AS939" s="307"/>
      <c r="AT939" s="307"/>
      <c r="AU939" s="307"/>
    </row>
    <row r="940" ht="15.75" customHeight="1">
      <c r="A940" s="307"/>
      <c r="B940" s="307"/>
      <c r="C940" s="307"/>
      <c r="D940" s="307"/>
      <c r="E940" s="307"/>
      <c r="F940" s="307"/>
      <c r="G940" s="307"/>
      <c r="H940" s="307"/>
      <c r="I940" s="307"/>
      <c r="J940" s="307"/>
      <c r="K940" s="307"/>
      <c r="L940" s="307"/>
      <c r="M940" s="307"/>
      <c r="N940" s="307"/>
      <c r="O940" s="307"/>
      <c r="P940" s="307"/>
      <c r="Q940" s="307"/>
      <c r="R940" s="307"/>
      <c r="S940" s="307"/>
      <c r="T940" s="307"/>
      <c r="U940" s="307"/>
      <c r="V940" s="307"/>
      <c r="W940" s="307"/>
      <c r="X940" s="307"/>
      <c r="Y940" s="307"/>
      <c r="Z940" s="307"/>
      <c r="AA940" s="307"/>
      <c r="AB940" s="307"/>
      <c r="AC940" s="307"/>
      <c r="AD940" s="307"/>
      <c r="AE940" s="307"/>
      <c r="AF940" s="307"/>
      <c r="AG940" s="307"/>
      <c r="AH940" s="307"/>
      <c r="AI940" s="307"/>
      <c r="AJ940" s="307"/>
      <c r="AK940" s="307"/>
      <c r="AL940" s="307"/>
      <c r="AM940" s="307"/>
      <c r="AN940" s="307"/>
      <c r="AO940" s="307"/>
      <c r="AP940" s="307"/>
      <c r="AQ940" s="307"/>
      <c r="AR940" s="307"/>
      <c r="AS940" s="307"/>
      <c r="AT940" s="307"/>
      <c r="AU940" s="307"/>
    </row>
    <row r="941" ht="15.75" customHeight="1">
      <c r="A941" s="307"/>
      <c r="B941" s="307"/>
      <c r="C941" s="307"/>
      <c r="D941" s="307"/>
      <c r="E941" s="307"/>
      <c r="F941" s="307"/>
      <c r="G941" s="307"/>
      <c r="H941" s="307"/>
      <c r="I941" s="307"/>
      <c r="J941" s="307"/>
      <c r="K941" s="307"/>
      <c r="L941" s="307"/>
      <c r="M941" s="307"/>
      <c r="N941" s="307"/>
      <c r="O941" s="307"/>
      <c r="P941" s="307"/>
      <c r="Q941" s="307"/>
      <c r="R941" s="307"/>
      <c r="S941" s="307"/>
      <c r="T941" s="307"/>
      <c r="U941" s="307"/>
      <c r="V941" s="307"/>
      <c r="W941" s="307"/>
      <c r="X941" s="307"/>
      <c r="Y941" s="307"/>
      <c r="Z941" s="307"/>
      <c r="AA941" s="307"/>
      <c r="AB941" s="307"/>
      <c r="AC941" s="307"/>
      <c r="AD941" s="307"/>
      <c r="AE941" s="307"/>
      <c r="AF941" s="307"/>
      <c r="AG941" s="307"/>
      <c r="AH941" s="307"/>
      <c r="AI941" s="307"/>
      <c r="AJ941" s="307"/>
      <c r="AK941" s="307"/>
      <c r="AL941" s="307"/>
      <c r="AM941" s="307"/>
      <c r="AN941" s="307"/>
      <c r="AO941" s="307"/>
      <c r="AP941" s="307"/>
      <c r="AQ941" s="307"/>
      <c r="AR941" s="307"/>
      <c r="AS941" s="307"/>
      <c r="AT941" s="307"/>
      <c r="AU941" s="307"/>
    </row>
    <row r="942" ht="15.75" customHeight="1">
      <c r="A942" s="307"/>
      <c r="B942" s="307"/>
      <c r="C942" s="307"/>
      <c r="D942" s="307"/>
      <c r="E942" s="307"/>
      <c r="F942" s="307"/>
      <c r="G942" s="307"/>
      <c r="H942" s="307"/>
      <c r="I942" s="307"/>
      <c r="J942" s="307"/>
      <c r="K942" s="307"/>
      <c r="L942" s="307"/>
      <c r="M942" s="307"/>
      <c r="N942" s="307"/>
      <c r="O942" s="307"/>
      <c r="P942" s="307"/>
      <c r="Q942" s="307"/>
      <c r="R942" s="307"/>
      <c r="S942" s="307"/>
      <c r="T942" s="307"/>
      <c r="U942" s="307"/>
      <c r="V942" s="307"/>
      <c r="W942" s="307"/>
      <c r="X942" s="307"/>
      <c r="Y942" s="307"/>
      <c r="Z942" s="307"/>
      <c r="AA942" s="307"/>
      <c r="AB942" s="307"/>
      <c r="AC942" s="307"/>
      <c r="AD942" s="307"/>
      <c r="AE942" s="307"/>
      <c r="AF942" s="307"/>
      <c r="AG942" s="307"/>
      <c r="AH942" s="307"/>
      <c r="AI942" s="307"/>
      <c r="AJ942" s="307"/>
      <c r="AK942" s="307"/>
      <c r="AL942" s="307"/>
      <c r="AM942" s="307"/>
      <c r="AN942" s="307"/>
      <c r="AO942" s="307"/>
      <c r="AP942" s="307"/>
      <c r="AQ942" s="307"/>
      <c r="AR942" s="307"/>
      <c r="AS942" s="307"/>
      <c r="AT942" s="307"/>
      <c r="AU942" s="307"/>
    </row>
    <row r="943" ht="15.75" customHeight="1">
      <c r="A943" s="307"/>
      <c r="B943" s="307"/>
      <c r="C943" s="307"/>
      <c r="D943" s="307"/>
      <c r="E943" s="307"/>
      <c r="F943" s="307"/>
      <c r="G943" s="307"/>
      <c r="H943" s="307"/>
      <c r="I943" s="307"/>
      <c r="J943" s="307"/>
      <c r="K943" s="307"/>
      <c r="L943" s="307"/>
      <c r="M943" s="307"/>
      <c r="N943" s="307"/>
      <c r="O943" s="307"/>
      <c r="P943" s="307"/>
      <c r="Q943" s="307"/>
      <c r="R943" s="307"/>
      <c r="S943" s="307"/>
      <c r="T943" s="307"/>
      <c r="U943" s="307"/>
      <c r="V943" s="307"/>
      <c r="W943" s="307"/>
      <c r="X943" s="307"/>
      <c r="Y943" s="307"/>
      <c r="Z943" s="307"/>
      <c r="AA943" s="307"/>
      <c r="AB943" s="307"/>
      <c r="AC943" s="307"/>
      <c r="AD943" s="307"/>
      <c r="AE943" s="307"/>
      <c r="AF943" s="307"/>
      <c r="AG943" s="307"/>
      <c r="AH943" s="307"/>
      <c r="AI943" s="307"/>
      <c r="AJ943" s="307"/>
      <c r="AK943" s="307"/>
      <c r="AL943" s="307"/>
      <c r="AM943" s="307"/>
      <c r="AN943" s="307"/>
      <c r="AO943" s="307"/>
      <c r="AP943" s="307"/>
      <c r="AQ943" s="307"/>
      <c r="AR943" s="307"/>
      <c r="AS943" s="307"/>
      <c r="AT943" s="307"/>
      <c r="AU943" s="307"/>
    </row>
    <row r="944" ht="15.75" customHeight="1">
      <c r="A944" s="307"/>
      <c r="B944" s="307"/>
      <c r="C944" s="307"/>
      <c r="D944" s="307"/>
      <c r="E944" s="307"/>
      <c r="F944" s="307"/>
      <c r="G944" s="307"/>
      <c r="H944" s="307"/>
      <c r="I944" s="307"/>
      <c r="J944" s="307"/>
      <c r="K944" s="307"/>
      <c r="L944" s="307"/>
      <c r="M944" s="307"/>
      <c r="N944" s="307"/>
      <c r="O944" s="307"/>
      <c r="P944" s="307"/>
      <c r="Q944" s="307"/>
      <c r="R944" s="307"/>
      <c r="S944" s="307"/>
      <c r="T944" s="307"/>
      <c r="U944" s="307"/>
      <c r="V944" s="307"/>
      <c r="W944" s="307"/>
      <c r="X944" s="307"/>
      <c r="Y944" s="307"/>
      <c r="Z944" s="307"/>
      <c r="AA944" s="307"/>
      <c r="AB944" s="307"/>
      <c r="AC944" s="307"/>
      <c r="AD944" s="307"/>
      <c r="AE944" s="307"/>
      <c r="AF944" s="307"/>
      <c r="AG944" s="307"/>
      <c r="AH944" s="307"/>
      <c r="AI944" s="307"/>
      <c r="AJ944" s="307"/>
      <c r="AK944" s="307"/>
      <c r="AL944" s="307"/>
      <c r="AM944" s="307"/>
      <c r="AN944" s="307"/>
      <c r="AO944" s="307"/>
      <c r="AP944" s="307"/>
      <c r="AQ944" s="307"/>
      <c r="AR944" s="307"/>
      <c r="AS944" s="307"/>
      <c r="AT944" s="307"/>
      <c r="AU944" s="307"/>
    </row>
    <row r="945" ht="15.75" customHeight="1">
      <c r="A945" s="307"/>
      <c r="B945" s="307"/>
      <c r="C945" s="307"/>
      <c r="D945" s="307"/>
      <c r="E945" s="307"/>
      <c r="F945" s="307"/>
      <c r="G945" s="307"/>
      <c r="H945" s="307"/>
      <c r="I945" s="307"/>
      <c r="J945" s="307"/>
      <c r="K945" s="307"/>
      <c r="L945" s="307"/>
      <c r="M945" s="307"/>
      <c r="N945" s="307"/>
      <c r="O945" s="307"/>
      <c r="P945" s="307"/>
      <c r="Q945" s="307"/>
      <c r="R945" s="307"/>
      <c r="S945" s="307"/>
      <c r="T945" s="307"/>
      <c r="U945" s="307"/>
      <c r="V945" s="307"/>
      <c r="W945" s="307"/>
      <c r="X945" s="307"/>
      <c r="Y945" s="307"/>
      <c r="Z945" s="307"/>
      <c r="AA945" s="307"/>
      <c r="AB945" s="307"/>
      <c r="AC945" s="307"/>
      <c r="AD945" s="307"/>
      <c r="AE945" s="307"/>
      <c r="AF945" s="307"/>
      <c r="AG945" s="307"/>
      <c r="AH945" s="307"/>
      <c r="AI945" s="307"/>
      <c r="AJ945" s="307"/>
      <c r="AK945" s="307"/>
      <c r="AL945" s="307"/>
      <c r="AM945" s="307"/>
      <c r="AN945" s="307"/>
      <c r="AO945" s="307"/>
      <c r="AP945" s="307"/>
      <c r="AQ945" s="307"/>
      <c r="AR945" s="307"/>
      <c r="AS945" s="307"/>
      <c r="AT945" s="307"/>
      <c r="AU945" s="307"/>
    </row>
    <row r="946" ht="15.75" customHeight="1">
      <c r="A946" s="307"/>
      <c r="B946" s="307"/>
      <c r="C946" s="307"/>
      <c r="D946" s="307"/>
      <c r="E946" s="307"/>
      <c r="F946" s="307"/>
      <c r="G946" s="307"/>
      <c r="H946" s="307"/>
      <c r="I946" s="307"/>
      <c r="J946" s="307"/>
      <c r="K946" s="307"/>
      <c r="L946" s="307"/>
      <c r="M946" s="307"/>
      <c r="N946" s="307"/>
      <c r="O946" s="307"/>
      <c r="P946" s="307"/>
      <c r="Q946" s="307"/>
      <c r="R946" s="307"/>
      <c r="S946" s="307"/>
      <c r="T946" s="307"/>
      <c r="U946" s="307"/>
      <c r="V946" s="307"/>
      <c r="W946" s="307"/>
      <c r="X946" s="307"/>
      <c r="Y946" s="307"/>
      <c r="Z946" s="307"/>
      <c r="AA946" s="307"/>
      <c r="AB946" s="307"/>
      <c r="AC946" s="307"/>
      <c r="AD946" s="307"/>
      <c r="AE946" s="307"/>
      <c r="AF946" s="307"/>
      <c r="AG946" s="307"/>
      <c r="AH946" s="307"/>
      <c r="AI946" s="307"/>
      <c r="AJ946" s="307"/>
      <c r="AK946" s="307"/>
      <c r="AL946" s="307"/>
      <c r="AM946" s="307"/>
      <c r="AN946" s="307"/>
      <c r="AO946" s="307"/>
      <c r="AP946" s="307"/>
      <c r="AQ946" s="307"/>
      <c r="AR946" s="307"/>
      <c r="AS946" s="307"/>
      <c r="AT946" s="307"/>
      <c r="AU946" s="307"/>
    </row>
    <row r="947" ht="15.75" customHeight="1">
      <c r="A947" s="307"/>
      <c r="B947" s="307"/>
      <c r="C947" s="307"/>
      <c r="D947" s="307"/>
      <c r="E947" s="307"/>
      <c r="F947" s="307"/>
      <c r="G947" s="307"/>
      <c r="H947" s="307"/>
      <c r="I947" s="307"/>
      <c r="J947" s="307"/>
      <c r="K947" s="307"/>
      <c r="L947" s="307"/>
      <c r="M947" s="307"/>
      <c r="N947" s="307"/>
      <c r="O947" s="307"/>
      <c r="P947" s="307"/>
      <c r="Q947" s="307"/>
      <c r="R947" s="307"/>
      <c r="S947" s="307"/>
      <c r="T947" s="307"/>
      <c r="U947" s="307"/>
      <c r="V947" s="307"/>
      <c r="W947" s="307"/>
      <c r="X947" s="307"/>
      <c r="Y947" s="307"/>
      <c r="Z947" s="307"/>
      <c r="AA947" s="307"/>
      <c r="AB947" s="307"/>
      <c r="AC947" s="307"/>
      <c r="AD947" s="307"/>
      <c r="AE947" s="307"/>
      <c r="AF947" s="307"/>
      <c r="AG947" s="307"/>
      <c r="AH947" s="307"/>
      <c r="AI947" s="307"/>
      <c r="AJ947" s="307"/>
      <c r="AK947" s="307"/>
      <c r="AL947" s="307"/>
      <c r="AM947" s="307"/>
      <c r="AN947" s="307"/>
      <c r="AO947" s="307"/>
      <c r="AP947" s="307"/>
      <c r="AQ947" s="307"/>
      <c r="AR947" s="307"/>
      <c r="AS947" s="307"/>
      <c r="AT947" s="307"/>
      <c r="AU947" s="307"/>
    </row>
    <row r="948" ht="15.75" customHeight="1">
      <c r="A948" s="307"/>
      <c r="B948" s="307"/>
      <c r="C948" s="307"/>
      <c r="D948" s="307"/>
      <c r="E948" s="307"/>
      <c r="F948" s="307"/>
      <c r="G948" s="307"/>
      <c r="H948" s="307"/>
      <c r="I948" s="307"/>
      <c r="J948" s="307"/>
      <c r="K948" s="307"/>
      <c r="L948" s="307"/>
      <c r="M948" s="307"/>
      <c r="N948" s="307"/>
      <c r="O948" s="307"/>
      <c r="P948" s="307"/>
      <c r="Q948" s="307"/>
      <c r="R948" s="307"/>
      <c r="S948" s="307"/>
      <c r="T948" s="307"/>
      <c r="U948" s="307"/>
      <c r="V948" s="307"/>
      <c r="W948" s="307"/>
      <c r="X948" s="307"/>
      <c r="Y948" s="307"/>
      <c r="Z948" s="307"/>
      <c r="AA948" s="307"/>
      <c r="AB948" s="307"/>
      <c r="AC948" s="307"/>
      <c r="AD948" s="307"/>
      <c r="AE948" s="307"/>
      <c r="AF948" s="307"/>
      <c r="AG948" s="307"/>
      <c r="AH948" s="307"/>
      <c r="AI948" s="307"/>
      <c r="AJ948" s="307"/>
      <c r="AK948" s="307"/>
      <c r="AL948" s="307"/>
      <c r="AM948" s="307"/>
      <c r="AN948" s="307"/>
      <c r="AO948" s="307"/>
      <c r="AP948" s="307"/>
      <c r="AQ948" s="307"/>
      <c r="AR948" s="307"/>
      <c r="AS948" s="307"/>
      <c r="AT948" s="307"/>
      <c r="AU948" s="307"/>
    </row>
    <row r="949" ht="15.75" customHeight="1">
      <c r="A949" s="307"/>
      <c r="B949" s="307"/>
      <c r="C949" s="307"/>
      <c r="D949" s="307"/>
      <c r="E949" s="307"/>
      <c r="F949" s="307"/>
      <c r="G949" s="307"/>
      <c r="H949" s="307"/>
      <c r="I949" s="307"/>
      <c r="J949" s="307"/>
      <c r="K949" s="307"/>
      <c r="L949" s="307"/>
      <c r="M949" s="307"/>
      <c r="N949" s="307"/>
      <c r="O949" s="307"/>
      <c r="P949" s="307"/>
      <c r="Q949" s="307"/>
      <c r="R949" s="307"/>
      <c r="S949" s="307"/>
      <c r="T949" s="307"/>
      <c r="U949" s="307"/>
      <c r="V949" s="307"/>
      <c r="W949" s="307"/>
      <c r="X949" s="307"/>
      <c r="Y949" s="307"/>
      <c r="Z949" s="307"/>
      <c r="AA949" s="307"/>
      <c r="AB949" s="307"/>
      <c r="AC949" s="307"/>
      <c r="AD949" s="307"/>
      <c r="AE949" s="307"/>
      <c r="AF949" s="307"/>
      <c r="AG949" s="307"/>
      <c r="AH949" s="307"/>
      <c r="AI949" s="307"/>
      <c r="AJ949" s="307"/>
      <c r="AK949" s="307"/>
      <c r="AL949" s="307"/>
      <c r="AM949" s="307"/>
      <c r="AN949" s="307"/>
      <c r="AO949" s="307"/>
      <c r="AP949" s="307"/>
      <c r="AQ949" s="307"/>
      <c r="AR949" s="307"/>
      <c r="AS949" s="307"/>
      <c r="AT949" s="307"/>
      <c r="AU949" s="307"/>
    </row>
    <row r="950" ht="15.75" customHeight="1">
      <c r="A950" s="307"/>
      <c r="B950" s="307"/>
      <c r="C950" s="307"/>
      <c r="D950" s="307"/>
      <c r="E950" s="307"/>
      <c r="F950" s="307"/>
      <c r="G950" s="307"/>
      <c r="H950" s="307"/>
      <c r="I950" s="307"/>
      <c r="J950" s="307"/>
      <c r="K950" s="307"/>
      <c r="L950" s="307"/>
      <c r="M950" s="307"/>
      <c r="N950" s="307"/>
      <c r="O950" s="307"/>
      <c r="P950" s="307"/>
      <c r="Q950" s="307"/>
      <c r="R950" s="307"/>
      <c r="S950" s="307"/>
      <c r="T950" s="307"/>
      <c r="U950" s="307"/>
      <c r="V950" s="307"/>
      <c r="W950" s="307"/>
      <c r="X950" s="307"/>
      <c r="Y950" s="307"/>
      <c r="Z950" s="307"/>
      <c r="AA950" s="307"/>
      <c r="AB950" s="307"/>
      <c r="AC950" s="307"/>
      <c r="AD950" s="307"/>
      <c r="AE950" s="307"/>
      <c r="AF950" s="307"/>
      <c r="AG950" s="307"/>
      <c r="AH950" s="307"/>
      <c r="AI950" s="307"/>
      <c r="AJ950" s="307"/>
      <c r="AK950" s="307"/>
      <c r="AL950" s="307"/>
      <c r="AM950" s="307"/>
      <c r="AN950" s="307"/>
      <c r="AO950" s="307"/>
      <c r="AP950" s="307"/>
      <c r="AQ950" s="307"/>
      <c r="AR950" s="307"/>
      <c r="AS950" s="307"/>
      <c r="AT950" s="307"/>
      <c r="AU950" s="307"/>
    </row>
    <row r="951" ht="15.75" customHeight="1">
      <c r="A951" s="307"/>
      <c r="B951" s="307"/>
      <c r="C951" s="307"/>
      <c r="D951" s="307"/>
      <c r="E951" s="307"/>
      <c r="F951" s="307"/>
      <c r="G951" s="307"/>
      <c r="H951" s="307"/>
      <c r="I951" s="307"/>
      <c r="J951" s="307"/>
      <c r="K951" s="307"/>
      <c r="L951" s="307"/>
      <c r="M951" s="307"/>
      <c r="N951" s="307"/>
      <c r="O951" s="307"/>
      <c r="P951" s="307"/>
      <c r="Q951" s="307"/>
      <c r="R951" s="307"/>
      <c r="S951" s="307"/>
      <c r="T951" s="307"/>
      <c r="U951" s="307"/>
      <c r="V951" s="307"/>
      <c r="W951" s="307"/>
      <c r="X951" s="307"/>
      <c r="Y951" s="307"/>
      <c r="Z951" s="307"/>
      <c r="AA951" s="307"/>
      <c r="AB951" s="307"/>
      <c r="AC951" s="307"/>
      <c r="AD951" s="307"/>
      <c r="AE951" s="307"/>
      <c r="AF951" s="307"/>
      <c r="AG951" s="307"/>
      <c r="AH951" s="307"/>
      <c r="AI951" s="307"/>
      <c r="AJ951" s="307"/>
      <c r="AK951" s="307"/>
      <c r="AL951" s="307"/>
      <c r="AM951" s="307"/>
      <c r="AN951" s="307"/>
      <c r="AO951" s="307"/>
      <c r="AP951" s="307"/>
      <c r="AQ951" s="307"/>
      <c r="AR951" s="307"/>
      <c r="AS951" s="307"/>
      <c r="AT951" s="307"/>
      <c r="AU951" s="307"/>
    </row>
    <row r="952" ht="15.75" customHeight="1">
      <c r="A952" s="307"/>
      <c r="B952" s="307"/>
      <c r="C952" s="307"/>
      <c r="D952" s="307"/>
      <c r="E952" s="307"/>
      <c r="F952" s="307"/>
      <c r="G952" s="307"/>
      <c r="H952" s="307"/>
      <c r="I952" s="307"/>
      <c r="J952" s="307"/>
      <c r="K952" s="307"/>
      <c r="L952" s="307"/>
      <c r="M952" s="307"/>
      <c r="N952" s="307"/>
      <c r="O952" s="307"/>
      <c r="P952" s="307"/>
      <c r="Q952" s="307"/>
      <c r="R952" s="307"/>
      <c r="S952" s="307"/>
      <c r="T952" s="307"/>
      <c r="U952" s="307"/>
      <c r="V952" s="307"/>
      <c r="W952" s="307"/>
      <c r="X952" s="307"/>
      <c r="Y952" s="307"/>
      <c r="Z952" s="307"/>
      <c r="AA952" s="307"/>
      <c r="AB952" s="307"/>
      <c r="AC952" s="307"/>
      <c r="AD952" s="307"/>
      <c r="AE952" s="307"/>
      <c r="AF952" s="307"/>
      <c r="AG952" s="307"/>
      <c r="AH952" s="307"/>
      <c r="AI952" s="307"/>
      <c r="AJ952" s="307"/>
      <c r="AK952" s="307"/>
      <c r="AL952" s="307"/>
      <c r="AM952" s="307"/>
      <c r="AN952" s="307"/>
      <c r="AO952" s="307"/>
      <c r="AP952" s="307"/>
      <c r="AQ952" s="307"/>
      <c r="AR952" s="307"/>
      <c r="AS952" s="307"/>
      <c r="AT952" s="307"/>
      <c r="AU952" s="307"/>
    </row>
    <row r="953" ht="15.75" customHeight="1">
      <c r="A953" s="307"/>
      <c r="B953" s="307"/>
      <c r="C953" s="307"/>
      <c r="D953" s="307"/>
      <c r="E953" s="307"/>
      <c r="F953" s="307"/>
      <c r="G953" s="307"/>
      <c r="H953" s="307"/>
      <c r="I953" s="307"/>
      <c r="J953" s="307"/>
      <c r="K953" s="307"/>
      <c r="L953" s="307"/>
      <c r="M953" s="307"/>
      <c r="N953" s="307"/>
      <c r="O953" s="307"/>
      <c r="P953" s="307"/>
      <c r="Q953" s="307"/>
      <c r="R953" s="307"/>
      <c r="S953" s="307"/>
      <c r="T953" s="307"/>
      <c r="U953" s="307"/>
      <c r="V953" s="307"/>
      <c r="W953" s="307"/>
      <c r="X953" s="307"/>
      <c r="Y953" s="307"/>
      <c r="Z953" s="307"/>
      <c r="AA953" s="307"/>
      <c r="AB953" s="307"/>
      <c r="AC953" s="307"/>
      <c r="AD953" s="307"/>
      <c r="AE953" s="307"/>
      <c r="AF953" s="307"/>
      <c r="AG953" s="307"/>
      <c r="AH953" s="307"/>
      <c r="AI953" s="307"/>
      <c r="AJ953" s="307"/>
      <c r="AK953" s="307"/>
      <c r="AL953" s="307"/>
      <c r="AM953" s="307"/>
      <c r="AN953" s="307"/>
      <c r="AO953" s="307"/>
      <c r="AP953" s="307"/>
      <c r="AQ953" s="307"/>
      <c r="AR953" s="307"/>
      <c r="AS953" s="307"/>
      <c r="AT953" s="307"/>
      <c r="AU953" s="307"/>
    </row>
    <row r="954" ht="15.75" customHeight="1">
      <c r="A954" s="307"/>
      <c r="B954" s="307"/>
      <c r="C954" s="307"/>
      <c r="D954" s="307"/>
      <c r="E954" s="307"/>
      <c r="F954" s="307"/>
      <c r="G954" s="307"/>
      <c r="H954" s="307"/>
      <c r="I954" s="307"/>
      <c r="J954" s="307"/>
      <c r="K954" s="307"/>
      <c r="L954" s="307"/>
      <c r="M954" s="307"/>
      <c r="N954" s="307"/>
      <c r="O954" s="307"/>
      <c r="P954" s="307"/>
      <c r="Q954" s="307"/>
      <c r="R954" s="307"/>
      <c r="S954" s="307"/>
      <c r="T954" s="307"/>
      <c r="U954" s="307"/>
      <c r="V954" s="307"/>
      <c r="W954" s="307"/>
      <c r="X954" s="307"/>
      <c r="Y954" s="307"/>
      <c r="Z954" s="307"/>
      <c r="AA954" s="307"/>
      <c r="AB954" s="307"/>
      <c r="AC954" s="307"/>
      <c r="AD954" s="307"/>
      <c r="AE954" s="307"/>
      <c r="AF954" s="307"/>
      <c r="AG954" s="307"/>
      <c r="AH954" s="307"/>
      <c r="AI954" s="307"/>
      <c r="AJ954" s="307"/>
      <c r="AK954" s="307"/>
      <c r="AL954" s="307"/>
      <c r="AM954" s="307"/>
      <c r="AN954" s="307"/>
      <c r="AO954" s="307"/>
      <c r="AP954" s="307"/>
      <c r="AQ954" s="307"/>
      <c r="AR954" s="307"/>
      <c r="AS954" s="307"/>
      <c r="AT954" s="307"/>
      <c r="AU954" s="307"/>
    </row>
    <row r="955" ht="15.75" customHeight="1">
      <c r="A955" s="307"/>
      <c r="B955" s="307"/>
      <c r="C955" s="307"/>
      <c r="D955" s="307"/>
      <c r="E955" s="307"/>
      <c r="F955" s="307"/>
      <c r="G955" s="307"/>
      <c r="H955" s="307"/>
      <c r="I955" s="307"/>
      <c r="J955" s="307"/>
      <c r="K955" s="307"/>
      <c r="L955" s="307"/>
      <c r="M955" s="307"/>
      <c r="N955" s="307"/>
      <c r="O955" s="307"/>
      <c r="P955" s="307"/>
      <c r="Q955" s="307"/>
      <c r="R955" s="307"/>
      <c r="S955" s="307"/>
      <c r="T955" s="307"/>
      <c r="U955" s="307"/>
      <c r="V955" s="307"/>
      <c r="W955" s="307"/>
      <c r="X955" s="307"/>
      <c r="Y955" s="307"/>
      <c r="Z955" s="307"/>
      <c r="AA955" s="307"/>
      <c r="AB955" s="307"/>
      <c r="AC955" s="307"/>
      <c r="AD955" s="307"/>
      <c r="AE955" s="307"/>
      <c r="AF955" s="307"/>
      <c r="AG955" s="307"/>
      <c r="AH955" s="307"/>
      <c r="AI955" s="307"/>
      <c r="AJ955" s="307"/>
      <c r="AK955" s="307"/>
      <c r="AL955" s="307"/>
      <c r="AM955" s="307"/>
      <c r="AN955" s="307"/>
      <c r="AO955" s="307"/>
      <c r="AP955" s="307"/>
      <c r="AQ955" s="307"/>
      <c r="AR955" s="307"/>
      <c r="AS955" s="307"/>
      <c r="AT955" s="307"/>
      <c r="AU955" s="307"/>
    </row>
    <row r="956" ht="15.75" customHeight="1">
      <c r="A956" s="307"/>
      <c r="B956" s="307"/>
      <c r="C956" s="307"/>
      <c r="D956" s="307"/>
      <c r="E956" s="307"/>
      <c r="F956" s="307"/>
      <c r="G956" s="307"/>
      <c r="H956" s="307"/>
      <c r="I956" s="307"/>
      <c r="J956" s="307"/>
      <c r="K956" s="307"/>
      <c r="L956" s="307"/>
      <c r="M956" s="307"/>
      <c r="N956" s="307"/>
      <c r="O956" s="307"/>
      <c r="P956" s="307"/>
      <c r="Q956" s="307"/>
      <c r="R956" s="307"/>
      <c r="S956" s="307"/>
      <c r="T956" s="307"/>
      <c r="U956" s="307"/>
      <c r="V956" s="307"/>
      <c r="W956" s="307"/>
      <c r="X956" s="307"/>
      <c r="Y956" s="307"/>
      <c r="Z956" s="307"/>
      <c r="AA956" s="307"/>
      <c r="AB956" s="307"/>
      <c r="AC956" s="307"/>
      <c r="AD956" s="307"/>
      <c r="AE956" s="307"/>
      <c r="AF956" s="307"/>
      <c r="AG956" s="307"/>
      <c r="AH956" s="307"/>
      <c r="AI956" s="307"/>
      <c r="AJ956" s="307"/>
      <c r="AK956" s="307"/>
      <c r="AL956" s="307"/>
      <c r="AM956" s="307"/>
      <c r="AN956" s="307"/>
      <c r="AO956" s="307"/>
      <c r="AP956" s="307"/>
      <c r="AQ956" s="307"/>
      <c r="AR956" s="307"/>
      <c r="AS956" s="307"/>
      <c r="AT956" s="307"/>
      <c r="AU956" s="307"/>
    </row>
    <row r="957" ht="15.75" customHeight="1">
      <c r="A957" s="307"/>
      <c r="B957" s="307"/>
      <c r="C957" s="307"/>
      <c r="D957" s="307"/>
      <c r="E957" s="307"/>
      <c r="F957" s="307"/>
      <c r="G957" s="307"/>
      <c r="H957" s="307"/>
      <c r="I957" s="307"/>
      <c r="J957" s="307"/>
      <c r="K957" s="307"/>
      <c r="L957" s="307"/>
      <c r="M957" s="307"/>
      <c r="N957" s="307"/>
      <c r="O957" s="307"/>
      <c r="P957" s="307"/>
      <c r="Q957" s="307"/>
      <c r="R957" s="307"/>
      <c r="S957" s="307"/>
      <c r="T957" s="307"/>
      <c r="U957" s="307"/>
      <c r="V957" s="307"/>
      <c r="W957" s="307"/>
      <c r="X957" s="307"/>
      <c r="Y957" s="307"/>
      <c r="Z957" s="307"/>
      <c r="AA957" s="307"/>
      <c r="AB957" s="307"/>
      <c r="AC957" s="307"/>
      <c r="AD957" s="307"/>
      <c r="AE957" s="307"/>
      <c r="AF957" s="307"/>
      <c r="AG957" s="307"/>
      <c r="AH957" s="307"/>
      <c r="AI957" s="307"/>
      <c r="AJ957" s="307"/>
      <c r="AK957" s="307"/>
      <c r="AL957" s="307"/>
      <c r="AM957" s="307"/>
      <c r="AN957" s="307"/>
      <c r="AO957" s="307"/>
      <c r="AP957" s="307"/>
      <c r="AQ957" s="307"/>
      <c r="AR957" s="307"/>
      <c r="AS957" s="307"/>
      <c r="AT957" s="307"/>
      <c r="AU957" s="307"/>
    </row>
    <row r="958" ht="15.75" customHeight="1">
      <c r="A958" s="307"/>
      <c r="B958" s="307"/>
      <c r="C958" s="307"/>
      <c r="D958" s="307"/>
      <c r="E958" s="307"/>
      <c r="F958" s="307"/>
      <c r="G958" s="307"/>
      <c r="H958" s="307"/>
      <c r="I958" s="307"/>
      <c r="J958" s="307"/>
      <c r="K958" s="307"/>
      <c r="L958" s="307"/>
      <c r="M958" s="307"/>
      <c r="N958" s="307"/>
      <c r="O958" s="307"/>
      <c r="P958" s="307"/>
      <c r="Q958" s="307"/>
      <c r="R958" s="307"/>
      <c r="S958" s="307"/>
      <c r="T958" s="307"/>
      <c r="U958" s="307"/>
      <c r="V958" s="307"/>
      <c r="W958" s="307"/>
      <c r="X958" s="307"/>
      <c r="Y958" s="307"/>
      <c r="Z958" s="307"/>
      <c r="AA958" s="307"/>
      <c r="AB958" s="307"/>
      <c r="AC958" s="307"/>
      <c r="AD958" s="307"/>
      <c r="AE958" s="307"/>
      <c r="AF958" s="307"/>
      <c r="AG958" s="307"/>
      <c r="AH958" s="307"/>
      <c r="AI958" s="307"/>
      <c r="AJ958" s="307"/>
      <c r="AK958" s="307"/>
      <c r="AL958" s="307"/>
      <c r="AM958" s="307"/>
      <c r="AN958" s="307"/>
      <c r="AO958" s="307"/>
      <c r="AP958" s="307"/>
      <c r="AQ958" s="307"/>
      <c r="AR958" s="307"/>
      <c r="AS958" s="307"/>
      <c r="AT958" s="307"/>
      <c r="AU958" s="307"/>
    </row>
    <row r="959" ht="15.75" customHeight="1">
      <c r="A959" s="307"/>
      <c r="B959" s="307"/>
      <c r="C959" s="307"/>
      <c r="D959" s="307"/>
      <c r="E959" s="307"/>
      <c r="F959" s="307"/>
      <c r="G959" s="307"/>
      <c r="H959" s="307"/>
      <c r="I959" s="307"/>
      <c r="J959" s="307"/>
      <c r="K959" s="307"/>
      <c r="L959" s="307"/>
      <c r="M959" s="307"/>
      <c r="N959" s="307"/>
      <c r="O959" s="307"/>
      <c r="P959" s="307"/>
      <c r="Q959" s="307"/>
      <c r="R959" s="307"/>
      <c r="S959" s="307"/>
      <c r="T959" s="307"/>
      <c r="U959" s="307"/>
      <c r="V959" s="307"/>
      <c r="W959" s="307"/>
      <c r="X959" s="307"/>
      <c r="Y959" s="307"/>
      <c r="Z959" s="307"/>
      <c r="AA959" s="307"/>
      <c r="AB959" s="307"/>
      <c r="AC959" s="307"/>
      <c r="AD959" s="307"/>
      <c r="AE959" s="307"/>
      <c r="AF959" s="307"/>
      <c r="AG959" s="307"/>
      <c r="AH959" s="307"/>
      <c r="AI959" s="307"/>
      <c r="AJ959" s="307"/>
      <c r="AK959" s="307"/>
      <c r="AL959" s="307"/>
      <c r="AM959" s="307"/>
      <c r="AN959" s="307"/>
      <c r="AO959" s="307"/>
      <c r="AP959" s="307"/>
      <c r="AQ959" s="307"/>
      <c r="AR959" s="307"/>
      <c r="AS959" s="307"/>
      <c r="AT959" s="307"/>
      <c r="AU959" s="307"/>
    </row>
    <row r="960" ht="15.75" customHeight="1">
      <c r="A960" s="307"/>
      <c r="B960" s="307"/>
      <c r="C960" s="307"/>
      <c r="D960" s="307"/>
      <c r="E960" s="307"/>
      <c r="F960" s="307"/>
      <c r="G960" s="307"/>
      <c r="H960" s="307"/>
      <c r="I960" s="307"/>
      <c r="J960" s="307"/>
      <c r="K960" s="307"/>
      <c r="L960" s="307"/>
      <c r="M960" s="307"/>
      <c r="N960" s="307"/>
      <c r="O960" s="307"/>
      <c r="P960" s="307"/>
      <c r="Q960" s="307"/>
      <c r="R960" s="307"/>
      <c r="S960" s="307"/>
      <c r="T960" s="307"/>
      <c r="U960" s="307"/>
      <c r="V960" s="307"/>
      <c r="W960" s="307"/>
      <c r="X960" s="307"/>
      <c r="Y960" s="307"/>
      <c r="Z960" s="307"/>
      <c r="AA960" s="307"/>
      <c r="AB960" s="307"/>
      <c r="AC960" s="307"/>
      <c r="AD960" s="307"/>
      <c r="AE960" s="307"/>
      <c r="AF960" s="307"/>
      <c r="AG960" s="307"/>
      <c r="AH960" s="307"/>
      <c r="AI960" s="307"/>
      <c r="AJ960" s="307"/>
      <c r="AK960" s="307"/>
      <c r="AL960" s="307"/>
      <c r="AM960" s="307"/>
      <c r="AN960" s="307"/>
      <c r="AO960" s="307"/>
      <c r="AP960" s="307"/>
      <c r="AQ960" s="307"/>
      <c r="AR960" s="307"/>
      <c r="AS960" s="307"/>
      <c r="AT960" s="307"/>
      <c r="AU960" s="307"/>
    </row>
    <row r="961" ht="15.75" customHeight="1">
      <c r="A961" s="307"/>
      <c r="B961" s="307"/>
      <c r="C961" s="307"/>
      <c r="D961" s="307"/>
      <c r="E961" s="307"/>
      <c r="F961" s="307"/>
      <c r="G961" s="307"/>
      <c r="H961" s="307"/>
      <c r="I961" s="307"/>
      <c r="J961" s="307"/>
      <c r="K961" s="307"/>
      <c r="L961" s="307"/>
      <c r="M961" s="307"/>
      <c r="N961" s="307"/>
      <c r="O961" s="307"/>
      <c r="P961" s="307"/>
      <c r="Q961" s="307"/>
      <c r="R961" s="307"/>
      <c r="S961" s="307"/>
      <c r="T961" s="307"/>
      <c r="U961" s="307"/>
      <c r="V961" s="307"/>
      <c r="W961" s="307"/>
      <c r="X961" s="307"/>
      <c r="Y961" s="307"/>
      <c r="Z961" s="307"/>
      <c r="AA961" s="307"/>
      <c r="AB961" s="307"/>
      <c r="AC961" s="307"/>
      <c r="AD961" s="307"/>
      <c r="AE961" s="307"/>
      <c r="AF961" s="307"/>
      <c r="AG961" s="307"/>
      <c r="AH961" s="307"/>
      <c r="AI961" s="307"/>
      <c r="AJ961" s="307"/>
      <c r="AK961" s="307"/>
      <c r="AL961" s="307"/>
      <c r="AM961" s="307"/>
      <c r="AN961" s="307"/>
      <c r="AO961" s="307"/>
      <c r="AP961" s="307"/>
      <c r="AQ961" s="307"/>
      <c r="AR961" s="307"/>
      <c r="AS961" s="307"/>
      <c r="AT961" s="307"/>
      <c r="AU961" s="307"/>
    </row>
    <row r="962" ht="15.75" customHeight="1">
      <c r="A962" s="307"/>
      <c r="B962" s="307"/>
      <c r="C962" s="307"/>
      <c r="D962" s="307"/>
      <c r="E962" s="307"/>
      <c r="F962" s="307"/>
      <c r="G962" s="307"/>
      <c r="H962" s="307"/>
      <c r="I962" s="307"/>
      <c r="J962" s="307"/>
      <c r="K962" s="307"/>
      <c r="L962" s="307"/>
      <c r="M962" s="307"/>
      <c r="N962" s="307"/>
      <c r="O962" s="307"/>
      <c r="P962" s="307"/>
      <c r="Q962" s="307"/>
      <c r="R962" s="307"/>
      <c r="S962" s="307"/>
      <c r="T962" s="307"/>
      <c r="U962" s="307"/>
      <c r="V962" s="307"/>
      <c r="W962" s="307"/>
      <c r="X962" s="307"/>
      <c r="Y962" s="307"/>
      <c r="Z962" s="307"/>
      <c r="AA962" s="307"/>
      <c r="AB962" s="307"/>
      <c r="AC962" s="307"/>
      <c r="AD962" s="307"/>
      <c r="AE962" s="307"/>
      <c r="AF962" s="307"/>
      <c r="AG962" s="307"/>
      <c r="AH962" s="307"/>
      <c r="AI962" s="307"/>
      <c r="AJ962" s="307"/>
      <c r="AK962" s="307"/>
      <c r="AL962" s="307"/>
      <c r="AM962" s="307"/>
      <c r="AN962" s="307"/>
      <c r="AO962" s="307"/>
      <c r="AP962" s="307"/>
      <c r="AQ962" s="307"/>
      <c r="AR962" s="307"/>
      <c r="AS962" s="307"/>
      <c r="AT962" s="307"/>
      <c r="AU962" s="307"/>
    </row>
    <row r="963" ht="15.75" customHeight="1">
      <c r="A963" s="307"/>
      <c r="B963" s="307"/>
      <c r="C963" s="307"/>
      <c r="D963" s="307"/>
      <c r="E963" s="307"/>
      <c r="F963" s="307"/>
      <c r="G963" s="307"/>
      <c r="H963" s="307"/>
      <c r="I963" s="307"/>
      <c r="J963" s="307"/>
      <c r="K963" s="307"/>
      <c r="L963" s="307"/>
      <c r="M963" s="307"/>
      <c r="N963" s="307"/>
      <c r="O963" s="307"/>
      <c r="P963" s="307"/>
      <c r="Q963" s="307"/>
      <c r="R963" s="307"/>
      <c r="S963" s="307"/>
      <c r="T963" s="307"/>
      <c r="U963" s="307"/>
      <c r="V963" s="307"/>
      <c r="W963" s="307"/>
      <c r="X963" s="307"/>
      <c r="Y963" s="307"/>
      <c r="Z963" s="307"/>
      <c r="AA963" s="307"/>
      <c r="AB963" s="307"/>
      <c r="AC963" s="307"/>
      <c r="AD963" s="307"/>
      <c r="AE963" s="307"/>
      <c r="AF963" s="307"/>
      <c r="AG963" s="307"/>
      <c r="AH963" s="307"/>
      <c r="AI963" s="307"/>
      <c r="AJ963" s="307"/>
      <c r="AK963" s="307"/>
      <c r="AL963" s="307"/>
      <c r="AM963" s="307"/>
      <c r="AN963" s="307"/>
      <c r="AO963" s="307"/>
      <c r="AP963" s="307"/>
      <c r="AQ963" s="307"/>
      <c r="AR963" s="307"/>
      <c r="AS963" s="307"/>
      <c r="AT963" s="307"/>
      <c r="AU963" s="307"/>
    </row>
    <row r="964" ht="15.75" customHeight="1">
      <c r="A964" s="307"/>
      <c r="B964" s="307"/>
      <c r="C964" s="307"/>
      <c r="D964" s="307"/>
      <c r="E964" s="307"/>
      <c r="F964" s="307"/>
      <c r="G964" s="307"/>
      <c r="H964" s="307"/>
      <c r="I964" s="307"/>
      <c r="J964" s="307"/>
      <c r="K964" s="307"/>
      <c r="L964" s="307"/>
      <c r="M964" s="307"/>
      <c r="N964" s="307"/>
      <c r="O964" s="307"/>
      <c r="P964" s="307"/>
      <c r="Q964" s="307"/>
      <c r="R964" s="307"/>
      <c r="S964" s="307"/>
      <c r="T964" s="307"/>
      <c r="U964" s="307"/>
      <c r="V964" s="307"/>
      <c r="W964" s="307"/>
      <c r="X964" s="307"/>
      <c r="Y964" s="307"/>
      <c r="Z964" s="307"/>
      <c r="AA964" s="307"/>
      <c r="AB964" s="307"/>
      <c r="AC964" s="307"/>
      <c r="AD964" s="307"/>
      <c r="AE964" s="307"/>
      <c r="AF964" s="307"/>
      <c r="AG964" s="307"/>
      <c r="AH964" s="307"/>
      <c r="AI964" s="307"/>
      <c r="AJ964" s="307"/>
      <c r="AK964" s="307"/>
      <c r="AL964" s="307"/>
      <c r="AM964" s="307"/>
      <c r="AN964" s="307"/>
      <c r="AO964" s="307"/>
      <c r="AP964" s="307"/>
      <c r="AQ964" s="307"/>
      <c r="AR964" s="307"/>
      <c r="AS964" s="307"/>
      <c r="AT964" s="307"/>
      <c r="AU964" s="307"/>
    </row>
    <row r="965" ht="15.75" customHeight="1">
      <c r="A965" s="307"/>
      <c r="B965" s="307"/>
      <c r="C965" s="307"/>
      <c r="D965" s="307"/>
      <c r="E965" s="307"/>
      <c r="F965" s="307"/>
      <c r="G965" s="307"/>
      <c r="H965" s="307"/>
      <c r="I965" s="307"/>
      <c r="J965" s="307"/>
      <c r="K965" s="307"/>
      <c r="L965" s="307"/>
      <c r="M965" s="307"/>
      <c r="N965" s="307"/>
      <c r="O965" s="307"/>
      <c r="P965" s="307"/>
      <c r="Q965" s="307"/>
      <c r="R965" s="307"/>
      <c r="S965" s="307"/>
      <c r="T965" s="307"/>
      <c r="U965" s="307"/>
      <c r="V965" s="307"/>
      <c r="W965" s="307"/>
      <c r="X965" s="307"/>
      <c r="Y965" s="307"/>
      <c r="Z965" s="307"/>
      <c r="AA965" s="307"/>
      <c r="AB965" s="307"/>
      <c r="AC965" s="307"/>
      <c r="AD965" s="307"/>
      <c r="AE965" s="307"/>
      <c r="AF965" s="307"/>
      <c r="AG965" s="307"/>
      <c r="AH965" s="307"/>
      <c r="AI965" s="307"/>
      <c r="AJ965" s="307"/>
      <c r="AK965" s="307"/>
      <c r="AL965" s="307"/>
      <c r="AM965" s="307"/>
      <c r="AN965" s="307"/>
      <c r="AO965" s="307"/>
      <c r="AP965" s="307"/>
      <c r="AQ965" s="307"/>
      <c r="AR965" s="307"/>
      <c r="AS965" s="307"/>
      <c r="AT965" s="307"/>
      <c r="AU965" s="307"/>
    </row>
    <row r="966" ht="15.75" customHeight="1">
      <c r="A966" s="307"/>
      <c r="B966" s="307"/>
      <c r="C966" s="307"/>
      <c r="D966" s="307"/>
      <c r="E966" s="307"/>
      <c r="F966" s="307"/>
      <c r="G966" s="307"/>
      <c r="H966" s="307"/>
      <c r="I966" s="307"/>
      <c r="J966" s="307"/>
      <c r="K966" s="307"/>
      <c r="L966" s="307"/>
      <c r="M966" s="307"/>
      <c r="N966" s="307"/>
      <c r="O966" s="307"/>
      <c r="P966" s="307"/>
      <c r="Q966" s="307"/>
      <c r="R966" s="307"/>
      <c r="S966" s="307"/>
      <c r="T966" s="307"/>
      <c r="U966" s="307"/>
      <c r="V966" s="307"/>
      <c r="W966" s="307"/>
      <c r="X966" s="307"/>
      <c r="Y966" s="307"/>
      <c r="Z966" s="307"/>
      <c r="AA966" s="307"/>
      <c r="AB966" s="307"/>
      <c r="AC966" s="307"/>
      <c r="AD966" s="307"/>
      <c r="AE966" s="307"/>
      <c r="AF966" s="307"/>
      <c r="AG966" s="307"/>
      <c r="AH966" s="307"/>
      <c r="AI966" s="307"/>
      <c r="AJ966" s="307"/>
      <c r="AK966" s="307"/>
      <c r="AL966" s="307"/>
      <c r="AM966" s="307"/>
      <c r="AN966" s="307"/>
      <c r="AO966" s="307"/>
      <c r="AP966" s="307"/>
      <c r="AQ966" s="307"/>
      <c r="AR966" s="307"/>
      <c r="AS966" s="307"/>
      <c r="AT966" s="307"/>
      <c r="AU966" s="307"/>
    </row>
    <row r="967" ht="15.75" customHeight="1">
      <c r="A967" s="307"/>
      <c r="B967" s="307"/>
      <c r="C967" s="307"/>
      <c r="D967" s="307"/>
      <c r="E967" s="307"/>
      <c r="F967" s="307"/>
      <c r="G967" s="307"/>
      <c r="H967" s="307"/>
      <c r="I967" s="307"/>
      <c r="J967" s="307"/>
      <c r="K967" s="307"/>
      <c r="L967" s="307"/>
      <c r="M967" s="307"/>
      <c r="N967" s="307"/>
      <c r="O967" s="307"/>
      <c r="P967" s="307"/>
      <c r="Q967" s="307"/>
      <c r="R967" s="307"/>
      <c r="S967" s="307"/>
      <c r="T967" s="307"/>
      <c r="U967" s="307"/>
      <c r="V967" s="307"/>
      <c r="W967" s="307"/>
      <c r="X967" s="307"/>
      <c r="Y967" s="307"/>
      <c r="Z967" s="307"/>
      <c r="AA967" s="307"/>
      <c r="AB967" s="307"/>
      <c r="AC967" s="307"/>
      <c r="AD967" s="307"/>
      <c r="AE967" s="307"/>
      <c r="AF967" s="307"/>
      <c r="AG967" s="307"/>
      <c r="AH967" s="307"/>
      <c r="AI967" s="307"/>
      <c r="AJ967" s="307"/>
      <c r="AK967" s="307"/>
      <c r="AL967" s="307"/>
      <c r="AM967" s="307"/>
      <c r="AN967" s="307"/>
      <c r="AO967" s="307"/>
      <c r="AP967" s="307"/>
      <c r="AQ967" s="307"/>
      <c r="AR967" s="307"/>
      <c r="AS967" s="307"/>
      <c r="AT967" s="307"/>
      <c r="AU967" s="307"/>
    </row>
    <row r="968" ht="15.75" customHeight="1">
      <c r="A968" s="307"/>
      <c r="B968" s="307"/>
      <c r="C968" s="307"/>
      <c r="D968" s="307"/>
      <c r="E968" s="307"/>
      <c r="F968" s="307"/>
      <c r="G968" s="307"/>
      <c r="H968" s="307"/>
      <c r="I968" s="307"/>
      <c r="J968" s="307"/>
      <c r="K968" s="307"/>
      <c r="L968" s="307"/>
      <c r="M968" s="307"/>
      <c r="N968" s="307"/>
      <c r="O968" s="307"/>
      <c r="P968" s="307"/>
      <c r="Q968" s="307"/>
      <c r="R968" s="307"/>
      <c r="S968" s="307"/>
      <c r="T968" s="307"/>
      <c r="U968" s="307"/>
      <c r="V968" s="307"/>
      <c r="W968" s="307"/>
      <c r="X968" s="307"/>
      <c r="Y968" s="307"/>
      <c r="Z968" s="307"/>
      <c r="AA968" s="307"/>
      <c r="AB968" s="307"/>
      <c r="AC968" s="307"/>
      <c r="AD968" s="307"/>
      <c r="AE968" s="307"/>
      <c r="AF968" s="307"/>
      <c r="AG968" s="307"/>
      <c r="AH968" s="307"/>
      <c r="AI968" s="307"/>
      <c r="AJ968" s="307"/>
      <c r="AK968" s="307"/>
      <c r="AL968" s="307"/>
      <c r="AM968" s="307"/>
      <c r="AN968" s="307"/>
      <c r="AO968" s="307"/>
      <c r="AP968" s="307"/>
      <c r="AQ968" s="307"/>
      <c r="AR968" s="307"/>
      <c r="AS968" s="307"/>
      <c r="AT968" s="307"/>
      <c r="AU968" s="307"/>
    </row>
    <row r="969" ht="15.75" customHeight="1">
      <c r="A969" s="307"/>
      <c r="B969" s="307"/>
      <c r="C969" s="307"/>
      <c r="D969" s="307"/>
      <c r="E969" s="307"/>
      <c r="F969" s="307"/>
      <c r="G969" s="307"/>
      <c r="H969" s="307"/>
      <c r="I969" s="307"/>
      <c r="J969" s="307"/>
      <c r="K969" s="307"/>
      <c r="L969" s="307"/>
      <c r="M969" s="307"/>
      <c r="N969" s="307"/>
      <c r="O969" s="307"/>
      <c r="P969" s="307"/>
      <c r="Q969" s="307"/>
      <c r="R969" s="307"/>
      <c r="S969" s="307"/>
      <c r="T969" s="307"/>
      <c r="U969" s="307"/>
      <c r="V969" s="307"/>
      <c r="W969" s="307"/>
      <c r="X969" s="307"/>
      <c r="Y969" s="307"/>
      <c r="Z969" s="307"/>
      <c r="AA969" s="307"/>
      <c r="AB969" s="307"/>
      <c r="AC969" s="307"/>
      <c r="AD969" s="307"/>
      <c r="AE969" s="307"/>
      <c r="AF969" s="307"/>
      <c r="AG969" s="307"/>
      <c r="AH969" s="307"/>
      <c r="AI969" s="307"/>
      <c r="AJ969" s="307"/>
      <c r="AK969" s="307"/>
      <c r="AL969" s="307"/>
      <c r="AM969" s="307"/>
      <c r="AN969" s="307"/>
      <c r="AO969" s="307"/>
      <c r="AP969" s="307"/>
      <c r="AQ969" s="307"/>
      <c r="AR969" s="307"/>
      <c r="AS969" s="307"/>
      <c r="AT969" s="307"/>
      <c r="AU969" s="307"/>
    </row>
    <row r="970" ht="15.75" customHeight="1">
      <c r="A970" s="307"/>
      <c r="B970" s="307"/>
      <c r="C970" s="307"/>
      <c r="D970" s="307"/>
      <c r="E970" s="307"/>
      <c r="F970" s="307"/>
      <c r="G970" s="307"/>
      <c r="H970" s="307"/>
      <c r="I970" s="307"/>
      <c r="J970" s="307"/>
      <c r="K970" s="307"/>
      <c r="L970" s="307"/>
      <c r="M970" s="307"/>
      <c r="N970" s="307"/>
      <c r="O970" s="307"/>
      <c r="P970" s="307"/>
      <c r="Q970" s="307"/>
      <c r="R970" s="307"/>
      <c r="S970" s="307"/>
      <c r="T970" s="307"/>
      <c r="U970" s="307"/>
      <c r="V970" s="307"/>
      <c r="W970" s="307"/>
      <c r="X970" s="307"/>
      <c r="Y970" s="307"/>
      <c r="Z970" s="307"/>
      <c r="AA970" s="307"/>
      <c r="AB970" s="307"/>
      <c r="AC970" s="307"/>
      <c r="AD970" s="307"/>
      <c r="AE970" s="307"/>
      <c r="AF970" s="307"/>
      <c r="AG970" s="307"/>
      <c r="AH970" s="307"/>
      <c r="AI970" s="307"/>
      <c r="AJ970" s="307"/>
      <c r="AK970" s="307"/>
      <c r="AL970" s="307"/>
      <c r="AM970" s="307"/>
      <c r="AN970" s="307"/>
      <c r="AO970" s="307"/>
      <c r="AP970" s="307"/>
      <c r="AQ970" s="307"/>
      <c r="AR970" s="307"/>
      <c r="AS970" s="307"/>
      <c r="AT970" s="307"/>
      <c r="AU970" s="307"/>
    </row>
    <row r="971" ht="15.75" customHeight="1">
      <c r="A971" s="307"/>
      <c r="B971" s="307"/>
      <c r="C971" s="307"/>
      <c r="D971" s="307"/>
      <c r="E971" s="307"/>
      <c r="F971" s="307"/>
      <c r="G971" s="307"/>
      <c r="H971" s="307"/>
      <c r="I971" s="307"/>
      <c r="J971" s="307"/>
      <c r="K971" s="307"/>
      <c r="L971" s="307"/>
      <c r="M971" s="307"/>
      <c r="N971" s="307"/>
      <c r="O971" s="307"/>
      <c r="P971" s="307"/>
      <c r="Q971" s="307"/>
      <c r="R971" s="307"/>
      <c r="S971" s="307"/>
      <c r="T971" s="307"/>
      <c r="U971" s="307"/>
      <c r="V971" s="307"/>
      <c r="W971" s="307"/>
      <c r="X971" s="307"/>
      <c r="Y971" s="307"/>
      <c r="Z971" s="307"/>
      <c r="AA971" s="307"/>
      <c r="AB971" s="307"/>
      <c r="AC971" s="307"/>
      <c r="AD971" s="307"/>
      <c r="AE971" s="307"/>
      <c r="AF971" s="307"/>
      <c r="AG971" s="307"/>
      <c r="AH971" s="307"/>
      <c r="AI971" s="307"/>
      <c r="AJ971" s="307"/>
      <c r="AK971" s="307"/>
      <c r="AL971" s="307"/>
      <c r="AM971" s="307"/>
      <c r="AN971" s="307"/>
      <c r="AO971" s="307"/>
      <c r="AP971" s="307"/>
      <c r="AQ971" s="307"/>
      <c r="AR971" s="307"/>
      <c r="AS971" s="307"/>
      <c r="AT971" s="307"/>
      <c r="AU971" s="307"/>
    </row>
    <row r="972" ht="15.75" customHeight="1">
      <c r="A972" s="307"/>
      <c r="B972" s="307"/>
      <c r="C972" s="307"/>
      <c r="D972" s="307"/>
      <c r="E972" s="307"/>
      <c r="F972" s="307"/>
      <c r="G972" s="307"/>
      <c r="H972" s="307"/>
      <c r="I972" s="307"/>
      <c r="J972" s="307"/>
      <c r="K972" s="307"/>
      <c r="L972" s="307"/>
      <c r="M972" s="307"/>
      <c r="N972" s="307"/>
      <c r="O972" s="307"/>
      <c r="P972" s="307"/>
      <c r="Q972" s="307"/>
      <c r="R972" s="307"/>
      <c r="S972" s="307"/>
      <c r="T972" s="307"/>
      <c r="U972" s="307"/>
      <c r="V972" s="307"/>
      <c r="W972" s="307"/>
      <c r="X972" s="307"/>
      <c r="Y972" s="307"/>
      <c r="Z972" s="307"/>
      <c r="AA972" s="307"/>
      <c r="AB972" s="307"/>
      <c r="AC972" s="307"/>
      <c r="AD972" s="307"/>
      <c r="AE972" s="307"/>
      <c r="AF972" s="307"/>
      <c r="AG972" s="307"/>
      <c r="AH972" s="307"/>
      <c r="AI972" s="307"/>
      <c r="AJ972" s="307"/>
      <c r="AK972" s="307"/>
      <c r="AL972" s="307"/>
      <c r="AM972" s="307"/>
      <c r="AN972" s="307"/>
      <c r="AO972" s="307"/>
      <c r="AP972" s="307"/>
      <c r="AQ972" s="307"/>
      <c r="AR972" s="307"/>
      <c r="AS972" s="307"/>
      <c r="AT972" s="307"/>
      <c r="AU972" s="307"/>
    </row>
    <row r="973" ht="15.75" customHeight="1">
      <c r="A973" s="307"/>
      <c r="B973" s="307"/>
      <c r="C973" s="307"/>
      <c r="D973" s="307"/>
      <c r="E973" s="307"/>
      <c r="F973" s="307"/>
      <c r="G973" s="307"/>
      <c r="H973" s="307"/>
      <c r="I973" s="307"/>
      <c r="J973" s="307"/>
      <c r="K973" s="307"/>
      <c r="L973" s="307"/>
      <c r="M973" s="307"/>
      <c r="N973" s="307"/>
      <c r="O973" s="307"/>
      <c r="P973" s="307"/>
      <c r="Q973" s="307"/>
      <c r="R973" s="307"/>
      <c r="S973" s="307"/>
      <c r="T973" s="307"/>
      <c r="U973" s="307"/>
      <c r="V973" s="307"/>
      <c r="W973" s="307"/>
      <c r="X973" s="307"/>
      <c r="Y973" s="307"/>
      <c r="Z973" s="307"/>
      <c r="AA973" s="307"/>
      <c r="AB973" s="307"/>
      <c r="AC973" s="307"/>
      <c r="AD973" s="307"/>
      <c r="AE973" s="307"/>
      <c r="AF973" s="307"/>
      <c r="AG973" s="307"/>
      <c r="AH973" s="307"/>
      <c r="AI973" s="307"/>
      <c r="AJ973" s="307"/>
      <c r="AK973" s="307"/>
      <c r="AL973" s="307"/>
      <c r="AM973" s="307"/>
      <c r="AN973" s="307"/>
      <c r="AO973" s="307"/>
      <c r="AP973" s="307"/>
      <c r="AQ973" s="307"/>
      <c r="AR973" s="307"/>
      <c r="AS973" s="307"/>
      <c r="AT973" s="307"/>
      <c r="AU973" s="307"/>
    </row>
    <row r="974" ht="15.75" customHeight="1">
      <c r="A974" s="307"/>
      <c r="B974" s="307"/>
      <c r="C974" s="307"/>
      <c r="D974" s="307"/>
      <c r="E974" s="307"/>
      <c r="F974" s="307"/>
      <c r="G974" s="307"/>
      <c r="H974" s="307"/>
      <c r="I974" s="307"/>
      <c r="J974" s="307"/>
      <c r="K974" s="307"/>
      <c r="L974" s="307"/>
      <c r="M974" s="307"/>
      <c r="N974" s="307"/>
      <c r="O974" s="307"/>
      <c r="P974" s="307"/>
      <c r="Q974" s="307"/>
      <c r="R974" s="307"/>
      <c r="S974" s="307"/>
      <c r="T974" s="307"/>
      <c r="U974" s="307"/>
      <c r="V974" s="307"/>
      <c r="W974" s="307"/>
      <c r="X974" s="307"/>
      <c r="Y974" s="307"/>
      <c r="Z974" s="307"/>
      <c r="AA974" s="307"/>
      <c r="AB974" s="307"/>
      <c r="AC974" s="307"/>
      <c r="AD974" s="307"/>
      <c r="AE974" s="307"/>
      <c r="AF974" s="307"/>
      <c r="AG974" s="307"/>
      <c r="AH974" s="307"/>
      <c r="AI974" s="307"/>
      <c r="AJ974" s="307"/>
      <c r="AK974" s="307"/>
      <c r="AL974" s="307"/>
      <c r="AM974" s="307"/>
      <c r="AN974" s="307"/>
      <c r="AO974" s="307"/>
      <c r="AP974" s="307"/>
      <c r="AQ974" s="307"/>
      <c r="AR974" s="307"/>
      <c r="AS974" s="307"/>
      <c r="AT974" s="307"/>
      <c r="AU974" s="307"/>
    </row>
    <row r="975" ht="15.75" customHeight="1">
      <c r="A975" s="307"/>
      <c r="B975" s="307"/>
      <c r="C975" s="307"/>
      <c r="D975" s="307"/>
      <c r="E975" s="307"/>
      <c r="F975" s="307"/>
      <c r="G975" s="307"/>
      <c r="H975" s="307"/>
      <c r="I975" s="307"/>
      <c r="J975" s="307"/>
      <c r="K975" s="307"/>
      <c r="L975" s="307"/>
      <c r="M975" s="307"/>
      <c r="N975" s="307"/>
      <c r="O975" s="307"/>
      <c r="P975" s="307"/>
      <c r="Q975" s="307"/>
      <c r="R975" s="307"/>
      <c r="S975" s="307"/>
      <c r="T975" s="307"/>
      <c r="U975" s="307"/>
      <c r="V975" s="307"/>
      <c r="W975" s="307"/>
      <c r="X975" s="307"/>
      <c r="Y975" s="307"/>
      <c r="Z975" s="307"/>
      <c r="AA975" s="307"/>
      <c r="AB975" s="307"/>
      <c r="AC975" s="307"/>
      <c r="AD975" s="307"/>
      <c r="AE975" s="307"/>
      <c r="AF975" s="307"/>
      <c r="AG975" s="307"/>
      <c r="AH975" s="307"/>
      <c r="AI975" s="307"/>
      <c r="AJ975" s="307"/>
      <c r="AK975" s="307"/>
      <c r="AL975" s="307"/>
      <c r="AM975" s="307"/>
      <c r="AN975" s="307"/>
      <c r="AO975" s="307"/>
      <c r="AP975" s="307"/>
      <c r="AQ975" s="307"/>
      <c r="AR975" s="307"/>
      <c r="AS975" s="307"/>
      <c r="AT975" s="307"/>
      <c r="AU975" s="307"/>
    </row>
    <row r="976" ht="15.75" customHeight="1">
      <c r="A976" s="307"/>
      <c r="B976" s="307"/>
      <c r="C976" s="307"/>
      <c r="D976" s="307"/>
      <c r="E976" s="307"/>
      <c r="F976" s="307"/>
      <c r="G976" s="307"/>
      <c r="H976" s="307"/>
      <c r="I976" s="307"/>
      <c r="J976" s="307"/>
      <c r="K976" s="307"/>
      <c r="L976" s="307"/>
      <c r="M976" s="307"/>
      <c r="N976" s="307"/>
      <c r="O976" s="307"/>
      <c r="P976" s="307"/>
      <c r="Q976" s="307"/>
      <c r="R976" s="307"/>
      <c r="S976" s="307"/>
      <c r="T976" s="307"/>
      <c r="U976" s="307"/>
      <c r="V976" s="307"/>
      <c r="W976" s="307"/>
      <c r="X976" s="307"/>
      <c r="Y976" s="307"/>
      <c r="Z976" s="307"/>
      <c r="AA976" s="307"/>
      <c r="AB976" s="307"/>
      <c r="AC976" s="307"/>
      <c r="AD976" s="307"/>
      <c r="AE976" s="307"/>
      <c r="AF976" s="307"/>
      <c r="AG976" s="307"/>
      <c r="AH976" s="307"/>
      <c r="AI976" s="307"/>
      <c r="AJ976" s="307"/>
      <c r="AK976" s="307"/>
      <c r="AL976" s="307"/>
      <c r="AM976" s="307"/>
      <c r="AN976" s="307"/>
      <c r="AO976" s="307"/>
      <c r="AP976" s="307"/>
      <c r="AQ976" s="307"/>
      <c r="AR976" s="307"/>
      <c r="AS976" s="307"/>
      <c r="AT976" s="307"/>
      <c r="AU976" s="307"/>
    </row>
    <row r="977" ht="15.75" customHeight="1">
      <c r="A977" s="307"/>
      <c r="B977" s="307"/>
      <c r="C977" s="307"/>
      <c r="D977" s="307"/>
      <c r="E977" s="307"/>
      <c r="F977" s="307"/>
      <c r="G977" s="307"/>
      <c r="H977" s="307"/>
      <c r="I977" s="307"/>
      <c r="J977" s="307"/>
      <c r="K977" s="307"/>
      <c r="L977" s="307"/>
      <c r="M977" s="307"/>
      <c r="N977" s="307"/>
      <c r="O977" s="307"/>
      <c r="P977" s="307"/>
      <c r="Q977" s="307"/>
      <c r="R977" s="307"/>
      <c r="S977" s="307"/>
      <c r="T977" s="307"/>
      <c r="U977" s="307"/>
      <c r="V977" s="307"/>
      <c r="W977" s="307"/>
      <c r="X977" s="307"/>
      <c r="Y977" s="307"/>
      <c r="Z977" s="307"/>
      <c r="AA977" s="307"/>
      <c r="AB977" s="307"/>
      <c r="AC977" s="307"/>
      <c r="AD977" s="307"/>
      <c r="AE977" s="307"/>
      <c r="AF977" s="307"/>
      <c r="AG977" s="307"/>
      <c r="AH977" s="307"/>
      <c r="AI977" s="307"/>
      <c r="AJ977" s="307"/>
      <c r="AK977" s="307"/>
      <c r="AL977" s="307"/>
      <c r="AM977" s="307"/>
      <c r="AN977" s="307"/>
      <c r="AO977" s="307"/>
      <c r="AP977" s="307"/>
      <c r="AQ977" s="307"/>
      <c r="AR977" s="307"/>
      <c r="AS977" s="307"/>
      <c r="AT977" s="307"/>
      <c r="AU977" s="307"/>
    </row>
    <row r="978" ht="15.75" customHeight="1">
      <c r="A978" s="307"/>
      <c r="B978" s="307"/>
      <c r="C978" s="307"/>
      <c r="D978" s="307"/>
      <c r="E978" s="307"/>
      <c r="F978" s="307"/>
      <c r="G978" s="307"/>
      <c r="H978" s="307"/>
      <c r="I978" s="307"/>
      <c r="J978" s="307"/>
      <c r="K978" s="307"/>
      <c r="L978" s="307"/>
      <c r="M978" s="307"/>
      <c r="N978" s="307"/>
      <c r="O978" s="307"/>
      <c r="P978" s="307"/>
      <c r="Q978" s="307"/>
      <c r="R978" s="307"/>
      <c r="S978" s="307"/>
      <c r="T978" s="307"/>
      <c r="U978" s="307"/>
      <c r="V978" s="307"/>
      <c r="W978" s="307"/>
      <c r="X978" s="307"/>
      <c r="Y978" s="307"/>
      <c r="Z978" s="307"/>
      <c r="AA978" s="307"/>
      <c r="AB978" s="307"/>
      <c r="AC978" s="307"/>
      <c r="AD978" s="307"/>
      <c r="AE978" s="307"/>
      <c r="AF978" s="307"/>
      <c r="AG978" s="307"/>
      <c r="AH978" s="307"/>
      <c r="AI978" s="307"/>
      <c r="AJ978" s="307"/>
      <c r="AK978" s="307"/>
      <c r="AL978" s="307"/>
      <c r="AM978" s="307"/>
      <c r="AN978" s="307"/>
      <c r="AO978" s="307"/>
      <c r="AP978" s="307"/>
      <c r="AQ978" s="307"/>
      <c r="AR978" s="307"/>
      <c r="AS978" s="307"/>
      <c r="AT978" s="307"/>
      <c r="AU978" s="307"/>
    </row>
    <row r="979" ht="15.75" customHeight="1">
      <c r="A979" s="307"/>
      <c r="B979" s="307"/>
      <c r="C979" s="307"/>
      <c r="D979" s="307"/>
      <c r="E979" s="307"/>
      <c r="F979" s="307"/>
      <c r="G979" s="307"/>
      <c r="H979" s="307"/>
      <c r="I979" s="307"/>
      <c r="J979" s="307"/>
      <c r="K979" s="307"/>
      <c r="L979" s="307"/>
      <c r="M979" s="307"/>
      <c r="N979" s="307"/>
      <c r="O979" s="307"/>
      <c r="P979" s="307"/>
      <c r="Q979" s="307"/>
      <c r="R979" s="307"/>
      <c r="S979" s="307"/>
      <c r="T979" s="307"/>
      <c r="U979" s="307"/>
      <c r="V979" s="307"/>
      <c r="W979" s="307"/>
      <c r="X979" s="307"/>
      <c r="Y979" s="307"/>
      <c r="Z979" s="307"/>
      <c r="AA979" s="307"/>
      <c r="AB979" s="307"/>
      <c r="AC979" s="307"/>
      <c r="AD979" s="307"/>
      <c r="AE979" s="307"/>
      <c r="AF979" s="307"/>
      <c r="AG979" s="307"/>
      <c r="AH979" s="307"/>
      <c r="AI979" s="307"/>
      <c r="AJ979" s="307"/>
      <c r="AK979" s="307"/>
      <c r="AL979" s="307"/>
      <c r="AM979" s="307"/>
      <c r="AN979" s="307"/>
      <c r="AO979" s="307"/>
      <c r="AP979" s="307"/>
      <c r="AQ979" s="307"/>
      <c r="AR979" s="307"/>
      <c r="AS979" s="307"/>
      <c r="AT979" s="307"/>
      <c r="AU979" s="307"/>
    </row>
    <row r="980" ht="15.75" customHeight="1">
      <c r="A980" s="307"/>
      <c r="B980" s="307"/>
      <c r="C980" s="307"/>
      <c r="D980" s="307"/>
      <c r="E980" s="307"/>
      <c r="F980" s="307"/>
      <c r="G980" s="307"/>
      <c r="H980" s="307"/>
      <c r="I980" s="307"/>
      <c r="J980" s="307"/>
      <c r="K980" s="307"/>
      <c r="L980" s="307"/>
      <c r="M980" s="307"/>
      <c r="N980" s="307"/>
      <c r="O980" s="307"/>
      <c r="P980" s="307"/>
      <c r="Q980" s="307"/>
      <c r="R980" s="307"/>
      <c r="S980" s="307"/>
      <c r="T980" s="307"/>
      <c r="U980" s="307"/>
      <c r="V980" s="307"/>
      <c r="W980" s="307"/>
      <c r="X980" s="307"/>
      <c r="Y980" s="307"/>
      <c r="Z980" s="307"/>
      <c r="AA980" s="307"/>
      <c r="AB980" s="307"/>
      <c r="AC980" s="307"/>
      <c r="AD980" s="307"/>
      <c r="AE980" s="307"/>
      <c r="AF980" s="307"/>
      <c r="AG980" s="307"/>
      <c r="AH980" s="307"/>
      <c r="AI980" s="307"/>
      <c r="AJ980" s="307"/>
      <c r="AK980" s="307"/>
      <c r="AL980" s="307"/>
      <c r="AM980" s="307"/>
      <c r="AN980" s="307"/>
      <c r="AO980" s="307"/>
      <c r="AP980" s="307"/>
      <c r="AQ980" s="307"/>
      <c r="AR980" s="307"/>
      <c r="AS980" s="307"/>
      <c r="AT980" s="307"/>
      <c r="AU980" s="307"/>
    </row>
    <row r="981" ht="15.75" customHeight="1">
      <c r="A981" s="307"/>
      <c r="B981" s="307"/>
      <c r="C981" s="307"/>
      <c r="D981" s="307"/>
      <c r="E981" s="307"/>
      <c r="F981" s="307"/>
      <c r="G981" s="307"/>
      <c r="H981" s="307"/>
      <c r="I981" s="307"/>
      <c r="J981" s="307"/>
      <c r="K981" s="307"/>
      <c r="L981" s="307"/>
      <c r="M981" s="307"/>
      <c r="N981" s="307"/>
      <c r="O981" s="307"/>
      <c r="P981" s="307"/>
      <c r="Q981" s="307"/>
      <c r="R981" s="307"/>
      <c r="S981" s="307"/>
      <c r="T981" s="307"/>
      <c r="U981" s="307"/>
      <c r="V981" s="307"/>
      <c r="W981" s="307"/>
      <c r="X981" s="307"/>
      <c r="Y981" s="307"/>
      <c r="Z981" s="307"/>
      <c r="AA981" s="307"/>
      <c r="AB981" s="307"/>
      <c r="AC981" s="307"/>
      <c r="AD981" s="307"/>
      <c r="AE981" s="307"/>
      <c r="AF981" s="307"/>
      <c r="AG981" s="307"/>
      <c r="AH981" s="307"/>
      <c r="AI981" s="307"/>
      <c r="AJ981" s="307"/>
      <c r="AK981" s="307"/>
      <c r="AL981" s="307"/>
      <c r="AM981" s="307"/>
      <c r="AN981" s="307"/>
      <c r="AO981" s="307"/>
      <c r="AP981" s="307"/>
      <c r="AQ981" s="307"/>
      <c r="AR981" s="307"/>
      <c r="AS981" s="307"/>
      <c r="AT981" s="307"/>
      <c r="AU981" s="307"/>
    </row>
    <row r="982" ht="15.75" customHeight="1">
      <c r="A982" s="307"/>
      <c r="B982" s="307"/>
      <c r="C982" s="307"/>
      <c r="D982" s="307"/>
      <c r="E982" s="307"/>
      <c r="F982" s="307"/>
      <c r="G982" s="307"/>
      <c r="H982" s="307"/>
      <c r="I982" s="307"/>
      <c r="J982" s="307"/>
      <c r="K982" s="307"/>
      <c r="L982" s="307"/>
      <c r="M982" s="307"/>
      <c r="N982" s="307"/>
      <c r="O982" s="307"/>
      <c r="P982" s="307"/>
      <c r="Q982" s="307"/>
      <c r="R982" s="307"/>
      <c r="S982" s="307"/>
      <c r="T982" s="307"/>
      <c r="U982" s="307"/>
      <c r="V982" s="307"/>
      <c r="W982" s="307"/>
      <c r="X982" s="307"/>
      <c r="Y982" s="307"/>
      <c r="Z982" s="307"/>
      <c r="AA982" s="307"/>
      <c r="AB982" s="307"/>
      <c r="AC982" s="307"/>
      <c r="AD982" s="307"/>
      <c r="AE982" s="307"/>
      <c r="AF982" s="307"/>
      <c r="AG982" s="307"/>
      <c r="AH982" s="307"/>
      <c r="AI982" s="307"/>
      <c r="AJ982" s="307"/>
      <c r="AK982" s="307"/>
      <c r="AL982" s="307"/>
      <c r="AM982" s="307"/>
      <c r="AN982" s="307"/>
      <c r="AO982" s="307"/>
      <c r="AP982" s="307"/>
      <c r="AQ982" s="307"/>
      <c r="AR982" s="307"/>
      <c r="AS982" s="307"/>
      <c r="AT982" s="307"/>
      <c r="AU982" s="307"/>
    </row>
    <row r="983" ht="15.75" customHeight="1">
      <c r="A983" s="307"/>
      <c r="B983" s="307"/>
      <c r="C983" s="307"/>
      <c r="D983" s="307"/>
      <c r="E983" s="307"/>
      <c r="F983" s="307"/>
      <c r="G983" s="307"/>
      <c r="H983" s="307"/>
      <c r="I983" s="307"/>
      <c r="J983" s="307"/>
      <c r="K983" s="307"/>
      <c r="L983" s="307"/>
      <c r="M983" s="307"/>
      <c r="N983" s="307"/>
      <c r="O983" s="307"/>
      <c r="P983" s="307"/>
      <c r="Q983" s="307"/>
      <c r="R983" s="307"/>
      <c r="S983" s="307"/>
      <c r="T983" s="307"/>
      <c r="U983" s="307"/>
      <c r="V983" s="307"/>
      <c r="W983" s="307"/>
      <c r="X983" s="307"/>
      <c r="Y983" s="307"/>
      <c r="Z983" s="307"/>
      <c r="AA983" s="307"/>
      <c r="AB983" s="307"/>
      <c r="AC983" s="307"/>
      <c r="AD983" s="307"/>
      <c r="AE983" s="307"/>
      <c r="AF983" s="307"/>
      <c r="AG983" s="307"/>
      <c r="AH983" s="307"/>
      <c r="AI983" s="307"/>
      <c r="AJ983" s="307"/>
      <c r="AK983" s="307"/>
      <c r="AL983" s="307"/>
      <c r="AM983" s="307"/>
      <c r="AN983" s="307"/>
      <c r="AO983" s="307"/>
      <c r="AP983" s="307"/>
      <c r="AQ983" s="307"/>
      <c r="AR983" s="307"/>
      <c r="AS983" s="307"/>
      <c r="AT983" s="307"/>
      <c r="AU983" s="307"/>
    </row>
    <row r="984" ht="15.75" customHeight="1">
      <c r="A984" s="307"/>
      <c r="B984" s="307"/>
      <c r="C984" s="307"/>
      <c r="D984" s="307"/>
      <c r="E984" s="307"/>
      <c r="F984" s="307"/>
      <c r="G984" s="307"/>
      <c r="H984" s="307"/>
      <c r="I984" s="307"/>
      <c r="J984" s="307"/>
      <c r="K984" s="307"/>
      <c r="L984" s="307"/>
      <c r="M984" s="307"/>
      <c r="N984" s="307"/>
      <c r="O984" s="307"/>
      <c r="P984" s="307"/>
      <c r="Q984" s="307"/>
      <c r="R984" s="307"/>
      <c r="S984" s="307"/>
      <c r="T984" s="307"/>
      <c r="U984" s="307"/>
      <c r="V984" s="307"/>
      <c r="W984" s="307"/>
      <c r="X984" s="307"/>
      <c r="Y984" s="307"/>
      <c r="Z984" s="307"/>
      <c r="AA984" s="307"/>
      <c r="AB984" s="307"/>
      <c r="AC984" s="307"/>
      <c r="AD984" s="307"/>
      <c r="AF984" s="307"/>
      <c r="AG984" s="307"/>
      <c r="AH984" s="307"/>
      <c r="AI984" s="307"/>
      <c r="AJ984" s="307"/>
      <c r="AK984" s="307"/>
      <c r="AL984" s="307"/>
      <c r="AM984" s="307"/>
      <c r="AN984" s="307"/>
      <c r="AO984" s="307"/>
      <c r="AP984" s="307"/>
      <c r="AQ984" s="307"/>
      <c r="AR984" s="307"/>
      <c r="AS984" s="307"/>
      <c r="AT984" s="307"/>
      <c r="AU984" s="307"/>
    </row>
    <row r="985" ht="15.75" customHeight="1">
      <c r="A985" s="307"/>
      <c r="B985" s="307"/>
      <c r="C985" s="307"/>
      <c r="D985" s="307"/>
      <c r="E985" s="307"/>
      <c r="F985" s="307"/>
      <c r="G985" s="307"/>
      <c r="H985" s="307"/>
      <c r="I985" s="307"/>
      <c r="J985" s="307"/>
      <c r="K985" s="307"/>
      <c r="L985" s="307"/>
      <c r="M985" s="307"/>
      <c r="N985" s="307"/>
      <c r="O985" s="307"/>
      <c r="P985" s="307"/>
      <c r="Q985" s="307"/>
      <c r="R985" s="307"/>
      <c r="S985" s="307"/>
      <c r="T985" s="307"/>
      <c r="U985" s="307"/>
      <c r="V985" s="307"/>
      <c r="W985" s="307"/>
      <c r="X985" s="307"/>
      <c r="Y985" s="307"/>
      <c r="Z985" s="307"/>
      <c r="AA985" s="307"/>
      <c r="AB985" s="307"/>
      <c r="AC985" s="307"/>
      <c r="AD985" s="307"/>
      <c r="AF985" s="307"/>
      <c r="AG985" s="307"/>
      <c r="AH985" s="307"/>
      <c r="AI985" s="307"/>
      <c r="AJ985" s="307"/>
      <c r="AK985" s="307"/>
      <c r="AL985" s="307"/>
      <c r="AM985" s="307"/>
      <c r="AN985" s="307"/>
      <c r="AO985" s="307"/>
      <c r="AP985" s="307"/>
      <c r="AQ985" s="307"/>
      <c r="AR985" s="307"/>
      <c r="AS985" s="307"/>
      <c r="AT985" s="307"/>
      <c r="AU985" s="307"/>
    </row>
    <row r="986" ht="15.75" customHeight="1">
      <c r="A986" s="307"/>
      <c r="B986" s="307"/>
      <c r="C986" s="307"/>
      <c r="D986" s="307"/>
      <c r="E986" s="307"/>
      <c r="F986" s="307"/>
      <c r="G986" s="307"/>
      <c r="H986" s="307"/>
      <c r="I986" s="307"/>
      <c r="J986" s="307"/>
      <c r="K986" s="307"/>
      <c r="L986" s="307"/>
      <c r="M986" s="307"/>
      <c r="N986" s="307"/>
      <c r="O986" s="307"/>
      <c r="P986" s="307"/>
      <c r="Q986" s="307"/>
      <c r="R986" s="307"/>
      <c r="S986" s="307"/>
      <c r="T986" s="307"/>
      <c r="U986" s="307"/>
      <c r="V986" s="307"/>
      <c r="W986" s="307"/>
      <c r="X986" s="307"/>
      <c r="Y986" s="307"/>
      <c r="Z986" s="307"/>
      <c r="AA986" s="307"/>
      <c r="AB986" s="307"/>
      <c r="AC986" s="307"/>
      <c r="AD986" s="307"/>
      <c r="AF986" s="307"/>
      <c r="AG986" s="307"/>
      <c r="AH986" s="307"/>
      <c r="AI986" s="307"/>
      <c r="AJ986" s="307"/>
      <c r="AK986" s="307"/>
      <c r="AL986" s="307"/>
      <c r="AM986" s="307"/>
      <c r="AN986" s="307"/>
      <c r="AO986" s="307"/>
      <c r="AP986" s="307"/>
      <c r="AQ986" s="307"/>
      <c r="AR986" s="307"/>
      <c r="AS986" s="307"/>
      <c r="AT986" s="307"/>
      <c r="AU986" s="307"/>
    </row>
    <row r="987" ht="15.75" customHeight="1">
      <c r="A987" s="307"/>
      <c r="B987" s="307"/>
      <c r="C987" s="307"/>
      <c r="D987" s="307"/>
      <c r="E987" s="307"/>
      <c r="F987" s="307"/>
      <c r="G987" s="307"/>
      <c r="H987" s="307"/>
      <c r="I987" s="307"/>
      <c r="J987" s="307"/>
      <c r="K987" s="307"/>
      <c r="L987" s="307"/>
      <c r="M987" s="307"/>
      <c r="N987" s="307"/>
      <c r="O987" s="307"/>
      <c r="P987" s="307"/>
      <c r="Q987" s="307"/>
      <c r="R987" s="307"/>
      <c r="S987" s="307"/>
      <c r="T987" s="307"/>
      <c r="U987" s="307"/>
      <c r="V987" s="307"/>
      <c r="W987" s="307"/>
      <c r="X987" s="307"/>
      <c r="Y987" s="307"/>
      <c r="Z987" s="307"/>
      <c r="AA987" s="307"/>
      <c r="AB987" s="307"/>
      <c r="AC987" s="307"/>
      <c r="AD987" s="307"/>
      <c r="AF987" s="307"/>
      <c r="AG987" s="307"/>
      <c r="AH987" s="307"/>
      <c r="AI987" s="307"/>
      <c r="AJ987" s="307"/>
      <c r="AK987" s="307"/>
      <c r="AL987" s="307"/>
      <c r="AM987" s="307"/>
      <c r="AN987" s="307"/>
      <c r="AO987" s="307"/>
      <c r="AP987" s="307"/>
      <c r="AQ987" s="307"/>
      <c r="AR987" s="307"/>
      <c r="AS987" s="307"/>
      <c r="AT987" s="307"/>
      <c r="AU987" s="307"/>
    </row>
    <row r="988" ht="15.75" customHeight="1">
      <c r="A988" s="307"/>
      <c r="B988" s="307"/>
      <c r="C988" s="307"/>
      <c r="D988" s="307"/>
      <c r="E988" s="307"/>
      <c r="F988" s="307"/>
      <c r="G988" s="307"/>
      <c r="H988" s="307"/>
      <c r="I988" s="307"/>
      <c r="J988" s="307"/>
      <c r="K988" s="307"/>
      <c r="L988" s="307"/>
      <c r="M988" s="307"/>
      <c r="N988" s="307"/>
      <c r="O988" s="307"/>
      <c r="P988" s="307"/>
      <c r="Q988" s="307"/>
      <c r="R988" s="307"/>
      <c r="S988" s="307"/>
      <c r="T988" s="307"/>
      <c r="U988" s="307"/>
      <c r="V988" s="307"/>
      <c r="W988" s="307"/>
      <c r="X988" s="307"/>
      <c r="Y988" s="307"/>
      <c r="Z988" s="307"/>
      <c r="AA988" s="307"/>
      <c r="AB988" s="307"/>
      <c r="AC988" s="307"/>
      <c r="AD988" s="307"/>
      <c r="AF988" s="307"/>
      <c r="AG988" s="307"/>
      <c r="AH988" s="307"/>
      <c r="AI988" s="307"/>
      <c r="AJ988" s="307"/>
      <c r="AK988" s="307"/>
      <c r="AL988" s="307"/>
      <c r="AM988" s="307"/>
      <c r="AN988" s="307"/>
      <c r="AO988" s="307"/>
      <c r="AP988" s="307"/>
      <c r="AQ988" s="307"/>
      <c r="AR988" s="307"/>
      <c r="AS988" s="307"/>
      <c r="AT988" s="307"/>
      <c r="AU988" s="307"/>
    </row>
    <row r="989" ht="15.75" customHeight="1">
      <c r="A989" s="307"/>
      <c r="B989" s="307"/>
      <c r="C989" s="307"/>
      <c r="D989" s="307"/>
      <c r="E989" s="307"/>
      <c r="F989" s="307"/>
      <c r="G989" s="307"/>
      <c r="H989" s="307"/>
      <c r="I989" s="307"/>
      <c r="J989" s="307"/>
      <c r="K989" s="307"/>
      <c r="L989" s="307"/>
      <c r="M989" s="307"/>
      <c r="N989" s="307"/>
      <c r="O989" s="307"/>
      <c r="P989" s="307"/>
      <c r="Q989" s="307"/>
      <c r="R989" s="307"/>
      <c r="S989" s="307"/>
      <c r="T989" s="307"/>
      <c r="U989" s="307"/>
      <c r="V989" s="307"/>
      <c r="W989" s="307"/>
      <c r="X989" s="307"/>
      <c r="Y989" s="307"/>
      <c r="Z989" s="307"/>
      <c r="AA989" s="307"/>
      <c r="AB989" s="307"/>
      <c r="AC989" s="307"/>
      <c r="AD989" s="307"/>
      <c r="AF989" s="307"/>
      <c r="AG989" s="307"/>
      <c r="AH989" s="307"/>
      <c r="AI989" s="307"/>
      <c r="AJ989" s="307"/>
      <c r="AK989" s="307"/>
      <c r="AL989" s="307"/>
      <c r="AM989" s="307"/>
      <c r="AN989" s="307"/>
      <c r="AO989" s="307"/>
      <c r="AP989" s="307"/>
      <c r="AQ989" s="307"/>
      <c r="AR989" s="307"/>
      <c r="AS989" s="307"/>
      <c r="AT989" s="307"/>
      <c r="AU989" s="307"/>
    </row>
    <row r="990" ht="15.75" customHeight="1">
      <c r="A990" s="307"/>
      <c r="B990" s="307"/>
      <c r="C990" s="307"/>
      <c r="D990" s="307"/>
      <c r="E990" s="307"/>
      <c r="F990" s="307"/>
      <c r="G990" s="307"/>
      <c r="H990" s="307"/>
      <c r="I990" s="307"/>
      <c r="J990" s="307"/>
      <c r="K990" s="307"/>
      <c r="L990" s="307"/>
      <c r="M990" s="307"/>
      <c r="N990" s="307"/>
      <c r="O990" s="307"/>
      <c r="P990" s="307"/>
      <c r="Q990" s="307"/>
      <c r="R990" s="307"/>
      <c r="S990" s="307"/>
      <c r="T990" s="307"/>
      <c r="U990" s="307"/>
      <c r="V990" s="307"/>
      <c r="W990" s="307"/>
      <c r="X990" s="307"/>
      <c r="Y990" s="307"/>
      <c r="Z990" s="307"/>
      <c r="AA990" s="307"/>
      <c r="AB990" s="307"/>
      <c r="AC990" s="307"/>
      <c r="AD990" s="307"/>
      <c r="AF990" s="307"/>
      <c r="AG990" s="307"/>
      <c r="AH990" s="307"/>
      <c r="AI990" s="307"/>
      <c r="AJ990" s="307"/>
      <c r="AK990" s="307"/>
      <c r="AL990" s="307"/>
      <c r="AM990" s="307"/>
      <c r="AN990" s="307"/>
      <c r="AO990" s="307"/>
      <c r="AP990" s="307"/>
      <c r="AQ990" s="307"/>
      <c r="AR990" s="307"/>
      <c r="AS990" s="307"/>
      <c r="AT990" s="307"/>
      <c r="AU990" s="307"/>
    </row>
    <row r="991" ht="15.75" customHeight="1">
      <c r="A991" s="307"/>
      <c r="B991" s="307"/>
      <c r="C991" s="307"/>
      <c r="D991" s="307"/>
      <c r="E991" s="307"/>
      <c r="F991" s="307"/>
      <c r="G991" s="307"/>
      <c r="H991" s="307"/>
      <c r="I991" s="307"/>
      <c r="J991" s="307"/>
      <c r="K991" s="307"/>
      <c r="L991" s="307"/>
      <c r="M991" s="307"/>
      <c r="N991" s="307"/>
      <c r="O991" s="307"/>
      <c r="P991" s="307"/>
      <c r="Q991" s="307"/>
      <c r="R991" s="307"/>
      <c r="S991" s="307"/>
      <c r="T991" s="307"/>
      <c r="U991" s="307"/>
      <c r="V991" s="307"/>
      <c r="W991" s="307"/>
      <c r="X991" s="307"/>
      <c r="Y991" s="307"/>
      <c r="Z991" s="307"/>
      <c r="AA991" s="307"/>
      <c r="AB991" s="307"/>
      <c r="AC991" s="307"/>
      <c r="AD991" s="307"/>
      <c r="AF991" s="307"/>
      <c r="AG991" s="307"/>
      <c r="AH991" s="307"/>
      <c r="AI991" s="307"/>
      <c r="AJ991" s="307"/>
      <c r="AK991" s="307"/>
      <c r="AL991" s="307"/>
      <c r="AM991" s="307"/>
      <c r="AN991" s="307"/>
      <c r="AO991" s="307"/>
      <c r="AP991" s="307"/>
      <c r="AQ991" s="307"/>
      <c r="AR991" s="307"/>
      <c r="AS991" s="307"/>
      <c r="AT991" s="307"/>
      <c r="AU991" s="307"/>
    </row>
    <row r="992" ht="15.75" customHeight="1">
      <c r="A992" s="307"/>
      <c r="B992" s="307"/>
      <c r="C992" s="307"/>
      <c r="D992" s="307"/>
      <c r="E992" s="307"/>
      <c r="F992" s="307"/>
      <c r="G992" s="307"/>
      <c r="H992" s="307"/>
      <c r="I992" s="307"/>
      <c r="J992" s="307"/>
      <c r="K992" s="307"/>
      <c r="L992" s="307"/>
      <c r="M992" s="307"/>
      <c r="N992" s="307"/>
      <c r="O992" s="307"/>
      <c r="P992" s="307"/>
      <c r="Q992" s="307"/>
      <c r="R992" s="307"/>
      <c r="S992" s="307"/>
      <c r="T992" s="307"/>
      <c r="U992" s="307"/>
      <c r="V992" s="307"/>
      <c r="W992" s="307"/>
      <c r="X992" s="307"/>
      <c r="Y992" s="307"/>
      <c r="Z992" s="307"/>
      <c r="AA992" s="307"/>
      <c r="AB992" s="307"/>
      <c r="AC992" s="307"/>
      <c r="AD992" s="307"/>
      <c r="AF992" s="307"/>
      <c r="AG992" s="307"/>
      <c r="AH992" s="307"/>
      <c r="AI992" s="307"/>
      <c r="AJ992" s="307"/>
      <c r="AK992" s="307"/>
      <c r="AL992" s="307"/>
      <c r="AM992" s="307"/>
      <c r="AN992" s="307"/>
      <c r="AO992" s="307"/>
      <c r="AP992" s="307"/>
      <c r="AQ992" s="307"/>
      <c r="AR992" s="307"/>
      <c r="AS992" s="307"/>
      <c r="AT992" s="307"/>
      <c r="AU992" s="307"/>
    </row>
    <row r="993" ht="15.75" customHeight="1">
      <c r="A993" s="307"/>
      <c r="B993" s="307"/>
      <c r="C993" s="307"/>
      <c r="D993" s="307"/>
      <c r="E993" s="307"/>
      <c r="F993" s="307"/>
      <c r="G993" s="307"/>
      <c r="H993" s="307"/>
      <c r="I993" s="307"/>
      <c r="J993" s="307"/>
      <c r="K993" s="307"/>
      <c r="L993" s="307"/>
      <c r="M993" s="307"/>
      <c r="N993" s="307"/>
      <c r="O993" s="307"/>
      <c r="P993" s="307"/>
      <c r="Q993" s="307"/>
      <c r="R993" s="307"/>
      <c r="S993" s="307"/>
      <c r="T993" s="307"/>
      <c r="U993" s="307"/>
      <c r="V993" s="307"/>
      <c r="W993" s="307"/>
      <c r="X993" s="307"/>
      <c r="Y993" s="307"/>
      <c r="Z993" s="307"/>
      <c r="AA993" s="307"/>
      <c r="AB993" s="307"/>
      <c r="AC993" s="307"/>
      <c r="AD993" s="307"/>
      <c r="AF993" s="307"/>
      <c r="AG993" s="307"/>
      <c r="AH993" s="307"/>
      <c r="AI993" s="307"/>
      <c r="AJ993" s="307"/>
      <c r="AK993" s="307"/>
      <c r="AL993" s="307"/>
      <c r="AM993" s="307"/>
      <c r="AN993" s="307"/>
      <c r="AO993" s="307"/>
      <c r="AP993" s="307"/>
      <c r="AQ993" s="307"/>
      <c r="AR993" s="307"/>
      <c r="AS993" s="307"/>
      <c r="AT993" s="307"/>
      <c r="AU993" s="307"/>
    </row>
    <row r="994" ht="15.75" customHeight="1">
      <c r="A994" s="307"/>
      <c r="B994" s="307"/>
      <c r="C994" s="307"/>
      <c r="D994" s="307"/>
      <c r="E994" s="307"/>
      <c r="F994" s="307"/>
      <c r="G994" s="307"/>
      <c r="H994" s="307"/>
      <c r="I994" s="307"/>
      <c r="J994" s="307"/>
      <c r="K994" s="307"/>
      <c r="L994" s="307"/>
      <c r="M994" s="307"/>
      <c r="N994" s="307"/>
      <c r="O994" s="307"/>
      <c r="P994" s="307"/>
      <c r="Q994" s="307"/>
      <c r="R994" s="307"/>
      <c r="S994" s="307"/>
      <c r="T994" s="307"/>
      <c r="U994" s="307"/>
      <c r="V994" s="307"/>
      <c r="W994" s="307"/>
      <c r="X994" s="307"/>
      <c r="Y994" s="307"/>
      <c r="Z994" s="307"/>
      <c r="AA994" s="307"/>
      <c r="AB994" s="307"/>
      <c r="AC994" s="307"/>
      <c r="AD994" s="307"/>
      <c r="AF994" s="307"/>
      <c r="AG994" s="307"/>
      <c r="AH994" s="307"/>
      <c r="AI994" s="307"/>
      <c r="AJ994" s="307"/>
      <c r="AK994" s="307"/>
      <c r="AL994" s="307"/>
      <c r="AM994" s="307"/>
      <c r="AN994" s="307"/>
      <c r="AO994" s="307"/>
      <c r="AP994" s="307"/>
      <c r="AQ994" s="307"/>
      <c r="AR994" s="307"/>
      <c r="AS994" s="307"/>
      <c r="AT994" s="307"/>
      <c r="AU994" s="307"/>
    </row>
    <row r="995" ht="15.75" customHeight="1">
      <c r="A995" s="307"/>
      <c r="B995" s="307"/>
      <c r="C995" s="307"/>
      <c r="D995" s="307"/>
      <c r="E995" s="307"/>
      <c r="F995" s="307"/>
      <c r="G995" s="307"/>
      <c r="H995" s="307"/>
      <c r="I995" s="307"/>
      <c r="J995" s="307"/>
      <c r="K995" s="307"/>
      <c r="L995" s="307"/>
      <c r="M995" s="307"/>
      <c r="N995" s="307"/>
      <c r="O995" s="307"/>
      <c r="P995" s="307"/>
      <c r="Q995" s="307"/>
      <c r="R995" s="307"/>
      <c r="S995" s="307"/>
      <c r="T995" s="307"/>
      <c r="U995" s="307"/>
      <c r="V995" s="307"/>
      <c r="W995" s="307"/>
      <c r="X995" s="307"/>
      <c r="Y995" s="307"/>
      <c r="Z995" s="307"/>
      <c r="AA995" s="307"/>
      <c r="AB995" s="307"/>
      <c r="AC995" s="307"/>
      <c r="AD995" s="307"/>
      <c r="AF995" s="307"/>
      <c r="AG995" s="307"/>
      <c r="AH995" s="307"/>
      <c r="AI995" s="307"/>
      <c r="AJ995" s="307"/>
      <c r="AK995" s="307"/>
      <c r="AL995" s="307"/>
      <c r="AM995" s="307"/>
      <c r="AN995" s="307"/>
      <c r="AO995" s="307"/>
      <c r="AP995" s="307"/>
      <c r="AQ995" s="307"/>
      <c r="AR995" s="307"/>
      <c r="AS995" s="307"/>
      <c r="AT995" s="307"/>
      <c r="AU995" s="307"/>
    </row>
    <row r="996" ht="15.75" customHeight="1">
      <c r="A996" s="307"/>
      <c r="B996" s="307"/>
      <c r="C996" s="307"/>
      <c r="D996" s="307"/>
      <c r="E996" s="307"/>
      <c r="F996" s="307"/>
      <c r="G996" s="307"/>
      <c r="H996" s="307"/>
      <c r="I996" s="307"/>
      <c r="J996" s="307"/>
      <c r="K996" s="307"/>
      <c r="L996" s="307"/>
      <c r="M996" s="307"/>
      <c r="N996" s="307"/>
      <c r="O996" s="307"/>
      <c r="P996" s="307"/>
      <c r="Q996" s="307"/>
      <c r="R996" s="307"/>
      <c r="S996" s="307"/>
      <c r="T996" s="307"/>
      <c r="U996" s="307"/>
      <c r="V996" s="307"/>
      <c r="W996" s="307"/>
      <c r="X996" s="307"/>
      <c r="Y996" s="307"/>
      <c r="Z996" s="307"/>
      <c r="AA996" s="307"/>
      <c r="AB996" s="307"/>
      <c r="AC996" s="307"/>
      <c r="AD996" s="307"/>
      <c r="AF996" s="307"/>
      <c r="AG996" s="307"/>
      <c r="AH996" s="307"/>
      <c r="AI996" s="307"/>
      <c r="AJ996" s="307"/>
      <c r="AK996" s="307"/>
      <c r="AL996" s="307"/>
      <c r="AM996" s="307"/>
      <c r="AN996" s="307"/>
      <c r="AO996" s="307"/>
      <c r="AP996" s="307"/>
      <c r="AQ996" s="307"/>
      <c r="AR996" s="307"/>
      <c r="AS996" s="307"/>
      <c r="AT996" s="307"/>
      <c r="AU996" s="307"/>
    </row>
    <row r="997" ht="15.75" customHeight="1">
      <c r="A997" s="307"/>
      <c r="B997" s="307"/>
      <c r="C997" s="307"/>
      <c r="D997" s="307"/>
      <c r="E997" s="307"/>
      <c r="F997" s="307"/>
      <c r="G997" s="307"/>
      <c r="H997" s="307"/>
      <c r="I997" s="307"/>
      <c r="J997" s="307"/>
      <c r="K997" s="307"/>
      <c r="L997" s="307"/>
      <c r="M997" s="307"/>
      <c r="N997" s="307"/>
      <c r="O997" s="307"/>
      <c r="P997" s="307"/>
      <c r="Q997" s="307"/>
      <c r="R997" s="307"/>
      <c r="S997" s="307"/>
      <c r="T997" s="307"/>
      <c r="U997" s="307"/>
      <c r="V997" s="307"/>
      <c r="W997" s="307"/>
      <c r="X997" s="307"/>
      <c r="Y997" s="307"/>
      <c r="Z997" s="307"/>
      <c r="AA997" s="307"/>
      <c r="AB997" s="307"/>
      <c r="AC997" s="307"/>
      <c r="AD997" s="307"/>
      <c r="AF997" s="307"/>
      <c r="AG997" s="307"/>
      <c r="AH997" s="307"/>
      <c r="AI997" s="307"/>
      <c r="AJ997" s="307"/>
      <c r="AK997" s="307"/>
      <c r="AL997" s="307"/>
      <c r="AM997" s="307"/>
      <c r="AN997" s="307"/>
      <c r="AO997" s="307"/>
      <c r="AP997" s="307"/>
      <c r="AQ997" s="307"/>
      <c r="AR997" s="307"/>
      <c r="AS997" s="307"/>
      <c r="AT997" s="307"/>
      <c r="AU997" s="307"/>
    </row>
    <row r="998" ht="15.75" customHeight="1">
      <c r="A998" s="307"/>
      <c r="B998" s="307"/>
      <c r="C998" s="307"/>
      <c r="D998" s="307"/>
      <c r="E998" s="307"/>
      <c r="F998" s="307"/>
      <c r="G998" s="307"/>
      <c r="H998" s="307"/>
      <c r="I998" s="307"/>
      <c r="J998" s="307"/>
      <c r="K998" s="307"/>
      <c r="L998" s="307"/>
      <c r="M998" s="307"/>
      <c r="N998" s="307"/>
      <c r="O998" s="307"/>
      <c r="P998" s="307"/>
      <c r="Q998" s="307"/>
      <c r="R998" s="307"/>
      <c r="S998" s="307"/>
      <c r="T998" s="307"/>
      <c r="U998" s="307"/>
      <c r="V998" s="307"/>
      <c r="W998" s="307"/>
      <c r="X998" s="307"/>
      <c r="Y998" s="307"/>
      <c r="Z998" s="307"/>
      <c r="AA998" s="307"/>
      <c r="AB998" s="307"/>
      <c r="AC998" s="307"/>
      <c r="AD998" s="307"/>
      <c r="AF998" s="307"/>
      <c r="AG998" s="307"/>
      <c r="AH998" s="307"/>
      <c r="AI998" s="307"/>
      <c r="AJ998" s="307"/>
      <c r="AK998" s="307"/>
      <c r="AL998" s="307"/>
      <c r="AM998" s="307"/>
      <c r="AN998" s="307"/>
      <c r="AO998" s="307"/>
      <c r="AP998" s="307"/>
      <c r="AQ998" s="307"/>
      <c r="AR998" s="307"/>
      <c r="AS998" s="307"/>
      <c r="AT998" s="307"/>
      <c r="AU998" s="307"/>
    </row>
    <row r="999" ht="15.75" customHeight="1">
      <c r="A999" s="307"/>
      <c r="B999" s="307"/>
      <c r="C999" s="307"/>
      <c r="D999" s="307"/>
      <c r="E999" s="307"/>
      <c r="F999" s="307"/>
      <c r="G999" s="307"/>
      <c r="H999" s="307"/>
      <c r="I999" s="307"/>
      <c r="J999" s="307"/>
      <c r="K999" s="307"/>
      <c r="L999" s="307"/>
      <c r="M999" s="307"/>
      <c r="N999" s="307"/>
      <c r="O999" s="307"/>
      <c r="P999" s="307"/>
      <c r="Q999" s="307"/>
      <c r="R999" s="307"/>
      <c r="S999" s="307"/>
      <c r="T999" s="307"/>
      <c r="U999" s="307"/>
      <c r="V999" s="307"/>
      <c r="W999" s="307"/>
      <c r="X999" s="307"/>
      <c r="Y999" s="307"/>
      <c r="Z999" s="307"/>
      <c r="AA999" s="307"/>
      <c r="AB999" s="307"/>
      <c r="AC999" s="307"/>
      <c r="AD999" s="307"/>
      <c r="AF999" s="307"/>
      <c r="AG999" s="307"/>
      <c r="AH999" s="307"/>
      <c r="AI999" s="307"/>
      <c r="AJ999" s="307"/>
      <c r="AK999" s="307"/>
      <c r="AL999" s="307"/>
      <c r="AM999" s="307"/>
      <c r="AN999" s="307"/>
      <c r="AO999" s="307"/>
      <c r="AP999" s="307"/>
      <c r="AQ999" s="307"/>
      <c r="AR999" s="307"/>
      <c r="AS999" s="307"/>
      <c r="AT999" s="307"/>
      <c r="AU999" s="307"/>
    </row>
    <row r="1000" ht="15.75" customHeight="1">
      <c r="A1000" s="307"/>
      <c r="B1000" s="307"/>
      <c r="C1000" s="307"/>
      <c r="D1000" s="307"/>
      <c r="E1000" s="307"/>
      <c r="F1000" s="307"/>
      <c r="G1000" s="307"/>
      <c r="H1000" s="307"/>
      <c r="I1000" s="307"/>
      <c r="J1000" s="307"/>
      <c r="K1000" s="307"/>
      <c r="L1000" s="307"/>
      <c r="M1000" s="307"/>
      <c r="N1000" s="307"/>
      <c r="O1000" s="307"/>
      <c r="P1000" s="307"/>
      <c r="Q1000" s="307"/>
      <c r="R1000" s="307"/>
      <c r="S1000" s="307"/>
      <c r="T1000" s="307"/>
      <c r="U1000" s="307"/>
      <c r="V1000" s="307"/>
      <c r="W1000" s="307"/>
      <c r="X1000" s="307"/>
      <c r="Y1000" s="307"/>
      <c r="Z1000" s="307"/>
      <c r="AA1000" s="307"/>
      <c r="AB1000" s="307"/>
      <c r="AC1000" s="307"/>
      <c r="AD1000" s="307"/>
      <c r="AF1000" s="307"/>
      <c r="AG1000" s="307"/>
      <c r="AH1000" s="307"/>
      <c r="AI1000" s="307"/>
      <c r="AJ1000" s="307"/>
      <c r="AK1000" s="307"/>
      <c r="AL1000" s="307"/>
      <c r="AM1000" s="307"/>
      <c r="AN1000" s="307"/>
      <c r="AO1000" s="307"/>
      <c r="AP1000" s="307"/>
      <c r="AQ1000" s="307"/>
      <c r="AR1000" s="307"/>
      <c r="AS1000" s="307"/>
      <c r="AT1000" s="307"/>
      <c r="AU1000" s="307"/>
    </row>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outlinePr summaryBelow="0" summaryRight="0"/>
  </sheetPr>
  <sheetViews>
    <sheetView showGridLines="0" workbookViewId="0"/>
  </sheetViews>
  <sheetFormatPr customHeight="1" defaultColWidth="12.63" defaultRowHeight="15.0"/>
  <cols>
    <col customWidth="1" min="1" max="4" width="35.0"/>
    <col customWidth="1" min="5" max="5" width="119.5"/>
    <col customWidth="1" min="7" max="7" width="55.25"/>
  </cols>
  <sheetData>
    <row r="1">
      <c r="A1" s="319"/>
      <c r="B1" s="319"/>
      <c r="C1" s="319"/>
      <c r="D1" s="319"/>
      <c r="E1" s="319"/>
      <c r="F1" s="320"/>
      <c r="G1" s="321"/>
    </row>
    <row r="2">
      <c r="A2" s="322" t="s">
        <v>2764</v>
      </c>
      <c r="B2" s="323"/>
      <c r="C2" s="323"/>
      <c r="D2" s="323"/>
      <c r="E2" s="323"/>
      <c r="F2" s="320"/>
      <c r="G2" s="324" t="s">
        <v>2764</v>
      </c>
    </row>
    <row r="3">
      <c r="A3" s="220" t="s">
        <v>682</v>
      </c>
      <c r="B3" s="221" t="s">
        <v>683</v>
      </c>
      <c r="C3" s="221" t="s">
        <v>684</v>
      </c>
      <c r="D3" s="221" t="s">
        <v>685</v>
      </c>
      <c r="E3" s="220" t="s">
        <v>2765</v>
      </c>
      <c r="F3" s="320"/>
      <c r="G3" s="324" t="s">
        <v>2766</v>
      </c>
    </row>
    <row r="4">
      <c r="A4" s="185" t="s">
        <v>732</v>
      </c>
      <c r="B4" s="185" t="s">
        <v>733</v>
      </c>
      <c r="C4" s="185" t="s">
        <v>734</v>
      </c>
      <c r="D4" s="185" t="s">
        <v>735</v>
      </c>
      <c r="E4" s="185" t="s">
        <v>2767</v>
      </c>
      <c r="F4" s="320"/>
      <c r="G4" s="325" t="s">
        <v>2768</v>
      </c>
    </row>
    <row r="5">
      <c r="A5" s="326" t="s">
        <v>750</v>
      </c>
      <c r="B5" s="326" t="s">
        <v>750</v>
      </c>
      <c r="C5" s="327" t="s">
        <v>750</v>
      </c>
      <c r="D5" s="328" t="s">
        <v>750</v>
      </c>
      <c r="E5" s="329" t="s">
        <v>750</v>
      </c>
      <c r="F5" s="320"/>
      <c r="G5" s="330" t="str">
        <f t="array" ref="G5:G196">SORT(UNIQUE(TOCOL(BEC_openBDF!A5:D93,1)))</f>
        <v>..</v>
      </c>
    </row>
    <row r="6">
      <c r="A6" s="331" t="s">
        <v>2769</v>
      </c>
      <c r="B6" s="331" t="s">
        <v>2770</v>
      </c>
      <c r="C6" s="331" t="s">
        <v>2771</v>
      </c>
      <c r="D6" s="332" t="s">
        <v>751</v>
      </c>
      <c r="E6" s="333" t="s">
        <v>2772</v>
      </c>
      <c r="F6" s="320"/>
      <c r="G6" s="330" t="s">
        <v>2769</v>
      </c>
    </row>
    <row r="7">
      <c r="A7" s="331" t="s">
        <v>2769</v>
      </c>
      <c r="B7" s="331" t="s">
        <v>2770</v>
      </c>
      <c r="C7" s="334" t="s">
        <v>2771</v>
      </c>
      <c r="D7" s="328" t="s">
        <v>2773</v>
      </c>
      <c r="E7" s="329" t="s">
        <v>2774</v>
      </c>
      <c r="F7" s="320"/>
      <c r="G7" s="330" t="s">
        <v>2770</v>
      </c>
    </row>
    <row r="8">
      <c r="A8" s="331" t="s">
        <v>2769</v>
      </c>
      <c r="B8" s="331" t="s">
        <v>2770</v>
      </c>
      <c r="C8" s="331" t="s">
        <v>2775</v>
      </c>
      <c r="D8" s="332" t="s">
        <v>2776</v>
      </c>
      <c r="E8" s="335" t="s">
        <v>2777</v>
      </c>
      <c r="F8" s="320"/>
      <c r="G8" s="330" t="s">
        <v>2771</v>
      </c>
    </row>
    <row r="9">
      <c r="A9" s="331" t="s">
        <v>2769</v>
      </c>
      <c r="B9" s="331" t="s">
        <v>2770</v>
      </c>
      <c r="C9" s="334" t="s">
        <v>2775</v>
      </c>
      <c r="D9" s="328" t="s">
        <v>2778</v>
      </c>
      <c r="E9" s="336" t="s">
        <v>2779</v>
      </c>
      <c r="F9" s="320"/>
      <c r="G9" s="330" t="s">
        <v>751</v>
      </c>
    </row>
    <row r="10">
      <c r="A10" s="331" t="s">
        <v>2769</v>
      </c>
      <c r="B10" s="331" t="s">
        <v>2770</v>
      </c>
      <c r="C10" s="331" t="s">
        <v>2775</v>
      </c>
      <c r="D10" s="332" t="s">
        <v>2780</v>
      </c>
      <c r="E10" s="333" t="s">
        <v>2781</v>
      </c>
      <c r="F10" s="320"/>
      <c r="G10" s="330" t="s">
        <v>2773</v>
      </c>
    </row>
    <row r="11">
      <c r="A11" s="331" t="s">
        <v>2769</v>
      </c>
      <c r="B11" s="331" t="s">
        <v>2770</v>
      </c>
      <c r="C11" s="334" t="s">
        <v>2775</v>
      </c>
      <c r="D11" s="328" t="s">
        <v>2782</v>
      </c>
      <c r="E11" s="329" t="s">
        <v>2783</v>
      </c>
      <c r="F11" s="320"/>
      <c r="G11" s="330" t="s">
        <v>2775</v>
      </c>
    </row>
    <row r="12">
      <c r="A12" s="331" t="s">
        <v>2769</v>
      </c>
      <c r="B12" s="331" t="s">
        <v>2770</v>
      </c>
      <c r="C12" s="331" t="s">
        <v>2775</v>
      </c>
      <c r="D12" s="332" t="s">
        <v>2784</v>
      </c>
      <c r="E12" s="333" t="s">
        <v>2785</v>
      </c>
      <c r="F12" s="320"/>
      <c r="G12" s="330" t="s">
        <v>2776</v>
      </c>
    </row>
    <row r="13">
      <c r="A13" s="331" t="s">
        <v>2769</v>
      </c>
      <c r="B13" s="331" t="s">
        <v>2770</v>
      </c>
      <c r="C13" s="334" t="s">
        <v>2775</v>
      </c>
      <c r="D13" s="328" t="s">
        <v>2786</v>
      </c>
      <c r="E13" s="329" t="s">
        <v>2787</v>
      </c>
      <c r="F13" s="320"/>
      <c r="G13" s="330" t="s">
        <v>2778</v>
      </c>
    </row>
    <row r="14">
      <c r="A14" s="331" t="s">
        <v>675</v>
      </c>
      <c r="B14" s="337" t="s">
        <v>676</v>
      </c>
      <c r="C14" s="337" t="s">
        <v>677</v>
      </c>
      <c r="D14" s="332" t="s">
        <v>748</v>
      </c>
      <c r="E14" s="333" t="s">
        <v>2788</v>
      </c>
      <c r="F14" s="320"/>
      <c r="G14" s="330" t="s">
        <v>2780</v>
      </c>
    </row>
    <row r="15">
      <c r="A15" s="334" t="s">
        <v>675</v>
      </c>
      <c r="B15" s="334" t="s">
        <v>2789</v>
      </c>
      <c r="C15" s="327" t="s">
        <v>2790</v>
      </c>
      <c r="D15" s="328" t="s">
        <v>2791</v>
      </c>
      <c r="E15" s="329" t="s">
        <v>2792</v>
      </c>
      <c r="F15" s="320"/>
      <c r="G15" s="330" t="s">
        <v>2782</v>
      </c>
    </row>
    <row r="16">
      <c r="A16" s="331" t="s">
        <v>675</v>
      </c>
      <c r="B16" s="331" t="s">
        <v>2789</v>
      </c>
      <c r="C16" s="337" t="s">
        <v>2793</v>
      </c>
      <c r="D16" s="332" t="s">
        <v>2794</v>
      </c>
      <c r="E16" s="333" t="s">
        <v>2795</v>
      </c>
      <c r="F16" s="320"/>
      <c r="G16" s="330" t="s">
        <v>2784</v>
      </c>
    </row>
    <row r="17">
      <c r="A17" s="334" t="s">
        <v>675</v>
      </c>
      <c r="B17" s="334" t="s">
        <v>2789</v>
      </c>
      <c r="C17" s="327" t="s">
        <v>2796</v>
      </c>
      <c r="D17" s="328" t="s">
        <v>2797</v>
      </c>
      <c r="E17" s="336" t="s">
        <v>2798</v>
      </c>
      <c r="F17" s="320"/>
      <c r="G17" s="330" t="s">
        <v>2786</v>
      </c>
    </row>
    <row r="18">
      <c r="A18" s="338" t="s">
        <v>2799</v>
      </c>
      <c r="B18" s="331" t="s">
        <v>2800</v>
      </c>
      <c r="C18" s="337" t="s">
        <v>2801</v>
      </c>
      <c r="D18" s="332" t="s">
        <v>2802</v>
      </c>
      <c r="E18" s="335" t="s">
        <v>2803</v>
      </c>
      <c r="F18" s="320"/>
      <c r="G18" s="330" t="s">
        <v>675</v>
      </c>
    </row>
    <row r="19">
      <c r="A19" s="339" t="s">
        <v>2799</v>
      </c>
      <c r="B19" s="334" t="s">
        <v>2800</v>
      </c>
      <c r="C19" s="327" t="s">
        <v>2804</v>
      </c>
      <c r="D19" s="328" t="s">
        <v>2805</v>
      </c>
      <c r="E19" s="329" t="s">
        <v>2806</v>
      </c>
      <c r="F19" s="320"/>
      <c r="G19" s="330" t="s">
        <v>676</v>
      </c>
    </row>
    <row r="20">
      <c r="A20" s="338" t="s">
        <v>2799</v>
      </c>
      <c r="B20" s="331" t="s">
        <v>808</v>
      </c>
      <c r="C20" s="337" t="s">
        <v>2807</v>
      </c>
      <c r="D20" s="332" t="s">
        <v>2808</v>
      </c>
      <c r="E20" s="335" t="s">
        <v>2809</v>
      </c>
      <c r="F20" s="320"/>
      <c r="G20" s="330" t="s">
        <v>677</v>
      </c>
    </row>
    <row r="21">
      <c r="A21" s="339" t="s">
        <v>2799</v>
      </c>
      <c r="B21" s="334" t="s">
        <v>808</v>
      </c>
      <c r="C21" s="327" t="s">
        <v>2810</v>
      </c>
      <c r="D21" s="328" t="s">
        <v>2811</v>
      </c>
      <c r="E21" s="336" t="s">
        <v>2812</v>
      </c>
      <c r="F21" s="320"/>
      <c r="G21" s="330" t="s">
        <v>748</v>
      </c>
    </row>
    <row r="22">
      <c r="A22" s="338" t="s">
        <v>2799</v>
      </c>
      <c r="B22" s="331" t="s">
        <v>2813</v>
      </c>
      <c r="C22" s="337" t="s">
        <v>2814</v>
      </c>
      <c r="D22" s="332" t="s">
        <v>2815</v>
      </c>
      <c r="E22" s="335" t="s">
        <v>2816</v>
      </c>
      <c r="F22" s="320"/>
      <c r="G22" s="330" t="s">
        <v>2789</v>
      </c>
    </row>
    <row r="23">
      <c r="A23" s="339" t="s">
        <v>2799</v>
      </c>
      <c r="B23" s="334" t="s">
        <v>2813</v>
      </c>
      <c r="C23" s="327" t="s">
        <v>2817</v>
      </c>
      <c r="D23" s="328" t="s">
        <v>2818</v>
      </c>
      <c r="E23" s="340"/>
      <c r="F23" s="320"/>
      <c r="G23" s="330" t="s">
        <v>2790</v>
      </c>
    </row>
    <row r="24">
      <c r="A24" s="338" t="s">
        <v>2799</v>
      </c>
      <c r="B24" s="331" t="s">
        <v>2819</v>
      </c>
      <c r="C24" s="337" t="s">
        <v>2820</v>
      </c>
      <c r="D24" s="332" t="s">
        <v>2821</v>
      </c>
      <c r="E24" s="333" t="s">
        <v>2822</v>
      </c>
      <c r="F24" s="320"/>
      <c r="G24" s="330" t="s">
        <v>2791</v>
      </c>
    </row>
    <row r="25">
      <c r="A25" s="339" t="s">
        <v>2799</v>
      </c>
      <c r="B25" s="334" t="s">
        <v>2819</v>
      </c>
      <c r="C25" s="327" t="s">
        <v>2823</v>
      </c>
      <c r="D25" s="328" t="s">
        <v>2824</v>
      </c>
      <c r="E25" s="329" t="s">
        <v>2825</v>
      </c>
      <c r="F25" s="320"/>
      <c r="G25" s="330" t="s">
        <v>2793</v>
      </c>
    </row>
    <row r="26">
      <c r="A26" s="338" t="s">
        <v>2799</v>
      </c>
      <c r="B26" s="331" t="s">
        <v>2819</v>
      </c>
      <c r="C26" s="337" t="s">
        <v>2826</v>
      </c>
      <c r="D26" s="332" t="s">
        <v>2827</v>
      </c>
      <c r="E26" s="333" t="s">
        <v>2828</v>
      </c>
      <c r="F26" s="320"/>
      <c r="G26" s="330" t="s">
        <v>2794</v>
      </c>
    </row>
    <row r="27">
      <c r="A27" s="339" t="s">
        <v>2799</v>
      </c>
      <c r="B27" s="334" t="s">
        <v>2829</v>
      </c>
      <c r="C27" s="327" t="s">
        <v>2830</v>
      </c>
      <c r="D27" s="328" t="s">
        <v>2831</v>
      </c>
      <c r="E27" s="329" t="s">
        <v>2832</v>
      </c>
      <c r="F27" s="320"/>
      <c r="G27" s="330" t="s">
        <v>2796</v>
      </c>
    </row>
    <row r="28">
      <c r="A28" s="338" t="s">
        <v>2799</v>
      </c>
      <c r="B28" s="331" t="s">
        <v>2829</v>
      </c>
      <c r="C28" s="337" t="s">
        <v>2833</v>
      </c>
      <c r="D28" s="332" t="s">
        <v>2834</v>
      </c>
      <c r="E28" s="333" t="s">
        <v>2835</v>
      </c>
      <c r="F28" s="320"/>
      <c r="G28" s="330" t="s">
        <v>2797</v>
      </c>
    </row>
    <row r="29">
      <c r="A29" s="339" t="s">
        <v>2799</v>
      </c>
      <c r="B29" s="334" t="s">
        <v>2829</v>
      </c>
      <c r="C29" s="327" t="s">
        <v>2836</v>
      </c>
      <c r="D29" s="328" t="s">
        <v>2837</v>
      </c>
      <c r="E29" s="329" t="s">
        <v>2838</v>
      </c>
      <c r="F29" s="320"/>
      <c r="G29" s="330" t="s">
        <v>2799</v>
      </c>
    </row>
    <row r="30">
      <c r="A30" s="338" t="s">
        <v>2799</v>
      </c>
      <c r="B30" s="331" t="s">
        <v>2829</v>
      </c>
      <c r="C30" s="337" t="s">
        <v>2839</v>
      </c>
      <c r="D30" s="332" t="s">
        <v>2840</v>
      </c>
      <c r="E30" s="333" t="s">
        <v>2841</v>
      </c>
      <c r="F30" s="320"/>
      <c r="G30" s="330" t="s">
        <v>2800</v>
      </c>
    </row>
    <row r="31">
      <c r="A31" s="339" t="s">
        <v>2799</v>
      </c>
      <c r="B31" s="334" t="s">
        <v>2842</v>
      </c>
      <c r="C31" s="327" t="s">
        <v>2843</v>
      </c>
      <c r="D31" s="328" t="s">
        <v>2844</v>
      </c>
      <c r="E31" s="329" t="s">
        <v>2845</v>
      </c>
      <c r="F31" s="320"/>
      <c r="G31" s="330" t="s">
        <v>2801</v>
      </c>
    </row>
    <row r="32">
      <c r="A32" s="338" t="s">
        <v>2799</v>
      </c>
      <c r="B32" s="331" t="s">
        <v>2842</v>
      </c>
      <c r="C32" s="337" t="s">
        <v>2846</v>
      </c>
      <c r="D32" s="332" t="s">
        <v>2847</v>
      </c>
      <c r="E32" s="333" t="s">
        <v>2848</v>
      </c>
      <c r="F32" s="320"/>
      <c r="G32" s="330" t="s">
        <v>2802</v>
      </c>
    </row>
    <row r="33">
      <c r="A33" s="339" t="s">
        <v>2799</v>
      </c>
      <c r="B33" s="334" t="s">
        <v>2842</v>
      </c>
      <c r="C33" s="327" t="s">
        <v>2849</v>
      </c>
      <c r="D33" s="328" t="s">
        <v>2850</v>
      </c>
      <c r="E33" s="329" t="s">
        <v>2851</v>
      </c>
      <c r="F33" s="320"/>
      <c r="G33" s="330" t="s">
        <v>2804</v>
      </c>
    </row>
    <row r="34">
      <c r="A34" s="338" t="s">
        <v>2799</v>
      </c>
      <c r="B34" s="331" t="s">
        <v>2852</v>
      </c>
      <c r="C34" s="337" t="s">
        <v>2853</v>
      </c>
      <c r="D34" s="332" t="s">
        <v>2854</v>
      </c>
      <c r="E34" s="333" t="s">
        <v>2855</v>
      </c>
      <c r="F34" s="320"/>
      <c r="G34" s="330" t="s">
        <v>2805</v>
      </c>
    </row>
    <row r="35">
      <c r="A35" s="339" t="s">
        <v>2799</v>
      </c>
      <c r="B35" s="334" t="s">
        <v>2852</v>
      </c>
      <c r="C35" s="327" t="s">
        <v>2856</v>
      </c>
      <c r="D35" s="328" t="s">
        <v>2857</v>
      </c>
      <c r="E35" s="329" t="s">
        <v>2858</v>
      </c>
      <c r="F35" s="320"/>
      <c r="G35" s="330" t="s">
        <v>808</v>
      </c>
    </row>
    <row r="36">
      <c r="A36" s="338" t="s">
        <v>2799</v>
      </c>
      <c r="B36" s="337" t="s">
        <v>2859</v>
      </c>
      <c r="C36" s="337" t="s">
        <v>2860</v>
      </c>
      <c r="D36" s="332" t="s">
        <v>2861</v>
      </c>
      <c r="E36" s="333" t="s">
        <v>2862</v>
      </c>
      <c r="F36" s="320"/>
      <c r="G36" s="330" t="s">
        <v>2807</v>
      </c>
    </row>
    <row r="37">
      <c r="A37" s="334" t="s">
        <v>2863</v>
      </c>
      <c r="B37" s="327" t="s">
        <v>2864</v>
      </c>
      <c r="C37" s="327" t="s">
        <v>2865</v>
      </c>
      <c r="D37" s="328" t="s">
        <v>2866</v>
      </c>
      <c r="E37" s="329" t="s">
        <v>2867</v>
      </c>
      <c r="F37" s="320"/>
      <c r="G37" s="330" t="s">
        <v>2808</v>
      </c>
    </row>
    <row r="38">
      <c r="A38" s="331" t="s">
        <v>2863</v>
      </c>
      <c r="B38" s="331" t="s">
        <v>2868</v>
      </c>
      <c r="C38" s="337" t="s">
        <v>2869</v>
      </c>
      <c r="D38" s="332" t="s">
        <v>2870</v>
      </c>
      <c r="E38" s="333" t="s">
        <v>2871</v>
      </c>
      <c r="F38" s="320"/>
      <c r="G38" s="330" t="s">
        <v>2810</v>
      </c>
    </row>
    <row r="39">
      <c r="A39" s="334" t="s">
        <v>2863</v>
      </c>
      <c r="B39" s="334" t="s">
        <v>2868</v>
      </c>
      <c r="C39" s="327" t="s">
        <v>2872</v>
      </c>
      <c r="D39" s="328" t="s">
        <v>2873</v>
      </c>
      <c r="E39" s="329" t="s">
        <v>2874</v>
      </c>
      <c r="F39" s="320"/>
      <c r="G39" s="330" t="s">
        <v>2811</v>
      </c>
    </row>
    <row r="40">
      <c r="A40" s="331" t="s">
        <v>2863</v>
      </c>
      <c r="B40" s="331" t="s">
        <v>2868</v>
      </c>
      <c r="C40" s="337" t="s">
        <v>2875</v>
      </c>
      <c r="D40" s="332" t="s">
        <v>2876</v>
      </c>
      <c r="E40" s="333" t="s">
        <v>2877</v>
      </c>
      <c r="F40" s="320"/>
      <c r="G40" s="330" t="s">
        <v>2813</v>
      </c>
    </row>
    <row r="41">
      <c r="A41" s="334" t="s">
        <v>2863</v>
      </c>
      <c r="B41" s="327" t="s">
        <v>2878</v>
      </c>
      <c r="C41" s="327" t="s">
        <v>2879</v>
      </c>
      <c r="D41" s="328" t="s">
        <v>2880</v>
      </c>
      <c r="E41" s="329" t="s">
        <v>2881</v>
      </c>
      <c r="F41" s="320"/>
      <c r="G41" s="330" t="s">
        <v>2814</v>
      </c>
    </row>
    <row r="42">
      <c r="A42" s="331" t="s">
        <v>2882</v>
      </c>
      <c r="B42" s="337" t="s">
        <v>2883</v>
      </c>
      <c r="C42" s="337" t="s">
        <v>2884</v>
      </c>
      <c r="D42" s="332" t="s">
        <v>2885</v>
      </c>
      <c r="E42" s="333" t="s">
        <v>2886</v>
      </c>
      <c r="F42" s="320"/>
      <c r="G42" s="330" t="s">
        <v>2815</v>
      </c>
    </row>
    <row r="43">
      <c r="A43" s="334" t="s">
        <v>2882</v>
      </c>
      <c r="B43" s="327" t="s">
        <v>2887</v>
      </c>
      <c r="C43" s="327" t="s">
        <v>2888</v>
      </c>
      <c r="D43" s="328" t="s">
        <v>2889</v>
      </c>
      <c r="E43" s="329" t="s">
        <v>2890</v>
      </c>
      <c r="F43" s="320"/>
      <c r="G43" s="330" t="s">
        <v>2817</v>
      </c>
    </row>
    <row r="44">
      <c r="A44" s="331" t="s">
        <v>2882</v>
      </c>
      <c r="B44" s="337" t="s">
        <v>2891</v>
      </c>
      <c r="C44" s="337" t="s">
        <v>2892</v>
      </c>
      <c r="D44" s="332" t="s">
        <v>2893</v>
      </c>
      <c r="E44" s="333" t="s">
        <v>2894</v>
      </c>
      <c r="F44" s="320"/>
      <c r="G44" s="330" t="s">
        <v>2818</v>
      </c>
    </row>
    <row r="45">
      <c r="A45" s="334" t="s">
        <v>2882</v>
      </c>
      <c r="B45" s="327" t="s">
        <v>2895</v>
      </c>
      <c r="C45" s="327" t="s">
        <v>2896</v>
      </c>
      <c r="D45" s="328" t="s">
        <v>2897</v>
      </c>
      <c r="E45" s="329" t="s">
        <v>2898</v>
      </c>
      <c r="F45" s="320"/>
      <c r="G45" s="330" t="s">
        <v>2819</v>
      </c>
    </row>
    <row r="46">
      <c r="A46" s="331" t="s">
        <v>2882</v>
      </c>
      <c r="B46" s="337" t="s">
        <v>2899</v>
      </c>
      <c r="C46" s="337" t="s">
        <v>2900</v>
      </c>
      <c r="D46" s="332" t="s">
        <v>2901</v>
      </c>
      <c r="E46" s="333" t="s">
        <v>2902</v>
      </c>
      <c r="F46" s="320"/>
      <c r="G46" s="330" t="s">
        <v>2820</v>
      </c>
    </row>
    <row r="47">
      <c r="A47" s="334" t="s">
        <v>2882</v>
      </c>
      <c r="B47" s="327" t="s">
        <v>2903</v>
      </c>
      <c r="C47" s="327" t="s">
        <v>2904</v>
      </c>
      <c r="D47" s="328" t="s">
        <v>2905</v>
      </c>
      <c r="E47" s="329" t="s">
        <v>2906</v>
      </c>
      <c r="F47" s="320"/>
      <c r="G47" s="330" t="s">
        <v>2821</v>
      </c>
    </row>
    <row r="48">
      <c r="A48" s="341" t="s">
        <v>2907</v>
      </c>
      <c r="B48" s="331" t="s">
        <v>2908</v>
      </c>
      <c r="C48" s="337" t="s">
        <v>2909</v>
      </c>
      <c r="D48" s="332" t="s">
        <v>2910</v>
      </c>
      <c r="E48" s="335" t="s">
        <v>2911</v>
      </c>
      <c r="F48" s="320"/>
      <c r="G48" s="330" t="s">
        <v>2823</v>
      </c>
    </row>
    <row r="49">
      <c r="A49" s="342" t="s">
        <v>2907</v>
      </c>
      <c r="B49" s="334" t="s">
        <v>2908</v>
      </c>
      <c r="C49" s="334" t="s">
        <v>2912</v>
      </c>
      <c r="D49" s="328" t="s">
        <v>2913</v>
      </c>
      <c r="E49" s="329" t="s">
        <v>2914</v>
      </c>
      <c r="F49" s="320"/>
      <c r="G49" s="330" t="s">
        <v>2824</v>
      </c>
    </row>
    <row r="50">
      <c r="A50" s="341" t="s">
        <v>2907</v>
      </c>
      <c r="B50" s="331" t="s">
        <v>2908</v>
      </c>
      <c r="C50" s="331" t="s">
        <v>2912</v>
      </c>
      <c r="D50" s="332" t="s">
        <v>2915</v>
      </c>
      <c r="E50" s="333" t="s">
        <v>2916</v>
      </c>
      <c r="F50" s="320"/>
      <c r="G50" s="330" t="s">
        <v>2826</v>
      </c>
    </row>
    <row r="51">
      <c r="A51" s="342" t="s">
        <v>2907</v>
      </c>
      <c r="B51" s="334" t="s">
        <v>2908</v>
      </c>
      <c r="C51" s="334" t="s">
        <v>2917</v>
      </c>
      <c r="D51" s="328" t="s">
        <v>2918</v>
      </c>
      <c r="E51" s="329" t="s">
        <v>2919</v>
      </c>
      <c r="F51" s="320"/>
      <c r="G51" s="330" t="s">
        <v>2827</v>
      </c>
    </row>
    <row r="52">
      <c r="A52" s="341" t="s">
        <v>2907</v>
      </c>
      <c r="B52" s="331" t="s">
        <v>2908</v>
      </c>
      <c r="C52" s="331" t="s">
        <v>2917</v>
      </c>
      <c r="D52" s="332" t="s">
        <v>2920</v>
      </c>
      <c r="E52" s="333" t="s">
        <v>2921</v>
      </c>
      <c r="F52" s="320"/>
      <c r="G52" s="330" t="s">
        <v>2829</v>
      </c>
    </row>
    <row r="53">
      <c r="A53" s="342" t="s">
        <v>2907</v>
      </c>
      <c r="B53" s="334" t="s">
        <v>2922</v>
      </c>
      <c r="C53" s="334" t="s">
        <v>2923</v>
      </c>
      <c r="D53" s="328" t="s">
        <v>2924</v>
      </c>
      <c r="E53" s="329" t="s">
        <v>2925</v>
      </c>
      <c r="F53" s="320"/>
      <c r="G53" s="330" t="s">
        <v>2830</v>
      </c>
    </row>
    <row r="54">
      <c r="A54" s="341" t="s">
        <v>2907</v>
      </c>
      <c r="B54" s="331" t="s">
        <v>2922</v>
      </c>
      <c r="C54" s="331" t="s">
        <v>2923</v>
      </c>
      <c r="D54" s="332" t="s">
        <v>2926</v>
      </c>
      <c r="E54" s="333" t="s">
        <v>2927</v>
      </c>
      <c r="F54" s="320"/>
      <c r="G54" s="330" t="s">
        <v>2831</v>
      </c>
    </row>
    <row r="55">
      <c r="A55" s="342" t="s">
        <v>2907</v>
      </c>
      <c r="B55" s="334" t="s">
        <v>2922</v>
      </c>
      <c r="C55" s="334" t="s">
        <v>2923</v>
      </c>
      <c r="D55" s="328" t="s">
        <v>2928</v>
      </c>
      <c r="E55" s="329" t="s">
        <v>2929</v>
      </c>
      <c r="F55" s="320"/>
      <c r="G55" s="330" t="s">
        <v>2833</v>
      </c>
    </row>
    <row r="56">
      <c r="A56" s="341" t="s">
        <v>2907</v>
      </c>
      <c r="B56" s="331" t="s">
        <v>2922</v>
      </c>
      <c r="C56" s="331" t="s">
        <v>2930</v>
      </c>
      <c r="D56" s="332" t="s">
        <v>2931</v>
      </c>
      <c r="E56" s="333" t="s">
        <v>2932</v>
      </c>
      <c r="F56" s="320"/>
      <c r="G56" s="330" t="s">
        <v>2834</v>
      </c>
    </row>
    <row r="57">
      <c r="A57" s="342" t="s">
        <v>2907</v>
      </c>
      <c r="B57" s="334" t="s">
        <v>2922</v>
      </c>
      <c r="C57" s="334" t="s">
        <v>2933</v>
      </c>
      <c r="D57" s="328" t="s">
        <v>2934</v>
      </c>
      <c r="E57" s="329" t="s">
        <v>2935</v>
      </c>
      <c r="F57" s="320"/>
      <c r="G57" s="330" t="s">
        <v>2836</v>
      </c>
    </row>
    <row r="58">
      <c r="A58" s="341" t="s">
        <v>2907</v>
      </c>
      <c r="B58" s="331" t="s">
        <v>2922</v>
      </c>
      <c r="C58" s="337" t="s">
        <v>2936</v>
      </c>
      <c r="D58" s="332" t="s">
        <v>2937</v>
      </c>
      <c r="E58" s="333" t="s">
        <v>2938</v>
      </c>
      <c r="F58" s="320"/>
      <c r="G58" s="330" t="s">
        <v>2837</v>
      </c>
    </row>
    <row r="59">
      <c r="A59" s="342" t="s">
        <v>2907</v>
      </c>
      <c r="B59" s="334" t="s">
        <v>2922</v>
      </c>
      <c r="C59" s="334" t="s">
        <v>2939</v>
      </c>
      <c r="D59" s="328" t="s">
        <v>2940</v>
      </c>
      <c r="E59" s="329" t="s">
        <v>2941</v>
      </c>
      <c r="F59" s="320"/>
      <c r="G59" s="330" t="s">
        <v>2839</v>
      </c>
    </row>
    <row r="60">
      <c r="A60" s="341" t="s">
        <v>2907</v>
      </c>
      <c r="B60" s="331" t="s">
        <v>2922</v>
      </c>
      <c r="C60" s="331" t="s">
        <v>2939</v>
      </c>
      <c r="D60" s="332" t="s">
        <v>2942</v>
      </c>
      <c r="E60" s="333" t="s">
        <v>2943</v>
      </c>
      <c r="F60" s="320"/>
      <c r="G60" s="330" t="s">
        <v>2840</v>
      </c>
    </row>
    <row r="61">
      <c r="A61" s="342" t="s">
        <v>2907</v>
      </c>
      <c r="B61" s="334" t="s">
        <v>2922</v>
      </c>
      <c r="C61" s="334" t="s">
        <v>2939</v>
      </c>
      <c r="D61" s="328" t="s">
        <v>2944</v>
      </c>
      <c r="E61" s="329" t="s">
        <v>2945</v>
      </c>
      <c r="F61" s="320"/>
      <c r="G61" s="330" t="s">
        <v>2842</v>
      </c>
    </row>
    <row r="62">
      <c r="A62" s="341" t="s">
        <v>2907</v>
      </c>
      <c r="B62" s="331" t="s">
        <v>2946</v>
      </c>
      <c r="C62" s="331" t="s">
        <v>2947</v>
      </c>
      <c r="D62" s="332" t="s">
        <v>2948</v>
      </c>
      <c r="E62" s="333" t="s">
        <v>2949</v>
      </c>
      <c r="F62" s="320"/>
      <c r="G62" s="330" t="s">
        <v>2843</v>
      </c>
    </row>
    <row r="63">
      <c r="A63" s="342" t="s">
        <v>2907</v>
      </c>
      <c r="B63" s="334" t="s">
        <v>2946</v>
      </c>
      <c r="C63" s="334" t="s">
        <v>2947</v>
      </c>
      <c r="D63" s="328" t="s">
        <v>2950</v>
      </c>
      <c r="E63" s="329" t="s">
        <v>2951</v>
      </c>
      <c r="F63" s="320"/>
      <c r="G63" s="330" t="s">
        <v>2844</v>
      </c>
    </row>
    <row r="64">
      <c r="A64" s="341" t="s">
        <v>2907</v>
      </c>
      <c r="B64" s="331" t="s">
        <v>2946</v>
      </c>
      <c r="C64" s="331" t="s">
        <v>2947</v>
      </c>
      <c r="D64" s="332" t="s">
        <v>2952</v>
      </c>
      <c r="E64" s="333" t="s">
        <v>2953</v>
      </c>
      <c r="F64" s="320"/>
      <c r="G64" s="330" t="s">
        <v>2846</v>
      </c>
    </row>
    <row r="65">
      <c r="A65" s="342" t="s">
        <v>2907</v>
      </c>
      <c r="B65" s="334" t="s">
        <v>2946</v>
      </c>
      <c r="C65" s="334" t="s">
        <v>2947</v>
      </c>
      <c r="D65" s="328" t="s">
        <v>2954</v>
      </c>
      <c r="E65" s="329" t="s">
        <v>2955</v>
      </c>
      <c r="F65" s="320"/>
      <c r="G65" s="330" t="s">
        <v>2847</v>
      </c>
    </row>
    <row r="66">
      <c r="A66" s="341" t="s">
        <v>2907</v>
      </c>
      <c r="B66" s="331" t="s">
        <v>2946</v>
      </c>
      <c r="C66" s="331" t="s">
        <v>2956</v>
      </c>
      <c r="D66" s="332" t="s">
        <v>2957</v>
      </c>
      <c r="E66" s="333" t="s">
        <v>2958</v>
      </c>
      <c r="F66" s="320"/>
      <c r="G66" s="330" t="s">
        <v>2849</v>
      </c>
    </row>
    <row r="67">
      <c r="A67" s="342" t="s">
        <v>2907</v>
      </c>
      <c r="B67" s="334" t="s">
        <v>2946</v>
      </c>
      <c r="C67" s="334" t="s">
        <v>2956</v>
      </c>
      <c r="D67" s="328" t="s">
        <v>2959</v>
      </c>
      <c r="E67" s="329" t="s">
        <v>2960</v>
      </c>
      <c r="F67" s="320"/>
      <c r="G67" s="330" t="s">
        <v>2850</v>
      </c>
    </row>
    <row r="68">
      <c r="A68" s="341" t="s">
        <v>2907</v>
      </c>
      <c r="B68" s="331" t="s">
        <v>2946</v>
      </c>
      <c r="C68" s="331" t="s">
        <v>2956</v>
      </c>
      <c r="D68" s="332" t="s">
        <v>2961</v>
      </c>
      <c r="E68" s="333" t="s">
        <v>2962</v>
      </c>
      <c r="F68" s="320"/>
      <c r="G68" s="330" t="s">
        <v>2852</v>
      </c>
    </row>
    <row r="69">
      <c r="A69" s="342" t="s">
        <v>2907</v>
      </c>
      <c r="B69" s="334" t="s">
        <v>2946</v>
      </c>
      <c r="C69" s="334" t="s">
        <v>2956</v>
      </c>
      <c r="D69" s="328" t="s">
        <v>2963</v>
      </c>
      <c r="E69" s="329" t="s">
        <v>2964</v>
      </c>
      <c r="F69" s="320"/>
      <c r="G69" s="330" t="s">
        <v>2853</v>
      </c>
    </row>
    <row r="70">
      <c r="A70" s="341" t="s">
        <v>2907</v>
      </c>
      <c r="B70" s="331" t="s">
        <v>2946</v>
      </c>
      <c r="C70" s="331" t="s">
        <v>2956</v>
      </c>
      <c r="D70" s="332" t="s">
        <v>2965</v>
      </c>
      <c r="E70" s="333" t="s">
        <v>2966</v>
      </c>
      <c r="F70" s="320"/>
      <c r="G70" s="330" t="s">
        <v>2854</v>
      </c>
    </row>
    <row r="71">
      <c r="A71" s="342" t="s">
        <v>2907</v>
      </c>
      <c r="B71" s="334" t="s">
        <v>2946</v>
      </c>
      <c r="C71" s="334" t="s">
        <v>2956</v>
      </c>
      <c r="D71" s="328" t="s">
        <v>2967</v>
      </c>
      <c r="E71" s="329" t="s">
        <v>2968</v>
      </c>
      <c r="F71" s="320"/>
      <c r="G71" s="330" t="s">
        <v>2856</v>
      </c>
    </row>
    <row r="72">
      <c r="A72" s="341" t="s">
        <v>2907</v>
      </c>
      <c r="B72" s="331" t="s">
        <v>2969</v>
      </c>
      <c r="C72" s="331" t="s">
        <v>2970</v>
      </c>
      <c r="D72" s="332" t="s">
        <v>2971</v>
      </c>
      <c r="E72" s="333" t="s">
        <v>2972</v>
      </c>
      <c r="F72" s="320"/>
      <c r="G72" s="330" t="s">
        <v>2857</v>
      </c>
    </row>
    <row r="73">
      <c r="A73" s="342" t="s">
        <v>2907</v>
      </c>
      <c r="B73" s="334" t="s">
        <v>2969</v>
      </c>
      <c r="C73" s="334" t="s">
        <v>2970</v>
      </c>
      <c r="D73" s="328" t="s">
        <v>2973</v>
      </c>
      <c r="E73" s="329" t="s">
        <v>2974</v>
      </c>
      <c r="F73" s="320"/>
      <c r="G73" s="330" t="s">
        <v>2859</v>
      </c>
    </row>
    <row r="74">
      <c r="A74" s="341" t="s">
        <v>2907</v>
      </c>
      <c r="B74" s="331" t="s">
        <v>2975</v>
      </c>
      <c r="C74" s="331" t="s">
        <v>2976</v>
      </c>
      <c r="D74" s="332" t="s">
        <v>2977</v>
      </c>
      <c r="E74" s="333" t="s">
        <v>2978</v>
      </c>
      <c r="F74" s="320"/>
      <c r="G74" s="330" t="s">
        <v>2860</v>
      </c>
    </row>
    <row r="75">
      <c r="A75" s="342" t="s">
        <v>2907</v>
      </c>
      <c r="B75" s="334" t="s">
        <v>2975</v>
      </c>
      <c r="C75" s="334" t="s">
        <v>2976</v>
      </c>
      <c r="D75" s="328" t="s">
        <v>2979</v>
      </c>
      <c r="E75" s="329" t="s">
        <v>2980</v>
      </c>
      <c r="F75" s="320"/>
      <c r="G75" s="330" t="s">
        <v>2861</v>
      </c>
    </row>
    <row r="76">
      <c r="A76" s="341" t="s">
        <v>2907</v>
      </c>
      <c r="B76" s="331" t="s">
        <v>2975</v>
      </c>
      <c r="C76" s="331" t="s">
        <v>2976</v>
      </c>
      <c r="D76" s="332" t="s">
        <v>2981</v>
      </c>
      <c r="E76" s="333" t="s">
        <v>2982</v>
      </c>
      <c r="F76" s="320"/>
      <c r="G76" s="330" t="s">
        <v>2863</v>
      </c>
    </row>
    <row r="77">
      <c r="A77" s="342" t="s">
        <v>2907</v>
      </c>
      <c r="B77" s="334" t="s">
        <v>2975</v>
      </c>
      <c r="C77" s="327" t="s">
        <v>2983</v>
      </c>
      <c r="D77" s="328" t="s">
        <v>2984</v>
      </c>
      <c r="E77" s="329" t="s">
        <v>2985</v>
      </c>
      <c r="F77" s="320"/>
      <c r="G77" s="330" t="s">
        <v>2864</v>
      </c>
    </row>
    <row r="78">
      <c r="A78" s="341" t="s">
        <v>2907</v>
      </c>
      <c r="B78" s="331" t="s">
        <v>2975</v>
      </c>
      <c r="C78" s="331" t="s">
        <v>2986</v>
      </c>
      <c r="D78" s="332" t="s">
        <v>2987</v>
      </c>
      <c r="E78" s="333" t="s">
        <v>2988</v>
      </c>
      <c r="F78" s="320"/>
      <c r="G78" s="330" t="s">
        <v>2865</v>
      </c>
    </row>
    <row r="79">
      <c r="A79" s="342" t="s">
        <v>2907</v>
      </c>
      <c r="B79" s="334" t="s">
        <v>2975</v>
      </c>
      <c r="C79" s="334" t="s">
        <v>2986</v>
      </c>
      <c r="D79" s="328" t="s">
        <v>2989</v>
      </c>
      <c r="E79" s="329" t="s">
        <v>2988</v>
      </c>
      <c r="F79" s="320"/>
      <c r="G79" s="330" t="s">
        <v>2866</v>
      </c>
    </row>
    <row r="80">
      <c r="A80" s="341" t="s">
        <v>2907</v>
      </c>
      <c r="B80" s="331" t="s">
        <v>2975</v>
      </c>
      <c r="C80" s="337" t="s">
        <v>2990</v>
      </c>
      <c r="D80" s="332" t="s">
        <v>2991</v>
      </c>
      <c r="E80" s="333" t="s">
        <v>2992</v>
      </c>
      <c r="F80" s="320"/>
      <c r="G80" s="330" t="s">
        <v>2868</v>
      </c>
    </row>
    <row r="81">
      <c r="A81" s="342" t="s">
        <v>2907</v>
      </c>
      <c r="B81" s="334" t="s">
        <v>2975</v>
      </c>
      <c r="C81" s="327" t="s">
        <v>2993</v>
      </c>
      <c r="D81" s="328" t="s">
        <v>2994</v>
      </c>
      <c r="E81" s="329" t="s">
        <v>2995</v>
      </c>
      <c r="F81" s="320"/>
      <c r="G81" s="330" t="s">
        <v>2869</v>
      </c>
    </row>
    <row r="82">
      <c r="A82" s="341" t="s">
        <v>2907</v>
      </c>
      <c r="B82" s="331" t="s">
        <v>2975</v>
      </c>
      <c r="C82" s="337" t="s">
        <v>2996</v>
      </c>
      <c r="D82" s="332" t="s">
        <v>2997</v>
      </c>
      <c r="E82" s="333" t="s">
        <v>2998</v>
      </c>
      <c r="F82" s="320"/>
      <c r="G82" s="330" t="s">
        <v>2870</v>
      </c>
    </row>
    <row r="83">
      <c r="A83" s="327" t="s">
        <v>2999</v>
      </c>
      <c r="B83" s="327" t="s">
        <v>3000</v>
      </c>
      <c r="C83" s="327" t="s">
        <v>3001</v>
      </c>
      <c r="D83" s="328" t="s">
        <v>3001</v>
      </c>
      <c r="E83" s="329" t="s">
        <v>3002</v>
      </c>
      <c r="F83" s="320"/>
      <c r="G83" s="330" t="s">
        <v>2872</v>
      </c>
    </row>
    <row r="84">
      <c r="A84" s="331" t="s">
        <v>3003</v>
      </c>
      <c r="B84" s="337" t="s">
        <v>3004</v>
      </c>
      <c r="C84" s="337" t="s">
        <v>3005</v>
      </c>
      <c r="D84" s="332" t="s">
        <v>3006</v>
      </c>
      <c r="E84" s="333" t="s">
        <v>3007</v>
      </c>
      <c r="F84" s="320"/>
      <c r="G84" s="330" t="s">
        <v>2873</v>
      </c>
    </row>
    <row r="85">
      <c r="A85" s="334" t="s">
        <v>3003</v>
      </c>
      <c r="B85" s="327" t="s">
        <v>3008</v>
      </c>
      <c r="C85" s="327" t="s">
        <v>3009</v>
      </c>
      <c r="D85" s="328" t="s">
        <v>3010</v>
      </c>
      <c r="E85" s="329" t="s">
        <v>3011</v>
      </c>
      <c r="F85" s="320"/>
      <c r="G85" s="330" t="s">
        <v>2875</v>
      </c>
    </row>
    <row r="86">
      <c r="A86" s="331" t="s">
        <v>3003</v>
      </c>
      <c r="B86" s="337" t="s">
        <v>3012</v>
      </c>
      <c r="C86" s="337" t="s">
        <v>3013</v>
      </c>
      <c r="D86" s="332" t="s">
        <v>3014</v>
      </c>
      <c r="E86" s="333" t="s">
        <v>3015</v>
      </c>
      <c r="F86" s="320"/>
      <c r="G86" s="330" t="s">
        <v>2876</v>
      </c>
    </row>
    <row r="87">
      <c r="A87" s="343" t="s">
        <v>3016</v>
      </c>
      <c r="B87" s="334" t="s">
        <v>3017</v>
      </c>
      <c r="C87" s="327" t="s">
        <v>3018</v>
      </c>
      <c r="D87" s="328" t="s">
        <v>3019</v>
      </c>
      <c r="E87" s="329" t="s">
        <v>3020</v>
      </c>
      <c r="F87" s="320"/>
      <c r="G87" s="330" t="s">
        <v>2878</v>
      </c>
    </row>
    <row r="88">
      <c r="A88" s="344" t="s">
        <v>3016</v>
      </c>
      <c r="B88" s="331" t="s">
        <v>3017</v>
      </c>
      <c r="C88" s="337" t="s">
        <v>3021</v>
      </c>
      <c r="D88" s="332" t="s">
        <v>3022</v>
      </c>
      <c r="E88" s="333" t="s">
        <v>3023</v>
      </c>
      <c r="F88" s="320"/>
      <c r="G88" s="330" t="s">
        <v>2879</v>
      </c>
    </row>
    <row r="89">
      <c r="A89" s="343" t="s">
        <v>3016</v>
      </c>
      <c r="B89" s="334" t="s">
        <v>3017</v>
      </c>
      <c r="C89" s="327" t="s">
        <v>3024</v>
      </c>
      <c r="D89" s="328" t="s">
        <v>3025</v>
      </c>
      <c r="E89" s="329" t="s">
        <v>3026</v>
      </c>
      <c r="F89" s="320"/>
      <c r="G89" s="330" t="s">
        <v>2880</v>
      </c>
    </row>
    <row r="90">
      <c r="A90" s="344" t="s">
        <v>3016</v>
      </c>
      <c r="B90" s="337" t="s">
        <v>3027</v>
      </c>
      <c r="C90" s="337" t="s">
        <v>3028</v>
      </c>
      <c r="D90" s="332" t="s">
        <v>3029</v>
      </c>
      <c r="E90" s="333" t="s">
        <v>3030</v>
      </c>
      <c r="F90" s="320"/>
      <c r="G90" s="330" t="s">
        <v>2882</v>
      </c>
    </row>
    <row r="91">
      <c r="A91" s="345" t="s">
        <v>3016</v>
      </c>
      <c r="B91" s="346" t="s">
        <v>3031</v>
      </c>
      <c r="C91" s="347" t="s">
        <v>3032</v>
      </c>
      <c r="D91" s="348" t="s">
        <v>3033</v>
      </c>
      <c r="E91" s="349" t="s">
        <v>3034</v>
      </c>
      <c r="F91" s="320"/>
      <c r="G91" s="330" t="s">
        <v>2883</v>
      </c>
    </row>
    <row r="92">
      <c r="A92" s="350" t="s">
        <v>3016</v>
      </c>
      <c r="B92" s="351" t="s">
        <v>3031</v>
      </c>
      <c r="C92" s="352" t="s">
        <v>3035</v>
      </c>
      <c r="D92" s="353" t="s">
        <v>3036</v>
      </c>
      <c r="E92" s="354" t="s">
        <v>3037</v>
      </c>
      <c r="F92" s="320"/>
      <c r="G92" s="330" t="s">
        <v>2884</v>
      </c>
    </row>
    <row r="93">
      <c r="A93" s="345" t="s">
        <v>3016</v>
      </c>
      <c r="B93" s="346" t="s">
        <v>3031</v>
      </c>
      <c r="C93" s="347" t="s">
        <v>3038</v>
      </c>
      <c r="D93" s="348" t="s">
        <v>3039</v>
      </c>
      <c r="E93" s="349" t="s">
        <v>3040</v>
      </c>
      <c r="F93" s="320"/>
      <c r="G93" s="330" t="s">
        <v>2885</v>
      </c>
    </row>
    <row r="94">
      <c r="A94" s="320"/>
      <c r="B94" s="320"/>
      <c r="C94" s="320"/>
      <c r="D94" s="320"/>
      <c r="E94" s="355"/>
      <c r="F94" s="320"/>
      <c r="G94" s="330" t="s">
        <v>2887</v>
      </c>
    </row>
    <row r="95">
      <c r="A95" s="320"/>
      <c r="B95" s="320"/>
      <c r="C95" s="320"/>
      <c r="D95" s="320"/>
      <c r="E95" s="355"/>
      <c r="F95" s="320"/>
      <c r="G95" s="330" t="s">
        <v>2888</v>
      </c>
    </row>
    <row r="96">
      <c r="A96" s="320"/>
      <c r="B96" s="320"/>
      <c r="C96" s="320"/>
      <c r="D96" s="320"/>
      <c r="E96" s="355"/>
      <c r="F96" s="320"/>
      <c r="G96" s="330" t="s">
        <v>2889</v>
      </c>
    </row>
    <row r="97">
      <c r="A97" s="320"/>
      <c r="B97" s="320"/>
      <c r="C97" s="320"/>
      <c r="D97" s="320"/>
      <c r="E97" s="355"/>
      <c r="F97" s="320"/>
      <c r="G97" s="330" t="s">
        <v>2891</v>
      </c>
    </row>
    <row r="98">
      <c r="A98" s="320"/>
      <c r="B98" s="320"/>
      <c r="C98" s="320"/>
      <c r="D98" s="320"/>
      <c r="E98" s="355"/>
      <c r="F98" s="320"/>
      <c r="G98" s="330" t="s">
        <v>2892</v>
      </c>
    </row>
    <row r="99">
      <c r="A99" s="320"/>
      <c r="B99" s="320"/>
      <c r="C99" s="320"/>
      <c r="D99" s="320"/>
      <c r="E99" s="355"/>
      <c r="F99" s="320"/>
      <c r="G99" s="330" t="s">
        <v>2893</v>
      </c>
    </row>
    <row r="100">
      <c r="A100" s="320"/>
      <c r="B100" s="320"/>
      <c r="C100" s="320"/>
      <c r="D100" s="320"/>
      <c r="E100" s="355"/>
      <c r="F100" s="320"/>
      <c r="G100" s="330" t="s">
        <v>2895</v>
      </c>
    </row>
    <row r="101">
      <c r="A101" s="320"/>
      <c r="B101" s="320"/>
      <c r="C101" s="320"/>
      <c r="D101" s="320"/>
      <c r="E101" s="355"/>
      <c r="F101" s="320"/>
      <c r="G101" s="330" t="s">
        <v>2896</v>
      </c>
    </row>
    <row r="102">
      <c r="A102" s="320"/>
      <c r="B102" s="320"/>
      <c r="C102" s="320"/>
      <c r="D102" s="320"/>
      <c r="E102" s="355"/>
      <c r="F102" s="320"/>
      <c r="G102" s="330" t="s">
        <v>2897</v>
      </c>
    </row>
    <row r="103">
      <c r="A103" s="320"/>
      <c r="B103" s="320"/>
      <c r="C103" s="320"/>
      <c r="D103" s="320"/>
      <c r="E103" s="355"/>
      <c r="F103" s="320"/>
      <c r="G103" s="330" t="s">
        <v>2899</v>
      </c>
    </row>
    <row r="104">
      <c r="A104" s="320"/>
      <c r="B104" s="320"/>
      <c r="C104" s="320"/>
      <c r="D104" s="320"/>
      <c r="E104" s="355"/>
      <c r="F104" s="320"/>
      <c r="G104" s="330" t="s">
        <v>2900</v>
      </c>
    </row>
    <row r="105">
      <c r="A105" s="320"/>
      <c r="B105" s="320"/>
      <c r="C105" s="320"/>
      <c r="D105" s="320"/>
      <c r="E105" s="355"/>
      <c r="F105" s="320"/>
      <c r="G105" s="330" t="s">
        <v>2901</v>
      </c>
    </row>
    <row r="106">
      <c r="A106" s="320"/>
      <c r="B106" s="320"/>
      <c r="C106" s="320"/>
      <c r="D106" s="320"/>
      <c r="E106" s="355"/>
      <c r="F106" s="320"/>
      <c r="G106" s="330" t="s">
        <v>2903</v>
      </c>
    </row>
    <row r="107">
      <c r="A107" s="320"/>
      <c r="B107" s="320"/>
      <c r="C107" s="320"/>
      <c r="D107" s="320"/>
      <c r="E107" s="355"/>
      <c r="F107" s="320"/>
      <c r="G107" s="330" t="s">
        <v>2904</v>
      </c>
    </row>
    <row r="108">
      <c r="A108" s="320"/>
      <c r="B108" s="320"/>
      <c r="C108" s="320"/>
      <c r="D108" s="320"/>
      <c r="E108" s="355"/>
      <c r="F108" s="320"/>
      <c r="G108" s="330" t="s">
        <v>2905</v>
      </c>
    </row>
    <row r="109">
      <c r="A109" s="320"/>
      <c r="B109" s="320"/>
      <c r="C109" s="320"/>
      <c r="D109" s="320"/>
      <c r="E109" s="355"/>
      <c r="F109" s="320"/>
      <c r="G109" s="330" t="s">
        <v>2907</v>
      </c>
    </row>
    <row r="110">
      <c r="A110" s="320"/>
      <c r="B110" s="320"/>
      <c r="C110" s="320"/>
      <c r="D110" s="320"/>
      <c r="E110" s="355"/>
      <c r="F110" s="320"/>
      <c r="G110" s="330" t="s">
        <v>2908</v>
      </c>
    </row>
    <row r="111">
      <c r="A111" s="320"/>
      <c r="B111" s="320"/>
      <c r="C111" s="320"/>
      <c r="D111" s="320"/>
      <c r="E111" s="355"/>
      <c r="F111" s="320"/>
      <c r="G111" s="330" t="s">
        <v>2909</v>
      </c>
    </row>
    <row r="112">
      <c r="A112" s="320"/>
      <c r="B112" s="320"/>
      <c r="C112" s="320"/>
      <c r="D112" s="320"/>
      <c r="E112" s="355"/>
      <c r="F112" s="320"/>
      <c r="G112" s="330" t="s">
        <v>2910</v>
      </c>
    </row>
    <row r="113">
      <c r="A113" s="320"/>
      <c r="B113" s="320"/>
      <c r="C113" s="320"/>
      <c r="D113" s="320"/>
      <c r="E113" s="355"/>
      <c r="F113" s="320"/>
      <c r="G113" s="330" t="s">
        <v>2912</v>
      </c>
    </row>
    <row r="114">
      <c r="A114" s="320"/>
      <c r="B114" s="320"/>
      <c r="C114" s="320"/>
      <c r="D114" s="320"/>
      <c r="E114" s="355"/>
      <c r="F114" s="320"/>
      <c r="G114" s="330" t="s">
        <v>2913</v>
      </c>
    </row>
    <row r="115">
      <c r="A115" s="320"/>
      <c r="B115" s="320"/>
      <c r="C115" s="320"/>
      <c r="D115" s="320"/>
      <c r="E115" s="355"/>
      <c r="F115" s="320"/>
      <c r="G115" s="330" t="s">
        <v>2915</v>
      </c>
    </row>
    <row r="116">
      <c r="A116" s="320"/>
      <c r="B116" s="320"/>
      <c r="C116" s="320"/>
      <c r="D116" s="320"/>
      <c r="E116" s="355"/>
      <c r="F116" s="320"/>
      <c r="G116" s="330" t="s">
        <v>2917</v>
      </c>
    </row>
    <row r="117">
      <c r="A117" s="320"/>
      <c r="B117" s="320"/>
      <c r="C117" s="320"/>
      <c r="D117" s="320"/>
      <c r="E117" s="355"/>
      <c r="F117" s="320"/>
      <c r="G117" s="330" t="s">
        <v>2918</v>
      </c>
    </row>
    <row r="118">
      <c r="A118" s="320"/>
      <c r="B118" s="320"/>
      <c r="C118" s="320"/>
      <c r="D118" s="320"/>
      <c r="E118" s="355"/>
      <c r="F118" s="320"/>
      <c r="G118" s="330" t="s">
        <v>2920</v>
      </c>
    </row>
    <row r="119">
      <c r="A119" s="320"/>
      <c r="B119" s="320"/>
      <c r="C119" s="320"/>
      <c r="D119" s="320"/>
      <c r="E119" s="355"/>
      <c r="F119" s="320"/>
      <c r="G119" s="330" t="s">
        <v>2922</v>
      </c>
    </row>
    <row r="120">
      <c r="A120" s="320"/>
      <c r="B120" s="320"/>
      <c r="C120" s="320"/>
      <c r="D120" s="320"/>
      <c r="E120" s="355"/>
      <c r="F120" s="320"/>
      <c r="G120" s="330" t="s">
        <v>2923</v>
      </c>
    </row>
    <row r="121">
      <c r="A121" s="320"/>
      <c r="B121" s="320"/>
      <c r="C121" s="320"/>
      <c r="D121" s="320"/>
      <c r="E121" s="355"/>
      <c r="F121" s="320"/>
      <c r="G121" s="330" t="s">
        <v>2924</v>
      </c>
    </row>
    <row r="122">
      <c r="A122" s="320"/>
      <c r="B122" s="320"/>
      <c r="C122" s="320"/>
      <c r="D122" s="320"/>
      <c r="E122" s="355"/>
      <c r="F122" s="320"/>
      <c r="G122" s="330" t="s">
        <v>2926</v>
      </c>
    </row>
    <row r="123">
      <c r="A123" s="320"/>
      <c r="B123" s="320"/>
      <c r="C123" s="320"/>
      <c r="D123" s="320"/>
      <c r="E123" s="355"/>
      <c r="F123" s="320"/>
      <c r="G123" s="330" t="s">
        <v>2928</v>
      </c>
    </row>
    <row r="124">
      <c r="A124" s="320"/>
      <c r="B124" s="320"/>
      <c r="C124" s="320"/>
      <c r="D124" s="320"/>
      <c r="E124" s="355"/>
      <c r="F124" s="320"/>
      <c r="G124" s="330" t="s">
        <v>3041</v>
      </c>
    </row>
    <row r="125">
      <c r="A125" s="320"/>
      <c r="B125" s="320"/>
      <c r="C125" s="320"/>
      <c r="D125" s="320"/>
      <c r="E125" s="355"/>
      <c r="F125" s="320"/>
      <c r="G125" s="330" t="s">
        <v>2931</v>
      </c>
    </row>
    <row r="126">
      <c r="A126" s="320"/>
      <c r="B126" s="320"/>
      <c r="C126" s="320"/>
      <c r="D126" s="320"/>
      <c r="E126" s="355"/>
      <c r="F126" s="320"/>
      <c r="G126" s="330" t="s">
        <v>2934</v>
      </c>
    </row>
    <row r="127">
      <c r="A127" s="320"/>
      <c r="B127" s="320"/>
      <c r="C127" s="320"/>
      <c r="D127" s="320"/>
      <c r="E127" s="355"/>
      <c r="F127" s="320"/>
      <c r="G127" s="330" t="s">
        <v>2936</v>
      </c>
    </row>
    <row r="128">
      <c r="A128" s="320"/>
      <c r="B128" s="320"/>
      <c r="C128" s="320"/>
      <c r="D128" s="320"/>
      <c r="E128" s="355"/>
      <c r="F128" s="320"/>
      <c r="G128" s="330" t="s">
        <v>2937</v>
      </c>
    </row>
    <row r="129">
      <c r="A129" s="320"/>
      <c r="B129" s="320"/>
      <c r="C129" s="320"/>
      <c r="D129" s="320"/>
      <c r="E129" s="355"/>
      <c r="F129" s="320"/>
      <c r="G129" s="330" t="s">
        <v>2939</v>
      </c>
    </row>
    <row r="130">
      <c r="A130" s="320"/>
      <c r="B130" s="320"/>
      <c r="C130" s="320"/>
      <c r="D130" s="320"/>
      <c r="E130" s="355"/>
      <c r="F130" s="320"/>
      <c r="G130" s="330" t="s">
        <v>2940</v>
      </c>
    </row>
    <row r="131">
      <c r="A131" s="320"/>
      <c r="B131" s="320"/>
      <c r="C131" s="320"/>
      <c r="D131" s="320"/>
      <c r="E131" s="355"/>
      <c r="F131" s="320"/>
      <c r="G131" s="330" t="s">
        <v>2942</v>
      </c>
    </row>
    <row r="132">
      <c r="A132" s="320"/>
      <c r="B132" s="320"/>
      <c r="C132" s="320"/>
      <c r="D132" s="320"/>
      <c r="E132" s="355"/>
      <c r="F132" s="320"/>
      <c r="G132" s="330" t="s">
        <v>2944</v>
      </c>
    </row>
    <row r="133">
      <c r="A133" s="320"/>
      <c r="B133" s="320"/>
      <c r="C133" s="320"/>
      <c r="D133" s="320"/>
      <c r="E133" s="355"/>
      <c r="F133" s="320"/>
      <c r="G133" s="330" t="s">
        <v>2946</v>
      </c>
    </row>
    <row r="134">
      <c r="A134" s="320"/>
      <c r="B134" s="320"/>
      <c r="C134" s="320"/>
      <c r="D134" s="320"/>
      <c r="E134" s="355"/>
      <c r="F134" s="320"/>
      <c r="G134" s="330" t="s">
        <v>2947</v>
      </c>
    </row>
    <row r="135">
      <c r="A135" s="320"/>
      <c r="B135" s="320"/>
      <c r="C135" s="320"/>
      <c r="D135" s="320"/>
      <c r="E135" s="355"/>
      <c r="F135" s="320"/>
      <c r="G135" s="330" t="s">
        <v>2948</v>
      </c>
    </row>
    <row r="136">
      <c r="A136" s="320"/>
      <c r="B136" s="320"/>
      <c r="C136" s="320"/>
      <c r="D136" s="320"/>
      <c r="E136" s="355"/>
      <c r="F136" s="320"/>
      <c r="G136" s="330" t="s">
        <v>2950</v>
      </c>
    </row>
    <row r="137">
      <c r="A137" s="320"/>
      <c r="B137" s="320"/>
      <c r="C137" s="320"/>
      <c r="D137" s="320"/>
      <c r="E137" s="355"/>
      <c r="F137" s="320"/>
      <c r="G137" s="330" t="s">
        <v>2952</v>
      </c>
    </row>
    <row r="138">
      <c r="A138" s="320"/>
      <c r="B138" s="320"/>
      <c r="C138" s="320"/>
      <c r="D138" s="320"/>
      <c r="E138" s="355"/>
      <c r="F138" s="320"/>
      <c r="G138" s="330" t="s">
        <v>2954</v>
      </c>
    </row>
    <row r="139">
      <c r="A139" s="320"/>
      <c r="B139" s="320"/>
      <c r="C139" s="320"/>
      <c r="D139" s="320"/>
      <c r="E139" s="355"/>
      <c r="F139" s="320"/>
      <c r="G139" s="330" t="s">
        <v>2956</v>
      </c>
    </row>
    <row r="140">
      <c r="A140" s="320"/>
      <c r="B140" s="320"/>
      <c r="C140" s="320"/>
      <c r="D140" s="320"/>
      <c r="E140" s="355"/>
      <c r="F140" s="320"/>
      <c r="G140" s="330" t="s">
        <v>2957</v>
      </c>
    </row>
    <row r="141">
      <c r="A141" s="320"/>
      <c r="B141" s="320"/>
      <c r="C141" s="320"/>
      <c r="D141" s="320"/>
      <c r="E141" s="355"/>
      <c r="F141" s="320"/>
      <c r="G141" s="330" t="s">
        <v>2959</v>
      </c>
    </row>
    <row r="142">
      <c r="A142" s="320"/>
      <c r="B142" s="320"/>
      <c r="C142" s="320"/>
      <c r="D142" s="320"/>
      <c r="E142" s="355"/>
      <c r="F142" s="320"/>
      <c r="G142" s="330" t="s">
        <v>2961</v>
      </c>
    </row>
    <row r="143">
      <c r="A143" s="320"/>
      <c r="B143" s="320"/>
      <c r="C143" s="320"/>
      <c r="D143" s="320"/>
      <c r="E143" s="355"/>
      <c r="F143" s="320"/>
      <c r="G143" s="330" t="s">
        <v>2963</v>
      </c>
    </row>
    <row r="144">
      <c r="A144" s="320"/>
      <c r="B144" s="320"/>
      <c r="C144" s="320"/>
      <c r="D144" s="320"/>
      <c r="E144" s="355"/>
      <c r="F144" s="320"/>
      <c r="G144" s="330" t="s">
        <v>2965</v>
      </c>
    </row>
    <row r="145">
      <c r="A145" s="320"/>
      <c r="B145" s="320"/>
      <c r="C145" s="320"/>
      <c r="D145" s="320"/>
      <c r="E145" s="355"/>
      <c r="F145" s="320"/>
      <c r="G145" s="330" t="s">
        <v>2967</v>
      </c>
    </row>
    <row r="146">
      <c r="A146" s="320"/>
      <c r="B146" s="320"/>
      <c r="C146" s="320"/>
      <c r="D146" s="320"/>
      <c r="E146" s="355"/>
      <c r="F146" s="320"/>
      <c r="G146" s="330" t="s">
        <v>2969</v>
      </c>
    </row>
    <row r="147">
      <c r="A147" s="320"/>
      <c r="B147" s="320"/>
      <c r="C147" s="320"/>
      <c r="D147" s="320"/>
      <c r="E147" s="355"/>
      <c r="F147" s="320"/>
      <c r="G147" s="330" t="s">
        <v>2970</v>
      </c>
    </row>
    <row r="148">
      <c r="A148" s="320"/>
      <c r="B148" s="320"/>
      <c r="C148" s="320"/>
      <c r="D148" s="320"/>
      <c r="E148" s="355"/>
      <c r="F148" s="320"/>
      <c r="G148" s="330" t="s">
        <v>2971</v>
      </c>
    </row>
    <row r="149">
      <c r="A149" s="320"/>
      <c r="B149" s="320"/>
      <c r="C149" s="320"/>
      <c r="D149" s="320"/>
      <c r="E149" s="355"/>
      <c r="F149" s="320"/>
      <c r="G149" s="330" t="s">
        <v>2973</v>
      </c>
    </row>
    <row r="150">
      <c r="A150" s="320"/>
      <c r="B150" s="320"/>
      <c r="C150" s="320"/>
      <c r="D150" s="320"/>
      <c r="E150" s="355"/>
      <c r="F150" s="320"/>
      <c r="G150" s="330" t="s">
        <v>2975</v>
      </c>
    </row>
    <row r="151">
      <c r="A151" s="320"/>
      <c r="B151" s="320"/>
      <c r="C151" s="320"/>
      <c r="D151" s="320"/>
      <c r="E151" s="355"/>
      <c r="F151" s="320"/>
      <c r="G151" s="330" t="s">
        <v>2976</v>
      </c>
    </row>
    <row r="152">
      <c r="A152" s="320"/>
      <c r="B152" s="320"/>
      <c r="C152" s="320"/>
      <c r="D152" s="320"/>
      <c r="E152" s="355"/>
      <c r="F152" s="320"/>
      <c r="G152" s="330" t="s">
        <v>2977</v>
      </c>
    </row>
    <row r="153">
      <c r="A153" s="320"/>
      <c r="B153" s="320"/>
      <c r="C153" s="320"/>
      <c r="D153" s="320"/>
      <c r="E153" s="355"/>
      <c r="F153" s="320"/>
      <c r="G153" s="330" t="s">
        <v>2979</v>
      </c>
    </row>
    <row r="154">
      <c r="A154" s="320"/>
      <c r="B154" s="320"/>
      <c r="C154" s="320"/>
      <c r="D154" s="320"/>
      <c r="E154" s="355"/>
      <c r="F154" s="320"/>
      <c r="G154" s="330" t="s">
        <v>2981</v>
      </c>
    </row>
    <row r="155">
      <c r="A155" s="320"/>
      <c r="B155" s="320"/>
      <c r="C155" s="320"/>
      <c r="D155" s="320"/>
      <c r="E155" s="355"/>
      <c r="F155" s="320"/>
      <c r="G155" s="330" t="s">
        <v>2983</v>
      </c>
    </row>
    <row r="156">
      <c r="A156" s="320"/>
      <c r="B156" s="320"/>
      <c r="C156" s="320"/>
      <c r="D156" s="320"/>
      <c r="E156" s="355"/>
      <c r="F156" s="320"/>
      <c r="G156" s="330" t="s">
        <v>2984</v>
      </c>
    </row>
    <row r="157">
      <c r="A157" s="320"/>
      <c r="B157" s="320"/>
      <c r="C157" s="320"/>
      <c r="D157" s="320"/>
      <c r="E157" s="355"/>
      <c r="F157" s="320"/>
      <c r="G157" s="330" t="s">
        <v>2986</v>
      </c>
    </row>
    <row r="158">
      <c r="A158" s="320"/>
      <c r="B158" s="320"/>
      <c r="C158" s="320"/>
      <c r="D158" s="320"/>
      <c r="E158" s="355"/>
      <c r="F158" s="320"/>
      <c r="G158" s="330" t="s">
        <v>2987</v>
      </c>
    </row>
    <row r="159">
      <c r="A159" s="320"/>
      <c r="B159" s="320"/>
      <c r="C159" s="320"/>
      <c r="D159" s="320"/>
      <c r="E159" s="355"/>
      <c r="F159" s="320"/>
      <c r="G159" s="330" t="s">
        <v>2989</v>
      </c>
    </row>
    <row r="160">
      <c r="A160" s="320"/>
      <c r="B160" s="320"/>
      <c r="C160" s="320"/>
      <c r="D160" s="320"/>
      <c r="E160" s="355"/>
      <c r="F160" s="320"/>
      <c r="G160" s="330" t="s">
        <v>2990</v>
      </c>
    </row>
    <row r="161">
      <c r="A161" s="320"/>
      <c r="B161" s="320"/>
      <c r="C161" s="320"/>
      <c r="D161" s="320"/>
      <c r="E161" s="355"/>
      <c r="F161" s="320"/>
      <c r="G161" s="330" t="s">
        <v>2991</v>
      </c>
    </row>
    <row r="162">
      <c r="A162" s="320"/>
      <c r="B162" s="320"/>
      <c r="C162" s="320"/>
      <c r="D162" s="320"/>
      <c r="E162" s="355"/>
      <c r="F162" s="320"/>
      <c r="G162" s="330" t="s">
        <v>2993</v>
      </c>
    </row>
    <row r="163">
      <c r="A163" s="320"/>
      <c r="B163" s="320"/>
      <c r="C163" s="320"/>
      <c r="D163" s="320"/>
      <c r="E163" s="355"/>
      <c r="F163" s="320"/>
      <c r="G163" s="330" t="s">
        <v>2994</v>
      </c>
    </row>
    <row r="164">
      <c r="A164" s="320"/>
      <c r="B164" s="320"/>
      <c r="C164" s="320"/>
      <c r="D164" s="320"/>
      <c r="E164" s="355"/>
      <c r="F164" s="320"/>
      <c r="G164" s="330" t="s">
        <v>2996</v>
      </c>
    </row>
    <row r="165">
      <c r="A165" s="320"/>
      <c r="B165" s="320"/>
      <c r="C165" s="320"/>
      <c r="D165" s="320"/>
      <c r="E165" s="355"/>
      <c r="F165" s="320"/>
      <c r="G165" s="330" t="s">
        <v>2997</v>
      </c>
    </row>
    <row r="166">
      <c r="A166" s="320"/>
      <c r="B166" s="320"/>
      <c r="C166" s="320"/>
      <c r="D166" s="320"/>
      <c r="E166" s="355"/>
      <c r="F166" s="320"/>
      <c r="G166" s="330" t="s">
        <v>2999</v>
      </c>
    </row>
    <row r="167">
      <c r="A167" s="320"/>
      <c r="B167" s="320"/>
      <c r="C167" s="320"/>
      <c r="D167" s="320"/>
      <c r="E167" s="355"/>
      <c r="F167" s="320"/>
      <c r="G167" s="330" t="s">
        <v>3000</v>
      </c>
    </row>
    <row r="168">
      <c r="A168" s="320"/>
      <c r="B168" s="320"/>
      <c r="C168" s="320"/>
      <c r="D168" s="320"/>
      <c r="E168" s="355"/>
      <c r="F168" s="320"/>
      <c r="G168" s="330" t="s">
        <v>3001</v>
      </c>
    </row>
    <row r="169">
      <c r="A169" s="320"/>
      <c r="B169" s="320"/>
      <c r="C169" s="320"/>
      <c r="D169" s="320"/>
      <c r="E169" s="355"/>
      <c r="F169" s="320"/>
      <c r="G169" s="330" t="s">
        <v>3003</v>
      </c>
    </row>
    <row r="170">
      <c r="A170" s="320"/>
      <c r="B170" s="320"/>
      <c r="C170" s="320"/>
      <c r="D170" s="320"/>
      <c r="E170" s="355"/>
      <c r="F170" s="320"/>
      <c r="G170" s="330" t="s">
        <v>3004</v>
      </c>
    </row>
    <row r="171">
      <c r="A171" s="320"/>
      <c r="B171" s="320"/>
      <c r="C171" s="320"/>
      <c r="D171" s="320"/>
      <c r="E171" s="355"/>
      <c r="F171" s="320"/>
      <c r="G171" s="330" t="s">
        <v>3005</v>
      </c>
    </row>
    <row r="172">
      <c r="A172" s="320"/>
      <c r="B172" s="320"/>
      <c r="C172" s="320"/>
      <c r="D172" s="320"/>
      <c r="E172" s="355"/>
      <c r="F172" s="320"/>
      <c r="G172" s="330" t="s">
        <v>3006</v>
      </c>
    </row>
    <row r="173">
      <c r="A173" s="320"/>
      <c r="B173" s="320"/>
      <c r="C173" s="320"/>
      <c r="D173" s="320"/>
      <c r="E173" s="355"/>
      <c r="F173" s="320"/>
      <c r="G173" s="330" t="s">
        <v>3008</v>
      </c>
    </row>
    <row r="174">
      <c r="A174" s="320"/>
      <c r="B174" s="320"/>
      <c r="C174" s="320"/>
      <c r="D174" s="320"/>
      <c r="E174" s="355"/>
      <c r="F174" s="320"/>
      <c r="G174" s="330" t="s">
        <v>3009</v>
      </c>
    </row>
    <row r="175">
      <c r="A175" s="320"/>
      <c r="B175" s="320"/>
      <c r="C175" s="320"/>
      <c r="D175" s="320"/>
      <c r="E175" s="355"/>
      <c r="F175" s="320"/>
      <c r="G175" s="330" t="s">
        <v>3010</v>
      </c>
    </row>
    <row r="176">
      <c r="A176" s="320"/>
      <c r="B176" s="320"/>
      <c r="C176" s="320"/>
      <c r="D176" s="320"/>
      <c r="E176" s="355"/>
      <c r="F176" s="320"/>
      <c r="G176" s="330" t="s">
        <v>3012</v>
      </c>
    </row>
    <row r="177">
      <c r="A177" s="320"/>
      <c r="B177" s="320"/>
      <c r="C177" s="320"/>
      <c r="D177" s="320"/>
      <c r="E177" s="355"/>
      <c r="F177" s="320"/>
      <c r="G177" s="330" t="s">
        <v>3013</v>
      </c>
    </row>
    <row r="178">
      <c r="A178" s="320"/>
      <c r="B178" s="320"/>
      <c r="C178" s="320"/>
      <c r="D178" s="320"/>
      <c r="E178" s="355"/>
      <c r="F178" s="320"/>
      <c r="G178" s="330" t="s">
        <v>3014</v>
      </c>
    </row>
    <row r="179">
      <c r="A179" s="320"/>
      <c r="B179" s="320"/>
      <c r="C179" s="320"/>
      <c r="D179" s="320"/>
      <c r="E179" s="355"/>
      <c r="F179" s="320"/>
      <c r="G179" s="330" t="s">
        <v>3016</v>
      </c>
    </row>
    <row r="180">
      <c r="A180" s="320"/>
      <c r="B180" s="320"/>
      <c r="C180" s="320"/>
      <c r="D180" s="320"/>
      <c r="E180" s="355"/>
      <c r="F180" s="320"/>
      <c r="G180" s="330" t="s">
        <v>3017</v>
      </c>
    </row>
    <row r="181">
      <c r="A181" s="320"/>
      <c r="B181" s="320"/>
      <c r="C181" s="320"/>
      <c r="D181" s="320"/>
      <c r="E181" s="355"/>
      <c r="F181" s="320"/>
      <c r="G181" s="330" t="s">
        <v>3018</v>
      </c>
    </row>
    <row r="182">
      <c r="A182" s="320"/>
      <c r="B182" s="320"/>
      <c r="C182" s="320"/>
      <c r="D182" s="320"/>
      <c r="E182" s="355"/>
      <c r="F182" s="320"/>
      <c r="G182" s="330" t="s">
        <v>3019</v>
      </c>
    </row>
    <row r="183">
      <c r="A183" s="320"/>
      <c r="B183" s="320"/>
      <c r="C183" s="320"/>
      <c r="D183" s="320"/>
      <c r="E183" s="355"/>
      <c r="F183" s="320"/>
      <c r="G183" s="330" t="s">
        <v>3021</v>
      </c>
    </row>
    <row r="184">
      <c r="A184" s="320"/>
      <c r="B184" s="320"/>
      <c r="C184" s="320"/>
      <c r="D184" s="320"/>
      <c r="E184" s="355"/>
      <c r="F184" s="320"/>
      <c r="G184" s="330" t="s">
        <v>3022</v>
      </c>
    </row>
    <row r="185">
      <c r="A185" s="320"/>
      <c r="B185" s="320"/>
      <c r="C185" s="320"/>
      <c r="D185" s="320"/>
      <c r="E185" s="355"/>
      <c r="F185" s="320"/>
      <c r="G185" s="330" t="s">
        <v>3024</v>
      </c>
    </row>
    <row r="186">
      <c r="A186" s="320"/>
      <c r="B186" s="320"/>
      <c r="C186" s="320"/>
      <c r="D186" s="320"/>
      <c r="E186" s="355"/>
      <c r="F186" s="320"/>
      <c r="G186" s="330" t="s">
        <v>3025</v>
      </c>
    </row>
    <row r="187">
      <c r="A187" s="320"/>
      <c r="B187" s="320"/>
      <c r="C187" s="320"/>
      <c r="D187" s="320"/>
      <c r="E187" s="355"/>
      <c r="F187" s="320"/>
      <c r="G187" s="330" t="s">
        <v>3027</v>
      </c>
    </row>
    <row r="188">
      <c r="A188" s="320"/>
      <c r="B188" s="320"/>
      <c r="C188" s="320"/>
      <c r="D188" s="320"/>
      <c r="E188" s="355"/>
      <c r="F188" s="320"/>
      <c r="G188" s="330" t="s">
        <v>3028</v>
      </c>
    </row>
    <row r="189">
      <c r="A189" s="320"/>
      <c r="B189" s="320"/>
      <c r="C189" s="320"/>
      <c r="D189" s="320"/>
      <c r="E189" s="355"/>
      <c r="F189" s="320"/>
      <c r="G189" s="330" t="s">
        <v>3029</v>
      </c>
    </row>
    <row r="190">
      <c r="A190" s="320"/>
      <c r="B190" s="320"/>
      <c r="C190" s="320"/>
      <c r="D190" s="320"/>
      <c r="E190" s="355"/>
      <c r="F190" s="320"/>
      <c r="G190" s="330" t="s">
        <v>3031</v>
      </c>
    </row>
    <row r="191">
      <c r="A191" s="320"/>
      <c r="B191" s="320"/>
      <c r="C191" s="320"/>
      <c r="D191" s="320"/>
      <c r="E191" s="355"/>
      <c r="F191" s="320"/>
      <c r="G191" s="330" t="s">
        <v>3032</v>
      </c>
    </row>
    <row r="192">
      <c r="A192" s="320"/>
      <c r="B192" s="320"/>
      <c r="C192" s="320"/>
      <c r="D192" s="320"/>
      <c r="E192" s="355"/>
      <c r="F192" s="320"/>
      <c r="G192" s="330" t="s">
        <v>3033</v>
      </c>
    </row>
    <row r="193">
      <c r="A193" s="320"/>
      <c r="B193" s="320"/>
      <c r="C193" s="320"/>
      <c r="D193" s="320"/>
      <c r="E193" s="355"/>
      <c r="F193" s="320"/>
      <c r="G193" s="330" t="s">
        <v>3035</v>
      </c>
    </row>
    <row r="194">
      <c r="A194" s="320"/>
      <c r="B194" s="320"/>
      <c r="C194" s="320"/>
      <c r="D194" s="320"/>
      <c r="E194" s="355"/>
      <c r="F194" s="320"/>
      <c r="G194" s="330" t="s">
        <v>3036</v>
      </c>
    </row>
    <row r="195">
      <c r="A195" s="320"/>
      <c r="B195" s="320"/>
      <c r="C195" s="320"/>
      <c r="D195" s="320"/>
      <c r="E195" s="355"/>
      <c r="F195" s="320"/>
      <c r="G195" s="330" t="s">
        <v>3038</v>
      </c>
    </row>
    <row r="196">
      <c r="A196" s="320"/>
      <c r="B196" s="320"/>
      <c r="C196" s="320"/>
      <c r="D196" s="320"/>
      <c r="E196" s="355"/>
      <c r="F196" s="320"/>
      <c r="G196" s="330" t="s">
        <v>3039</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58.75"/>
    <col customWidth="1" min="2" max="2" width="10.5"/>
    <col customWidth="1" min="3" max="3" width="39.25"/>
    <col customWidth="1" min="4" max="4" width="65.25"/>
    <col customWidth="1" min="5" max="5" width="30.25"/>
    <col customWidth="1" min="6" max="7" width="65.25"/>
  </cols>
  <sheetData>
    <row r="1" ht="33.75" customHeight="1">
      <c r="A1" s="356" t="s">
        <v>3042</v>
      </c>
      <c r="B1" s="357"/>
      <c r="C1" s="358"/>
      <c r="D1" s="357"/>
      <c r="E1" s="357"/>
      <c r="F1" s="357"/>
      <c r="G1" s="357"/>
    </row>
    <row r="2" ht="25.5" customHeight="1">
      <c r="A2" s="298" t="s">
        <v>3043</v>
      </c>
      <c r="B2" s="298"/>
      <c r="C2" s="298"/>
      <c r="D2" s="298"/>
      <c r="E2" s="298"/>
      <c r="F2" s="298"/>
      <c r="G2" s="298"/>
    </row>
    <row r="3" ht="25.5" customHeight="1">
      <c r="A3" s="298" t="s">
        <v>3044</v>
      </c>
      <c r="B3" s="298"/>
      <c r="C3" s="298"/>
      <c r="D3" s="298"/>
      <c r="E3" s="298"/>
      <c r="F3" s="298"/>
      <c r="G3" s="298"/>
    </row>
    <row r="4" ht="25.5" customHeight="1">
      <c r="A4" s="298" t="s">
        <v>3045</v>
      </c>
      <c r="B4" s="298"/>
      <c r="C4" s="298"/>
      <c r="D4" s="298"/>
      <c r="E4" s="298"/>
      <c r="F4" s="298" t="s">
        <v>3046</v>
      </c>
      <c r="G4" s="298"/>
    </row>
    <row r="5" ht="25.5" customHeight="1">
      <c r="A5" s="359" t="s">
        <v>3047</v>
      </c>
      <c r="B5" s="360" t="s">
        <v>3048</v>
      </c>
      <c r="C5" s="296" t="s">
        <v>3049</v>
      </c>
      <c r="D5" s="296" t="s">
        <v>3050</v>
      </c>
      <c r="E5" s="296" t="s">
        <v>3051</v>
      </c>
      <c r="F5" s="296" t="s">
        <v>3052</v>
      </c>
      <c r="G5" s="298" t="s">
        <v>3053</v>
      </c>
    </row>
    <row r="6" ht="12.0" customHeight="1">
      <c r="A6" s="361" t="s">
        <v>3054</v>
      </c>
      <c r="B6" s="362"/>
      <c r="C6" s="363" t="s">
        <v>649</v>
      </c>
      <c r="D6" s="364" t="str">
        <f t="array" ref="D6">XLOOKUP('Attribute Translator'!C6, Lists!I:I, Lists!J:J, "Not found")</f>
        <v>bec_custom_tier1</v>
      </c>
      <c r="E6" s="362"/>
      <c r="F6" s="362"/>
      <c r="G6" s="362"/>
    </row>
    <row r="7" ht="12.0" customHeight="1">
      <c r="A7" s="365" t="s">
        <v>3055</v>
      </c>
      <c r="B7" s="366"/>
      <c r="C7" s="363" t="s">
        <v>650</v>
      </c>
      <c r="D7" s="364" t="str">
        <f t="array" ref="D7">XLOOKUP('Attribute Translator'!C7, Lists!I:I, Lists!J:J, "Not found")</f>
        <v>bec_custom_tier2</v>
      </c>
      <c r="E7" s="367"/>
      <c r="F7" s="366"/>
      <c r="G7" s="366"/>
    </row>
    <row r="8" ht="12.0" customHeight="1">
      <c r="A8" s="365" t="s">
        <v>3056</v>
      </c>
      <c r="B8" s="366"/>
      <c r="C8" s="363" t="s">
        <v>651</v>
      </c>
      <c r="D8" s="364" t="str">
        <f t="array" ref="D8">XLOOKUP('Attribute Translator'!C8, Lists!I:I, Lists!J:J, "Not found")</f>
        <v>bec_custom_tier3</v>
      </c>
      <c r="E8" s="367"/>
      <c r="F8" s="366"/>
      <c r="G8" s="366"/>
    </row>
    <row r="9" ht="12.0" customHeight="1">
      <c r="A9" s="365" t="s">
        <v>3057</v>
      </c>
      <c r="B9" s="366"/>
      <c r="C9" s="363" t="s">
        <v>282</v>
      </c>
      <c r="D9" s="364" t="str">
        <f t="array" ref="D9">XLOOKUP('Attribute Translator'!C9, Lists!I:I, Lists!J:J, "Not found")</f>
        <v>building_construction_end_date</v>
      </c>
      <c r="E9" s="367"/>
      <c r="F9" s="366"/>
      <c r="G9" s="366"/>
    </row>
    <row r="10" ht="12.0" customHeight="1">
      <c r="A10" s="365" t="s">
        <v>3058</v>
      </c>
      <c r="B10" s="366"/>
      <c r="C10" s="363" t="s">
        <v>3059</v>
      </c>
      <c r="D10" s="364" t="str">
        <f t="array" ref="D10">XLOOKUP('Attribute Translator'!C10, Lists!I:I, Lists!J:J, "Not found")</f>
        <v>n/a</v>
      </c>
      <c r="E10" s="367"/>
      <c r="F10" s="366"/>
      <c r="G10" s="366"/>
    </row>
    <row r="11" ht="12.0" customHeight="1">
      <c r="A11" s="365" t="s">
        <v>3060</v>
      </c>
      <c r="B11" s="366"/>
      <c r="C11" s="363" t="s">
        <v>3059</v>
      </c>
      <c r="D11" s="364" t="str">
        <f t="array" ref="D11">XLOOKUP('Attribute Translator'!C11, Lists!I:I, Lists!J:J, "Not found")</f>
        <v>n/a</v>
      </c>
      <c r="E11" s="367"/>
      <c r="F11" s="366"/>
      <c r="G11" s="366"/>
    </row>
    <row r="12" ht="12.0" customHeight="1">
      <c r="A12" s="365" t="s">
        <v>3061</v>
      </c>
      <c r="B12" s="366"/>
      <c r="C12" s="363" t="s">
        <v>653</v>
      </c>
      <c r="D12" s="364" t="str">
        <f t="array" ref="D12">XLOOKUP('Attribute Translator'!C12, Lists!I:I, Lists!J:J, "Not found")</f>
        <v>element_name_custom</v>
      </c>
      <c r="E12" s="367"/>
      <c r="F12" s="366"/>
      <c r="G12" s="366"/>
    </row>
    <row r="13" ht="12.0" customHeight="1">
      <c r="A13" s="365" t="s">
        <v>3062</v>
      </c>
      <c r="B13" s="366"/>
      <c r="C13" s="363" t="s">
        <v>653</v>
      </c>
      <c r="D13" s="364" t="str">
        <f t="array" ref="D13">XLOOKUP('Attribute Translator'!C13, Lists!I:I, Lists!J:J, "Not found")</f>
        <v>element_name_custom</v>
      </c>
      <c r="E13" s="367"/>
      <c r="F13" s="366"/>
      <c r="G13" s="366"/>
    </row>
    <row r="14" ht="12.0" customHeight="1">
      <c r="A14" s="365" t="s">
        <v>3063</v>
      </c>
      <c r="B14" s="366"/>
      <c r="C14" s="363" t="s">
        <v>3059</v>
      </c>
      <c r="D14" s="364" t="str">
        <f t="array" ref="D14">XLOOKUP('Attribute Translator'!C14, Lists!I:I, Lists!J:J, "Not found")</f>
        <v>n/a</v>
      </c>
      <c r="E14" s="367"/>
      <c r="F14" s="366"/>
      <c r="G14" s="366"/>
    </row>
    <row r="15" ht="12.0" customHeight="1">
      <c r="A15" s="365" t="s">
        <v>3064</v>
      </c>
      <c r="B15" s="366"/>
      <c r="C15" s="363" t="s">
        <v>3059</v>
      </c>
      <c r="D15" s="364" t="str">
        <f t="array" ref="D15">XLOOKUP('Attribute Translator'!C15, Lists!I:I, Lists!J:J, "Not found")</f>
        <v>n/a</v>
      </c>
      <c r="E15" s="367"/>
      <c r="F15" s="366"/>
      <c r="G15" s="366"/>
    </row>
    <row r="16" ht="12.0" customHeight="1">
      <c r="A16" s="365" t="s">
        <v>3065</v>
      </c>
      <c r="B16" s="366"/>
      <c r="C16" s="363" t="s">
        <v>198</v>
      </c>
      <c r="D16" s="364" t="str">
        <f t="array" ref="D16">XLOOKUP('Attribute Translator'!C16, Lists!I:I, Lists!J:J, "Not found")</f>
        <v>project_phase</v>
      </c>
      <c r="E16" s="367"/>
      <c r="F16" s="366"/>
      <c r="G16" s="366"/>
    </row>
    <row r="17" ht="12.0" customHeight="1">
      <c r="A17" s="365" t="s">
        <v>3066</v>
      </c>
      <c r="B17" s="366"/>
      <c r="C17" s="363" t="s">
        <v>679</v>
      </c>
      <c r="D17" s="364" t="str">
        <f t="array" ref="D17">XLOOKUP('Attribute Translator'!C17, Lists!I:I, Lists!J:J, "Not found")</f>
        <v>floor_level</v>
      </c>
      <c r="E17" s="367"/>
      <c r="F17" s="366"/>
      <c r="G17" s="366"/>
    </row>
    <row r="18" ht="22.5" customHeight="1">
      <c r="A18" s="365" t="s">
        <v>3067</v>
      </c>
      <c r="B18" s="368" t="s">
        <v>3068</v>
      </c>
      <c r="C18" s="369" t="s">
        <v>688</v>
      </c>
      <c r="D18" s="364" t="str">
        <f t="array" ref="D18">XLOOKUP('Attribute Translator'!C18, Lists!I:I, Lists!J:J, "Not found")</f>
        <v>custom_material_quantity_m3</v>
      </c>
      <c r="E18" s="367"/>
      <c r="F18" s="366"/>
      <c r="G18" s="366"/>
    </row>
    <row r="19" ht="12.0" customHeight="1">
      <c r="A19" s="365" t="s">
        <v>3069</v>
      </c>
      <c r="B19" s="366"/>
      <c r="C19" s="363" t="s">
        <v>591</v>
      </c>
      <c r="D19" s="364" t="str">
        <f t="array" ref="D19">XLOOKUP('Attribute Translator'!C19, Lists!I:I, Lists!J:J, "Not found")</f>
        <v>epd_dataset</v>
      </c>
      <c r="E19" s="367"/>
      <c r="F19" s="366"/>
      <c r="G19" s="366"/>
    </row>
    <row r="20" ht="12.0" customHeight="1">
      <c r="A20" s="365" t="s">
        <v>3070</v>
      </c>
      <c r="B20" s="366"/>
      <c r="C20" s="363" t="s">
        <v>3059</v>
      </c>
      <c r="D20" s="364" t="str">
        <f t="array" ref="D20">XLOOKUP('Attribute Translator'!C20, Lists!I:I, Lists!J:J, "Not found")</f>
        <v>n/a</v>
      </c>
      <c r="E20" s="367"/>
      <c r="F20" s="366"/>
      <c r="G20" s="366"/>
    </row>
    <row r="21" ht="12.0" customHeight="1">
      <c r="A21" s="365" t="s">
        <v>3071</v>
      </c>
      <c r="B21" s="366"/>
      <c r="C21" s="363" t="s">
        <v>592</v>
      </c>
      <c r="D21" s="364" t="str">
        <f t="array" ref="D21">XLOOKUP('Attribute Translator'!C21, Lists!I:I, Lists!J:J, "Not found")</f>
        <v>epd_dataset_link</v>
      </c>
      <c r="E21" s="367"/>
      <c r="F21" s="366"/>
      <c r="G21" s="366"/>
    </row>
    <row r="22" ht="12.0" customHeight="1">
      <c r="A22" s="365" t="s">
        <v>3072</v>
      </c>
      <c r="B22" s="366"/>
      <c r="C22" s="370" t="s">
        <v>687</v>
      </c>
      <c r="D22" s="364" t="str">
        <f t="array" ref="D22">XLOOKUP('Attribute Translator'!C22, Lists!I:I, Lists!J:J, "Not found")</f>
        <v>lca_service_life</v>
      </c>
      <c r="E22" s="367"/>
      <c r="F22" s="366"/>
      <c r="G22" s="366"/>
    </row>
    <row r="23" ht="12.0" customHeight="1">
      <c r="A23" s="365" t="s">
        <v>3073</v>
      </c>
      <c r="B23" s="366"/>
      <c r="C23" s="363" t="s">
        <v>597</v>
      </c>
      <c r="D23" s="364" t="str">
        <f t="array" ref="D23">XLOOKUP('Attribute Translator'!C23, Lists!I:I, Lists!J:J, "Not found")</f>
        <v>custom_material_weight_kg</v>
      </c>
      <c r="E23" s="367"/>
      <c r="F23" s="366"/>
      <c r="G23" s="366"/>
    </row>
    <row r="24" ht="12.0" customHeight="1">
      <c r="A24" s="365" t="s">
        <v>3074</v>
      </c>
      <c r="B24" s="366"/>
      <c r="C24" s="363" t="s">
        <v>3059</v>
      </c>
      <c r="D24" s="364" t="str">
        <f t="array" ref="D24">XLOOKUP('Attribute Translator'!C24, Lists!I:I, Lists!J:J, "Not found")</f>
        <v>n/a</v>
      </c>
      <c r="E24" s="367"/>
      <c r="F24" s="366"/>
      <c r="G24" s="366"/>
    </row>
    <row r="25" ht="12.0" customHeight="1">
      <c r="A25" s="365" t="s">
        <v>3075</v>
      </c>
      <c r="B25" s="366"/>
      <c r="C25" s="363" t="s">
        <v>3059</v>
      </c>
      <c r="D25" s="364" t="str">
        <f t="array" ref="D25">XLOOKUP('Attribute Translator'!C25, Lists!I:I, Lists!J:J, "Not found")</f>
        <v>n/a</v>
      </c>
      <c r="E25" s="367"/>
      <c r="F25" s="366"/>
      <c r="G25" s="366"/>
    </row>
    <row r="26" ht="12.0" customHeight="1">
      <c r="A26" s="365" t="s">
        <v>3076</v>
      </c>
      <c r="B26" s="366"/>
      <c r="C26" s="363" t="s">
        <v>3059</v>
      </c>
      <c r="D26" s="364" t="str">
        <f t="array" ref="D26">XLOOKUP('Attribute Translator'!C26, Lists!I:I, Lists!J:J, "Not found")</f>
        <v>n/a</v>
      </c>
      <c r="E26" s="367"/>
      <c r="F26" s="366"/>
      <c r="G26" s="366"/>
    </row>
    <row r="27" ht="12.0" customHeight="1">
      <c r="A27" s="365" t="s">
        <v>3077</v>
      </c>
      <c r="B27" s="366"/>
      <c r="C27" s="363" t="s">
        <v>3059</v>
      </c>
      <c r="D27" s="364" t="str">
        <f t="array" ref="D27">XLOOKUP('Attribute Translator'!C27, Lists!I:I, Lists!J:J, "Not found")</f>
        <v>n/a</v>
      </c>
      <c r="E27" s="367"/>
      <c r="F27" s="366"/>
      <c r="G27" s="366"/>
    </row>
    <row r="28" ht="12.0" customHeight="1">
      <c r="A28" s="365" t="s">
        <v>3078</v>
      </c>
      <c r="B28" s="366"/>
      <c r="C28" s="363" t="s">
        <v>3059</v>
      </c>
      <c r="D28" s="364" t="str">
        <f t="array" ref="D28">XLOOKUP('Attribute Translator'!C28, Lists!I:I, Lists!J:J, "Not found")</f>
        <v>n/a</v>
      </c>
      <c r="E28" s="367"/>
      <c r="F28" s="366"/>
      <c r="G28" s="366"/>
    </row>
    <row r="29" ht="12.0" customHeight="1">
      <c r="A29" s="365" t="s">
        <v>3079</v>
      </c>
      <c r="B29" s="366"/>
      <c r="C29" s="363" t="s">
        <v>3059</v>
      </c>
      <c r="D29" s="364" t="str">
        <f t="array" ref="D29">XLOOKUP('Attribute Translator'!C29, Lists!I:I, Lists!J:J, "Not found")</f>
        <v>n/a</v>
      </c>
      <c r="E29" s="367"/>
      <c r="F29" s="366"/>
      <c r="G29" s="366"/>
    </row>
    <row r="30" ht="12.0" customHeight="1">
      <c r="A30" s="365" t="s">
        <v>3080</v>
      </c>
      <c r="B30" s="366"/>
      <c r="C30" s="363" t="s">
        <v>3059</v>
      </c>
      <c r="D30" s="364" t="str">
        <f t="array" ref="D30">XLOOKUP('Attribute Translator'!C30, Lists!I:I, Lists!J:J, "Not found")</f>
        <v>n/a</v>
      </c>
      <c r="E30" s="367"/>
      <c r="F30" s="366"/>
      <c r="G30" s="366"/>
    </row>
    <row r="31" ht="12.0" customHeight="1">
      <c r="A31" s="365" t="s">
        <v>3081</v>
      </c>
      <c r="B31" s="366"/>
      <c r="C31" s="363" t="s">
        <v>3059</v>
      </c>
      <c r="D31" s="364" t="str">
        <f t="array" ref="D31">XLOOKUP('Attribute Translator'!C31, Lists!I:I, Lists!J:J, "Not found")</f>
        <v>n/a</v>
      </c>
      <c r="E31" s="367"/>
      <c r="F31" s="366"/>
      <c r="G31" s="366"/>
    </row>
    <row r="32" ht="12.0" customHeight="1">
      <c r="A32" s="365" t="s">
        <v>3082</v>
      </c>
      <c r="B32" s="366"/>
      <c r="C32" s="363" t="s">
        <v>3059</v>
      </c>
      <c r="D32" s="364" t="str">
        <f t="array" ref="D32">XLOOKUP('Attribute Translator'!C32, Lists!I:I, Lists!J:J, "Not found")</f>
        <v>n/a</v>
      </c>
      <c r="E32" s="367"/>
      <c r="F32" s="366"/>
      <c r="G32" s="366"/>
    </row>
    <row r="33" ht="12.0" customHeight="1">
      <c r="A33" s="365" t="s">
        <v>3083</v>
      </c>
      <c r="B33" s="366"/>
      <c r="C33" s="363" t="s">
        <v>3059</v>
      </c>
      <c r="D33" s="364" t="str">
        <f t="array" ref="D33">XLOOKUP('Attribute Translator'!C33, Lists!I:I, Lists!J:J, "Not found")</f>
        <v>n/a</v>
      </c>
      <c r="E33" s="367"/>
      <c r="F33" s="366"/>
      <c r="G33" s="366"/>
    </row>
    <row r="34" ht="12.0" customHeight="1">
      <c r="A34" s="365" t="s">
        <v>3084</v>
      </c>
      <c r="B34" s="366"/>
      <c r="C34" s="363" t="s">
        <v>3059</v>
      </c>
      <c r="D34" s="364" t="str">
        <f t="array" ref="D34">XLOOKUP('Attribute Translator'!C34, Lists!I:I, Lists!J:J, "Not found")</f>
        <v>n/a</v>
      </c>
      <c r="E34" s="367"/>
      <c r="F34" s="366"/>
      <c r="G34" s="366"/>
    </row>
    <row r="35" ht="12.0" customHeight="1">
      <c r="A35" s="365" t="s">
        <v>3085</v>
      </c>
      <c r="B35" s="366"/>
      <c r="C35" s="363" t="s">
        <v>3059</v>
      </c>
      <c r="D35" s="364" t="str">
        <f t="array" ref="D35">XLOOKUP('Attribute Translator'!C35, Lists!I:I, Lists!J:J, "Not found")</f>
        <v>n/a</v>
      </c>
      <c r="E35" s="367"/>
      <c r="F35" s="366"/>
      <c r="G35" s="366"/>
    </row>
    <row r="36" ht="12.0" customHeight="1">
      <c r="A36" s="365" t="s">
        <v>3086</v>
      </c>
      <c r="B36" s="366"/>
      <c r="C36" s="363" t="s">
        <v>3059</v>
      </c>
      <c r="D36" s="364" t="str">
        <f t="array" ref="D36">XLOOKUP('Attribute Translator'!C36, Lists!I:I, Lists!J:J, "Not found")</f>
        <v>n/a</v>
      </c>
      <c r="E36" s="367"/>
      <c r="F36" s="366"/>
      <c r="G36" s="366"/>
    </row>
    <row r="37" ht="12.0" customHeight="1">
      <c r="A37" s="365" t="s">
        <v>3087</v>
      </c>
      <c r="B37" s="366"/>
      <c r="C37" s="363" t="s">
        <v>3059</v>
      </c>
      <c r="D37" s="364" t="str">
        <f t="array" ref="D37">XLOOKUP('Attribute Translator'!C37, Lists!I:I, Lists!J:J, "Not found")</f>
        <v>n/a</v>
      </c>
      <c r="E37" s="367"/>
      <c r="F37" s="366"/>
      <c r="G37" s="366"/>
    </row>
    <row r="38" ht="12.0" customHeight="1">
      <c r="A38" s="365" t="s">
        <v>3088</v>
      </c>
      <c r="B38" s="366"/>
      <c r="C38" s="363" t="s">
        <v>3059</v>
      </c>
      <c r="D38" s="364" t="str">
        <f t="array" ref="D38">XLOOKUP('Attribute Translator'!C38, Lists!I:I, Lists!J:J, "Not found")</f>
        <v>n/a</v>
      </c>
      <c r="E38" s="367"/>
      <c r="F38" s="366"/>
      <c r="G38" s="366"/>
    </row>
    <row r="39" ht="12.0" customHeight="1">
      <c r="A39" s="365" t="s">
        <v>3089</v>
      </c>
      <c r="B39" s="366"/>
      <c r="C39" s="363" t="s">
        <v>3059</v>
      </c>
      <c r="D39" s="364" t="str">
        <f t="array" ref="D39">XLOOKUP('Attribute Translator'!C39, Lists!I:I, Lists!J:J, "Not found")</f>
        <v>n/a</v>
      </c>
      <c r="E39" s="367"/>
      <c r="F39" s="366"/>
      <c r="G39" s="366"/>
    </row>
    <row r="40" ht="12.0" customHeight="1">
      <c r="A40" s="365" t="s">
        <v>3090</v>
      </c>
      <c r="B40" s="366"/>
      <c r="C40" s="363" t="s">
        <v>3059</v>
      </c>
      <c r="D40" s="364" t="str">
        <f t="array" ref="D40">XLOOKUP('Attribute Translator'!C40, Lists!I:I, Lists!J:J, "Not found")</f>
        <v>n/a</v>
      </c>
      <c r="E40" s="367"/>
      <c r="F40" s="366"/>
      <c r="G40" s="366"/>
    </row>
    <row r="41" ht="12.0" customHeight="1">
      <c r="A41" s="365" t="s">
        <v>3091</v>
      </c>
      <c r="B41" s="366"/>
      <c r="C41" s="363" t="s">
        <v>688</v>
      </c>
      <c r="D41" s="364" t="str">
        <f t="array" ref="D41">XLOOKUP('Attribute Translator'!C41, Lists!I:I, Lists!J:J, "Not found")</f>
        <v>custom_material_quantity_m3</v>
      </c>
      <c r="E41" s="367"/>
      <c r="F41" s="366"/>
      <c r="G41" s="366"/>
    </row>
    <row r="42" ht="12.0" customHeight="1">
      <c r="A42" s="365" t="s">
        <v>3092</v>
      </c>
      <c r="B42" s="366"/>
      <c r="C42" s="363" t="s">
        <v>689</v>
      </c>
      <c r="D42" s="364" t="str">
        <f t="array" ref="D42">XLOOKUP('Attribute Translator'!C42, Lists!I:I, Lists!J:J, "Not found")</f>
        <v>custom_material_quantity_m2</v>
      </c>
      <c r="E42" s="367"/>
      <c r="F42" s="366"/>
      <c r="G42" s="366"/>
    </row>
    <row r="43" ht="12.0" customHeight="1">
      <c r="A43" s="365" t="s">
        <v>3093</v>
      </c>
      <c r="B43" s="366"/>
      <c r="C43" s="363" t="s">
        <v>690</v>
      </c>
      <c r="D43" s="364" t="str">
        <f t="array" ref="D43">XLOOKUP('Attribute Translator'!C43, Lists!I:I, Lists!J:J, "Not found")</f>
        <v>custom_material_quantity_m</v>
      </c>
      <c r="E43" s="367"/>
      <c r="F43" s="366"/>
      <c r="G43" s="366"/>
    </row>
    <row r="44" ht="12.0" customHeight="1">
      <c r="A44" s="365" t="s">
        <v>3094</v>
      </c>
      <c r="B44" s="366"/>
      <c r="C44" s="363" t="s">
        <v>691</v>
      </c>
      <c r="D44" s="364" t="str">
        <f t="array" ref="D44">XLOOKUP('Attribute Translator'!C44, Lists!I:I, Lists!J:J, "Not found")</f>
        <v>custom_material_quantity_count</v>
      </c>
      <c r="E44" s="367"/>
      <c r="F44" s="366"/>
      <c r="G44" s="366"/>
    </row>
    <row r="45" ht="12.0" customHeight="1">
      <c r="A45" s="365" t="s">
        <v>3095</v>
      </c>
      <c r="B45" s="366"/>
      <c r="C45" s="363" t="s">
        <v>3059</v>
      </c>
      <c r="D45" s="364" t="str">
        <f t="array" ref="D45">XLOOKUP('Attribute Translator'!C45, Lists!I:I, Lists!J:J, "Not found")</f>
        <v>n/a</v>
      </c>
      <c r="E45" s="367"/>
      <c r="F45" s="366"/>
      <c r="G45" s="366"/>
    </row>
    <row r="46" ht="41.25" customHeight="1">
      <c r="A46" s="365" t="s">
        <v>3096</v>
      </c>
      <c r="B46" s="366"/>
      <c r="C46" s="363" t="s">
        <v>905</v>
      </c>
      <c r="D46" s="364" t="str">
        <f t="array" ref="D46">XLOOKUP('Attribute Translator'!C46, Lists!I:I, Lists!J:J, "Not found")</f>
        <v>odp_a1-a3</v>
      </c>
      <c r="E46" s="367"/>
      <c r="F46" s="366"/>
      <c r="G46" s="366"/>
    </row>
    <row r="47" ht="42.0" customHeight="1">
      <c r="A47" s="365" t="s">
        <v>3097</v>
      </c>
      <c r="B47" s="366"/>
      <c r="C47" s="363" t="s">
        <v>906</v>
      </c>
      <c r="D47" s="364" t="str">
        <f t="array" ref="D47">XLOOKUP('Attribute Translator'!C47, Lists!I:I, Lists!J:J, "Not found")</f>
        <v>odp_a4</v>
      </c>
      <c r="E47" s="367"/>
      <c r="F47" s="366"/>
      <c r="G47" s="366"/>
    </row>
    <row r="48" ht="42.0" customHeight="1">
      <c r="A48" s="365" t="s">
        <v>3098</v>
      </c>
      <c r="B48" s="366"/>
      <c r="C48" s="363" t="s">
        <v>907</v>
      </c>
      <c r="D48" s="364" t="str">
        <f t="array" ref="D48">XLOOKUP('Attribute Translator'!C48, Lists!I:I, Lists!J:J, "Not found")</f>
        <v>odp_a5</v>
      </c>
      <c r="E48" s="367"/>
      <c r="F48" s="366"/>
      <c r="G48" s="366"/>
    </row>
    <row r="49" ht="42.0" customHeight="1">
      <c r="A49" s="365" t="s">
        <v>3099</v>
      </c>
      <c r="B49" s="366"/>
      <c r="C49" s="363" t="s">
        <v>908</v>
      </c>
      <c r="D49" s="364" t="str">
        <f t="array" ref="D49">XLOOKUP('Attribute Translator'!C49, Lists!I:I, Lists!J:J, "Not found")</f>
        <v>odp_b1</v>
      </c>
      <c r="E49" s="367"/>
      <c r="F49" s="366"/>
      <c r="G49" s="366"/>
    </row>
    <row r="50" ht="42.0" customHeight="1">
      <c r="A50" s="365" t="s">
        <v>3100</v>
      </c>
      <c r="B50" s="366"/>
      <c r="C50" s="363" t="s">
        <v>909</v>
      </c>
      <c r="D50" s="364" t="str">
        <f t="array" ref="D50">XLOOKUP('Attribute Translator'!C50, Lists!I:I, Lists!J:J, "Not found")</f>
        <v>odp_b2</v>
      </c>
      <c r="E50" s="367"/>
      <c r="F50" s="366"/>
      <c r="G50" s="366"/>
    </row>
    <row r="51" ht="42.0" customHeight="1">
      <c r="A51" s="365" t="s">
        <v>3101</v>
      </c>
      <c r="B51" s="366"/>
      <c r="C51" s="363" t="s">
        <v>910</v>
      </c>
      <c r="D51" s="364" t="str">
        <f t="array" ref="D51">XLOOKUP('Attribute Translator'!C51, Lists!I:I, Lists!J:J, "Not found")</f>
        <v>odp_b3</v>
      </c>
      <c r="E51" s="367"/>
      <c r="F51" s="366"/>
      <c r="G51" s="366"/>
    </row>
    <row r="52" ht="42.0" customHeight="1">
      <c r="A52" s="365" t="s">
        <v>3102</v>
      </c>
      <c r="B52" s="366"/>
      <c r="C52" s="363" t="s">
        <v>911</v>
      </c>
      <c r="D52" s="364" t="str">
        <f t="array" ref="D52">XLOOKUP('Attribute Translator'!C52, Lists!I:I, Lists!J:J, "Not found")</f>
        <v>odp_b4</v>
      </c>
      <c r="E52" s="367"/>
      <c r="F52" s="366"/>
      <c r="G52" s="366"/>
    </row>
    <row r="53" ht="42.0" customHeight="1">
      <c r="A53" s="365" t="s">
        <v>3103</v>
      </c>
      <c r="B53" s="366"/>
      <c r="C53" s="363" t="s">
        <v>912</v>
      </c>
      <c r="D53" s="364" t="str">
        <f t="array" ref="D53">XLOOKUP('Attribute Translator'!C53, Lists!I:I, Lists!J:J, "Not found")</f>
        <v>odp_b5</v>
      </c>
      <c r="E53" s="367"/>
      <c r="F53" s="366"/>
      <c r="G53" s="366"/>
    </row>
    <row r="54" ht="42.0" customHeight="1">
      <c r="A54" s="365" t="s">
        <v>3104</v>
      </c>
      <c r="B54" s="366"/>
      <c r="C54" s="363" t="s">
        <v>913</v>
      </c>
      <c r="D54" s="364" t="str">
        <f t="array" ref="D54">XLOOKUP('Attribute Translator'!C54, Lists!I:I, Lists!J:J, "Not found")</f>
        <v>odp_b6</v>
      </c>
      <c r="E54" s="367"/>
      <c r="F54" s="366"/>
      <c r="G54" s="366"/>
    </row>
    <row r="55" ht="42.0" customHeight="1">
      <c r="A55" s="365" t="s">
        <v>3105</v>
      </c>
      <c r="B55" s="366"/>
      <c r="C55" s="363" t="s">
        <v>914</v>
      </c>
      <c r="D55" s="364" t="str">
        <f t="array" ref="D55">XLOOKUP('Attribute Translator'!C55, Lists!I:I, Lists!J:J, "Not found")</f>
        <v>odp_c1</v>
      </c>
      <c r="E55" s="367"/>
      <c r="F55" s="366"/>
      <c r="G55" s="366"/>
    </row>
    <row r="56" ht="42.0" customHeight="1">
      <c r="A56" s="365" t="s">
        <v>3106</v>
      </c>
      <c r="B56" s="366"/>
      <c r="C56" s="363" t="s">
        <v>915</v>
      </c>
      <c r="D56" s="364" t="str">
        <f t="array" ref="D56">XLOOKUP('Attribute Translator'!C56, Lists!I:I, Lists!J:J, "Not found")</f>
        <v>odp_c2</v>
      </c>
      <c r="E56" s="367"/>
      <c r="F56" s="366"/>
      <c r="G56" s="366"/>
    </row>
    <row r="57" ht="42.0" customHeight="1">
      <c r="A57" s="365" t="s">
        <v>3107</v>
      </c>
      <c r="B57" s="366"/>
      <c r="C57" s="363" t="s">
        <v>916</v>
      </c>
      <c r="D57" s="364" t="str">
        <f t="array" ref="D57">XLOOKUP('Attribute Translator'!C57, Lists!I:I, Lists!J:J, "Not found")</f>
        <v>odp_c3</v>
      </c>
      <c r="E57" s="367"/>
      <c r="F57" s="366"/>
      <c r="G57" s="366"/>
    </row>
    <row r="58" ht="42.0" customHeight="1">
      <c r="A58" s="365" t="s">
        <v>3108</v>
      </c>
      <c r="B58" s="366"/>
      <c r="C58" s="363" t="s">
        <v>917</v>
      </c>
      <c r="D58" s="364" t="str">
        <f t="array" ref="D58">XLOOKUP('Attribute Translator'!C58, Lists!I:I, Lists!J:J, "Not found")</f>
        <v>odp_c4</v>
      </c>
      <c r="E58" s="367"/>
      <c r="F58" s="366"/>
      <c r="G58" s="366"/>
    </row>
    <row r="59" ht="42.0" customHeight="1">
      <c r="A59" s="365" t="s">
        <v>3109</v>
      </c>
      <c r="B59" s="366"/>
      <c r="C59" s="363" t="s">
        <v>918</v>
      </c>
      <c r="D59" s="364" t="str">
        <f t="array" ref="D59">XLOOKUP('Attribute Translator'!C59, Lists!I:I, Lists!J:J, "Not found")</f>
        <v>odp_d</v>
      </c>
      <c r="E59" s="367"/>
      <c r="F59" s="366"/>
      <c r="G59" s="366"/>
    </row>
    <row r="60" ht="42.0" customHeight="1">
      <c r="A60" s="365" t="s">
        <v>3110</v>
      </c>
      <c r="B60" s="366"/>
      <c r="C60" s="363" t="s">
        <v>919</v>
      </c>
      <c r="D60" s="364" t="str">
        <f t="array" ref="D60">XLOOKUP('Attribute Translator'!C60, Lists!I:I, Lists!J:J, "Not found")</f>
        <v>odp_d1</v>
      </c>
      <c r="E60" s="367"/>
      <c r="F60" s="366"/>
      <c r="G60" s="366"/>
    </row>
    <row r="61" ht="42.0" customHeight="1">
      <c r="A61" s="365" t="s">
        <v>3111</v>
      </c>
      <c r="B61" s="366"/>
      <c r="C61" s="363" t="s">
        <v>920</v>
      </c>
      <c r="D61" s="364" t="str">
        <f t="array" ref="D61">XLOOKUP('Attribute Translator'!C61, Lists!I:I, Lists!J:J, "Not found")</f>
        <v>odp_d2</v>
      </c>
      <c r="E61" s="367"/>
      <c r="F61" s="366"/>
      <c r="G61" s="366"/>
    </row>
    <row r="62" ht="42.0" customHeight="1">
      <c r="A62" s="365" t="s">
        <v>3112</v>
      </c>
      <c r="B62" s="366"/>
      <c r="C62" s="363" t="s">
        <v>921</v>
      </c>
      <c r="D62" s="364" t="str">
        <f t="array" ref="D62">XLOOKUP('Attribute Translator'!C62, Lists!I:I, Lists!J:J, "Not found")</f>
        <v>odp_total</v>
      </c>
      <c r="E62" s="367"/>
      <c r="F62" s="366"/>
      <c r="G62" s="366"/>
    </row>
    <row r="63" ht="42.0" customHeight="1">
      <c r="A63" s="365" t="s">
        <v>3113</v>
      </c>
      <c r="B63" s="366"/>
      <c r="C63" s="363" t="s">
        <v>1038</v>
      </c>
      <c r="D63" s="364" t="str">
        <f t="array" ref="D63">XLOOKUP('Attribute Translator'!C63, Lists!I:I, Lists!J:J, "Not found")</f>
        <v>pofp_a1-a3</v>
      </c>
      <c r="E63" s="367"/>
      <c r="F63" s="366"/>
      <c r="G63" s="366"/>
    </row>
    <row r="64" ht="42.0" customHeight="1">
      <c r="A64" s="365" t="s">
        <v>3114</v>
      </c>
      <c r="B64" s="366"/>
      <c r="C64" s="363" t="s">
        <v>1039</v>
      </c>
      <c r="D64" s="364" t="str">
        <f t="array" ref="D64">XLOOKUP('Attribute Translator'!C64, Lists!I:I, Lists!J:J, "Not found")</f>
        <v>pofp_a4</v>
      </c>
      <c r="E64" s="367"/>
      <c r="F64" s="366"/>
      <c r="G64" s="366"/>
    </row>
    <row r="65" ht="42.0" customHeight="1">
      <c r="A65" s="365" t="s">
        <v>3115</v>
      </c>
      <c r="B65" s="366"/>
      <c r="C65" s="363" t="s">
        <v>1040</v>
      </c>
      <c r="D65" s="364" t="str">
        <f t="array" ref="D65">XLOOKUP('Attribute Translator'!C65, Lists!I:I, Lists!J:J, "Not found")</f>
        <v>pofp_a5</v>
      </c>
      <c r="E65" s="367"/>
      <c r="F65" s="366"/>
      <c r="G65" s="366"/>
    </row>
    <row r="66" ht="42.0" customHeight="1">
      <c r="A66" s="365" t="s">
        <v>3116</v>
      </c>
      <c r="B66" s="366"/>
      <c r="C66" s="363" t="s">
        <v>1041</v>
      </c>
      <c r="D66" s="364" t="str">
        <f t="array" ref="D66">XLOOKUP('Attribute Translator'!C66, Lists!I:I, Lists!J:J, "Not found")</f>
        <v>pofp_b1</v>
      </c>
      <c r="E66" s="367"/>
      <c r="F66" s="366"/>
      <c r="G66" s="366"/>
    </row>
    <row r="67" ht="42.0" customHeight="1">
      <c r="A67" s="365" t="s">
        <v>3117</v>
      </c>
      <c r="B67" s="366"/>
      <c r="C67" s="363" t="s">
        <v>1042</v>
      </c>
      <c r="D67" s="364" t="str">
        <f t="array" ref="D67">XLOOKUP('Attribute Translator'!C67, Lists!I:I, Lists!J:J, "Not found")</f>
        <v>pofp_b2</v>
      </c>
      <c r="E67" s="367"/>
      <c r="F67" s="366"/>
      <c r="G67" s="366"/>
    </row>
    <row r="68" ht="42.0" customHeight="1">
      <c r="A68" s="365" t="s">
        <v>3118</v>
      </c>
      <c r="B68" s="366"/>
      <c r="C68" s="363" t="s">
        <v>1043</v>
      </c>
      <c r="D68" s="364" t="str">
        <f t="array" ref="D68">XLOOKUP('Attribute Translator'!C68, Lists!I:I, Lists!J:J, "Not found")</f>
        <v>pofp_b3</v>
      </c>
      <c r="E68" s="367"/>
      <c r="F68" s="366"/>
      <c r="G68" s="366"/>
    </row>
    <row r="69" ht="42.0" customHeight="1">
      <c r="A69" s="365" t="s">
        <v>3119</v>
      </c>
      <c r="B69" s="366"/>
      <c r="C69" s="363" t="s">
        <v>1044</v>
      </c>
      <c r="D69" s="364" t="str">
        <f t="array" ref="D69">XLOOKUP('Attribute Translator'!C69, Lists!I:I, Lists!J:J, "Not found")</f>
        <v>pofp_b4</v>
      </c>
      <c r="E69" s="367"/>
      <c r="F69" s="366"/>
      <c r="G69" s="366"/>
    </row>
    <row r="70" ht="42.0" customHeight="1">
      <c r="A70" s="365" t="s">
        <v>3120</v>
      </c>
      <c r="B70" s="366"/>
      <c r="C70" s="363" t="s">
        <v>1045</v>
      </c>
      <c r="D70" s="364" t="str">
        <f t="array" ref="D70">XLOOKUP('Attribute Translator'!C70, Lists!I:I, Lists!J:J, "Not found")</f>
        <v>pofp_b5</v>
      </c>
      <c r="E70" s="367"/>
      <c r="F70" s="366"/>
      <c r="G70" s="366"/>
    </row>
    <row r="71" ht="42.0" customHeight="1">
      <c r="A71" s="365" t="s">
        <v>3121</v>
      </c>
      <c r="B71" s="366"/>
      <c r="C71" s="363" t="s">
        <v>1046</v>
      </c>
      <c r="D71" s="364" t="str">
        <f t="array" ref="D71">XLOOKUP('Attribute Translator'!C71, Lists!I:I, Lists!J:J, "Not found")</f>
        <v>pofp_b6</v>
      </c>
      <c r="E71" s="367"/>
      <c r="F71" s="366"/>
      <c r="G71" s="366"/>
    </row>
    <row r="72" ht="42.0" customHeight="1">
      <c r="A72" s="365" t="s">
        <v>3122</v>
      </c>
      <c r="B72" s="366"/>
      <c r="C72" s="363" t="s">
        <v>1047</v>
      </c>
      <c r="D72" s="364" t="str">
        <f t="array" ref="D72">XLOOKUP('Attribute Translator'!C72, Lists!I:I, Lists!J:J, "Not found")</f>
        <v>pofp_c1</v>
      </c>
      <c r="E72" s="367"/>
      <c r="F72" s="366"/>
      <c r="G72" s="366"/>
    </row>
    <row r="73" ht="42.0" customHeight="1">
      <c r="A73" s="365" t="s">
        <v>3123</v>
      </c>
      <c r="B73" s="366"/>
      <c r="C73" s="363" t="s">
        <v>1048</v>
      </c>
      <c r="D73" s="364" t="str">
        <f t="array" ref="D73">XLOOKUP('Attribute Translator'!C73, Lists!I:I, Lists!J:J, "Not found")</f>
        <v>pofp_c2</v>
      </c>
      <c r="E73" s="367"/>
      <c r="F73" s="366"/>
      <c r="G73" s="366"/>
    </row>
    <row r="74" ht="42.0" customHeight="1">
      <c r="A74" s="365" t="s">
        <v>3124</v>
      </c>
      <c r="B74" s="366"/>
      <c r="C74" s="363" t="s">
        <v>1049</v>
      </c>
      <c r="D74" s="364" t="str">
        <f t="array" ref="D74">XLOOKUP('Attribute Translator'!C74, Lists!I:I, Lists!J:J, "Not found")</f>
        <v>pofp_c3</v>
      </c>
      <c r="E74" s="367"/>
      <c r="F74" s="366"/>
      <c r="G74" s="366"/>
    </row>
    <row r="75" ht="42.0" customHeight="1">
      <c r="A75" s="365" t="s">
        <v>3125</v>
      </c>
      <c r="B75" s="366"/>
      <c r="C75" s="363" t="s">
        <v>1050</v>
      </c>
      <c r="D75" s="364" t="str">
        <f t="array" ref="D75">XLOOKUP('Attribute Translator'!C75, Lists!I:I, Lists!J:J, "Not found")</f>
        <v>pofp_c4</v>
      </c>
      <c r="E75" s="367"/>
      <c r="F75" s="366"/>
      <c r="G75" s="366"/>
    </row>
    <row r="76" ht="42.0" customHeight="1">
      <c r="A76" s="365" t="s">
        <v>3126</v>
      </c>
      <c r="B76" s="366"/>
      <c r="C76" s="363" t="s">
        <v>1051</v>
      </c>
      <c r="D76" s="364" t="str">
        <f t="array" ref="D76">XLOOKUP('Attribute Translator'!C76, Lists!I:I, Lists!J:J, "Not found")</f>
        <v>pofp_d</v>
      </c>
      <c r="E76" s="367"/>
      <c r="F76" s="366"/>
      <c r="G76" s="366"/>
    </row>
    <row r="77" ht="42.0" customHeight="1">
      <c r="A77" s="365" t="s">
        <v>3127</v>
      </c>
      <c r="B77" s="366"/>
      <c r="C77" s="363" t="s">
        <v>1052</v>
      </c>
      <c r="D77" s="364" t="str">
        <f t="array" ref="D77">XLOOKUP('Attribute Translator'!C77, Lists!I:I, Lists!J:J, "Not found")</f>
        <v>pofp_d1</v>
      </c>
      <c r="E77" s="367"/>
      <c r="F77" s="366"/>
      <c r="G77" s="366"/>
    </row>
    <row r="78" ht="42.0" customHeight="1">
      <c r="A78" s="365" t="s">
        <v>3128</v>
      </c>
      <c r="B78" s="366"/>
      <c r="C78" s="363" t="s">
        <v>1053</v>
      </c>
      <c r="D78" s="364" t="str">
        <f t="array" ref="D78">XLOOKUP('Attribute Translator'!C78, Lists!I:I, Lists!J:J, "Not found")</f>
        <v>pofp_d2</v>
      </c>
      <c r="E78" s="367"/>
      <c r="F78" s="366"/>
      <c r="G78" s="366"/>
    </row>
    <row r="79" ht="42.0" customHeight="1">
      <c r="A79" s="365" t="s">
        <v>3129</v>
      </c>
      <c r="B79" s="366"/>
      <c r="C79" s="363" t="s">
        <v>3130</v>
      </c>
      <c r="D79" s="364" t="str">
        <f t="array" ref="D79">XLOOKUP('Attribute Translator'!C79, Lists!I:I, Lists!J:J, "Not found")</f>
        <v>Not found</v>
      </c>
      <c r="E79" s="367"/>
      <c r="F79" s="366"/>
      <c r="G79" s="366"/>
    </row>
    <row r="80" ht="42.0" customHeight="1">
      <c r="A80" s="365" t="s">
        <v>3131</v>
      </c>
      <c r="B80" s="366"/>
      <c r="C80" s="363" t="s">
        <v>1106</v>
      </c>
      <c r="D80" s="364" t="str">
        <f t="array" ref="D80">XLOOKUP('Attribute Translator'!C80, Lists!I:I, Lists!J:J, "Not found")</f>
        <v>pere_a1-a3</v>
      </c>
      <c r="E80" s="367"/>
      <c r="F80" s="366"/>
      <c r="G80" s="366"/>
    </row>
    <row r="81" ht="42.0" customHeight="1">
      <c r="A81" s="365" t="s">
        <v>3132</v>
      </c>
      <c r="B81" s="366"/>
      <c r="C81" s="363" t="s">
        <v>1107</v>
      </c>
      <c r="D81" s="364" t="str">
        <f t="array" ref="D81">XLOOKUP('Attribute Translator'!C81, Lists!I:I, Lists!J:J, "Not found")</f>
        <v>pere_a4</v>
      </c>
      <c r="E81" s="367"/>
      <c r="F81" s="366"/>
      <c r="G81" s="366"/>
    </row>
    <row r="82" ht="42.0" customHeight="1">
      <c r="A82" s="365" t="s">
        <v>3133</v>
      </c>
      <c r="B82" s="366"/>
      <c r="C82" s="363" t="s">
        <v>1108</v>
      </c>
      <c r="D82" s="364" t="str">
        <f t="array" ref="D82">XLOOKUP('Attribute Translator'!C82, Lists!I:I, Lists!J:J, "Not found")</f>
        <v>pere_a5</v>
      </c>
      <c r="E82" s="367"/>
      <c r="F82" s="366"/>
      <c r="G82" s="366"/>
    </row>
    <row r="83" ht="42.0" customHeight="1">
      <c r="A83" s="365" t="s">
        <v>3134</v>
      </c>
      <c r="B83" s="366"/>
      <c r="C83" s="363" t="s">
        <v>1109</v>
      </c>
      <c r="D83" s="364" t="str">
        <f t="array" ref="D83">XLOOKUP('Attribute Translator'!C83, Lists!I:I, Lists!J:J, "Not found")</f>
        <v>pere_b1</v>
      </c>
      <c r="E83" s="367"/>
      <c r="F83" s="366"/>
      <c r="G83" s="366"/>
    </row>
    <row r="84" ht="42.0" customHeight="1">
      <c r="A84" s="365" t="s">
        <v>3135</v>
      </c>
      <c r="B84" s="366"/>
      <c r="C84" s="363" t="s">
        <v>1110</v>
      </c>
      <c r="D84" s="364" t="str">
        <f t="array" ref="D84">XLOOKUP('Attribute Translator'!C84, Lists!I:I, Lists!J:J, "Not found")</f>
        <v>pere_b2</v>
      </c>
      <c r="E84" s="367"/>
      <c r="F84" s="366"/>
      <c r="G84" s="366"/>
    </row>
    <row r="85" ht="42.0" customHeight="1">
      <c r="A85" s="365" t="s">
        <v>3136</v>
      </c>
      <c r="B85" s="366"/>
      <c r="C85" s="363" t="s">
        <v>1111</v>
      </c>
      <c r="D85" s="364" t="str">
        <f t="array" ref="D85">XLOOKUP('Attribute Translator'!C85, Lists!I:I, Lists!J:J, "Not found")</f>
        <v>pere_b3</v>
      </c>
      <c r="E85" s="367"/>
      <c r="F85" s="366"/>
      <c r="G85" s="366"/>
    </row>
    <row r="86" ht="42.0" customHeight="1">
      <c r="A86" s="365" t="s">
        <v>3137</v>
      </c>
      <c r="B86" s="366"/>
      <c r="C86" s="363" t="s">
        <v>1112</v>
      </c>
      <c r="D86" s="364" t="str">
        <f t="array" ref="D86">XLOOKUP('Attribute Translator'!C86, Lists!I:I, Lists!J:J, "Not found")</f>
        <v>pere_b4</v>
      </c>
      <c r="E86" s="367"/>
      <c r="F86" s="366"/>
      <c r="G86" s="366"/>
    </row>
    <row r="87" ht="42.0" customHeight="1">
      <c r="A87" s="365" t="s">
        <v>3138</v>
      </c>
      <c r="B87" s="366"/>
      <c r="C87" s="363" t="s">
        <v>1113</v>
      </c>
      <c r="D87" s="364" t="str">
        <f t="array" ref="D87">XLOOKUP('Attribute Translator'!C87, Lists!I:I, Lists!J:J, "Not found")</f>
        <v>pere_b5</v>
      </c>
      <c r="E87" s="367"/>
      <c r="F87" s="366"/>
      <c r="G87" s="366"/>
    </row>
    <row r="88" ht="42.0" customHeight="1">
      <c r="A88" s="365" t="s">
        <v>3139</v>
      </c>
      <c r="B88" s="366"/>
      <c r="C88" s="363" t="s">
        <v>1114</v>
      </c>
      <c r="D88" s="364" t="str">
        <f t="array" ref="D88">XLOOKUP('Attribute Translator'!C88, Lists!I:I, Lists!J:J, "Not found")</f>
        <v>pere_b6</v>
      </c>
      <c r="E88" s="367"/>
      <c r="F88" s="366"/>
      <c r="G88" s="366"/>
    </row>
    <row r="89" ht="42.0" customHeight="1">
      <c r="A89" s="365" t="s">
        <v>3140</v>
      </c>
      <c r="B89" s="366"/>
      <c r="C89" s="363" t="s">
        <v>1115</v>
      </c>
      <c r="D89" s="364" t="str">
        <f t="array" ref="D89">XLOOKUP('Attribute Translator'!C89, Lists!I:I, Lists!J:J, "Not found")</f>
        <v>pere_c1</v>
      </c>
      <c r="E89" s="367"/>
      <c r="F89" s="366"/>
      <c r="G89" s="366"/>
    </row>
    <row r="90" ht="42.0" customHeight="1">
      <c r="A90" s="365" t="s">
        <v>3141</v>
      </c>
      <c r="B90" s="366"/>
      <c r="C90" s="363" t="s">
        <v>1116</v>
      </c>
      <c r="D90" s="364" t="str">
        <f t="array" ref="D90">XLOOKUP('Attribute Translator'!C90, Lists!I:I, Lists!J:J, "Not found")</f>
        <v>pere_c2</v>
      </c>
      <c r="E90" s="367"/>
      <c r="F90" s="366"/>
      <c r="G90" s="366"/>
    </row>
    <row r="91" ht="42.0" customHeight="1">
      <c r="A91" s="365" t="s">
        <v>3142</v>
      </c>
      <c r="B91" s="366"/>
      <c r="C91" s="363" t="s">
        <v>1117</v>
      </c>
      <c r="D91" s="364" t="str">
        <f t="array" ref="D91">XLOOKUP('Attribute Translator'!C91, Lists!I:I, Lists!J:J, "Not found")</f>
        <v>pere_c3</v>
      </c>
      <c r="E91" s="367"/>
      <c r="F91" s="366"/>
      <c r="G91" s="366"/>
    </row>
    <row r="92" ht="42.0" customHeight="1">
      <c r="A92" s="365" t="s">
        <v>3143</v>
      </c>
      <c r="B92" s="366"/>
      <c r="C92" s="363" t="s">
        <v>1118</v>
      </c>
      <c r="D92" s="364" t="str">
        <f t="array" ref="D92">XLOOKUP('Attribute Translator'!C92, Lists!I:I, Lists!J:J, "Not found")</f>
        <v>pere_c4</v>
      </c>
      <c r="E92" s="367"/>
      <c r="F92" s="366"/>
      <c r="G92" s="366"/>
    </row>
    <row r="93" ht="42.0" customHeight="1">
      <c r="A93" s="365" t="s">
        <v>3144</v>
      </c>
      <c r="B93" s="366"/>
      <c r="C93" s="363" t="s">
        <v>1119</v>
      </c>
      <c r="D93" s="364" t="str">
        <f t="array" ref="D93">XLOOKUP('Attribute Translator'!C93, Lists!I:I, Lists!J:J, "Not found")</f>
        <v>pere_d</v>
      </c>
      <c r="E93" s="367"/>
      <c r="F93" s="366"/>
      <c r="G93" s="366"/>
    </row>
    <row r="94" ht="42.0" customHeight="1">
      <c r="A94" s="365" t="s">
        <v>3145</v>
      </c>
      <c r="B94" s="366"/>
      <c r="C94" s="363" t="s">
        <v>1120</v>
      </c>
      <c r="D94" s="364" t="str">
        <f t="array" ref="D94">XLOOKUP('Attribute Translator'!C94, Lists!I:I, Lists!J:J, "Not found")</f>
        <v>pere_d1</v>
      </c>
      <c r="E94" s="367"/>
      <c r="F94" s="366"/>
      <c r="G94" s="366"/>
    </row>
    <row r="95" ht="42.0" customHeight="1">
      <c r="A95" s="365" t="s">
        <v>3146</v>
      </c>
      <c r="B95" s="366"/>
      <c r="C95" s="363" t="s">
        <v>1121</v>
      </c>
      <c r="D95" s="364" t="str">
        <f t="array" ref="D95">XLOOKUP('Attribute Translator'!C95, Lists!I:I, Lists!J:J, "Not found")</f>
        <v>pere_d2</v>
      </c>
      <c r="E95" s="367"/>
      <c r="F95" s="366"/>
      <c r="G95" s="366"/>
    </row>
    <row r="96" ht="42.0" customHeight="1">
      <c r="A96" s="365" t="s">
        <v>3147</v>
      </c>
      <c r="B96" s="366"/>
      <c r="C96" s="363" t="s">
        <v>3148</v>
      </c>
      <c r="D96" s="364" t="str">
        <f t="array" ref="D96">XLOOKUP('Attribute Translator'!C96, Lists!I:I, Lists!J:J, "Not found")</f>
        <v>Not found</v>
      </c>
      <c r="E96" s="367"/>
      <c r="F96" s="366"/>
      <c r="G96" s="366"/>
    </row>
    <row r="97" ht="42.0" customHeight="1">
      <c r="A97" s="365" t="s">
        <v>3149</v>
      </c>
      <c r="B97" s="366"/>
      <c r="C97" s="363" t="s">
        <v>972</v>
      </c>
      <c r="D97" s="364" t="str">
        <f t="array" ref="D97">XLOOKUP('Attribute Translator'!C97, Lists!I:I, Lists!J:J, "Not found")</f>
        <v>ep_am_a1-a3</v>
      </c>
      <c r="E97" s="367"/>
      <c r="F97" s="366"/>
      <c r="G97" s="366"/>
    </row>
    <row r="98" ht="42.0" customHeight="1">
      <c r="A98" s="365" t="s">
        <v>3150</v>
      </c>
      <c r="B98" s="366"/>
      <c r="C98" s="363" t="s">
        <v>973</v>
      </c>
      <c r="D98" s="364" t="str">
        <f t="array" ref="D98">XLOOKUP('Attribute Translator'!C98, Lists!I:I, Lists!J:J, "Not found")</f>
        <v>ep_am_a4</v>
      </c>
      <c r="E98" s="367"/>
      <c r="F98" s="366"/>
      <c r="G98" s="366"/>
    </row>
    <row r="99" ht="42.0" customHeight="1">
      <c r="A99" s="365" t="s">
        <v>3151</v>
      </c>
      <c r="B99" s="366"/>
      <c r="C99" s="363" t="s">
        <v>974</v>
      </c>
      <c r="D99" s="364" t="str">
        <f t="array" ref="D99">XLOOKUP('Attribute Translator'!C99, Lists!I:I, Lists!J:J, "Not found")</f>
        <v>ep_am_a5</v>
      </c>
      <c r="E99" s="367"/>
      <c r="F99" s="366"/>
      <c r="G99" s="366"/>
    </row>
    <row r="100" ht="42.0" customHeight="1">
      <c r="A100" s="365" t="s">
        <v>3152</v>
      </c>
      <c r="B100" s="366"/>
      <c r="C100" s="363" t="s">
        <v>975</v>
      </c>
      <c r="D100" s="364" t="str">
        <f t="array" ref="D100">XLOOKUP('Attribute Translator'!C100, Lists!I:I, Lists!J:J, "Not found")</f>
        <v>ep_am_b1</v>
      </c>
      <c r="E100" s="367"/>
      <c r="F100" s="366"/>
      <c r="G100" s="366"/>
    </row>
    <row r="101" ht="42.0" customHeight="1">
      <c r="A101" s="365" t="s">
        <v>3153</v>
      </c>
      <c r="B101" s="366"/>
      <c r="C101" s="363" t="s">
        <v>976</v>
      </c>
      <c r="D101" s="364" t="str">
        <f t="array" ref="D101">XLOOKUP('Attribute Translator'!C101, Lists!I:I, Lists!J:J, "Not found")</f>
        <v>ep_am_b2</v>
      </c>
      <c r="E101" s="367"/>
      <c r="F101" s="366"/>
      <c r="G101" s="366"/>
    </row>
    <row r="102" ht="42.0" customHeight="1">
      <c r="A102" s="365" t="s">
        <v>3154</v>
      </c>
      <c r="B102" s="366"/>
      <c r="C102" s="363" t="s">
        <v>977</v>
      </c>
      <c r="D102" s="364" t="str">
        <f t="array" ref="D102">XLOOKUP('Attribute Translator'!C102, Lists!I:I, Lists!J:J, "Not found")</f>
        <v>ep_am_b3</v>
      </c>
      <c r="E102" s="367"/>
      <c r="F102" s="366"/>
      <c r="G102" s="366"/>
    </row>
    <row r="103" ht="42.0" customHeight="1">
      <c r="A103" s="365" t="s">
        <v>3155</v>
      </c>
      <c r="B103" s="366"/>
      <c r="C103" s="363" t="s">
        <v>978</v>
      </c>
      <c r="D103" s="364" t="str">
        <f t="array" ref="D103">XLOOKUP('Attribute Translator'!C103, Lists!I:I, Lists!J:J, "Not found")</f>
        <v>ep_am_b4</v>
      </c>
      <c r="E103" s="367"/>
      <c r="F103" s="366"/>
      <c r="G103" s="366"/>
    </row>
    <row r="104" ht="42.0" customHeight="1">
      <c r="A104" s="365" t="s">
        <v>3156</v>
      </c>
      <c r="B104" s="366"/>
      <c r="C104" s="363" t="s">
        <v>979</v>
      </c>
      <c r="D104" s="364" t="str">
        <f t="array" ref="D104">XLOOKUP('Attribute Translator'!C104, Lists!I:I, Lists!J:J, "Not found")</f>
        <v>ep_am_b5</v>
      </c>
      <c r="E104" s="367"/>
      <c r="F104" s="366"/>
      <c r="G104" s="366"/>
    </row>
    <row r="105" ht="42.0" customHeight="1">
      <c r="A105" s="365" t="s">
        <v>3157</v>
      </c>
      <c r="B105" s="366"/>
      <c r="C105" s="363" t="s">
        <v>980</v>
      </c>
      <c r="D105" s="364" t="str">
        <f t="array" ref="D105">XLOOKUP('Attribute Translator'!C105, Lists!I:I, Lists!J:J, "Not found")</f>
        <v>ep_am_b6</v>
      </c>
      <c r="E105" s="367"/>
      <c r="F105" s="366"/>
      <c r="G105" s="366"/>
    </row>
    <row r="106" ht="42.0" customHeight="1">
      <c r="A106" s="365" t="s">
        <v>3158</v>
      </c>
      <c r="B106" s="366"/>
      <c r="C106" s="363" t="s">
        <v>981</v>
      </c>
      <c r="D106" s="364" t="str">
        <f t="array" ref="D106">XLOOKUP('Attribute Translator'!C106, Lists!I:I, Lists!J:J, "Not found")</f>
        <v>ep_am_c1</v>
      </c>
      <c r="E106" s="367"/>
      <c r="F106" s="366"/>
      <c r="G106" s="366"/>
    </row>
    <row r="107" ht="42.0" customHeight="1">
      <c r="A107" s="365" t="s">
        <v>3159</v>
      </c>
      <c r="B107" s="366"/>
      <c r="C107" s="363" t="s">
        <v>982</v>
      </c>
      <c r="D107" s="364" t="str">
        <f t="array" ref="D107">XLOOKUP('Attribute Translator'!C107, Lists!I:I, Lists!J:J, "Not found")</f>
        <v>ep_am_c2</v>
      </c>
      <c r="E107" s="367"/>
      <c r="F107" s="366"/>
      <c r="G107" s="366"/>
    </row>
    <row r="108" ht="42.0" customHeight="1">
      <c r="A108" s="365" t="s">
        <v>3160</v>
      </c>
      <c r="B108" s="366"/>
      <c r="C108" s="363" t="s">
        <v>983</v>
      </c>
      <c r="D108" s="364" t="str">
        <f t="array" ref="D108">XLOOKUP('Attribute Translator'!C108, Lists!I:I, Lists!J:J, "Not found")</f>
        <v>ep_am_c3</v>
      </c>
      <c r="E108" s="367"/>
      <c r="F108" s="366"/>
      <c r="G108" s="366"/>
    </row>
    <row r="109" ht="42.0" customHeight="1">
      <c r="A109" s="365" t="s">
        <v>3161</v>
      </c>
      <c r="B109" s="366"/>
      <c r="C109" s="363" t="s">
        <v>984</v>
      </c>
      <c r="D109" s="364" t="str">
        <f t="array" ref="D109">XLOOKUP('Attribute Translator'!C109, Lists!I:I, Lists!J:J, "Not found")</f>
        <v>ep_am_c4</v>
      </c>
      <c r="E109" s="367"/>
      <c r="F109" s="366"/>
      <c r="G109" s="366"/>
    </row>
    <row r="110" ht="42.0" customHeight="1">
      <c r="A110" s="365" t="s">
        <v>3162</v>
      </c>
      <c r="B110" s="366"/>
      <c r="C110" s="363" t="s">
        <v>985</v>
      </c>
      <c r="D110" s="364" t="str">
        <f t="array" ref="D110">XLOOKUP('Attribute Translator'!C110, Lists!I:I, Lists!J:J, "Not found")</f>
        <v>ep_am_d</v>
      </c>
      <c r="E110" s="367"/>
      <c r="F110" s="366"/>
      <c r="G110" s="366"/>
    </row>
    <row r="111" ht="42.0" customHeight="1">
      <c r="A111" s="365" t="s">
        <v>3163</v>
      </c>
      <c r="B111" s="366"/>
      <c r="C111" s="363" t="s">
        <v>986</v>
      </c>
      <c r="D111" s="364" t="str">
        <f t="array" ref="D111">XLOOKUP('Attribute Translator'!C111, Lists!I:I, Lists!J:J, "Not found")</f>
        <v>ep_am_d1</v>
      </c>
      <c r="E111" s="367"/>
      <c r="F111" s="366"/>
      <c r="G111" s="366"/>
    </row>
    <row r="112" ht="42.0" customHeight="1">
      <c r="A112" s="365" t="s">
        <v>3164</v>
      </c>
      <c r="B112" s="366"/>
      <c r="C112" s="363" t="s">
        <v>987</v>
      </c>
      <c r="D112" s="364" t="str">
        <f t="array" ref="D112">XLOOKUP('Attribute Translator'!C112, Lists!I:I, Lists!J:J, "Not found")</f>
        <v>ep_am_d2</v>
      </c>
      <c r="E112" s="367"/>
      <c r="F112" s="366"/>
      <c r="G112" s="366"/>
    </row>
    <row r="113" ht="42.0" customHeight="1">
      <c r="A113" s="365" t="s">
        <v>3165</v>
      </c>
      <c r="B113" s="366"/>
      <c r="C113" s="363" t="s">
        <v>3166</v>
      </c>
      <c r="D113" s="364" t="str">
        <f t="array" ref="D113">XLOOKUP('Attribute Translator'!C113, Lists!I:I, Lists!J:J, "Not found")</f>
        <v>Not found</v>
      </c>
      <c r="E113" s="367"/>
      <c r="F113" s="366"/>
      <c r="G113" s="366"/>
    </row>
    <row r="114" ht="42.0" customHeight="1">
      <c r="A114" s="365" t="s">
        <v>3167</v>
      </c>
      <c r="B114" s="366"/>
      <c r="C114" s="363" t="s">
        <v>955</v>
      </c>
      <c r="D114" s="364" t="str">
        <f t="array" ref="D114">XLOOKUP('Attribute Translator'!C114, Lists!I:I, Lists!J:J, "Not found")</f>
        <v>ep_af_a1-a3</v>
      </c>
      <c r="E114" s="367"/>
      <c r="F114" s="366"/>
      <c r="G114" s="366"/>
    </row>
    <row r="115" ht="42.0" customHeight="1">
      <c r="A115" s="365" t="s">
        <v>3168</v>
      </c>
      <c r="B115" s="366"/>
      <c r="C115" s="363" t="s">
        <v>956</v>
      </c>
      <c r="D115" s="364" t="str">
        <f t="array" ref="D115">XLOOKUP('Attribute Translator'!C115, Lists!I:I, Lists!J:J, "Not found")</f>
        <v>ep_af_a4</v>
      </c>
      <c r="E115" s="367"/>
      <c r="F115" s="366"/>
      <c r="G115" s="366"/>
    </row>
    <row r="116" ht="42.0" customHeight="1">
      <c r="A116" s="365" t="s">
        <v>3169</v>
      </c>
      <c r="B116" s="366"/>
      <c r="C116" s="363" t="s">
        <v>957</v>
      </c>
      <c r="D116" s="364" t="str">
        <f t="array" ref="D116">XLOOKUP('Attribute Translator'!C116, Lists!I:I, Lists!J:J, "Not found")</f>
        <v>ep_af_a5</v>
      </c>
      <c r="E116" s="367"/>
      <c r="F116" s="366"/>
      <c r="G116" s="366"/>
    </row>
    <row r="117" ht="42.0" customHeight="1">
      <c r="A117" s="365" t="s">
        <v>3170</v>
      </c>
      <c r="B117" s="366"/>
      <c r="C117" s="363" t="s">
        <v>958</v>
      </c>
      <c r="D117" s="364" t="str">
        <f t="array" ref="D117">XLOOKUP('Attribute Translator'!C117, Lists!I:I, Lists!J:J, "Not found")</f>
        <v>ep_af_b1</v>
      </c>
      <c r="E117" s="367"/>
      <c r="F117" s="366"/>
      <c r="G117" s="366"/>
    </row>
    <row r="118" ht="42.0" customHeight="1">
      <c r="A118" s="365" t="s">
        <v>3171</v>
      </c>
      <c r="B118" s="366"/>
      <c r="C118" s="363" t="s">
        <v>959</v>
      </c>
      <c r="D118" s="364" t="str">
        <f t="array" ref="D118">XLOOKUP('Attribute Translator'!C118, Lists!I:I, Lists!J:J, "Not found")</f>
        <v>ep_af_b2</v>
      </c>
      <c r="E118" s="367"/>
      <c r="F118" s="366"/>
      <c r="G118" s="366"/>
    </row>
    <row r="119" ht="42.0" customHeight="1">
      <c r="A119" s="365" t="s">
        <v>3172</v>
      </c>
      <c r="B119" s="366"/>
      <c r="C119" s="363" t="s">
        <v>960</v>
      </c>
      <c r="D119" s="364" t="str">
        <f t="array" ref="D119">XLOOKUP('Attribute Translator'!C119, Lists!I:I, Lists!J:J, "Not found")</f>
        <v>ep_af_b3</v>
      </c>
      <c r="E119" s="367"/>
      <c r="F119" s="366"/>
      <c r="G119" s="366"/>
    </row>
    <row r="120" ht="42.0" customHeight="1">
      <c r="A120" s="365" t="s">
        <v>3173</v>
      </c>
      <c r="B120" s="366"/>
      <c r="C120" s="363" t="s">
        <v>961</v>
      </c>
      <c r="D120" s="364" t="str">
        <f t="array" ref="D120">XLOOKUP('Attribute Translator'!C120, Lists!I:I, Lists!J:J, "Not found")</f>
        <v>ep_af_b4</v>
      </c>
      <c r="E120" s="367"/>
      <c r="F120" s="366"/>
      <c r="G120" s="366"/>
    </row>
    <row r="121" ht="42.0" customHeight="1">
      <c r="A121" s="365" t="s">
        <v>3174</v>
      </c>
      <c r="B121" s="366"/>
      <c r="C121" s="363" t="s">
        <v>962</v>
      </c>
      <c r="D121" s="364" t="str">
        <f t="array" ref="D121">XLOOKUP('Attribute Translator'!C121, Lists!I:I, Lists!J:J, "Not found")</f>
        <v>ep_af_b5</v>
      </c>
      <c r="E121" s="367"/>
      <c r="F121" s="366"/>
      <c r="G121" s="366"/>
    </row>
    <row r="122" ht="42.0" customHeight="1">
      <c r="A122" s="365" t="s">
        <v>3175</v>
      </c>
      <c r="B122" s="366"/>
      <c r="C122" s="363" t="s">
        <v>963</v>
      </c>
      <c r="D122" s="364" t="str">
        <f t="array" ref="D122">XLOOKUP('Attribute Translator'!C122, Lists!I:I, Lists!J:J, "Not found")</f>
        <v>ep_af_b6</v>
      </c>
      <c r="E122" s="367"/>
      <c r="F122" s="366"/>
      <c r="G122" s="366"/>
    </row>
    <row r="123" ht="42.0" customHeight="1">
      <c r="A123" s="365" t="s">
        <v>3176</v>
      </c>
      <c r="B123" s="366"/>
      <c r="C123" s="363" t="s">
        <v>964</v>
      </c>
      <c r="D123" s="364" t="str">
        <f t="array" ref="D123">XLOOKUP('Attribute Translator'!C123, Lists!I:I, Lists!J:J, "Not found")</f>
        <v>ep_af_c1</v>
      </c>
      <c r="E123" s="367"/>
      <c r="F123" s="366"/>
      <c r="G123" s="366"/>
    </row>
    <row r="124" ht="42.0" customHeight="1">
      <c r="A124" s="365" t="s">
        <v>3177</v>
      </c>
      <c r="B124" s="366"/>
      <c r="C124" s="363" t="s">
        <v>965</v>
      </c>
      <c r="D124" s="364" t="str">
        <f t="array" ref="D124">XLOOKUP('Attribute Translator'!C124, Lists!I:I, Lists!J:J, "Not found")</f>
        <v>ep_af_c2</v>
      </c>
      <c r="E124" s="367"/>
      <c r="F124" s="366"/>
      <c r="G124" s="366"/>
    </row>
    <row r="125" ht="42.0" customHeight="1">
      <c r="A125" s="365" t="s">
        <v>3178</v>
      </c>
      <c r="B125" s="366"/>
      <c r="C125" s="363" t="s">
        <v>966</v>
      </c>
      <c r="D125" s="364" t="str">
        <f t="array" ref="D125">XLOOKUP('Attribute Translator'!C125, Lists!I:I, Lists!J:J, "Not found")</f>
        <v>ep_af_c3</v>
      </c>
      <c r="E125" s="367"/>
      <c r="F125" s="366"/>
      <c r="G125" s="366"/>
    </row>
    <row r="126" ht="42.0" customHeight="1">
      <c r="A126" s="365" t="s">
        <v>3179</v>
      </c>
      <c r="B126" s="366"/>
      <c r="C126" s="363" t="s">
        <v>967</v>
      </c>
      <c r="D126" s="364" t="str">
        <f t="array" ref="D126">XLOOKUP('Attribute Translator'!C126, Lists!I:I, Lists!J:J, "Not found")</f>
        <v>ep_af_c4</v>
      </c>
      <c r="E126" s="367"/>
      <c r="F126" s="366"/>
      <c r="G126" s="366"/>
    </row>
    <row r="127" ht="42.0" customHeight="1">
      <c r="A127" s="365" t="s">
        <v>3180</v>
      </c>
      <c r="B127" s="366"/>
      <c r="C127" s="363" t="s">
        <v>968</v>
      </c>
      <c r="D127" s="364" t="str">
        <f t="array" ref="D127">XLOOKUP('Attribute Translator'!C127, Lists!I:I, Lists!J:J, "Not found")</f>
        <v>ep_af_d</v>
      </c>
      <c r="E127" s="367"/>
      <c r="F127" s="366"/>
      <c r="G127" s="366"/>
    </row>
    <row r="128" ht="42.0" customHeight="1">
      <c r="A128" s="365" t="s">
        <v>3181</v>
      </c>
      <c r="B128" s="366"/>
      <c r="C128" s="363" t="s">
        <v>969</v>
      </c>
      <c r="D128" s="364" t="str">
        <f t="array" ref="D128">XLOOKUP('Attribute Translator'!C128, Lists!I:I, Lists!J:J, "Not found")</f>
        <v>ep_af_d1</v>
      </c>
      <c r="E128" s="367"/>
      <c r="F128" s="366"/>
      <c r="G128" s="366"/>
    </row>
    <row r="129" ht="42.0" customHeight="1">
      <c r="A129" s="365" t="s">
        <v>3182</v>
      </c>
      <c r="B129" s="366"/>
      <c r="C129" s="363" t="s">
        <v>970</v>
      </c>
      <c r="D129" s="364" t="str">
        <f t="array" ref="D129">XLOOKUP('Attribute Translator'!C129, Lists!I:I, Lists!J:J, "Not found")</f>
        <v>ep_af_d2</v>
      </c>
      <c r="E129" s="367"/>
      <c r="F129" s="366"/>
      <c r="G129" s="366"/>
    </row>
    <row r="130" ht="42.0" customHeight="1">
      <c r="A130" s="365" t="s">
        <v>3183</v>
      </c>
      <c r="B130" s="366"/>
      <c r="C130" s="363" t="s">
        <v>3184</v>
      </c>
      <c r="D130" s="364" t="str">
        <f t="array" ref="D130">XLOOKUP('Attribute Translator'!C130, Lists!I:I, Lists!J:J, "Not found")</f>
        <v>Not found</v>
      </c>
      <c r="E130" s="367"/>
      <c r="F130" s="366"/>
      <c r="G130" s="366"/>
    </row>
    <row r="131" ht="42.0" customHeight="1">
      <c r="A131" s="365" t="s">
        <v>3185</v>
      </c>
      <c r="B131" s="366"/>
      <c r="C131" s="363" t="s">
        <v>989</v>
      </c>
      <c r="D131" s="364" t="str">
        <f t="array" ref="D131">XLOOKUP('Attribute Translator'!C131, Lists!I:I, Lists!J:J, "Not found")</f>
        <v>ep_t_a1-a3</v>
      </c>
      <c r="E131" s="367"/>
      <c r="F131" s="366"/>
      <c r="G131" s="366"/>
    </row>
    <row r="132" ht="42.0" customHeight="1">
      <c r="A132" s="365" t="s">
        <v>3186</v>
      </c>
      <c r="B132" s="366"/>
      <c r="C132" s="363" t="s">
        <v>990</v>
      </c>
      <c r="D132" s="364" t="str">
        <f t="array" ref="D132">XLOOKUP('Attribute Translator'!C132, Lists!I:I, Lists!J:J, "Not found")</f>
        <v>ep_t_a4</v>
      </c>
      <c r="E132" s="367"/>
      <c r="F132" s="366"/>
      <c r="G132" s="366"/>
    </row>
    <row r="133" ht="42.0" customHeight="1">
      <c r="A133" s="365" t="s">
        <v>3187</v>
      </c>
      <c r="B133" s="366"/>
      <c r="C133" s="363" t="s">
        <v>991</v>
      </c>
      <c r="D133" s="364" t="str">
        <f t="array" ref="D133">XLOOKUP('Attribute Translator'!C133, Lists!I:I, Lists!J:J, "Not found")</f>
        <v>ep_t_a5</v>
      </c>
      <c r="E133" s="367"/>
      <c r="F133" s="366"/>
      <c r="G133" s="366"/>
    </row>
    <row r="134" ht="42.0" customHeight="1">
      <c r="A134" s="365" t="s">
        <v>3188</v>
      </c>
      <c r="B134" s="366"/>
      <c r="C134" s="363" t="s">
        <v>992</v>
      </c>
      <c r="D134" s="364" t="str">
        <f t="array" ref="D134">XLOOKUP('Attribute Translator'!C134, Lists!I:I, Lists!J:J, "Not found")</f>
        <v>ep_t_b1</v>
      </c>
      <c r="E134" s="367"/>
      <c r="F134" s="366"/>
      <c r="G134" s="366"/>
    </row>
    <row r="135" ht="42.0" customHeight="1">
      <c r="A135" s="365" t="s">
        <v>3189</v>
      </c>
      <c r="B135" s="366"/>
      <c r="C135" s="363" t="s">
        <v>993</v>
      </c>
      <c r="D135" s="364" t="str">
        <f t="array" ref="D135">XLOOKUP('Attribute Translator'!C135, Lists!I:I, Lists!J:J, "Not found")</f>
        <v>ep_t_b2</v>
      </c>
      <c r="E135" s="367"/>
      <c r="F135" s="366"/>
      <c r="G135" s="366"/>
    </row>
    <row r="136" ht="42.0" customHeight="1">
      <c r="A136" s="365" t="s">
        <v>3190</v>
      </c>
      <c r="B136" s="366"/>
      <c r="C136" s="363" t="s">
        <v>994</v>
      </c>
      <c r="D136" s="364" t="str">
        <f t="array" ref="D136">XLOOKUP('Attribute Translator'!C136, Lists!I:I, Lists!J:J, "Not found")</f>
        <v>ep_t_b3</v>
      </c>
      <c r="E136" s="367"/>
      <c r="F136" s="366"/>
      <c r="G136" s="366"/>
    </row>
    <row r="137" ht="42.0" customHeight="1">
      <c r="A137" s="365" t="s">
        <v>3191</v>
      </c>
      <c r="B137" s="366"/>
      <c r="C137" s="363" t="s">
        <v>995</v>
      </c>
      <c r="D137" s="364" t="str">
        <f t="array" ref="D137">XLOOKUP('Attribute Translator'!C137, Lists!I:I, Lists!J:J, "Not found")</f>
        <v>ep_t_b4</v>
      </c>
      <c r="E137" s="367"/>
      <c r="F137" s="366"/>
      <c r="G137" s="366"/>
    </row>
    <row r="138" ht="42.0" customHeight="1">
      <c r="A138" s="365" t="s">
        <v>3192</v>
      </c>
      <c r="B138" s="366"/>
      <c r="C138" s="363" t="s">
        <v>996</v>
      </c>
      <c r="D138" s="364" t="str">
        <f t="array" ref="D138">XLOOKUP('Attribute Translator'!C138, Lists!I:I, Lists!J:J, "Not found")</f>
        <v>ep_t_b5</v>
      </c>
      <c r="E138" s="367"/>
      <c r="F138" s="366"/>
      <c r="G138" s="366"/>
    </row>
    <row r="139" ht="42.0" customHeight="1">
      <c r="A139" s="365" t="s">
        <v>3193</v>
      </c>
      <c r="B139" s="366"/>
      <c r="C139" s="363" t="s">
        <v>997</v>
      </c>
      <c r="D139" s="364" t="str">
        <f t="array" ref="D139">XLOOKUP('Attribute Translator'!C139, Lists!I:I, Lists!J:J, "Not found")</f>
        <v>ep_t_b6</v>
      </c>
      <c r="E139" s="367"/>
      <c r="F139" s="366"/>
      <c r="G139" s="366"/>
    </row>
    <row r="140" ht="42.0" customHeight="1">
      <c r="A140" s="365" t="s">
        <v>3194</v>
      </c>
      <c r="B140" s="366"/>
      <c r="C140" s="363" t="s">
        <v>998</v>
      </c>
      <c r="D140" s="364" t="str">
        <f t="array" ref="D140">XLOOKUP('Attribute Translator'!C140, Lists!I:I, Lists!J:J, "Not found")</f>
        <v>ep_t_c1</v>
      </c>
      <c r="E140" s="367"/>
      <c r="F140" s="366"/>
      <c r="G140" s="366"/>
    </row>
    <row r="141" ht="42.0" customHeight="1">
      <c r="A141" s="365" t="s">
        <v>3195</v>
      </c>
      <c r="B141" s="366"/>
      <c r="C141" s="363" t="s">
        <v>999</v>
      </c>
      <c r="D141" s="364" t="str">
        <f t="array" ref="D141">XLOOKUP('Attribute Translator'!C141, Lists!I:I, Lists!J:J, "Not found")</f>
        <v>ep_t_c2</v>
      </c>
      <c r="E141" s="367"/>
      <c r="F141" s="366"/>
      <c r="G141" s="366"/>
    </row>
    <row r="142" ht="42.0" customHeight="1">
      <c r="A142" s="365" t="s">
        <v>3196</v>
      </c>
      <c r="B142" s="366"/>
      <c r="C142" s="363" t="s">
        <v>1000</v>
      </c>
      <c r="D142" s="364" t="str">
        <f t="array" ref="D142">XLOOKUP('Attribute Translator'!C142, Lists!I:I, Lists!J:J, "Not found")</f>
        <v>ep_t_c3</v>
      </c>
      <c r="E142" s="367"/>
      <c r="F142" s="366"/>
      <c r="G142" s="366"/>
    </row>
    <row r="143" ht="42.0" customHeight="1">
      <c r="A143" s="365" t="s">
        <v>3197</v>
      </c>
      <c r="B143" s="366"/>
      <c r="C143" s="363" t="s">
        <v>1001</v>
      </c>
      <c r="D143" s="364" t="str">
        <f t="array" ref="D143">XLOOKUP('Attribute Translator'!C143, Lists!I:I, Lists!J:J, "Not found")</f>
        <v>ep_t_c4</v>
      </c>
      <c r="E143" s="367"/>
      <c r="F143" s="366"/>
      <c r="G143" s="366"/>
    </row>
    <row r="144" ht="42.0" customHeight="1">
      <c r="A144" s="365" t="s">
        <v>3198</v>
      </c>
      <c r="B144" s="366"/>
      <c r="C144" s="363" t="s">
        <v>1002</v>
      </c>
      <c r="D144" s="364" t="str">
        <f t="array" ref="D144">XLOOKUP('Attribute Translator'!C144, Lists!I:I, Lists!J:J, "Not found")</f>
        <v>ep_t_d</v>
      </c>
      <c r="E144" s="367"/>
      <c r="F144" s="366"/>
      <c r="G144" s="366"/>
    </row>
    <row r="145" ht="42.0" customHeight="1">
      <c r="A145" s="365" t="s">
        <v>3199</v>
      </c>
      <c r="B145" s="366"/>
      <c r="C145" s="363" t="s">
        <v>1003</v>
      </c>
      <c r="D145" s="364" t="str">
        <f t="array" ref="D145">XLOOKUP('Attribute Translator'!C145, Lists!I:I, Lists!J:J, "Not found")</f>
        <v>ep_t_d1</v>
      </c>
      <c r="E145" s="367"/>
      <c r="F145" s="366"/>
      <c r="G145" s="366"/>
    </row>
    <row r="146" ht="42.0" customHeight="1">
      <c r="A146" s="365" t="s">
        <v>3200</v>
      </c>
      <c r="B146" s="366"/>
      <c r="C146" s="363" t="s">
        <v>1004</v>
      </c>
      <c r="D146" s="364" t="str">
        <f t="array" ref="D146">XLOOKUP('Attribute Translator'!C146, Lists!I:I, Lists!J:J, "Not found")</f>
        <v>ep_t_d2</v>
      </c>
      <c r="E146" s="367"/>
      <c r="F146" s="366"/>
      <c r="G146" s="366"/>
    </row>
    <row r="147" ht="42.0" customHeight="1">
      <c r="A147" s="365" t="s">
        <v>3201</v>
      </c>
      <c r="B147" s="366"/>
      <c r="C147" s="363" t="s">
        <v>3202</v>
      </c>
      <c r="D147" s="364" t="str">
        <f t="array" ref="D147">XLOOKUP('Attribute Translator'!C147, Lists!I:I, Lists!J:J, "Not found")</f>
        <v>Not found</v>
      </c>
      <c r="E147" s="367"/>
      <c r="F147" s="366"/>
      <c r="G147" s="366"/>
    </row>
    <row r="148" ht="42.0" customHeight="1">
      <c r="A148" s="365" t="s">
        <v>3203</v>
      </c>
      <c r="B148" s="366"/>
      <c r="C148" s="363" t="s">
        <v>837</v>
      </c>
      <c r="D148" s="364" t="str">
        <f t="array" ref="D148">XLOOKUP('Attribute Translator'!C148, Lists!I:I, Lists!J:J, "Not found")</f>
        <v>gwp_total_a1-a3</v>
      </c>
      <c r="E148" s="367"/>
      <c r="F148" s="366"/>
      <c r="G148" s="366"/>
    </row>
    <row r="149" ht="42.0" customHeight="1">
      <c r="A149" s="365" t="s">
        <v>3204</v>
      </c>
      <c r="B149" s="366"/>
      <c r="C149" s="363" t="s">
        <v>838</v>
      </c>
      <c r="D149" s="364" t="str">
        <f t="array" ref="D149">XLOOKUP('Attribute Translator'!C149, Lists!I:I, Lists!J:J, "Not found")</f>
        <v>gwp_total_a4</v>
      </c>
      <c r="E149" s="367"/>
      <c r="F149" s="366"/>
      <c r="G149" s="366"/>
    </row>
    <row r="150" ht="42.0" customHeight="1">
      <c r="A150" s="365" t="s">
        <v>3205</v>
      </c>
      <c r="B150" s="366"/>
      <c r="C150" s="363" t="s">
        <v>839</v>
      </c>
      <c r="D150" s="364" t="str">
        <f t="array" ref="D150">XLOOKUP('Attribute Translator'!C150, Lists!I:I, Lists!J:J, "Not found")</f>
        <v>gwp_total_a5</v>
      </c>
      <c r="E150" s="367"/>
      <c r="F150" s="366"/>
      <c r="G150" s="366"/>
    </row>
    <row r="151" ht="42.0" customHeight="1">
      <c r="A151" s="365" t="s">
        <v>3206</v>
      </c>
      <c r="B151" s="366"/>
      <c r="C151" s="363" t="s">
        <v>840</v>
      </c>
      <c r="D151" s="364" t="str">
        <f t="array" ref="D151">XLOOKUP('Attribute Translator'!C151, Lists!I:I, Lists!J:J, "Not found")</f>
        <v>gwp_total_b1</v>
      </c>
      <c r="E151" s="367"/>
      <c r="F151" s="366"/>
      <c r="G151" s="366"/>
    </row>
    <row r="152" ht="42.0" customHeight="1">
      <c r="A152" s="365" t="s">
        <v>3207</v>
      </c>
      <c r="B152" s="366"/>
      <c r="C152" s="363" t="s">
        <v>841</v>
      </c>
      <c r="D152" s="364" t="str">
        <f t="array" ref="D152">XLOOKUP('Attribute Translator'!C152, Lists!I:I, Lists!J:J, "Not found")</f>
        <v>gwp_total_b2</v>
      </c>
      <c r="E152" s="367"/>
      <c r="F152" s="366"/>
      <c r="G152" s="366"/>
    </row>
    <row r="153" ht="42.0" customHeight="1">
      <c r="A153" s="365" t="s">
        <v>3208</v>
      </c>
      <c r="B153" s="366"/>
      <c r="C153" s="363" t="s">
        <v>842</v>
      </c>
      <c r="D153" s="364" t="str">
        <f t="array" ref="D153">XLOOKUP('Attribute Translator'!C153, Lists!I:I, Lists!J:J, "Not found")</f>
        <v>gwp_total_b3</v>
      </c>
      <c r="E153" s="367"/>
      <c r="F153" s="366"/>
      <c r="G153" s="366"/>
    </row>
    <row r="154" ht="42.0" customHeight="1">
      <c r="A154" s="365" t="s">
        <v>3209</v>
      </c>
      <c r="B154" s="366"/>
      <c r="C154" s="363" t="s">
        <v>843</v>
      </c>
      <c r="D154" s="364" t="str">
        <f t="array" ref="D154">XLOOKUP('Attribute Translator'!C154, Lists!I:I, Lists!J:J, "Not found")</f>
        <v>gwp_total_b4</v>
      </c>
      <c r="E154" s="367"/>
      <c r="F154" s="366"/>
      <c r="G154" s="366"/>
    </row>
    <row r="155" ht="42.0" customHeight="1">
      <c r="A155" s="365" t="s">
        <v>3210</v>
      </c>
      <c r="B155" s="366"/>
      <c r="C155" s="363" t="s">
        <v>844</v>
      </c>
      <c r="D155" s="364" t="str">
        <f t="array" ref="D155">XLOOKUP('Attribute Translator'!C155, Lists!I:I, Lists!J:J, "Not found")</f>
        <v>gwp_total_b5</v>
      </c>
      <c r="E155" s="367"/>
      <c r="F155" s="366"/>
      <c r="G155" s="366"/>
    </row>
    <row r="156" ht="42.0" customHeight="1">
      <c r="A156" s="365" t="s">
        <v>3211</v>
      </c>
      <c r="B156" s="366"/>
      <c r="C156" s="363" t="s">
        <v>845</v>
      </c>
      <c r="D156" s="364" t="str">
        <f t="array" ref="D156">XLOOKUP('Attribute Translator'!C156, Lists!I:I, Lists!J:J, "Not found")</f>
        <v>gwp_total_b6</v>
      </c>
      <c r="E156" s="367"/>
      <c r="F156" s="366"/>
      <c r="G156" s="366"/>
    </row>
    <row r="157" ht="42.0" customHeight="1">
      <c r="A157" s="365" t="s">
        <v>3212</v>
      </c>
      <c r="B157" s="366"/>
      <c r="C157" s="363" t="s">
        <v>846</v>
      </c>
      <c r="D157" s="364" t="str">
        <f t="array" ref="D157">XLOOKUP('Attribute Translator'!C157, Lists!I:I, Lists!J:J, "Not found")</f>
        <v>gwp_total_c1</v>
      </c>
      <c r="E157" s="367"/>
      <c r="F157" s="366"/>
      <c r="G157" s="366"/>
    </row>
    <row r="158" ht="42.0" customHeight="1">
      <c r="A158" s="365" t="s">
        <v>3213</v>
      </c>
      <c r="B158" s="366"/>
      <c r="C158" s="363" t="s">
        <v>847</v>
      </c>
      <c r="D158" s="364" t="str">
        <f t="array" ref="D158">XLOOKUP('Attribute Translator'!C158, Lists!I:I, Lists!J:J, "Not found")</f>
        <v>gwp_total_c2</v>
      </c>
      <c r="E158" s="367"/>
      <c r="F158" s="366"/>
      <c r="G158" s="366"/>
    </row>
    <row r="159" ht="42.0" customHeight="1">
      <c r="A159" s="365" t="s">
        <v>3214</v>
      </c>
      <c r="B159" s="366"/>
      <c r="C159" s="363" t="s">
        <v>848</v>
      </c>
      <c r="D159" s="364" t="str">
        <f t="array" ref="D159">XLOOKUP('Attribute Translator'!C159, Lists!I:I, Lists!J:J, "Not found")</f>
        <v>gwp_total_c3</v>
      </c>
      <c r="E159" s="367"/>
      <c r="F159" s="366"/>
      <c r="G159" s="366"/>
    </row>
    <row r="160" ht="42.0" customHeight="1">
      <c r="A160" s="365" t="s">
        <v>3215</v>
      </c>
      <c r="B160" s="366"/>
      <c r="C160" s="363" t="s">
        <v>849</v>
      </c>
      <c r="D160" s="364" t="str">
        <f t="array" ref="D160">XLOOKUP('Attribute Translator'!C160, Lists!I:I, Lists!J:J, "Not found")</f>
        <v>gwp_total_c4</v>
      </c>
      <c r="E160" s="367"/>
      <c r="F160" s="366"/>
      <c r="G160" s="366"/>
    </row>
    <row r="161" ht="42.0" customHeight="1">
      <c r="A161" s="365" t="s">
        <v>3216</v>
      </c>
      <c r="B161" s="366"/>
      <c r="C161" s="363" t="s">
        <v>850</v>
      </c>
      <c r="D161" s="364" t="str">
        <f t="array" ref="D161">XLOOKUP('Attribute Translator'!C161, Lists!I:I, Lists!J:J, "Not found")</f>
        <v>gwp_total_d</v>
      </c>
      <c r="E161" s="367"/>
      <c r="F161" s="366"/>
      <c r="G161" s="366"/>
    </row>
    <row r="162" ht="42.0" customHeight="1">
      <c r="A162" s="365" t="s">
        <v>3217</v>
      </c>
      <c r="B162" s="366"/>
      <c r="C162" s="363" t="s">
        <v>851</v>
      </c>
      <c r="D162" s="364" t="str">
        <f t="array" ref="D162">XLOOKUP('Attribute Translator'!C162, Lists!I:I, Lists!J:J, "Not found")</f>
        <v>gwp_total_d1</v>
      </c>
      <c r="E162" s="367"/>
      <c r="F162" s="366"/>
      <c r="G162" s="366"/>
    </row>
    <row r="163" ht="42.0" customHeight="1">
      <c r="A163" s="365" t="s">
        <v>3218</v>
      </c>
      <c r="B163" s="366"/>
      <c r="C163" s="363" t="s">
        <v>852</v>
      </c>
      <c r="D163" s="364" t="str">
        <f t="array" ref="D163">XLOOKUP('Attribute Translator'!C163, Lists!I:I, Lists!J:J, "Not found")</f>
        <v>gwp_total_d2</v>
      </c>
      <c r="E163" s="367"/>
      <c r="F163" s="366"/>
      <c r="G163" s="366"/>
    </row>
    <row r="164" ht="42.0" customHeight="1">
      <c r="A164" s="365" t="s">
        <v>3219</v>
      </c>
      <c r="B164" s="366"/>
      <c r="C164" s="363" t="s">
        <v>3220</v>
      </c>
      <c r="D164" s="364" t="str">
        <f t="array" ref="D164">XLOOKUP('Attribute Translator'!C164, Lists!I:I, Lists!J:J, "Not found")</f>
        <v>Not found</v>
      </c>
      <c r="E164" s="367"/>
      <c r="F164" s="366"/>
      <c r="G164" s="366"/>
    </row>
    <row r="165" ht="42.0" customHeight="1">
      <c r="A165" s="365" t="s">
        <v>3221</v>
      </c>
      <c r="B165" s="366"/>
      <c r="C165" s="363" t="s">
        <v>888</v>
      </c>
      <c r="D165" s="364" t="str">
        <f t="array" ref="D165">XLOOKUP('Attribute Translator'!C165, Lists!I:I, Lists!J:J, "Not found")</f>
        <v>gwp_luc_a1-a3</v>
      </c>
      <c r="E165" s="367"/>
      <c r="F165" s="366"/>
      <c r="G165" s="366"/>
    </row>
    <row r="166" ht="42.0" customHeight="1">
      <c r="A166" s="365" t="s">
        <v>3222</v>
      </c>
      <c r="B166" s="366"/>
      <c r="C166" s="363" t="s">
        <v>889</v>
      </c>
      <c r="D166" s="364" t="str">
        <f t="array" ref="D166">XLOOKUP('Attribute Translator'!C166, Lists!I:I, Lists!J:J, "Not found")</f>
        <v>gwp_luc_a4</v>
      </c>
      <c r="E166" s="367"/>
      <c r="F166" s="366"/>
      <c r="G166" s="366"/>
    </row>
    <row r="167" ht="42.0" customHeight="1">
      <c r="A167" s="365" t="s">
        <v>3223</v>
      </c>
      <c r="B167" s="366"/>
      <c r="C167" s="363" t="s">
        <v>890</v>
      </c>
      <c r="D167" s="364" t="str">
        <f t="array" ref="D167">XLOOKUP('Attribute Translator'!C167, Lists!I:I, Lists!J:J, "Not found")</f>
        <v>gwp_luc_a5</v>
      </c>
      <c r="E167" s="367"/>
      <c r="F167" s="366"/>
      <c r="G167" s="366"/>
    </row>
    <row r="168" ht="42.0" customHeight="1">
      <c r="A168" s="365" t="s">
        <v>3224</v>
      </c>
      <c r="B168" s="366"/>
      <c r="C168" s="363" t="s">
        <v>891</v>
      </c>
      <c r="D168" s="364" t="str">
        <f t="array" ref="D168">XLOOKUP('Attribute Translator'!C168, Lists!I:I, Lists!J:J, "Not found")</f>
        <v>gwp_luc_b1</v>
      </c>
      <c r="E168" s="367"/>
      <c r="F168" s="366"/>
      <c r="G168" s="366"/>
    </row>
    <row r="169" ht="42.0" customHeight="1">
      <c r="A169" s="365" t="s">
        <v>3225</v>
      </c>
      <c r="B169" s="366"/>
      <c r="C169" s="363" t="s">
        <v>892</v>
      </c>
      <c r="D169" s="364" t="str">
        <f t="array" ref="D169">XLOOKUP('Attribute Translator'!C169, Lists!I:I, Lists!J:J, "Not found")</f>
        <v>gwp_luc_b2</v>
      </c>
      <c r="E169" s="367"/>
      <c r="F169" s="366"/>
      <c r="G169" s="366"/>
    </row>
    <row r="170" ht="42.0" customHeight="1">
      <c r="A170" s="365" t="s">
        <v>3226</v>
      </c>
      <c r="B170" s="366"/>
      <c r="C170" s="363" t="s">
        <v>893</v>
      </c>
      <c r="D170" s="364" t="str">
        <f t="array" ref="D170">XLOOKUP('Attribute Translator'!C170, Lists!I:I, Lists!J:J, "Not found")</f>
        <v>gwp_luc_b3</v>
      </c>
      <c r="E170" s="367"/>
      <c r="F170" s="366"/>
      <c r="G170" s="366"/>
    </row>
    <row r="171" ht="42.0" customHeight="1">
      <c r="A171" s="365" t="s">
        <v>3227</v>
      </c>
      <c r="B171" s="366"/>
      <c r="C171" s="363" t="s">
        <v>894</v>
      </c>
      <c r="D171" s="364" t="str">
        <f t="array" ref="D171">XLOOKUP('Attribute Translator'!C171, Lists!I:I, Lists!J:J, "Not found")</f>
        <v>gwp_luc_b4</v>
      </c>
      <c r="E171" s="367"/>
      <c r="F171" s="366"/>
      <c r="G171" s="366"/>
    </row>
    <row r="172" ht="42.0" customHeight="1">
      <c r="A172" s="365" t="s">
        <v>3228</v>
      </c>
      <c r="B172" s="366"/>
      <c r="C172" s="363" t="s">
        <v>895</v>
      </c>
      <c r="D172" s="364" t="str">
        <f t="array" ref="D172">XLOOKUP('Attribute Translator'!C172, Lists!I:I, Lists!J:J, "Not found")</f>
        <v>gwp_luc_b5</v>
      </c>
      <c r="E172" s="367"/>
      <c r="F172" s="366"/>
      <c r="G172" s="366"/>
    </row>
    <row r="173" ht="42.0" customHeight="1">
      <c r="A173" s="365" t="s">
        <v>3229</v>
      </c>
      <c r="B173" s="366"/>
      <c r="C173" s="363" t="s">
        <v>896</v>
      </c>
      <c r="D173" s="364" t="str">
        <f t="array" ref="D173">XLOOKUP('Attribute Translator'!C173, Lists!I:I, Lists!J:J, "Not found")</f>
        <v>gwp_luc_b6</v>
      </c>
      <c r="E173" s="367"/>
      <c r="F173" s="366"/>
      <c r="G173" s="366"/>
    </row>
    <row r="174" ht="42.0" customHeight="1">
      <c r="A174" s="365" t="s">
        <v>3230</v>
      </c>
      <c r="B174" s="366"/>
      <c r="C174" s="363" t="s">
        <v>897</v>
      </c>
      <c r="D174" s="364" t="str">
        <f t="array" ref="D174">XLOOKUP('Attribute Translator'!C174, Lists!I:I, Lists!J:J, "Not found")</f>
        <v>gwp_luc_c1</v>
      </c>
      <c r="E174" s="367"/>
      <c r="F174" s="366"/>
      <c r="G174" s="366"/>
    </row>
    <row r="175" ht="42.0" customHeight="1">
      <c r="A175" s="365" t="s">
        <v>3231</v>
      </c>
      <c r="B175" s="366"/>
      <c r="C175" s="363" t="s">
        <v>898</v>
      </c>
      <c r="D175" s="364" t="str">
        <f t="array" ref="D175">XLOOKUP('Attribute Translator'!C175, Lists!I:I, Lists!J:J, "Not found")</f>
        <v>gwp_luc_c2</v>
      </c>
      <c r="E175" s="367"/>
      <c r="F175" s="366"/>
      <c r="G175" s="366"/>
    </row>
    <row r="176" ht="42.0" customHeight="1">
      <c r="A176" s="365" t="s">
        <v>3232</v>
      </c>
      <c r="B176" s="366"/>
      <c r="C176" s="363" t="s">
        <v>899</v>
      </c>
      <c r="D176" s="364" t="str">
        <f t="array" ref="D176">XLOOKUP('Attribute Translator'!C176, Lists!I:I, Lists!J:J, "Not found")</f>
        <v>gwp_luc_c3</v>
      </c>
      <c r="E176" s="367"/>
      <c r="F176" s="366"/>
      <c r="G176" s="366"/>
    </row>
    <row r="177" ht="42.0" customHeight="1">
      <c r="A177" s="365" t="s">
        <v>3233</v>
      </c>
      <c r="B177" s="366"/>
      <c r="C177" s="363" t="s">
        <v>900</v>
      </c>
      <c r="D177" s="364" t="str">
        <f t="array" ref="D177">XLOOKUP('Attribute Translator'!C177, Lists!I:I, Lists!J:J, "Not found")</f>
        <v>gwp_luc_c4</v>
      </c>
      <c r="E177" s="367"/>
      <c r="F177" s="366"/>
      <c r="G177" s="366"/>
    </row>
    <row r="178" ht="42.0" customHeight="1">
      <c r="A178" s="365" t="s">
        <v>3234</v>
      </c>
      <c r="B178" s="366"/>
      <c r="C178" s="363" t="s">
        <v>901</v>
      </c>
      <c r="D178" s="364" t="str">
        <f t="array" ref="D178">XLOOKUP('Attribute Translator'!C178, Lists!I:I, Lists!J:J, "Not found")</f>
        <v>gwp_luc_d</v>
      </c>
      <c r="E178" s="367"/>
      <c r="F178" s="366"/>
      <c r="G178" s="366"/>
    </row>
    <row r="179" ht="42.0" customHeight="1">
      <c r="A179" s="365" t="s">
        <v>3235</v>
      </c>
      <c r="B179" s="366"/>
      <c r="C179" s="363" t="s">
        <v>902</v>
      </c>
      <c r="D179" s="364" t="str">
        <f t="array" ref="D179">XLOOKUP('Attribute Translator'!C179, Lists!I:I, Lists!J:J, "Not found")</f>
        <v>gwp_luc_d1</v>
      </c>
      <c r="E179" s="367"/>
      <c r="F179" s="366"/>
      <c r="G179" s="366"/>
    </row>
    <row r="180" ht="42.0" customHeight="1">
      <c r="A180" s="365" t="s">
        <v>3236</v>
      </c>
      <c r="B180" s="366"/>
      <c r="C180" s="363" t="s">
        <v>903</v>
      </c>
      <c r="D180" s="364" t="str">
        <f t="array" ref="D180">XLOOKUP('Attribute Translator'!C180, Lists!I:I, Lists!J:J, "Not found")</f>
        <v>gwp_luc_d2</v>
      </c>
      <c r="E180" s="367"/>
      <c r="F180" s="366"/>
      <c r="G180" s="366"/>
    </row>
    <row r="181" ht="42.0" customHeight="1">
      <c r="A181" s="365" t="s">
        <v>3237</v>
      </c>
      <c r="B181" s="366"/>
      <c r="C181" s="363" t="s">
        <v>3238</v>
      </c>
      <c r="D181" s="364" t="str">
        <f t="array" ref="D181">XLOOKUP('Attribute Translator'!C181, Lists!I:I, Lists!J:J, "Not found")</f>
        <v>Not found</v>
      </c>
      <c r="E181" s="367"/>
      <c r="F181" s="366"/>
      <c r="G181" s="366"/>
    </row>
    <row r="182" ht="42.0" customHeight="1">
      <c r="A182" s="365" t="s">
        <v>3239</v>
      </c>
      <c r="B182" s="366"/>
      <c r="C182" s="363" t="s">
        <v>871</v>
      </c>
      <c r="D182" s="364" t="str">
        <f t="array" ref="D182">XLOOKUP('Attribute Translator'!C182, Lists!I:I, Lists!J:J, "Not found")</f>
        <v>gwp_b_a1-a3</v>
      </c>
      <c r="E182" s="367"/>
      <c r="F182" s="366"/>
      <c r="G182" s="366"/>
    </row>
    <row r="183" ht="42.0" customHeight="1">
      <c r="A183" s="365" t="s">
        <v>3240</v>
      </c>
      <c r="B183" s="366"/>
      <c r="C183" s="363" t="s">
        <v>872</v>
      </c>
      <c r="D183" s="364" t="str">
        <f t="array" ref="D183">XLOOKUP('Attribute Translator'!C183, Lists!I:I, Lists!J:J, "Not found")</f>
        <v>gwp_b_a4</v>
      </c>
      <c r="E183" s="367"/>
      <c r="F183" s="366"/>
      <c r="G183" s="366"/>
    </row>
    <row r="184" ht="42.0" customHeight="1">
      <c r="A184" s="365" t="s">
        <v>3241</v>
      </c>
      <c r="B184" s="366"/>
      <c r="C184" s="363" t="s">
        <v>873</v>
      </c>
      <c r="D184" s="364" t="str">
        <f t="array" ref="D184">XLOOKUP('Attribute Translator'!C184, Lists!I:I, Lists!J:J, "Not found")</f>
        <v>gwp_b_a5</v>
      </c>
      <c r="E184" s="367"/>
      <c r="F184" s="366"/>
      <c r="G184" s="366"/>
    </row>
    <row r="185" ht="42.0" customHeight="1">
      <c r="A185" s="365" t="s">
        <v>3242</v>
      </c>
      <c r="B185" s="366"/>
      <c r="C185" s="363" t="s">
        <v>874</v>
      </c>
      <c r="D185" s="364" t="str">
        <f t="array" ref="D185">XLOOKUP('Attribute Translator'!C185, Lists!I:I, Lists!J:J, "Not found")</f>
        <v>gwp_b_b1</v>
      </c>
      <c r="E185" s="367"/>
      <c r="F185" s="366"/>
      <c r="G185" s="366"/>
    </row>
    <row r="186" ht="42.0" customHeight="1">
      <c r="A186" s="365" t="s">
        <v>3243</v>
      </c>
      <c r="B186" s="366"/>
      <c r="C186" s="363" t="s">
        <v>875</v>
      </c>
      <c r="D186" s="364" t="str">
        <f t="array" ref="D186">XLOOKUP('Attribute Translator'!C186, Lists!I:I, Lists!J:J, "Not found")</f>
        <v>gwp_b_b2</v>
      </c>
      <c r="E186" s="367"/>
      <c r="F186" s="366"/>
      <c r="G186" s="366"/>
    </row>
    <row r="187" ht="42.0" customHeight="1">
      <c r="A187" s="365" t="s">
        <v>3244</v>
      </c>
      <c r="B187" s="366"/>
      <c r="C187" s="363" t="s">
        <v>876</v>
      </c>
      <c r="D187" s="364" t="str">
        <f t="array" ref="D187">XLOOKUP('Attribute Translator'!C187, Lists!I:I, Lists!J:J, "Not found")</f>
        <v>gwp_b_b3</v>
      </c>
      <c r="E187" s="367"/>
      <c r="F187" s="366"/>
      <c r="G187" s="366"/>
    </row>
    <row r="188" ht="42.0" customHeight="1">
      <c r="A188" s="365" t="s">
        <v>3245</v>
      </c>
      <c r="B188" s="366"/>
      <c r="C188" s="363" t="s">
        <v>877</v>
      </c>
      <c r="D188" s="364" t="str">
        <f t="array" ref="D188">XLOOKUP('Attribute Translator'!C188, Lists!I:I, Lists!J:J, "Not found")</f>
        <v>gwp_b_b4</v>
      </c>
      <c r="E188" s="367"/>
      <c r="F188" s="366"/>
      <c r="G188" s="366"/>
    </row>
    <row r="189" ht="42.0" customHeight="1">
      <c r="A189" s="365" t="s">
        <v>3246</v>
      </c>
      <c r="B189" s="366"/>
      <c r="C189" s="363" t="s">
        <v>878</v>
      </c>
      <c r="D189" s="364" t="str">
        <f t="array" ref="D189">XLOOKUP('Attribute Translator'!C189, Lists!I:I, Lists!J:J, "Not found")</f>
        <v>gwp_b_b5</v>
      </c>
      <c r="E189" s="367"/>
      <c r="F189" s="366"/>
      <c r="G189" s="366"/>
    </row>
    <row r="190" ht="42.0" customHeight="1">
      <c r="A190" s="365" t="s">
        <v>3247</v>
      </c>
      <c r="B190" s="366"/>
      <c r="C190" s="363" t="s">
        <v>879</v>
      </c>
      <c r="D190" s="364" t="str">
        <f t="array" ref="D190">XLOOKUP('Attribute Translator'!C190, Lists!I:I, Lists!J:J, "Not found")</f>
        <v>gwp_b_b6</v>
      </c>
      <c r="E190" s="367"/>
      <c r="F190" s="366"/>
      <c r="G190" s="366"/>
    </row>
    <row r="191" ht="42.0" customHeight="1">
      <c r="A191" s="365" t="s">
        <v>3248</v>
      </c>
      <c r="B191" s="366"/>
      <c r="C191" s="363" t="s">
        <v>880</v>
      </c>
      <c r="D191" s="364" t="str">
        <f t="array" ref="D191">XLOOKUP('Attribute Translator'!C191, Lists!I:I, Lists!J:J, "Not found")</f>
        <v>gwp_b_c1</v>
      </c>
      <c r="E191" s="367"/>
      <c r="F191" s="366"/>
      <c r="G191" s="366"/>
    </row>
    <row r="192" ht="42.0" customHeight="1">
      <c r="A192" s="365" t="s">
        <v>3249</v>
      </c>
      <c r="B192" s="366"/>
      <c r="C192" s="363" t="s">
        <v>881</v>
      </c>
      <c r="D192" s="364" t="str">
        <f t="array" ref="D192">XLOOKUP('Attribute Translator'!C192, Lists!I:I, Lists!J:J, "Not found")</f>
        <v>gwp_b_c2</v>
      </c>
      <c r="E192" s="367"/>
      <c r="F192" s="366"/>
      <c r="G192" s="366"/>
    </row>
    <row r="193" ht="42.0" customHeight="1">
      <c r="A193" s="365" t="s">
        <v>3250</v>
      </c>
      <c r="B193" s="366"/>
      <c r="C193" s="363" t="s">
        <v>882</v>
      </c>
      <c r="D193" s="364" t="str">
        <f t="array" ref="D193">XLOOKUP('Attribute Translator'!C193, Lists!I:I, Lists!J:J, "Not found")</f>
        <v>gwp_b_c3</v>
      </c>
      <c r="E193" s="367"/>
      <c r="F193" s="366"/>
      <c r="G193" s="366"/>
    </row>
    <row r="194" ht="42.0" customHeight="1">
      <c r="A194" s="365" t="s">
        <v>3251</v>
      </c>
      <c r="B194" s="366"/>
      <c r="C194" s="363" t="s">
        <v>883</v>
      </c>
      <c r="D194" s="364" t="str">
        <f t="array" ref="D194">XLOOKUP('Attribute Translator'!C194, Lists!I:I, Lists!J:J, "Not found")</f>
        <v>gwp_b_c4</v>
      </c>
      <c r="E194" s="367"/>
      <c r="F194" s="366"/>
      <c r="G194" s="366"/>
    </row>
    <row r="195" ht="42.0" customHeight="1">
      <c r="A195" s="365" t="s">
        <v>3252</v>
      </c>
      <c r="B195" s="366"/>
      <c r="C195" s="363" t="s">
        <v>884</v>
      </c>
      <c r="D195" s="364" t="str">
        <f t="array" ref="D195">XLOOKUP('Attribute Translator'!C195, Lists!I:I, Lists!J:J, "Not found")</f>
        <v>gwp_b_d</v>
      </c>
      <c r="E195" s="367"/>
      <c r="F195" s="366"/>
      <c r="G195" s="366"/>
    </row>
    <row r="196" ht="42.0" customHeight="1">
      <c r="A196" s="365" t="s">
        <v>3253</v>
      </c>
      <c r="B196" s="366"/>
      <c r="C196" s="363" t="s">
        <v>885</v>
      </c>
      <c r="D196" s="364" t="str">
        <f t="array" ref="D196">XLOOKUP('Attribute Translator'!C196, Lists!I:I, Lists!J:J, "Not found")</f>
        <v>gwp_b_d1</v>
      </c>
      <c r="E196" s="367"/>
      <c r="F196" s="366"/>
      <c r="G196" s="366"/>
    </row>
    <row r="197" ht="42.0" customHeight="1">
      <c r="A197" s="365" t="s">
        <v>3254</v>
      </c>
      <c r="B197" s="366"/>
      <c r="C197" s="363" t="s">
        <v>886</v>
      </c>
      <c r="D197" s="364" t="str">
        <f t="array" ref="D197">XLOOKUP('Attribute Translator'!C197, Lists!I:I, Lists!J:J, "Not found")</f>
        <v>gwp_b_d2</v>
      </c>
      <c r="E197" s="367"/>
      <c r="F197" s="366"/>
      <c r="G197" s="366"/>
    </row>
    <row r="198" ht="42.0" customHeight="1">
      <c r="A198" s="365" t="s">
        <v>3255</v>
      </c>
      <c r="B198" s="366"/>
      <c r="C198" s="363" t="s">
        <v>3256</v>
      </c>
      <c r="D198" s="364" t="str">
        <f t="array" ref="D198">XLOOKUP('Attribute Translator'!C198, Lists!I:I, Lists!J:J, "Not found")</f>
        <v>Not found</v>
      </c>
      <c r="E198" s="367"/>
      <c r="F198" s="366"/>
      <c r="G198" s="366"/>
    </row>
    <row r="199" ht="42.0" customHeight="1">
      <c r="A199" s="365" t="s">
        <v>3257</v>
      </c>
      <c r="B199" s="366"/>
      <c r="C199" s="363" t="s">
        <v>854</v>
      </c>
      <c r="D199" s="364" t="str">
        <f t="array" ref="D199">XLOOKUP('Attribute Translator'!C199, Lists!I:I, Lists!J:J, "Not found")</f>
        <v>gwp_f_a1-a3</v>
      </c>
      <c r="E199" s="367"/>
      <c r="F199" s="366"/>
      <c r="G199" s="366"/>
    </row>
    <row r="200" ht="42.0" customHeight="1">
      <c r="A200" s="365" t="s">
        <v>3258</v>
      </c>
      <c r="B200" s="366"/>
      <c r="C200" s="363" t="s">
        <v>855</v>
      </c>
      <c r="D200" s="364" t="str">
        <f t="array" ref="D200">XLOOKUP('Attribute Translator'!C200, Lists!I:I, Lists!J:J, "Not found")</f>
        <v>gwp_f_a4</v>
      </c>
      <c r="E200" s="367"/>
      <c r="F200" s="366"/>
      <c r="G200" s="366"/>
    </row>
    <row r="201" ht="42.0" customHeight="1">
      <c r="A201" s="365" t="s">
        <v>3259</v>
      </c>
      <c r="B201" s="366"/>
      <c r="C201" s="363" t="s">
        <v>856</v>
      </c>
      <c r="D201" s="364" t="str">
        <f t="array" ref="D201">XLOOKUP('Attribute Translator'!C201, Lists!I:I, Lists!J:J, "Not found")</f>
        <v>gwp_f_a5</v>
      </c>
      <c r="E201" s="367"/>
      <c r="F201" s="366"/>
      <c r="G201" s="366"/>
    </row>
    <row r="202" ht="42.0" customHeight="1">
      <c r="A202" s="365" t="s">
        <v>3260</v>
      </c>
      <c r="B202" s="366"/>
      <c r="C202" s="363" t="s">
        <v>857</v>
      </c>
      <c r="D202" s="364" t="str">
        <f t="array" ref="D202">XLOOKUP('Attribute Translator'!C202, Lists!I:I, Lists!J:J, "Not found")</f>
        <v>gwp_f_b1</v>
      </c>
      <c r="E202" s="367"/>
      <c r="F202" s="366"/>
      <c r="G202" s="366"/>
    </row>
    <row r="203" ht="42.0" customHeight="1">
      <c r="A203" s="365" t="s">
        <v>3261</v>
      </c>
      <c r="B203" s="366"/>
      <c r="C203" s="363" t="s">
        <v>858</v>
      </c>
      <c r="D203" s="364" t="str">
        <f t="array" ref="D203">XLOOKUP('Attribute Translator'!C203, Lists!I:I, Lists!J:J, "Not found")</f>
        <v>gwp_f_b2</v>
      </c>
      <c r="E203" s="367"/>
      <c r="F203" s="366"/>
      <c r="G203" s="366"/>
    </row>
    <row r="204" ht="42.0" customHeight="1">
      <c r="A204" s="365" t="s">
        <v>3262</v>
      </c>
      <c r="B204" s="366"/>
      <c r="C204" s="363" t="s">
        <v>859</v>
      </c>
      <c r="D204" s="364" t="str">
        <f t="array" ref="D204">XLOOKUP('Attribute Translator'!C204, Lists!I:I, Lists!J:J, "Not found")</f>
        <v>gwp_f_b3</v>
      </c>
      <c r="E204" s="367"/>
      <c r="F204" s="366"/>
      <c r="G204" s="366"/>
    </row>
    <row r="205" ht="42.0" customHeight="1">
      <c r="A205" s="365" t="s">
        <v>3263</v>
      </c>
      <c r="B205" s="366"/>
      <c r="C205" s="363" t="s">
        <v>860</v>
      </c>
      <c r="D205" s="364" t="str">
        <f t="array" ref="D205">XLOOKUP('Attribute Translator'!C205, Lists!I:I, Lists!J:J, "Not found")</f>
        <v>gwp_f_b4</v>
      </c>
      <c r="E205" s="367"/>
      <c r="F205" s="366"/>
      <c r="G205" s="366"/>
    </row>
    <row r="206" ht="42.0" customHeight="1">
      <c r="A206" s="365" t="s">
        <v>3264</v>
      </c>
      <c r="B206" s="366"/>
      <c r="C206" s="363" t="s">
        <v>861</v>
      </c>
      <c r="D206" s="364" t="str">
        <f t="array" ref="D206">XLOOKUP('Attribute Translator'!C206, Lists!I:I, Lists!J:J, "Not found")</f>
        <v>gwp_f_b5</v>
      </c>
      <c r="E206" s="367"/>
      <c r="F206" s="366"/>
      <c r="G206" s="366"/>
    </row>
    <row r="207" ht="42.0" customHeight="1">
      <c r="A207" s="365" t="s">
        <v>3265</v>
      </c>
      <c r="B207" s="366"/>
      <c r="C207" s="363" t="s">
        <v>862</v>
      </c>
      <c r="D207" s="364" t="str">
        <f t="array" ref="D207">XLOOKUP('Attribute Translator'!C207, Lists!I:I, Lists!J:J, "Not found")</f>
        <v>gwp_f_b6</v>
      </c>
      <c r="E207" s="367"/>
      <c r="F207" s="366"/>
      <c r="G207" s="366"/>
    </row>
    <row r="208" ht="42.0" customHeight="1">
      <c r="A208" s="365" t="s">
        <v>3266</v>
      </c>
      <c r="B208" s="366"/>
      <c r="C208" s="363" t="s">
        <v>863</v>
      </c>
      <c r="D208" s="364" t="str">
        <f t="array" ref="D208">XLOOKUP('Attribute Translator'!C208, Lists!I:I, Lists!J:J, "Not found")</f>
        <v>gwp_f_c1</v>
      </c>
      <c r="E208" s="367"/>
      <c r="F208" s="366"/>
      <c r="G208" s="366"/>
    </row>
    <row r="209" ht="42.0" customHeight="1">
      <c r="A209" s="365" t="s">
        <v>3267</v>
      </c>
      <c r="B209" s="366"/>
      <c r="C209" s="363" t="s">
        <v>864</v>
      </c>
      <c r="D209" s="364" t="str">
        <f t="array" ref="D209">XLOOKUP('Attribute Translator'!C209, Lists!I:I, Lists!J:J, "Not found")</f>
        <v>gwp_f_c2</v>
      </c>
      <c r="E209" s="367"/>
      <c r="F209" s="366"/>
      <c r="G209" s="366"/>
    </row>
    <row r="210" ht="42.0" customHeight="1">
      <c r="A210" s="365" t="s">
        <v>3268</v>
      </c>
      <c r="B210" s="366"/>
      <c r="C210" s="363" t="s">
        <v>865</v>
      </c>
      <c r="D210" s="364" t="str">
        <f t="array" ref="D210">XLOOKUP('Attribute Translator'!C210, Lists!I:I, Lists!J:J, "Not found")</f>
        <v>gwp_f_c3</v>
      </c>
      <c r="E210" s="367"/>
      <c r="F210" s="366"/>
      <c r="G210" s="366"/>
    </row>
    <row r="211" ht="42.0" customHeight="1">
      <c r="A211" s="365" t="s">
        <v>3269</v>
      </c>
      <c r="B211" s="366"/>
      <c r="C211" s="363" t="s">
        <v>866</v>
      </c>
      <c r="D211" s="364" t="str">
        <f t="array" ref="D211">XLOOKUP('Attribute Translator'!C211, Lists!I:I, Lists!J:J, "Not found")</f>
        <v>gwp_f_c4</v>
      </c>
      <c r="E211" s="367"/>
      <c r="F211" s="366"/>
      <c r="G211" s="366"/>
    </row>
    <row r="212" ht="42.0" customHeight="1">
      <c r="A212" s="365" t="s">
        <v>3270</v>
      </c>
      <c r="B212" s="366"/>
      <c r="C212" s="363" t="s">
        <v>867</v>
      </c>
      <c r="D212" s="364" t="str">
        <f t="array" ref="D212">XLOOKUP('Attribute Translator'!C212, Lists!I:I, Lists!J:J, "Not found")</f>
        <v>gwp_f_d</v>
      </c>
      <c r="E212" s="367"/>
      <c r="F212" s="366"/>
      <c r="G212" s="366"/>
    </row>
    <row r="213" ht="42.0" customHeight="1">
      <c r="A213" s="365" t="s">
        <v>3271</v>
      </c>
      <c r="B213" s="366"/>
      <c r="C213" s="363" t="s">
        <v>868</v>
      </c>
      <c r="D213" s="364" t="str">
        <f t="array" ref="D213">XLOOKUP('Attribute Translator'!C213, Lists!I:I, Lists!J:J, "Not found")</f>
        <v>gwp_f_d1</v>
      </c>
      <c r="E213" s="367"/>
      <c r="F213" s="366"/>
      <c r="G213" s="366"/>
    </row>
    <row r="214" ht="42.0" customHeight="1">
      <c r="A214" s="365" t="s">
        <v>3272</v>
      </c>
      <c r="B214" s="366"/>
      <c r="C214" s="363" t="s">
        <v>869</v>
      </c>
      <c r="D214" s="364" t="str">
        <f t="array" ref="D214">XLOOKUP('Attribute Translator'!C214, Lists!I:I, Lists!J:J, "Not found")</f>
        <v>gwp_f_d2</v>
      </c>
      <c r="E214" s="367"/>
      <c r="F214" s="366"/>
      <c r="G214" s="366"/>
    </row>
    <row r="215" ht="42.0" customHeight="1">
      <c r="A215" s="365" t="s">
        <v>3273</v>
      </c>
      <c r="B215" s="366"/>
      <c r="C215" s="363" t="s">
        <v>3274</v>
      </c>
      <c r="D215" s="364" t="str">
        <f t="array" ref="D215">XLOOKUP('Attribute Translator'!C215, Lists!I:I, Lists!J:J, "Not found")</f>
        <v>Not found</v>
      </c>
      <c r="E215" s="367"/>
      <c r="F215" s="366"/>
      <c r="G215" s="366"/>
    </row>
    <row r="216" ht="42.0" customHeight="1">
      <c r="A216" s="365" t="s">
        <v>3275</v>
      </c>
      <c r="B216" s="366"/>
      <c r="C216" s="363" t="s">
        <v>1123</v>
      </c>
      <c r="D216" s="364" t="str">
        <f t="array" ref="D216">XLOOKUP('Attribute Translator'!C216, Lists!I:I, Lists!J:J, "Not found")</f>
        <v>penre_a1-a3</v>
      </c>
      <c r="E216" s="367"/>
      <c r="F216" s="366"/>
      <c r="G216" s="366"/>
    </row>
    <row r="217" ht="42.0" customHeight="1">
      <c r="A217" s="365" t="s">
        <v>3276</v>
      </c>
      <c r="B217" s="366"/>
      <c r="C217" s="363" t="s">
        <v>1124</v>
      </c>
      <c r="D217" s="364" t="str">
        <f t="array" ref="D217">XLOOKUP('Attribute Translator'!C217, Lists!I:I, Lists!J:J, "Not found")</f>
        <v>penre_a4</v>
      </c>
      <c r="E217" s="367"/>
      <c r="F217" s="366"/>
      <c r="G217" s="366"/>
    </row>
    <row r="218" ht="42.0" customHeight="1">
      <c r="A218" s="365" t="s">
        <v>3277</v>
      </c>
      <c r="B218" s="366"/>
      <c r="C218" s="363" t="s">
        <v>1125</v>
      </c>
      <c r="D218" s="364" t="str">
        <f t="array" ref="D218">XLOOKUP('Attribute Translator'!C218, Lists!I:I, Lists!J:J, "Not found")</f>
        <v>penre_a5</v>
      </c>
      <c r="E218" s="367"/>
      <c r="F218" s="366"/>
      <c r="G218" s="366"/>
    </row>
    <row r="219" ht="42.0" customHeight="1">
      <c r="A219" s="365" t="s">
        <v>3278</v>
      </c>
      <c r="B219" s="366"/>
      <c r="C219" s="363" t="s">
        <v>1126</v>
      </c>
      <c r="D219" s="364" t="str">
        <f t="array" ref="D219">XLOOKUP('Attribute Translator'!C219, Lists!I:I, Lists!J:J, "Not found")</f>
        <v>penre_b1</v>
      </c>
      <c r="E219" s="367"/>
      <c r="F219" s="366"/>
      <c r="G219" s="366"/>
    </row>
    <row r="220" ht="42.0" customHeight="1">
      <c r="A220" s="365" t="s">
        <v>3279</v>
      </c>
      <c r="B220" s="366"/>
      <c r="C220" s="363" t="s">
        <v>1127</v>
      </c>
      <c r="D220" s="364" t="str">
        <f t="array" ref="D220">XLOOKUP('Attribute Translator'!C220, Lists!I:I, Lists!J:J, "Not found")</f>
        <v>penre_b2</v>
      </c>
      <c r="E220" s="367"/>
      <c r="F220" s="366"/>
      <c r="G220" s="366"/>
    </row>
    <row r="221" ht="42.0" customHeight="1">
      <c r="A221" s="365" t="s">
        <v>3280</v>
      </c>
      <c r="B221" s="366"/>
      <c r="C221" s="363" t="s">
        <v>1128</v>
      </c>
      <c r="D221" s="364" t="str">
        <f t="array" ref="D221">XLOOKUP('Attribute Translator'!C221, Lists!I:I, Lists!J:J, "Not found")</f>
        <v>penre_b3</v>
      </c>
      <c r="E221" s="367"/>
      <c r="F221" s="366"/>
      <c r="G221" s="366"/>
    </row>
    <row r="222" ht="42.0" customHeight="1">
      <c r="A222" s="365" t="s">
        <v>3281</v>
      </c>
      <c r="B222" s="366"/>
      <c r="C222" s="363" t="s">
        <v>1129</v>
      </c>
      <c r="D222" s="364" t="str">
        <f t="array" ref="D222">XLOOKUP('Attribute Translator'!C222, Lists!I:I, Lists!J:J, "Not found")</f>
        <v>penre_b4</v>
      </c>
      <c r="E222" s="367"/>
      <c r="F222" s="366"/>
      <c r="G222" s="366"/>
    </row>
    <row r="223" ht="42.0" customHeight="1">
      <c r="A223" s="365" t="s">
        <v>3282</v>
      </c>
      <c r="B223" s="366"/>
      <c r="C223" s="363" t="s">
        <v>1130</v>
      </c>
      <c r="D223" s="364" t="str">
        <f t="array" ref="D223">XLOOKUP('Attribute Translator'!C223, Lists!I:I, Lists!J:J, "Not found")</f>
        <v>penre_b5</v>
      </c>
      <c r="E223" s="367"/>
      <c r="F223" s="366"/>
      <c r="G223" s="366"/>
    </row>
    <row r="224" ht="42.0" customHeight="1">
      <c r="A224" s="365" t="s">
        <v>3283</v>
      </c>
      <c r="B224" s="366"/>
      <c r="C224" s="363" t="s">
        <v>1131</v>
      </c>
      <c r="D224" s="364" t="str">
        <f t="array" ref="D224">XLOOKUP('Attribute Translator'!C224, Lists!I:I, Lists!J:J, "Not found")</f>
        <v>penre_b6</v>
      </c>
      <c r="E224" s="367"/>
      <c r="F224" s="366"/>
      <c r="G224" s="366"/>
    </row>
    <row r="225" ht="42.0" customHeight="1">
      <c r="A225" s="365" t="s">
        <v>3284</v>
      </c>
      <c r="B225" s="366"/>
      <c r="C225" s="363" t="s">
        <v>1132</v>
      </c>
      <c r="D225" s="364" t="str">
        <f t="array" ref="D225">XLOOKUP('Attribute Translator'!C225, Lists!I:I, Lists!J:J, "Not found")</f>
        <v>penre_c1</v>
      </c>
      <c r="E225" s="367"/>
      <c r="F225" s="366"/>
      <c r="G225" s="366"/>
    </row>
    <row r="226" ht="42.0" customHeight="1">
      <c r="A226" s="365" t="s">
        <v>3285</v>
      </c>
      <c r="B226" s="366"/>
      <c r="C226" s="363" t="s">
        <v>1133</v>
      </c>
      <c r="D226" s="364" t="str">
        <f t="array" ref="D226">XLOOKUP('Attribute Translator'!C226, Lists!I:I, Lists!J:J, "Not found")</f>
        <v>penre_c2</v>
      </c>
      <c r="E226" s="367"/>
      <c r="F226" s="366"/>
      <c r="G226" s="366"/>
    </row>
    <row r="227" ht="42.0" customHeight="1">
      <c r="A227" s="365" t="s">
        <v>3286</v>
      </c>
      <c r="B227" s="366"/>
      <c r="C227" s="363" t="s">
        <v>1134</v>
      </c>
      <c r="D227" s="364" t="str">
        <f t="array" ref="D227">XLOOKUP('Attribute Translator'!C227, Lists!I:I, Lists!J:J, "Not found")</f>
        <v>penre_c3</v>
      </c>
      <c r="E227" s="367"/>
      <c r="F227" s="366"/>
      <c r="G227" s="366"/>
    </row>
    <row r="228" ht="42.0" customHeight="1">
      <c r="A228" s="365" t="s">
        <v>3287</v>
      </c>
      <c r="B228" s="366"/>
      <c r="C228" s="363" t="s">
        <v>1135</v>
      </c>
      <c r="D228" s="364" t="str">
        <f t="array" ref="D228">XLOOKUP('Attribute Translator'!C228, Lists!I:I, Lists!J:J, "Not found")</f>
        <v>penre_c4</v>
      </c>
      <c r="E228" s="367"/>
      <c r="F228" s="366"/>
      <c r="G228" s="366"/>
    </row>
    <row r="229" ht="42.0" customHeight="1">
      <c r="A229" s="365" t="s">
        <v>3288</v>
      </c>
      <c r="B229" s="366"/>
      <c r="C229" s="363" t="s">
        <v>1136</v>
      </c>
      <c r="D229" s="364" t="str">
        <f t="array" ref="D229">XLOOKUP('Attribute Translator'!C229, Lists!I:I, Lists!J:J, "Not found")</f>
        <v>penre_d</v>
      </c>
      <c r="E229" s="367"/>
      <c r="F229" s="366"/>
      <c r="G229" s="366"/>
    </row>
    <row r="230" ht="42.0" customHeight="1">
      <c r="A230" s="365" t="s">
        <v>3289</v>
      </c>
      <c r="B230" s="366"/>
      <c r="C230" s="363" t="s">
        <v>1137</v>
      </c>
      <c r="D230" s="364" t="str">
        <f t="array" ref="D230">XLOOKUP('Attribute Translator'!C230, Lists!I:I, Lists!J:J, "Not found")</f>
        <v>penre_d1</v>
      </c>
      <c r="E230" s="367"/>
      <c r="F230" s="366"/>
      <c r="G230" s="366"/>
    </row>
    <row r="231" ht="42.0" customHeight="1">
      <c r="A231" s="365" t="s">
        <v>3290</v>
      </c>
      <c r="B231" s="366"/>
      <c r="C231" s="363" t="s">
        <v>1138</v>
      </c>
      <c r="D231" s="364" t="str">
        <f t="array" ref="D231">XLOOKUP('Attribute Translator'!C231, Lists!I:I, Lists!J:J, "Not found")</f>
        <v>penre_d2</v>
      </c>
      <c r="E231" s="367"/>
      <c r="F231" s="366"/>
      <c r="G231" s="366"/>
    </row>
    <row r="232" ht="42.0" customHeight="1">
      <c r="A232" s="365" t="s">
        <v>3291</v>
      </c>
      <c r="B232" s="366"/>
      <c r="C232" s="363" t="s">
        <v>3292</v>
      </c>
      <c r="D232" s="364" t="str">
        <f t="array" ref="D232">XLOOKUP('Attribute Translator'!C232, Lists!I:I, Lists!J:J, "Not found")</f>
        <v>Not found</v>
      </c>
      <c r="E232" s="367"/>
      <c r="F232" s="366"/>
      <c r="G232" s="366"/>
    </row>
    <row r="233" ht="42.0" customHeight="1">
      <c r="A233" s="365" t="s">
        <v>3293</v>
      </c>
      <c r="B233" s="366"/>
      <c r="C233" s="363" t="s">
        <v>1140</v>
      </c>
      <c r="D233" s="364" t="str">
        <f t="array" ref="D233">XLOOKUP('Attribute Translator'!C233, Lists!I:I, Lists!J:J, "Not found")</f>
        <v>pert_a1-a3</v>
      </c>
      <c r="E233" s="367"/>
      <c r="F233" s="366"/>
      <c r="G233" s="366"/>
    </row>
    <row r="234" ht="42.0" customHeight="1">
      <c r="A234" s="365" t="s">
        <v>3294</v>
      </c>
      <c r="B234" s="366"/>
      <c r="C234" s="363" t="s">
        <v>1141</v>
      </c>
      <c r="D234" s="364" t="str">
        <f t="array" ref="D234">XLOOKUP('Attribute Translator'!C234, Lists!I:I, Lists!J:J, "Not found")</f>
        <v>pert_a4</v>
      </c>
      <c r="E234" s="367"/>
      <c r="F234" s="366"/>
      <c r="G234" s="366"/>
    </row>
    <row r="235" ht="42.0" customHeight="1">
      <c r="A235" s="365" t="s">
        <v>3295</v>
      </c>
      <c r="B235" s="366"/>
      <c r="C235" s="363" t="s">
        <v>1142</v>
      </c>
      <c r="D235" s="364" t="str">
        <f t="array" ref="D235">XLOOKUP('Attribute Translator'!C235, Lists!I:I, Lists!J:J, "Not found")</f>
        <v>pert_a5</v>
      </c>
      <c r="E235" s="367"/>
      <c r="F235" s="366"/>
      <c r="G235" s="366"/>
    </row>
    <row r="236" ht="42.0" customHeight="1">
      <c r="A236" s="365" t="s">
        <v>3296</v>
      </c>
      <c r="B236" s="366"/>
      <c r="C236" s="363" t="s">
        <v>1143</v>
      </c>
      <c r="D236" s="364" t="str">
        <f t="array" ref="D236">XLOOKUP('Attribute Translator'!C236, Lists!I:I, Lists!J:J, "Not found")</f>
        <v>pert_b1</v>
      </c>
      <c r="E236" s="367"/>
      <c r="F236" s="366"/>
      <c r="G236" s="366"/>
    </row>
    <row r="237" ht="42.0" customHeight="1">
      <c r="A237" s="365" t="s">
        <v>3297</v>
      </c>
      <c r="B237" s="366"/>
      <c r="C237" s="363" t="s">
        <v>1144</v>
      </c>
      <c r="D237" s="364" t="str">
        <f t="array" ref="D237">XLOOKUP('Attribute Translator'!C237, Lists!I:I, Lists!J:J, "Not found")</f>
        <v>pert_b2</v>
      </c>
      <c r="E237" s="367"/>
      <c r="F237" s="366"/>
      <c r="G237" s="366"/>
    </row>
    <row r="238" ht="42.0" customHeight="1">
      <c r="A238" s="365" t="s">
        <v>3298</v>
      </c>
      <c r="B238" s="366"/>
      <c r="C238" s="363" t="s">
        <v>1145</v>
      </c>
      <c r="D238" s="364" t="str">
        <f t="array" ref="D238">XLOOKUP('Attribute Translator'!C238, Lists!I:I, Lists!J:J, "Not found")</f>
        <v>pert_b3</v>
      </c>
      <c r="E238" s="367"/>
      <c r="F238" s="366"/>
      <c r="G238" s="366"/>
    </row>
    <row r="239" ht="42.0" customHeight="1">
      <c r="A239" s="365" t="s">
        <v>3299</v>
      </c>
      <c r="B239" s="366"/>
      <c r="C239" s="363" t="s">
        <v>1146</v>
      </c>
      <c r="D239" s="364" t="str">
        <f t="array" ref="D239">XLOOKUP('Attribute Translator'!C239, Lists!I:I, Lists!J:J, "Not found")</f>
        <v>pert_b4</v>
      </c>
      <c r="E239" s="367"/>
      <c r="F239" s="366"/>
      <c r="G239" s="366"/>
    </row>
    <row r="240" ht="42.0" customHeight="1">
      <c r="A240" s="365" t="s">
        <v>3300</v>
      </c>
      <c r="B240" s="366"/>
      <c r="C240" s="363" t="s">
        <v>1147</v>
      </c>
      <c r="D240" s="364" t="str">
        <f t="array" ref="D240">XLOOKUP('Attribute Translator'!C240, Lists!I:I, Lists!J:J, "Not found")</f>
        <v>pert_b5</v>
      </c>
      <c r="E240" s="367"/>
      <c r="F240" s="366"/>
      <c r="G240" s="366"/>
    </row>
    <row r="241" ht="42.0" customHeight="1">
      <c r="A241" s="365" t="s">
        <v>3301</v>
      </c>
      <c r="B241" s="366"/>
      <c r="C241" s="363" t="s">
        <v>1148</v>
      </c>
      <c r="D241" s="364" t="str">
        <f t="array" ref="D241">XLOOKUP('Attribute Translator'!C241, Lists!I:I, Lists!J:J, "Not found")</f>
        <v>pert_b6</v>
      </c>
      <c r="E241" s="367"/>
      <c r="F241" s="366"/>
      <c r="G241" s="366"/>
    </row>
    <row r="242" ht="42.0" customHeight="1">
      <c r="A242" s="365" t="s">
        <v>3302</v>
      </c>
      <c r="B242" s="366"/>
      <c r="C242" s="363" t="s">
        <v>1149</v>
      </c>
      <c r="D242" s="364" t="str">
        <f t="array" ref="D242">XLOOKUP('Attribute Translator'!C242, Lists!I:I, Lists!J:J, "Not found")</f>
        <v>pert_c1</v>
      </c>
      <c r="E242" s="367"/>
      <c r="F242" s="366"/>
      <c r="G242" s="366"/>
    </row>
    <row r="243" ht="42.0" customHeight="1">
      <c r="A243" s="365" t="s">
        <v>3303</v>
      </c>
      <c r="B243" s="366"/>
      <c r="C243" s="363" t="s">
        <v>1150</v>
      </c>
      <c r="D243" s="364" t="str">
        <f t="array" ref="D243">XLOOKUP('Attribute Translator'!C243, Lists!I:I, Lists!J:J, "Not found")</f>
        <v>pert_c2</v>
      </c>
      <c r="E243" s="367"/>
      <c r="F243" s="366"/>
      <c r="G243" s="366"/>
    </row>
    <row r="244" ht="42.0" customHeight="1">
      <c r="A244" s="365" t="s">
        <v>3304</v>
      </c>
      <c r="B244" s="366"/>
      <c r="C244" s="363" t="s">
        <v>1151</v>
      </c>
      <c r="D244" s="364" t="str">
        <f t="array" ref="D244">XLOOKUP('Attribute Translator'!C244, Lists!I:I, Lists!J:J, "Not found")</f>
        <v>pert_c3</v>
      </c>
      <c r="E244" s="367"/>
      <c r="F244" s="366"/>
      <c r="G244" s="366"/>
    </row>
    <row r="245" ht="42.0" customHeight="1">
      <c r="A245" s="365" t="s">
        <v>3305</v>
      </c>
      <c r="B245" s="366"/>
      <c r="C245" s="363" t="s">
        <v>1152</v>
      </c>
      <c r="D245" s="364" t="str">
        <f t="array" ref="D245">XLOOKUP('Attribute Translator'!C245, Lists!I:I, Lists!J:J, "Not found")</f>
        <v>pert_c4</v>
      </c>
      <c r="E245" s="367"/>
      <c r="F245" s="366"/>
      <c r="G245" s="366"/>
    </row>
    <row r="246" ht="42.0" customHeight="1">
      <c r="A246" s="365" t="s">
        <v>3306</v>
      </c>
      <c r="B246" s="366"/>
      <c r="C246" s="363" t="s">
        <v>1153</v>
      </c>
      <c r="D246" s="364" t="str">
        <f t="array" ref="D246">XLOOKUP('Attribute Translator'!C246, Lists!I:I, Lists!J:J, "Not found")</f>
        <v>pert_d</v>
      </c>
      <c r="E246" s="367"/>
      <c r="F246" s="366"/>
      <c r="G246" s="366"/>
    </row>
    <row r="247" ht="42.0" customHeight="1">
      <c r="A247" s="365" t="s">
        <v>3307</v>
      </c>
      <c r="B247" s="366"/>
      <c r="C247" s="363" t="s">
        <v>1154</v>
      </c>
      <c r="D247" s="364" t="str">
        <f t="array" ref="D247">XLOOKUP('Attribute Translator'!C247, Lists!I:I, Lists!J:J, "Not found")</f>
        <v>pert_d1</v>
      </c>
      <c r="E247" s="367"/>
      <c r="F247" s="366"/>
      <c r="G247" s="366"/>
    </row>
    <row r="248" ht="42.0" customHeight="1">
      <c r="A248" s="365" t="s">
        <v>3308</v>
      </c>
      <c r="B248" s="366"/>
      <c r="C248" s="363" t="s">
        <v>1155</v>
      </c>
      <c r="D248" s="364" t="str">
        <f t="array" ref="D248">XLOOKUP('Attribute Translator'!C248, Lists!I:I, Lists!J:J, "Not found")</f>
        <v>pert_d2</v>
      </c>
      <c r="E248" s="367"/>
      <c r="F248" s="366"/>
      <c r="G248" s="366"/>
    </row>
    <row r="249" ht="42.0" customHeight="1">
      <c r="A249" s="365" t="s">
        <v>3309</v>
      </c>
      <c r="B249" s="366"/>
      <c r="C249" s="363" t="s">
        <v>3310</v>
      </c>
      <c r="D249" s="364" t="str">
        <f t="array" ref="D249">XLOOKUP('Attribute Translator'!C249, Lists!I:I, Lists!J:J, "Not found")</f>
        <v>Not found</v>
      </c>
      <c r="E249" s="367"/>
      <c r="F249" s="366"/>
      <c r="G249" s="366"/>
    </row>
    <row r="250" ht="42.0" customHeight="1">
      <c r="A250" s="365" t="s">
        <v>3311</v>
      </c>
      <c r="B250" s="366"/>
      <c r="C250" s="363" t="s">
        <v>1157</v>
      </c>
      <c r="D250" s="364" t="str">
        <f t="array" ref="D250">XLOOKUP('Attribute Translator'!C250, Lists!I:I, Lists!J:J, "Not found")</f>
        <v>penrt_a1-a3</v>
      </c>
      <c r="E250" s="367"/>
      <c r="F250" s="366"/>
      <c r="G250" s="366"/>
    </row>
    <row r="251" ht="42.0" customHeight="1">
      <c r="A251" s="365" t="s">
        <v>3312</v>
      </c>
      <c r="B251" s="366"/>
      <c r="C251" s="363" t="s">
        <v>1158</v>
      </c>
      <c r="D251" s="364" t="str">
        <f t="array" ref="D251">XLOOKUP('Attribute Translator'!C251, Lists!I:I, Lists!J:J, "Not found")</f>
        <v>penrt_a4</v>
      </c>
      <c r="E251" s="367"/>
      <c r="F251" s="366"/>
      <c r="G251" s="366"/>
    </row>
    <row r="252" ht="42.0" customHeight="1">
      <c r="A252" s="365" t="s">
        <v>3313</v>
      </c>
      <c r="B252" s="366"/>
      <c r="C252" s="363" t="s">
        <v>1159</v>
      </c>
      <c r="D252" s="364" t="str">
        <f t="array" ref="D252">XLOOKUP('Attribute Translator'!C252, Lists!I:I, Lists!J:J, "Not found")</f>
        <v>penrt_a5</v>
      </c>
      <c r="E252" s="367"/>
      <c r="F252" s="366"/>
      <c r="G252" s="366"/>
    </row>
    <row r="253" ht="42.0" customHeight="1">
      <c r="A253" s="365" t="s">
        <v>3314</v>
      </c>
      <c r="B253" s="366"/>
      <c r="C253" s="363" t="s">
        <v>1160</v>
      </c>
      <c r="D253" s="364" t="str">
        <f t="array" ref="D253">XLOOKUP('Attribute Translator'!C253, Lists!I:I, Lists!J:J, "Not found")</f>
        <v>penrt_b1</v>
      </c>
      <c r="E253" s="367"/>
      <c r="F253" s="366"/>
      <c r="G253" s="366"/>
    </row>
    <row r="254" ht="42.0" customHeight="1">
      <c r="A254" s="365" t="s">
        <v>3315</v>
      </c>
      <c r="B254" s="366"/>
      <c r="C254" s="363" t="s">
        <v>1161</v>
      </c>
      <c r="D254" s="364" t="str">
        <f t="array" ref="D254">XLOOKUP('Attribute Translator'!C254, Lists!I:I, Lists!J:J, "Not found")</f>
        <v>penrt_b2</v>
      </c>
      <c r="E254" s="367"/>
      <c r="F254" s="366"/>
      <c r="G254" s="366"/>
    </row>
    <row r="255" ht="42.0" customHeight="1">
      <c r="A255" s="365" t="s">
        <v>3316</v>
      </c>
      <c r="B255" s="366"/>
      <c r="C255" s="363" t="s">
        <v>1162</v>
      </c>
      <c r="D255" s="364" t="str">
        <f t="array" ref="D255">XLOOKUP('Attribute Translator'!C255, Lists!I:I, Lists!J:J, "Not found")</f>
        <v>penrt_b3</v>
      </c>
      <c r="E255" s="367"/>
      <c r="F255" s="366"/>
      <c r="G255" s="366"/>
    </row>
    <row r="256" ht="42.0" customHeight="1">
      <c r="A256" s="365" t="s">
        <v>3317</v>
      </c>
      <c r="B256" s="371"/>
      <c r="C256" s="363" t="s">
        <v>1163</v>
      </c>
      <c r="D256" s="364" t="str">
        <f t="array" ref="D256">XLOOKUP('Attribute Translator'!C256, Lists!I:I, Lists!J:J, "Not found")</f>
        <v>penrt_b4</v>
      </c>
      <c r="E256" s="371"/>
      <c r="F256" s="371"/>
      <c r="G256" s="371"/>
    </row>
    <row r="257" ht="42.0" customHeight="1">
      <c r="A257" s="365" t="s">
        <v>3318</v>
      </c>
      <c r="B257" s="371"/>
      <c r="C257" s="363" t="s">
        <v>1164</v>
      </c>
      <c r="D257" s="364" t="str">
        <f t="array" ref="D257">XLOOKUP('Attribute Translator'!C257, Lists!I:I, Lists!J:J, "Not found")</f>
        <v>penrt_b5</v>
      </c>
      <c r="E257" s="371"/>
      <c r="F257" s="371"/>
      <c r="G257" s="371"/>
    </row>
    <row r="258" ht="42.0" customHeight="1">
      <c r="A258" s="365" t="s">
        <v>3319</v>
      </c>
      <c r="B258" s="371"/>
      <c r="C258" s="363" t="s">
        <v>1165</v>
      </c>
      <c r="D258" s="364" t="str">
        <f t="array" ref="D258">XLOOKUP('Attribute Translator'!C258, Lists!I:I, Lists!J:J, "Not found")</f>
        <v>penrt_b6</v>
      </c>
      <c r="E258" s="371"/>
      <c r="F258" s="371"/>
      <c r="G258" s="371"/>
    </row>
    <row r="259" ht="42.0" customHeight="1">
      <c r="A259" s="365" t="s">
        <v>3320</v>
      </c>
      <c r="B259" s="371"/>
      <c r="C259" s="363" t="s">
        <v>1166</v>
      </c>
      <c r="D259" s="364" t="str">
        <f t="array" ref="D259">XLOOKUP('Attribute Translator'!C259, Lists!I:I, Lists!J:J, "Not found")</f>
        <v>penrt_c1</v>
      </c>
      <c r="E259" s="371"/>
      <c r="F259" s="371"/>
      <c r="G259" s="371"/>
    </row>
    <row r="260" ht="42.0" customHeight="1">
      <c r="A260" s="365" t="s">
        <v>3321</v>
      </c>
      <c r="B260" s="371"/>
      <c r="C260" s="363" t="s">
        <v>1167</v>
      </c>
      <c r="D260" s="364" t="str">
        <f t="array" ref="D260">XLOOKUP('Attribute Translator'!C260, Lists!I:I, Lists!J:J, "Not found")</f>
        <v>penrt_c2</v>
      </c>
      <c r="E260" s="371"/>
      <c r="F260" s="371"/>
      <c r="G260" s="371"/>
    </row>
    <row r="261" ht="42.0" customHeight="1">
      <c r="A261" s="365" t="s">
        <v>3322</v>
      </c>
      <c r="B261" s="371"/>
      <c r="C261" s="363" t="s">
        <v>1168</v>
      </c>
      <c r="D261" s="364" t="str">
        <f t="array" ref="D261">XLOOKUP('Attribute Translator'!C261, Lists!I:I, Lists!J:J, "Not found")</f>
        <v>penrt_c3</v>
      </c>
      <c r="E261" s="371"/>
      <c r="F261" s="371"/>
      <c r="G261" s="371"/>
    </row>
    <row r="262" ht="42.0" customHeight="1">
      <c r="A262" s="365" t="s">
        <v>3323</v>
      </c>
      <c r="B262" s="371"/>
      <c r="C262" s="363" t="s">
        <v>1169</v>
      </c>
      <c r="D262" s="364" t="str">
        <f t="array" ref="D262">XLOOKUP('Attribute Translator'!C262, Lists!I:I, Lists!J:J, "Not found")</f>
        <v>penrt_c4</v>
      </c>
      <c r="E262" s="371"/>
      <c r="F262" s="371"/>
      <c r="G262" s="371"/>
    </row>
    <row r="263" ht="42.0" customHeight="1">
      <c r="A263" s="365" t="s">
        <v>3324</v>
      </c>
      <c r="B263" s="371"/>
      <c r="C263" s="363" t="s">
        <v>1170</v>
      </c>
      <c r="D263" s="364" t="str">
        <f t="array" ref="D263">XLOOKUP('Attribute Translator'!C263, Lists!I:I, Lists!J:J, "Not found")</f>
        <v>penrt_d</v>
      </c>
      <c r="E263" s="371"/>
      <c r="F263" s="371"/>
      <c r="G263" s="371"/>
    </row>
    <row r="264" ht="42.0" customHeight="1">
      <c r="A264" s="365" t="s">
        <v>3325</v>
      </c>
      <c r="B264" s="371"/>
      <c r="C264" s="363" t="s">
        <v>1171</v>
      </c>
      <c r="D264" s="364" t="str">
        <f t="array" ref="D264">XLOOKUP('Attribute Translator'!C264, Lists!I:I, Lists!J:J, "Not found")</f>
        <v>penrt_d1</v>
      </c>
      <c r="E264" s="371"/>
      <c r="F264" s="371"/>
      <c r="G264" s="371"/>
    </row>
    <row r="265" ht="42.0" customHeight="1">
      <c r="A265" s="365" t="s">
        <v>3326</v>
      </c>
      <c r="B265" s="371"/>
      <c r="C265" s="363" t="s">
        <v>1172</v>
      </c>
      <c r="D265" s="364" t="str">
        <f t="array" ref="D265">XLOOKUP('Attribute Translator'!C265, Lists!I:I, Lists!J:J, "Not found")</f>
        <v>penrt_d2</v>
      </c>
      <c r="E265" s="371"/>
      <c r="F265" s="371"/>
      <c r="G265" s="371"/>
    </row>
    <row r="266" ht="42.0" customHeight="1">
      <c r="A266" s="365" t="s">
        <v>3327</v>
      </c>
      <c r="B266" s="371"/>
      <c r="C266" s="363" t="s">
        <v>3328</v>
      </c>
      <c r="D266" s="364" t="str">
        <f t="array" ref="D266">XLOOKUP('Attribute Translator'!C266, Lists!I:I, Lists!J:J, "Not found")</f>
        <v>Not found</v>
      </c>
      <c r="E266" s="371"/>
      <c r="F266" s="371"/>
      <c r="G266" s="371"/>
    </row>
    <row r="267" ht="12.0" customHeight="1">
      <c r="A267" s="371"/>
      <c r="B267" s="371"/>
      <c r="C267" s="371"/>
      <c r="D267" s="364"/>
      <c r="E267" s="371"/>
      <c r="F267" s="371"/>
      <c r="G267" s="371"/>
    </row>
    <row r="268" ht="12.0" customHeight="1">
      <c r="A268" s="371"/>
      <c r="B268" s="371"/>
      <c r="C268" s="371"/>
      <c r="D268" s="371"/>
      <c r="E268" s="371"/>
      <c r="F268" s="371"/>
      <c r="G268" s="371"/>
    </row>
    <row r="269" ht="12.0" customHeight="1">
      <c r="A269" s="371"/>
      <c r="B269" s="371"/>
      <c r="C269" s="371"/>
      <c r="D269" s="371"/>
      <c r="E269" s="371"/>
      <c r="F269" s="371"/>
      <c r="G269" s="371"/>
    </row>
    <row r="270" ht="12.0" customHeight="1">
      <c r="A270" s="371"/>
      <c r="B270" s="371"/>
      <c r="C270" s="371"/>
      <c r="D270" s="371"/>
      <c r="E270" s="371"/>
      <c r="F270" s="371"/>
      <c r="G270" s="371"/>
    </row>
    <row r="271" ht="12.0" customHeight="1">
      <c r="A271" s="371"/>
      <c r="B271" s="371"/>
      <c r="C271" s="371"/>
      <c r="D271" s="371"/>
      <c r="E271" s="371"/>
      <c r="F271" s="371"/>
      <c r="G271" s="371"/>
    </row>
    <row r="272" ht="12.0" customHeight="1">
      <c r="A272" s="371"/>
      <c r="B272" s="371"/>
      <c r="C272" s="371"/>
      <c r="D272" s="371"/>
      <c r="E272" s="371"/>
      <c r="F272" s="371"/>
      <c r="G272" s="371"/>
    </row>
    <row r="273" ht="12.0" customHeight="1">
      <c r="A273" s="371"/>
      <c r="B273" s="371"/>
      <c r="C273" s="371"/>
      <c r="D273" s="371"/>
      <c r="E273" s="371"/>
      <c r="F273" s="371"/>
      <c r="G273" s="371"/>
    </row>
    <row r="274" ht="12.0" customHeight="1">
      <c r="A274" s="371"/>
      <c r="B274" s="371"/>
      <c r="C274" s="371"/>
      <c r="D274" s="371"/>
      <c r="E274" s="371"/>
      <c r="F274" s="371"/>
      <c r="G274" s="371"/>
    </row>
    <row r="275" ht="12.0" customHeight="1">
      <c r="A275" s="371"/>
      <c r="B275" s="371"/>
      <c r="C275" s="371"/>
      <c r="D275" s="371"/>
      <c r="E275" s="371"/>
      <c r="F275" s="371"/>
      <c r="G275" s="371"/>
    </row>
    <row r="276" ht="12.0" customHeight="1">
      <c r="A276" s="371"/>
      <c r="B276" s="371"/>
      <c r="C276" s="371"/>
      <c r="D276" s="371"/>
      <c r="E276" s="371"/>
      <c r="F276" s="371"/>
      <c r="G276" s="371"/>
    </row>
    <row r="277" ht="12.0" customHeight="1">
      <c r="A277" s="371"/>
      <c r="B277" s="371"/>
      <c r="C277" s="371"/>
      <c r="D277" s="371"/>
      <c r="E277" s="371"/>
      <c r="F277" s="371"/>
      <c r="G277" s="371"/>
    </row>
    <row r="278" ht="12.0" customHeight="1">
      <c r="A278" s="371"/>
      <c r="B278" s="371"/>
      <c r="C278" s="371"/>
      <c r="D278" s="371"/>
      <c r="E278" s="371"/>
      <c r="F278" s="371"/>
      <c r="G278" s="371"/>
    </row>
    <row r="279" ht="12.0" customHeight="1">
      <c r="A279" s="371"/>
      <c r="B279" s="371"/>
      <c r="C279" s="371"/>
      <c r="D279" s="371"/>
      <c r="E279" s="371"/>
      <c r="F279" s="371"/>
      <c r="G279" s="371"/>
    </row>
    <row r="280" ht="12.0" customHeight="1">
      <c r="A280" s="371"/>
      <c r="B280" s="371"/>
      <c r="C280" s="371"/>
      <c r="D280" s="371"/>
      <c r="E280" s="371"/>
      <c r="F280" s="371"/>
      <c r="G280" s="371"/>
    </row>
    <row r="281" ht="12.0" customHeight="1">
      <c r="A281" s="371"/>
      <c r="B281" s="371"/>
      <c r="C281" s="371"/>
      <c r="D281" s="371"/>
      <c r="E281" s="371"/>
      <c r="F281" s="371"/>
      <c r="G281" s="371"/>
    </row>
    <row r="282" ht="12.0" customHeight="1">
      <c r="A282" s="371"/>
      <c r="B282" s="371"/>
      <c r="C282" s="371"/>
      <c r="D282" s="371"/>
      <c r="E282" s="371"/>
      <c r="F282" s="371"/>
      <c r="G282" s="371"/>
    </row>
    <row r="283" ht="12.0" customHeight="1">
      <c r="A283" s="371"/>
      <c r="B283" s="371"/>
      <c r="C283" s="371"/>
      <c r="D283" s="371"/>
      <c r="E283" s="371"/>
      <c r="F283" s="371"/>
      <c r="G283" s="371"/>
    </row>
    <row r="284" ht="12.0" customHeight="1">
      <c r="A284" s="371"/>
      <c r="B284" s="371"/>
      <c r="C284" s="371"/>
      <c r="D284" s="371"/>
      <c r="E284" s="371"/>
      <c r="F284" s="371"/>
      <c r="G284" s="371"/>
    </row>
    <row r="285" ht="12.0" customHeight="1">
      <c r="A285" s="371"/>
      <c r="B285" s="371"/>
      <c r="C285" s="371"/>
      <c r="D285" s="371"/>
      <c r="E285" s="371"/>
      <c r="F285" s="371"/>
      <c r="G285" s="371"/>
    </row>
    <row r="286" ht="12.0" customHeight="1">
      <c r="A286" s="371"/>
      <c r="B286" s="371"/>
      <c r="C286" s="371"/>
      <c r="D286" s="371"/>
      <c r="E286" s="371"/>
      <c r="F286" s="371"/>
      <c r="G286" s="371"/>
    </row>
    <row r="287" ht="12.0" customHeight="1">
      <c r="A287" s="371"/>
      <c r="B287" s="371"/>
      <c r="C287" s="371"/>
      <c r="D287" s="371"/>
      <c r="E287" s="371"/>
      <c r="F287" s="371"/>
      <c r="G287" s="371"/>
    </row>
    <row r="288" ht="12.0" customHeight="1">
      <c r="A288" s="371"/>
      <c r="B288" s="371"/>
      <c r="C288" s="371"/>
      <c r="D288" s="371"/>
      <c r="E288" s="371"/>
      <c r="F288" s="371"/>
      <c r="G288" s="371"/>
    </row>
    <row r="289" ht="12.0" customHeight="1">
      <c r="A289" s="371"/>
      <c r="B289" s="371"/>
      <c r="C289" s="371"/>
      <c r="D289" s="371"/>
      <c r="E289" s="371"/>
      <c r="F289" s="371"/>
      <c r="G289" s="371"/>
    </row>
    <row r="290" ht="12.0" customHeight="1">
      <c r="A290" s="371"/>
      <c r="B290" s="371"/>
      <c r="C290" s="371"/>
      <c r="D290" s="371"/>
      <c r="E290" s="371"/>
      <c r="F290" s="371"/>
      <c r="G290" s="371"/>
    </row>
    <row r="291" ht="12.0" customHeight="1">
      <c r="A291" s="371"/>
      <c r="B291" s="371"/>
      <c r="C291" s="371"/>
      <c r="D291" s="371"/>
      <c r="E291" s="371"/>
      <c r="F291" s="371"/>
      <c r="G291" s="371"/>
    </row>
    <row r="292" ht="12.0" customHeight="1">
      <c r="A292" s="371"/>
      <c r="B292" s="371"/>
      <c r="C292" s="371"/>
      <c r="D292" s="371"/>
      <c r="E292" s="371"/>
      <c r="F292" s="371"/>
      <c r="G292" s="371"/>
    </row>
    <row r="293" ht="12.0" customHeight="1">
      <c r="A293" s="371"/>
      <c r="B293" s="371"/>
      <c r="C293" s="371"/>
      <c r="D293" s="371"/>
      <c r="E293" s="371"/>
      <c r="F293" s="371"/>
      <c r="G293" s="371"/>
    </row>
    <row r="294" ht="12.0" customHeight="1">
      <c r="A294" s="371"/>
      <c r="B294" s="371"/>
      <c r="C294" s="371"/>
      <c r="D294" s="371"/>
      <c r="E294" s="371"/>
      <c r="F294" s="371"/>
      <c r="G294" s="371"/>
    </row>
    <row r="295" ht="12.0" customHeight="1">
      <c r="A295" s="371"/>
      <c r="B295" s="371"/>
      <c r="C295" s="371"/>
      <c r="D295" s="371"/>
      <c r="E295" s="371"/>
      <c r="F295" s="371"/>
      <c r="G295" s="371"/>
    </row>
    <row r="296" ht="12.0" customHeight="1">
      <c r="A296" s="371"/>
      <c r="B296" s="371"/>
      <c r="C296" s="371"/>
      <c r="D296" s="371"/>
      <c r="E296" s="371"/>
      <c r="F296" s="371"/>
      <c r="G296" s="371"/>
    </row>
    <row r="297" ht="12.0" customHeight="1">
      <c r="A297" s="371"/>
      <c r="B297" s="371"/>
      <c r="C297" s="371"/>
      <c r="D297" s="371"/>
      <c r="E297" s="371"/>
      <c r="F297" s="371"/>
      <c r="G297" s="371"/>
    </row>
    <row r="298" ht="12.0" customHeight="1">
      <c r="A298" s="371"/>
      <c r="B298" s="371"/>
      <c r="C298" s="371"/>
      <c r="D298" s="371"/>
      <c r="E298" s="371"/>
      <c r="F298" s="371"/>
      <c r="G298" s="371"/>
    </row>
    <row r="299" ht="12.0" customHeight="1">
      <c r="A299" s="371"/>
      <c r="B299" s="371"/>
      <c r="C299" s="371"/>
      <c r="D299" s="371"/>
      <c r="E299" s="371"/>
      <c r="F299" s="371"/>
      <c r="G299" s="371"/>
    </row>
    <row r="300" ht="12.0" customHeight="1">
      <c r="A300" s="371"/>
      <c r="B300" s="371"/>
      <c r="C300" s="371"/>
      <c r="D300" s="371"/>
      <c r="E300" s="371"/>
      <c r="F300" s="371"/>
      <c r="G300" s="371"/>
    </row>
    <row r="301" ht="12.0" customHeight="1">
      <c r="A301" s="371"/>
      <c r="B301" s="371"/>
      <c r="C301" s="371"/>
      <c r="D301" s="371"/>
      <c r="E301" s="371"/>
      <c r="F301" s="371"/>
      <c r="G301" s="371"/>
    </row>
    <row r="302" ht="12.0" customHeight="1">
      <c r="A302" s="371"/>
      <c r="B302" s="371"/>
      <c r="C302" s="371"/>
      <c r="D302" s="371"/>
      <c r="E302" s="371"/>
      <c r="F302" s="371"/>
      <c r="G302" s="371"/>
    </row>
    <row r="303" ht="12.0" customHeight="1">
      <c r="A303" s="371"/>
      <c r="B303" s="371"/>
      <c r="C303" s="371"/>
      <c r="D303" s="371"/>
      <c r="E303" s="371"/>
      <c r="F303" s="371"/>
      <c r="G303" s="371"/>
    </row>
    <row r="304" ht="12.0" customHeight="1">
      <c r="A304" s="371"/>
      <c r="B304" s="371"/>
      <c r="C304" s="371"/>
      <c r="D304" s="371"/>
      <c r="E304" s="371"/>
      <c r="F304" s="371"/>
      <c r="G304" s="371"/>
    </row>
    <row r="305" ht="12.0" customHeight="1">
      <c r="A305" s="371"/>
      <c r="B305" s="371"/>
      <c r="C305" s="371"/>
      <c r="D305" s="371"/>
      <c r="E305" s="371"/>
      <c r="F305" s="371"/>
      <c r="G305" s="371"/>
    </row>
    <row r="306" ht="12.0" customHeight="1">
      <c r="A306" s="371"/>
      <c r="B306" s="371"/>
      <c r="C306" s="371"/>
      <c r="D306" s="371"/>
      <c r="E306" s="371"/>
      <c r="F306" s="371"/>
      <c r="G306" s="371"/>
    </row>
    <row r="307" ht="12.0" customHeight="1">
      <c r="A307" s="371"/>
      <c r="B307" s="371"/>
      <c r="C307" s="371"/>
      <c r="D307" s="371"/>
      <c r="E307" s="371"/>
      <c r="F307" s="371"/>
      <c r="G307" s="371"/>
    </row>
    <row r="308" ht="12.0" customHeight="1">
      <c r="A308" s="371"/>
      <c r="B308" s="371"/>
      <c r="C308" s="371"/>
      <c r="D308" s="371"/>
      <c r="E308" s="371"/>
      <c r="F308" s="371"/>
      <c r="G308" s="371"/>
    </row>
    <row r="309" ht="12.0" customHeight="1">
      <c r="A309" s="371"/>
      <c r="B309" s="371"/>
      <c r="C309" s="371"/>
      <c r="D309" s="371"/>
      <c r="E309" s="371"/>
      <c r="F309" s="371"/>
      <c r="G309" s="371"/>
    </row>
    <row r="310" ht="12.0" customHeight="1">
      <c r="A310" s="371"/>
      <c r="B310" s="371"/>
      <c r="C310" s="371"/>
      <c r="D310" s="371"/>
      <c r="E310" s="371"/>
      <c r="F310" s="371"/>
      <c r="G310" s="371"/>
    </row>
    <row r="311" ht="12.0" customHeight="1">
      <c r="A311" s="371"/>
      <c r="B311" s="371"/>
      <c r="C311" s="371"/>
      <c r="D311" s="371"/>
      <c r="E311" s="371"/>
      <c r="F311" s="371"/>
      <c r="G311" s="371"/>
    </row>
    <row r="312" ht="12.0" customHeight="1">
      <c r="A312" s="371"/>
      <c r="B312" s="371"/>
      <c r="C312" s="371"/>
      <c r="D312" s="371"/>
      <c r="E312" s="371"/>
      <c r="F312" s="371"/>
      <c r="G312" s="371"/>
    </row>
    <row r="313" ht="12.0" customHeight="1">
      <c r="A313" s="371"/>
      <c r="B313" s="371"/>
      <c r="C313" s="371"/>
      <c r="D313" s="371"/>
      <c r="E313" s="371"/>
      <c r="F313" s="371"/>
      <c r="G313" s="371"/>
    </row>
    <row r="314" ht="12.0" customHeight="1">
      <c r="A314" s="371"/>
      <c r="B314" s="371"/>
      <c r="C314" s="371"/>
      <c r="D314" s="371"/>
      <c r="E314" s="371"/>
      <c r="F314" s="371"/>
      <c r="G314" s="371"/>
    </row>
    <row r="315" ht="12.0" customHeight="1">
      <c r="A315" s="371"/>
      <c r="B315" s="371"/>
      <c r="C315" s="371"/>
      <c r="D315" s="371"/>
      <c r="E315" s="371"/>
      <c r="F315" s="371"/>
      <c r="G315" s="371"/>
    </row>
    <row r="316" ht="12.0" customHeight="1">
      <c r="A316" s="371"/>
      <c r="B316" s="371"/>
      <c r="C316" s="371"/>
      <c r="D316" s="371"/>
      <c r="E316" s="371"/>
      <c r="F316" s="371"/>
      <c r="G316" s="371"/>
    </row>
    <row r="317" ht="12.0" customHeight="1">
      <c r="A317" s="371"/>
      <c r="B317" s="371"/>
      <c r="C317" s="371"/>
      <c r="D317" s="371"/>
      <c r="E317" s="371"/>
      <c r="F317" s="371"/>
      <c r="G317" s="371"/>
    </row>
    <row r="318" ht="12.0" customHeight="1">
      <c r="A318" s="371"/>
      <c r="B318" s="371"/>
      <c r="C318" s="371"/>
      <c r="D318" s="371"/>
      <c r="E318" s="371"/>
      <c r="F318" s="371"/>
      <c r="G318" s="371"/>
    </row>
    <row r="319" ht="12.0" customHeight="1">
      <c r="A319" s="371"/>
      <c r="B319" s="371"/>
      <c r="C319" s="371"/>
      <c r="D319" s="371"/>
      <c r="E319" s="371"/>
      <c r="F319" s="371"/>
      <c r="G319" s="371"/>
    </row>
    <row r="320" ht="12.0" customHeight="1">
      <c r="A320" s="371"/>
      <c r="B320" s="371"/>
      <c r="C320" s="371"/>
      <c r="D320" s="371"/>
      <c r="E320" s="371"/>
      <c r="F320" s="371"/>
      <c r="G320" s="371"/>
    </row>
    <row r="321" ht="12.0" customHeight="1">
      <c r="A321" s="371"/>
      <c r="B321" s="371"/>
      <c r="C321" s="371"/>
      <c r="D321" s="371"/>
      <c r="E321" s="371"/>
      <c r="F321" s="371"/>
      <c r="G321" s="371"/>
    </row>
    <row r="322" ht="12.0" customHeight="1">
      <c r="A322" s="371"/>
      <c r="B322" s="371"/>
      <c r="C322" s="371"/>
      <c r="D322" s="371"/>
      <c r="E322" s="371"/>
      <c r="F322" s="371"/>
      <c r="G322" s="371"/>
    </row>
    <row r="323" ht="12.0" customHeight="1">
      <c r="A323" s="371"/>
      <c r="B323" s="371"/>
      <c r="C323" s="371"/>
      <c r="D323" s="371"/>
      <c r="E323" s="371"/>
      <c r="F323" s="371"/>
      <c r="G323" s="371"/>
    </row>
    <row r="324" ht="12.0" customHeight="1">
      <c r="A324" s="371"/>
      <c r="B324" s="371"/>
      <c r="C324" s="371"/>
      <c r="D324" s="371"/>
      <c r="E324" s="371"/>
      <c r="F324" s="371"/>
      <c r="G324" s="371"/>
    </row>
    <row r="325" ht="12.0" customHeight="1">
      <c r="A325" s="371"/>
      <c r="B325" s="371"/>
      <c r="C325" s="371"/>
      <c r="D325" s="371"/>
      <c r="E325" s="371"/>
      <c r="F325" s="371"/>
      <c r="G325" s="371"/>
    </row>
    <row r="326" ht="12.0" customHeight="1">
      <c r="A326" s="371"/>
      <c r="B326" s="371"/>
      <c r="C326" s="371"/>
      <c r="D326" s="371"/>
      <c r="E326" s="371"/>
      <c r="F326" s="371"/>
      <c r="G326" s="371"/>
    </row>
    <row r="327" ht="12.0" customHeight="1">
      <c r="A327" s="371"/>
      <c r="B327" s="371"/>
      <c r="C327" s="371"/>
      <c r="D327" s="371"/>
      <c r="E327" s="371"/>
      <c r="F327" s="371"/>
      <c r="G327" s="371"/>
    </row>
    <row r="328" ht="12.0" customHeight="1">
      <c r="A328" s="371"/>
      <c r="B328" s="371"/>
      <c r="C328" s="371"/>
      <c r="D328" s="371"/>
      <c r="E328" s="371"/>
      <c r="F328" s="371"/>
      <c r="G328" s="371"/>
    </row>
    <row r="329" ht="12.0" customHeight="1">
      <c r="A329" s="371"/>
      <c r="B329" s="371"/>
      <c r="C329" s="371"/>
      <c r="D329" s="371"/>
      <c r="E329" s="371"/>
      <c r="F329" s="371"/>
      <c r="G329" s="371"/>
    </row>
    <row r="330" ht="12.0" customHeight="1">
      <c r="A330" s="371"/>
      <c r="B330" s="371"/>
      <c r="C330" s="371"/>
      <c r="D330" s="371"/>
      <c r="E330" s="371"/>
      <c r="F330" s="371"/>
      <c r="G330" s="371"/>
    </row>
    <row r="331" ht="12.0" customHeight="1">
      <c r="A331" s="371"/>
      <c r="B331" s="371"/>
      <c r="C331" s="371"/>
      <c r="D331" s="371"/>
      <c r="E331" s="371"/>
      <c r="F331" s="371"/>
      <c r="G331" s="371"/>
    </row>
    <row r="332" ht="12.0" customHeight="1">
      <c r="A332" s="371"/>
      <c r="B332" s="371"/>
      <c r="C332" s="371"/>
      <c r="D332" s="371"/>
      <c r="E332" s="371"/>
      <c r="F332" s="371"/>
      <c r="G332" s="371"/>
    </row>
    <row r="333" ht="12.0" customHeight="1">
      <c r="A333" s="371"/>
      <c r="B333" s="371"/>
      <c r="C333" s="371"/>
      <c r="D333" s="371"/>
      <c r="E333" s="371"/>
      <c r="F333" s="371"/>
      <c r="G333" s="371"/>
    </row>
    <row r="334" ht="12.0" customHeight="1">
      <c r="A334" s="371"/>
      <c r="B334" s="371"/>
      <c r="C334" s="371"/>
      <c r="D334" s="371"/>
      <c r="E334" s="371"/>
      <c r="F334" s="371"/>
      <c r="G334" s="371"/>
    </row>
    <row r="335" ht="12.0" customHeight="1">
      <c r="A335" s="371"/>
      <c r="B335" s="371"/>
      <c r="C335" s="371"/>
      <c r="D335" s="371"/>
      <c r="E335" s="371"/>
      <c r="F335" s="371"/>
      <c r="G335" s="371"/>
    </row>
    <row r="336" ht="12.0" customHeight="1">
      <c r="A336" s="371"/>
      <c r="B336" s="371"/>
      <c r="C336" s="371"/>
      <c r="D336" s="371"/>
      <c r="E336" s="371"/>
      <c r="F336" s="371"/>
      <c r="G336" s="371"/>
    </row>
    <row r="337" ht="12.0" customHeight="1">
      <c r="A337" s="371"/>
      <c r="B337" s="371"/>
      <c r="C337" s="371"/>
      <c r="D337" s="371"/>
      <c r="E337" s="371"/>
      <c r="F337" s="371"/>
      <c r="G337" s="371"/>
    </row>
    <row r="338" ht="12.0" customHeight="1">
      <c r="A338" s="371"/>
      <c r="B338" s="371"/>
      <c r="C338" s="371"/>
      <c r="D338" s="371"/>
      <c r="E338" s="371"/>
      <c r="F338" s="371"/>
      <c r="G338" s="371"/>
    </row>
    <row r="339" ht="12.0" customHeight="1">
      <c r="A339" s="371"/>
      <c r="B339" s="371"/>
      <c r="C339" s="371"/>
      <c r="D339" s="371"/>
      <c r="E339" s="371"/>
      <c r="F339" s="371"/>
      <c r="G339" s="371"/>
    </row>
    <row r="340" ht="12.0" customHeight="1">
      <c r="A340" s="371"/>
      <c r="B340" s="371"/>
      <c r="C340" s="371"/>
      <c r="D340" s="371"/>
      <c r="E340" s="371"/>
      <c r="F340" s="371"/>
      <c r="G340" s="371"/>
    </row>
    <row r="341" ht="12.0" customHeight="1">
      <c r="A341" s="371"/>
      <c r="B341" s="371"/>
      <c r="C341" s="371"/>
      <c r="D341" s="371"/>
      <c r="E341" s="371"/>
      <c r="F341" s="371"/>
      <c r="G341" s="371"/>
    </row>
    <row r="342" ht="12.0" customHeight="1">
      <c r="A342" s="371"/>
      <c r="B342" s="371"/>
      <c r="C342" s="371"/>
      <c r="D342" s="371"/>
      <c r="E342" s="371"/>
      <c r="F342" s="371"/>
      <c r="G342" s="371"/>
    </row>
    <row r="343" ht="12.0" customHeight="1">
      <c r="A343" s="371"/>
      <c r="B343" s="371"/>
      <c r="C343" s="371"/>
      <c r="D343" s="371"/>
      <c r="E343" s="371"/>
      <c r="F343" s="371"/>
      <c r="G343" s="371"/>
    </row>
    <row r="344" ht="12.0" customHeight="1">
      <c r="A344" s="371"/>
      <c r="B344" s="371"/>
      <c r="C344" s="371"/>
      <c r="D344" s="371"/>
      <c r="E344" s="371"/>
      <c r="F344" s="371"/>
      <c r="G344" s="371"/>
    </row>
    <row r="345" ht="12.0" customHeight="1">
      <c r="A345" s="371"/>
      <c r="B345" s="371"/>
      <c r="C345" s="371"/>
      <c r="D345" s="371"/>
      <c r="E345" s="371"/>
      <c r="F345" s="371"/>
      <c r="G345" s="371"/>
    </row>
    <row r="346" ht="12.0" customHeight="1">
      <c r="A346" s="371"/>
      <c r="B346" s="371"/>
      <c r="C346" s="371"/>
      <c r="D346" s="371"/>
      <c r="E346" s="371"/>
      <c r="F346" s="371"/>
      <c r="G346" s="371"/>
    </row>
    <row r="347" ht="12.0" customHeight="1">
      <c r="A347" s="371"/>
      <c r="B347" s="371"/>
      <c r="C347" s="371"/>
      <c r="D347" s="371"/>
      <c r="E347" s="371"/>
      <c r="F347" s="371"/>
      <c r="G347" s="371"/>
    </row>
    <row r="348" ht="12.0" customHeight="1">
      <c r="A348" s="371"/>
      <c r="B348" s="371"/>
      <c r="C348" s="371"/>
      <c r="D348" s="371"/>
      <c r="E348" s="371"/>
      <c r="F348" s="371"/>
      <c r="G348" s="371"/>
    </row>
    <row r="349" ht="12.0" customHeight="1">
      <c r="A349" s="371"/>
      <c r="B349" s="371"/>
      <c r="C349" s="371"/>
      <c r="D349" s="371"/>
      <c r="E349" s="371"/>
      <c r="F349" s="371"/>
      <c r="G349" s="371"/>
    </row>
    <row r="350" ht="12.0" customHeight="1">
      <c r="A350" s="371"/>
      <c r="B350" s="371"/>
      <c r="C350" s="371"/>
      <c r="D350" s="371"/>
      <c r="E350" s="371"/>
      <c r="F350" s="371"/>
      <c r="G350" s="371"/>
    </row>
    <row r="351" ht="12.0" customHeight="1">
      <c r="A351" s="371"/>
      <c r="B351" s="371"/>
      <c r="C351" s="371"/>
      <c r="D351" s="371"/>
      <c r="E351" s="371"/>
      <c r="F351" s="371"/>
      <c r="G351" s="371"/>
    </row>
    <row r="352" ht="12.0" customHeight="1">
      <c r="A352" s="371"/>
      <c r="B352" s="371"/>
      <c r="C352" s="371"/>
      <c r="D352" s="371"/>
      <c r="E352" s="371"/>
      <c r="F352" s="371"/>
      <c r="G352" s="371"/>
    </row>
    <row r="353" ht="12.0" customHeight="1">
      <c r="A353" s="371"/>
      <c r="B353" s="371"/>
      <c r="C353" s="371"/>
      <c r="D353" s="371"/>
      <c r="E353" s="371"/>
      <c r="F353" s="371"/>
      <c r="G353" s="371"/>
    </row>
    <row r="354" ht="12.0" customHeight="1">
      <c r="A354" s="371"/>
      <c r="B354" s="371"/>
      <c r="C354" s="371"/>
      <c r="D354" s="371"/>
      <c r="E354" s="371"/>
      <c r="F354" s="371"/>
      <c r="G354" s="371"/>
    </row>
    <row r="355" ht="12.0" customHeight="1">
      <c r="A355" s="371"/>
      <c r="B355" s="371"/>
      <c r="C355" s="371"/>
      <c r="D355" s="371"/>
      <c r="E355" s="371"/>
      <c r="F355" s="371"/>
      <c r="G355" s="371"/>
    </row>
    <row r="356" ht="12.0" customHeight="1">
      <c r="A356" s="371"/>
      <c r="B356" s="371"/>
      <c r="C356" s="371"/>
      <c r="D356" s="371"/>
      <c r="E356" s="371"/>
      <c r="F356" s="371"/>
      <c r="G356" s="371"/>
    </row>
    <row r="357" ht="12.0" customHeight="1">
      <c r="A357" s="371"/>
      <c r="B357" s="371"/>
      <c r="C357" s="371"/>
      <c r="D357" s="371"/>
      <c r="E357" s="371"/>
      <c r="F357" s="371"/>
      <c r="G357" s="371"/>
    </row>
    <row r="358" ht="12.0" customHeight="1">
      <c r="A358" s="371"/>
      <c r="B358" s="371"/>
      <c r="C358" s="371"/>
      <c r="D358" s="371"/>
      <c r="E358" s="371"/>
      <c r="F358" s="371"/>
      <c r="G358" s="371"/>
    </row>
    <row r="359" ht="12.0" customHeight="1">
      <c r="A359" s="371"/>
      <c r="B359" s="371"/>
      <c r="C359" s="371"/>
      <c r="D359" s="371"/>
      <c r="E359" s="371"/>
      <c r="F359" s="371"/>
      <c r="G359" s="371"/>
    </row>
    <row r="360" ht="12.0" customHeight="1">
      <c r="A360" s="371"/>
      <c r="B360" s="371"/>
      <c r="C360" s="371"/>
      <c r="D360" s="371"/>
      <c r="E360" s="371"/>
      <c r="F360" s="371"/>
      <c r="G360" s="371"/>
    </row>
    <row r="361" ht="12.0" customHeight="1">
      <c r="A361" s="371"/>
      <c r="B361" s="371"/>
      <c r="C361" s="371"/>
      <c r="D361" s="371"/>
      <c r="E361" s="371"/>
      <c r="F361" s="371"/>
      <c r="G361" s="371"/>
    </row>
    <row r="362" ht="12.0" customHeight="1">
      <c r="A362" s="371"/>
      <c r="B362" s="371"/>
      <c r="C362" s="371"/>
      <c r="D362" s="371"/>
      <c r="E362" s="371"/>
      <c r="F362" s="371"/>
      <c r="G362" s="371"/>
    </row>
    <row r="363" ht="12.0" customHeight="1">
      <c r="A363" s="371"/>
      <c r="B363" s="371"/>
      <c r="C363" s="371"/>
      <c r="D363" s="371"/>
      <c r="E363" s="371"/>
      <c r="F363" s="371"/>
      <c r="G363" s="371"/>
    </row>
    <row r="364" ht="12.0" customHeight="1">
      <c r="A364" s="371"/>
      <c r="B364" s="371"/>
      <c r="C364" s="371"/>
      <c r="D364" s="371"/>
      <c r="E364" s="371"/>
      <c r="F364" s="371"/>
      <c r="G364" s="371"/>
    </row>
    <row r="365" ht="12.0" customHeight="1">
      <c r="A365" s="371"/>
      <c r="B365" s="371"/>
      <c r="C365" s="371"/>
      <c r="D365" s="371"/>
      <c r="E365" s="371"/>
      <c r="F365" s="371"/>
      <c r="G365" s="371"/>
    </row>
    <row r="366" ht="12.0" customHeight="1">
      <c r="A366" s="371"/>
      <c r="B366" s="371"/>
      <c r="C366" s="371"/>
      <c r="D366" s="371"/>
      <c r="E366" s="371"/>
      <c r="F366" s="371"/>
      <c r="G366" s="371"/>
    </row>
    <row r="367" ht="12.0" customHeight="1">
      <c r="A367" s="371"/>
      <c r="B367" s="371"/>
      <c r="C367" s="371"/>
      <c r="D367" s="371"/>
      <c r="E367" s="371"/>
      <c r="F367" s="371"/>
      <c r="G367" s="371"/>
    </row>
    <row r="368" ht="12.0" customHeight="1">
      <c r="A368" s="371"/>
      <c r="B368" s="371"/>
      <c r="C368" s="371"/>
      <c r="D368" s="371"/>
      <c r="E368" s="371"/>
      <c r="F368" s="371"/>
      <c r="G368" s="371"/>
    </row>
    <row r="369" ht="12.0" customHeight="1">
      <c r="A369" s="371"/>
      <c r="B369" s="371"/>
      <c r="C369" s="371"/>
      <c r="D369" s="371"/>
      <c r="E369" s="371"/>
      <c r="F369" s="371"/>
      <c r="G369" s="371"/>
    </row>
    <row r="370" ht="12.0" customHeight="1">
      <c r="A370" s="371"/>
      <c r="B370" s="371"/>
      <c r="C370" s="371"/>
      <c r="D370" s="371"/>
      <c r="E370" s="371"/>
      <c r="F370" s="371"/>
      <c r="G370" s="371"/>
    </row>
    <row r="371" ht="12.0" customHeight="1">
      <c r="A371" s="371"/>
      <c r="B371" s="371"/>
      <c r="C371" s="371"/>
      <c r="D371" s="371"/>
      <c r="E371" s="371"/>
      <c r="F371" s="371"/>
      <c r="G371" s="371"/>
    </row>
    <row r="372" ht="12.0" customHeight="1">
      <c r="A372" s="371"/>
      <c r="B372" s="371"/>
      <c r="C372" s="371"/>
      <c r="D372" s="371"/>
      <c r="E372" s="371"/>
      <c r="F372" s="371"/>
      <c r="G372" s="371"/>
    </row>
    <row r="373" ht="12.0" customHeight="1">
      <c r="A373" s="371"/>
      <c r="B373" s="371"/>
      <c r="C373" s="371"/>
      <c r="D373" s="371"/>
      <c r="E373" s="371"/>
      <c r="F373" s="371"/>
      <c r="G373" s="371"/>
    </row>
    <row r="374" ht="12.0" customHeight="1">
      <c r="A374" s="371"/>
      <c r="B374" s="371"/>
      <c r="C374" s="371"/>
      <c r="D374" s="371"/>
      <c r="E374" s="371"/>
      <c r="F374" s="371"/>
      <c r="G374" s="371"/>
    </row>
    <row r="375" ht="12.0" customHeight="1">
      <c r="A375" s="371"/>
      <c r="B375" s="371"/>
      <c r="C375" s="371"/>
      <c r="D375" s="371"/>
      <c r="E375" s="371"/>
      <c r="F375" s="371"/>
      <c r="G375" s="371"/>
    </row>
    <row r="376" ht="12.0" customHeight="1">
      <c r="A376" s="371"/>
      <c r="B376" s="371"/>
      <c r="C376" s="371"/>
      <c r="D376" s="371"/>
      <c r="E376" s="371"/>
      <c r="F376" s="371"/>
      <c r="G376" s="371"/>
    </row>
    <row r="377" ht="12.0" customHeight="1">
      <c r="A377" s="371"/>
      <c r="B377" s="371"/>
      <c r="C377" s="371"/>
      <c r="D377" s="371"/>
      <c r="E377" s="371"/>
      <c r="F377" s="371"/>
      <c r="G377" s="371"/>
    </row>
    <row r="378" ht="12.0" customHeight="1">
      <c r="A378" s="371"/>
      <c r="B378" s="371"/>
      <c r="C378" s="371"/>
      <c r="D378" s="371"/>
      <c r="E378" s="371"/>
      <c r="F378" s="371"/>
      <c r="G378" s="371"/>
    </row>
    <row r="379" ht="12.0" customHeight="1">
      <c r="A379" s="371"/>
      <c r="B379" s="371"/>
      <c r="C379" s="371"/>
      <c r="D379" s="371"/>
      <c r="E379" s="371"/>
      <c r="F379" s="371"/>
      <c r="G379" s="371"/>
    </row>
    <row r="380" ht="12.0" customHeight="1">
      <c r="A380" s="371"/>
      <c r="B380" s="371"/>
      <c r="C380" s="371"/>
      <c r="D380" s="371"/>
      <c r="E380" s="371"/>
      <c r="F380" s="371"/>
      <c r="G380" s="371"/>
    </row>
    <row r="381" ht="12.0" customHeight="1">
      <c r="A381" s="371"/>
      <c r="B381" s="371"/>
      <c r="C381" s="371"/>
      <c r="D381" s="371"/>
      <c r="E381" s="371"/>
      <c r="F381" s="371"/>
      <c r="G381" s="371"/>
    </row>
    <row r="382" ht="12.0" customHeight="1">
      <c r="A382" s="371"/>
      <c r="B382" s="371"/>
      <c r="C382" s="371"/>
      <c r="D382" s="371"/>
      <c r="E382" s="371"/>
      <c r="F382" s="371"/>
      <c r="G382" s="371"/>
    </row>
    <row r="383" ht="12.0" customHeight="1">
      <c r="A383" s="371"/>
      <c r="B383" s="371"/>
      <c r="C383" s="371"/>
      <c r="D383" s="371"/>
      <c r="E383" s="371"/>
      <c r="F383" s="371"/>
      <c r="G383" s="371"/>
    </row>
    <row r="384" ht="12.0" customHeight="1">
      <c r="A384" s="371"/>
      <c r="B384" s="371"/>
      <c r="C384" s="371"/>
      <c r="D384" s="371"/>
      <c r="E384" s="371"/>
      <c r="F384" s="371"/>
      <c r="G384" s="371"/>
    </row>
    <row r="385" ht="12.0" customHeight="1">
      <c r="A385" s="371"/>
      <c r="B385" s="371"/>
      <c r="C385" s="371"/>
      <c r="D385" s="371"/>
      <c r="E385" s="371"/>
      <c r="F385" s="371"/>
      <c r="G385" s="371"/>
    </row>
    <row r="386" ht="12.0" customHeight="1">
      <c r="A386" s="371"/>
      <c r="B386" s="371"/>
      <c r="C386" s="371"/>
      <c r="D386" s="371"/>
      <c r="E386" s="371"/>
      <c r="F386" s="371"/>
      <c r="G386" s="371"/>
    </row>
    <row r="387" ht="12.0" customHeight="1">
      <c r="A387" s="371"/>
      <c r="B387" s="371"/>
      <c r="C387" s="371"/>
      <c r="D387" s="371"/>
      <c r="E387" s="371"/>
      <c r="F387" s="371"/>
      <c r="G387" s="371"/>
    </row>
    <row r="388" ht="12.0" customHeight="1">
      <c r="A388" s="371"/>
      <c r="B388" s="371"/>
      <c r="C388" s="371"/>
      <c r="D388" s="371"/>
      <c r="E388" s="371"/>
      <c r="F388" s="371"/>
      <c r="G388" s="371"/>
    </row>
    <row r="389" ht="12.0" customHeight="1">
      <c r="A389" s="371"/>
      <c r="B389" s="371"/>
      <c r="C389" s="371"/>
      <c r="D389" s="371"/>
      <c r="E389" s="371"/>
      <c r="F389" s="371"/>
      <c r="G389" s="371"/>
    </row>
    <row r="390" ht="12.0" customHeight="1">
      <c r="A390" s="371"/>
      <c r="B390" s="371"/>
      <c r="C390" s="371"/>
      <c r="D390" s="371"/>
      <c r="E390" s="371"/>
      <c r="F390" s="371"/>
      <c r="G390" s="371"/>
    </row>
    <row r="391" ht="12.0" customHeight="1">
      <c r="A391" s="371"/>
      <c r="B391" s="371"/>
      <c r="C391" s="371"/>
      <c r="D391" s="371"/>
      <c r="E391" s="371"/>
      <c r="F391" s="371"/>
      <c r="G391" s="371"/>
    </row>
    <row r="392" ht="12.0" customHeight="1">
      <c r="A392" s="371"/>
      <c r="B392" s="371"/>
      <c r="C392" s="371"/>
      <c r="D392" s="371"/>
      <c r="E392" s="371"/>
      <c r="F392" s="371"/>
      <c r="G392" s="371"/>
    </row>
    <row r="393" ht="12.0" customHeight="1">
      <c r="A393" s="371"/>
      <c r="B393" s="371"/>
      <c r="C393" s="371"/>
      <c r="D393" s="371"/>
      <c r="E393" s="371"/>
      <c r="F393" s="371"/>
      <c r="G393" s="371"/>
    </row>
    <row r="394" ht="12.0" customHeight="1">
      <c r="A394" s="371"/>
      <c r="B394" s="371"/>
      <c r="C394" s="371"/>
      <c r="D394" s="371"/>
      <c r="E394" s="371"/>
      <c r="F394" s="371"/>
      <c r="G394" s="371"/>
    </row>
    <row r="395" ht="12.0" customHeight="1">
      <c r="A395" s="371"/>
      <c r="B395" s="371"/>
      <c r="C395" s="371"/>
      <c r="D395" s="371"/>
      <c r="E395" s="371"/>
      <c r="F395" s="371"/>
      <c r="G395" s="371"/>
    </row>
    <row r="396" ht="12.0" customHeight="1">
      <c r="A396" s="371"/>
      <c r="B396" s="371"/>
      <c r="C396" s="371"/>
      <c r="D396" s="371"/>
      <c r="E396" s="371"/>
      <c r="F396" s="371"/>
      <c r="G396" s="371"/>
    </row>
    <row r="397" ht="12.0" customHeight="1">
      <c r="A397" s="371"/>
      <c r="B397" s="371"/>
      <c r="C397" s="371"/>
      <c r="D397" s="371"/>
      <c r="E397" s="371"/>
      <c r="F397" s="371"/>
      <c r="G397" s="371"/>
    </row>
    <row r="398" ht="12.0" customHeight="1">
      <c r="A398" s="371"/>
      <c r="B398" s="371"/>
      <c r="C398" s="371"/>
      <c r="D398" s="371"/>
      <c r="E398" s="371"/>
      <c r="F398" s="371"/>
      <c r="G398" s="371"/>
    </row>
    <row r="399" ht="12.0" customHeight="1">
      <c r="A399" s="371"/>
      <c r="B399" s="371"/>
      <c r="C399" s="371"/>
      <c r="D399" s="371"/>
      <c r="E399" s="371"/>
      <c r="F399" s="371"/>
      <c r="G399" s="371"/>
    </row>
    <row r="400" ht="12.0" customHeight="1">
      <c r="A400" s="371"/>
      <c r="B400" s="371"/>
      <c r="C400" s="371"/>
      <c r="D400" s="371"/>
      <c r="E400" s="371"/>
      <c r="F400" s="371"/>
      <c r="G400" s="371"/>
    </row>
    <row r="401" ht="12.0" customHeight="1">
      <c r="A401" s="371"/>
      <c r="B401" s="371"/>
      <c r="C401" s="371"/>
      <c r="D401" s="371"/>
      <c r="E401" s="371"/>
      <c r="F401" s="371"/>
      <c r="G401" s="371"/>
    </row>
    <row r="402" ht="12.0" customHeight="1">
      <c r="A402" s="371"/>
      <c r="B402" s="371"/>
      <c r="C402" s="371"/>
      <c r="D402" s="371"/>
      <c r="E402" s="371"/>
      <c r="F402" s="371"/>
      <c r="G402" s="371"/>
    </row>
    <row r="403" ht="12.0" customHeight="1">
      <c r="A403" s="371"/>
      <c r="B403" s="371"/>
      <c r="C403" s="371"/>
      <c r="D403" s="371"/>
      <c r="E403" s="371"/>
      <c r="F403" s="371"/>
      <c r="G403" s="371"/>
    </row>
    <row r="404" ht="12.0" customHeight="1">
      <c r="A404" s="371"/>
      <c r="B404" s="371"/>
      <c r="C404" s="371"/>
      <c r="D404" s="371"/>
      <c r="E404" s="371"/>
      <c r="F404" s="371"/>
      <c r="G404" s="371"/>
    </row>
    <row r="405" ht="12.0" customHeight="1">
      <c r="A405" s="371"/>
      <c r="B405" s="371"/>
      <c r="C405" s="371"/>
      <c r="D405" s="371"/>
      <c r="E405" s="371"/>
      <c r="F405" s="371"/>
      <c r="G405" s="371"/>
    </row>
    <row r="406" ht="12.0" customHeight="1">
      <c r="A406" s="371"/>
      <c r="B406" s="371"/>
      <c r="C406" s="371"/>
      <c r="D406" s="371"/>
      <c r="E406" s="371"/>
      <c r="F406" s="371"/>
      <c r="G406" s="371"/>
    </row>
    <row r="407" ht="12.0" customHeight="1">
      <c r="A407" s="371"/>
      <c r="B407" s="371"/>
      <c r="C407" s="371"/>
      <c r="D407" s="371"/>
      <c r="E407" s="371"/>
      <c r="F407" s="371"/>
      <c r="G407" s="371"/>
    </row>
    <row r="408" ht="12.0" customHeight="1">
      <c r="A408" s="371"/>
      <c r="B408" s="371"/>
      <c r="C408" s="371"/>
      <c r="D408" s="371"/>
      <c r="E408" s="371"/>
      <c r="F408" s="371"/>
      <c r="G408" s="371"/>
    </row>
    <row r="409" ht="12.0" customHeight="1">
      <c r="A409" s="371"/>
      <c r="B409" s="371"/>
      <c r="C409" s="371"/>
      <c r="D409" s="371"/>
      <c r="E409" s="371"/>
      <c r="F409" s="371"/>
      <c r="G409" s="371"/>
    </row>
    <row r="410" ht="12.0" customHeight="1">
      <c r="A410" s="371"/>
      <c r="B410" s="371"/>
      <c r="C410" s="371"/>
      <c r="D410" s="371"/>
      <c r="E410" s="371"/>
      <c r="F410" s="371"/>
      <c r="G410" s="371"/>
    </row>
    <row r="411" ht="12.0" customHeight="1">
      <c r="A411" s="371"/>
      <c r="B411" s="371"/>
      <c r="C411" s="371"/>
      <c r="D411" s="371"/>
      <c r="E411" s="371"/>
      <c r="F411" s="371"/>
      <c r="G411" s="371"/>
    </row>
    <row r="412" ht="12.0" customHeight="1">
      <c r="A412" s="371"/>
      <c r="B412" s="371"/>
      <c r="C412" s="371"/>
      <c r="D412" s="371"/>
      <c r="E412" s="371"/>
      <c r="F412" s="371"/>
      <c r="G412" s="371"/>
    </row>
    <row r="413" ht="12.0" customHeight="1">
      <c r="A413" s="371"/>
      <c r="B413" s="371"/>
      <c r="C413" s="371"/>
      <c r="D413" s="371"/>
      <c r="E413" s="371"/>
      <c r="F413" s="371"/>
      <c r="G413" s="371"/>
    </row>
    <row r="414" ht="12.0" customHeight="1">
      <c r="A414" s="371"/>
      <c r="B414" s="371"/>
      <c r="C414" s="371"/>
      <c r="D414" s="371"/>
      <c r="E414" s="371"/>
      <c r="F414" s="371"/>
      <c r="G414" s="371"/>
    </row>
    <row r="415" ht="12.0" customHeight="1">
      <c r="A415" s="371"/>
      <c r="B415" s="371"/>
      <c r="C415" s="371"/>
      <c r="D415" s="371"/>
      <c r="E415" s="371"/>
      <c r="F415" s="371"/>
      <c r="G415" s="371"/>
    </row>
    <row r="416" ht="12.0" customHeight="1">
      <c r="A416" s="371"/>
      <c r="B416" s="371"/>
      <c r="C416" s="371"/>
      <c r="D416" s="371"/>
      <c r="E416" s="371"/>
      <c r="F416" s="371"/>
      <c r="G416" s="371"/>
    </row>
    <row r="417" ht="12.0" customHeight="1">
      <c r="A417" s="371"/>
      <c r="B417" s="371"/>
      <c r="C417" s="371"/>
      <c r="D417" s="371"/>
      <c r="E417" s="371"/>
      <c r="F417" s="371"/>
      <c r="G417" s="371"/>
    </row>
    <row r="418" ht="12.0" customHeight="1">
      <c r="A418" s="371"/>
      <c r="B418" s="371"/>
      <c r="C418" s="371"/>
      <c r="D418" s="371"/>
      <c r="E418" s="371"/>
      <c r="F418" s="371"/>
      <c r="G418" s="371"/>
    </row>
    <row r="419" ht="12.0" customHeight="1">
      <c r="A419" s="371"/>
      <c r="B419" s="371"/>
      <c r="C419" s="371"/>
      <c r="D419" s="371"/>
      <c r="E419" s="371"/>
      <c r="F419" s="371"/>
      <c r="G419" s="371"/>
    </row>
    <row r="420" ht="12.0" customHeight="1">
      <c r="A420" s="371"/>
      <c r="B420" s="371"/>
      <c r="C420" s="371"/>
      <c r="D420" s="371"/>
      <c r="E420" s="371"/>
      <c r="F420" s="371"/>
      <c r="G420" s="371"/>
    </row>
    <row r="421" ht="12.0" customHeight="1">
      <c r="A421" s="371"/>
      <c r="B421" s="371"/>
      <c r="C421" s="371"/>
      <c r="D421" s="371"/>
      <c r="E421" s="371"/>
      <c r="F421" s="371"/>
      <c r="G421" s="371"/>
    </row>
    <row r="422" ht="12.0" customHeight="1">
      <c r="A422" s="371"/>
      <c r="B422" s="371"/>
      <c r="C422" s="371"/>
      <c r="D422" s="371"/>
      <c r="E422" s="371"/>
      <c r="F422" s="371"/>
      <c r="G422" s="371"/>
    </row>
    <row r="423" ht="12.0" customHeight="1">
      <c r="A423" s="371"/>
      <c r="B423" s="371"/>
      <c r="C423" s="371"/>
      <c r="D423" s="371"/>
      <c r="E423" s="371"/>
      <c r="F423" s="371"/>
      <c r="G423" s="371"/>
    </row>
    <row r="424" ht="12.0" customHeight="1">
      <c r="A424" s="371"/>
      <c r="B424" s="371"/>
      <c r="C424" s="371"/>
      <c r="D424" s="371"/>
      <c r="E424" s="371"/>
      <c r="F424" s="371"/>
      <c r="G424" s="371"/>
    </row>
    <row r="425" ht="12.0" customHeight="1">
      <c r="A425" s="371"/>
      <c r="B425" s="371"/>
      <c r="C425" s="371"/>
      <c r="D425" s="371"/>
      <c r="E425" s="371"/>
      <c r="F425" s="371"/>
      <c r="G425" s="371"/>
    </row>
    <row r="426" ht="12.0" customHeight="1">
      <c r="A426" s="371"/>
      <c r="B426" s="371"/>
      <c r="C426" s="371"/>
      <c r="D426" s="371"/>
      <c r="E426" s="371"/>
      <c r="F426" s="371"/>
      <c r="G426" s="371"/>
    </row>
    <row r="427" ht="12.0" customHeight="1">
      <c r="A427" s="371"/>
      <c r="B427" s="371"/>
      <c r="C427" s="371"/>
      <c r="D427" s="371"/>
      <c r="E427" s="371"/>
      <c r="F427" s="371"/>
      <c r="G427" s="371"/>
    </row>
    <row r="428" ht="12.0" customHeight="1">
      <c r="A428" s="371"/>
      <c r="B428" s="371"/>
      <c r="C428" s="371"/>
      <c r="D428" s="371"/>
      <c r="E428" s="371"/>
      <c r="F428" s="371"/>
      <c r="G428" s="371"/>
    </row>
    <row r="429" ht="12.0" customHeight="1">
      <c r="A429" s="371"/>
      <c r="B429" s="371"/>
      <c r="C429" s="371"/>
      <c r="D429" s="371"/>
      <c r="E429" s="371"/>
      <c r="F429" s="371"/>
      <c r="G429" s="371"/>
    </row>
    <row r="430" ht="12.0" customHeight="1">
      <c r="A430" s="371"/>
      <c r="B430" s="371"/>
      <c r="C430" s="371"/>
      <c r="D430" s="371"/>
      <c r="E430" s="371"/>
      <c r="F430" s="371"/>
      <c r="G430" s="371"/>
    </row>
    <row r="431" ht="12.0" customHeight="1">
      <c r="A431" s="371"/>
      <c r="B431" s="371"/>
      <c r="C431" s="371"/>
      <c r="D431" s="371"/>
      <c r="E431" s="371"/>
      <c r="F431" s="371"/>
      <c r="G431" s="371"/>
    </row>
    <row r="432" ht="12.0" customHeight="1">
      <c r="A432" s="371"/>
      <c r="B432" s="371"/>
      <c r="C432" s="371"/>
      <c r="D432" s="371"/>
      <c r="E432" s="371"/>
      <c r="F432" s="371"/>
      <c r="G432" s="371"/>
    </row>
    <row r="433" ht="12.0" customHeight="1">
      <c r="A433" s="371"/>
      <c r="B433" s="371"/>
      <c r="C433" s="371"/>
      <c r="D433" s="371"/>
      <c r="E433" s="371"/>
      <c r="F433" s="371"/>
      <c r="G433" s="371"/>
    </row>
    <row r="434" ht="12.0" customHeight="1">
      <c r="A434" s="371"/>
      <c r="B434" s="371"/>
      <c r="C434" s="371"/>
      <c r="D434" s="371"/>
      <c r="E434" s="371"/>
      <c r="F434" s="371"/>
      <c r="G434" s="371"/>
    </row>
    <row r="435" ht="12.0" customHeight="1">
      <c r="A435" s="371"/>
      <c r="B435" s="371"/>
      <c r="C435" s="371"/>
      <c r="D435" s="371"/>
      <c r="E435" s="371"/>
      <c r="F435" s="371"/>
      <c r="G435" s="371"/>
    </row>
    <row r="436" ht="12.0" customHeight="1">
      <c r="A436" s="371"/>
      <c r="B436" s="371"/>
      <c r="C436" s="371"/>
      <c r="D436" s="371"/>
      <c r="E436" s="371"/>
      <c r="F436" s="371"/>
      <c r="G436" s="371"/>
    </row>
    <row r="437" ht="12.0" customHeight="1">
      <c r="A437" s="371"/>
      <c r="B437" s="371"/>
      <c r="C437" s="371"/>
      <c r="D437" s="371"/>
      <c r="E437" s="371"/>
      <c r="F437" s="371"/>
      <c r="G437" s="371"/>
    </row>
    <row r="438" ht="12.0" customHeight="1">
      <c r="A438" s="371"/>
      <c r="B438" s="371"/>
      <c r="C438" s="371"/>
      <c r="D438" s="371"/>
      <c r="E438" s="371"/>
      <c r="F438" s="371"/>
      <c r="G438" s="371"/>
    </row>
    <row r="439" ht="12.0" customHeight="1">
      <c r="A439" s="371"/>
      <c r="B439" s="371"/>
      <c r="C439" s="371"/>
      <c r="D439" s="371"/>
      <c r="E439" s="371"/>
      <c r="F439" s="371"/>
      <c r="G439" s="371"/>
    </row>
    <row r="440" ht="12.0" customHeight="1">
      <c r="A440" s="371"/>
      <c r="B440" s="371"/>
      <c r="C440" s="371"/>
      <c r="D440" s="371"/>
      <c r="E440" s="371"/>
      <c r="F440" s="371"/>
      <c r="G440" s="371"/>
    </row>
    <row r="441" ht="12.0" customHeight="1">
      <c r="A441" s="371"/>
      <c r="B441" s="371"/>
      <c r="C441" s="371"/>
      <c r="D441" s="371"/>
      <c r="E441" s="371"/>
      <c r="F441" s="371"/>
      <c r="G441" s="371"/>
    </row>
    <row r="442" ht="12.0" customHeight="1">
      <c r="A442" s="371"/>
      <c r="B442" s="371"/>
      <c r="C442" s="371"/>
      <c r="D442" s="371"/>
      <c r="E442" s="371"/>
      <c r="F442" s="371"/>
      <c r="G442" s="371"/>
    </row>
    <row r="443" ht="12.0" customHeight="1">
      <c r="A443" s="371"/>
      <c r="B443" s="371"/>
      <c r="C443" s="371"/>
      <c r="D443" s="371"/>
      <c r="E443" s="371"/>
      <c r="F443" s="371"/>
      <c r="G443" s="371"/>
    </row>
    <row r="444" ht="12.0" customHeight="1">
      <c r="A444" s="371"/>
      <c r="B444" s="371"/>
      <c r="C444" s="371"/>
      <c r="D444" s="371"/>
      <c r="E444" s="371"/>
      <c r="F444" s="371"/>
      <c r="G444" s="371"/>
    </row>
    <row r="445" ht="12.0" customHeight="1">
      <c r="A445" s="371"/>
      <c r="B445" s="371"/>
      <c r="C445" s="371"/>
      <c r="D445" s="371"/>
      <c r="E445" s="371"/>
      <c r="F445" s="371"/>
      <c r="G445" s="371"/>
    </row>
    <row r="446" ht="12.0" customHeight="1">
      <c r="A446" s="371"/>
      <c r="B446" s="371"/>
      <c r="C446" s="371"/>
      <c r="D446" s="371"/>
      <c r="E446" s="371"/>
      <c r="F446" s="371"/>
      <c r="G446" s="371"/>
    </row>
    <row r="447" ht="12.0" customHeight="1">
      <c r="A447" s="371"/>
      <c r="B447" s="371"/>
      <c r="C447" s="371"/>
      <c r="D447" s="371"/>
      <c r="E447" s="371"/>
      <c r="F447" s="371"/>
      <c r="G447" s="371"/>
    </row>
    <row r="448" ht="12.0" customHeight="1">
      <c r="A448" s="371"/>
      <c r="B448" s="371"/>
      <c r="C448" s="371"/>
      <c r="D448" s="371"/>
      <c r="E448" s="371"/>
      <c r="F448" s="371"/>
      <c r="G448" s="371"/>
    </row>
    <row r="449" ht="12.0" customHeight="1">
      <c r="A449" s="371"/>
      <c r="B449" s="371"/>
      <c r="C449" s="371"/>
      <c r="D449" s="371"/>
      <c r="E449" s="371"/>
      <c r="F449" s="371"/>
      <c r="G449" s="371"/>
    </row>
    <row r="450" ht="12.0" customHeight="1">
      <c r="A450" s="371"/>
      <c r="B450" s="371"/>
      <c r="C450" s="371"/>
      <c r="D450" s="371"/>
      <c r="E450" s="371"/>
      <c r="F450" s="371"/>
      <c r="G450" s="371"/>
    </row>
    <row r="451" ht="12.0" customHeight="1">
      <c r="A451" s="371"/>
      <c r="B451" s="371"/>
      <c r="C451" s="371"/>
      <c r="D451" s="371"/>
      <c r="E451" s="371"/>
      <c r="F451" s="371"/>
      <c r="G451" s="371"/>
    </row>
    <row r="452" ht="12.0" customHeight="1">
      <c r="A452" s="371"/>
      <c r="B452" s="371"/>
      <c r="C452" s="371"/>
      <c r="D452" s="371"/>
      <c r="E452" s="371"/>
      <c r="F452" s="371"/>
      <c r="G452" s="371"/>
    </row>
    <row r="453" ht="12.0" customHeight="1">
      <c r="A453" s="371"/>
      <c r="B453" s="371"/>
      <c r="C453" s="371"/>
      <c r="D453" s="371"/>
      <c r="E453" s="371"/>
      <c r="F453" s="371"/>
      <c r="G453" s="371"/>
    </row>
    <row r="454" ht="12.0" customHeight="1">
      <c r="A454" s="371"/>
      <c r="B454" s="371"/>
      <c r="C454" s="371"/>
      <c r="D454" s="371"/>
      <c r="E454" s="371"/>
      <c r="F454" s="371"/>
      <c r="G454" s="371"/>
    </row>
    <row r="455" ht="15.75" customHeight="1">
      <c r="A455" s="372"/>
      <c r="B455" s="372"/>
      <c r="C455" s="372"/>
      <c r="D455" s="372"/>
      <c r="E455" s="372"/>
      <c r="F455" s="372"/>
      <c r="G455" s="372"/>
    </row>
    <row r="456" ht="15.75" customHeight="1">
      <c r="A456" s="372"/>
      <c r="B456" s="372"/>
      <c r="C456" s="372"/>
      <c r="D456" s="372"/>
      <c r="E456" s="372"/>
      <c r="F456" s="372"/>
      <c r="G456" s="372"/>
    </row>
    <row r="457" ht="15.75" customHeight="1">
      <c r="A457" s="372"/>
      <c r="B457" s="372"/>
      <c r="C457" s="372"/>
      <c r="D457" s="372"/>
      <c r="E457" s="372"/>
      <c r="F457" s="372"/>
      <c r="G457" s="372"/>
    </row>
    <row r="458" ht="15.75" customHeight="1">
      <c r="A458" s="372"/>
      <c r="B458" s="372"/>
      <c r="C458" s="372"/>
      <c r="D458" s="372"/>
      <c r="E458" s="372"/>
      <c r="F458" s="372"/>
      <c r="G458" s="372"/>
    </row>
    <row r="459" ht="15.75" customHeight="1">
      <c r="A459" s="372"/>
      <c r="B459" s="372"/>
      <c r="C459" s="372"/>
      <c r="D459" s="372"/>
      <c r="E459" s="372"/>
      <c r="F459" s="372"/>
      <c r="G459" s="372"/>
    </row>
    <row r="460" ht="15.75" customHeight="1">
      <c r="A460" s="372"/>
      <c r="B460" s="372"/>
      <c r="C460" s="372"/>
      <c r="D460" s="372"/>
      <c r="E460" s="372"/>
      <c r="F460" s="372"/>
      <c r="G460" s="372"/>
    </row>
    <row r="461" ht="15.75" customHeight="1">
      <c r="A461" s="372"/>
      <c r="B461" s="372"/>
      <c r="C461" s="372"/>
      <c r="D461" s="372"/>
      <c r="E461" s="372"/>
      <c r="F461" s="372"/>
      <c r="G461" s="372"/>
    </row>
    <row r="462" ht="15.75" customHeight="1">
      <c r="A462" s="372"/>
      <c r="B462" s="372"/>
      <c r="C462" s="372"/>
      <c r="D462" s="372"/>
      <c r="E462" s="372"/>
      <c r="F462" s="372"/>
      <c r="G462" s="372"/>
    </row>
    <row r="463" ht="15.75" customHeight="1">
      <c r="A463" s="372"/>
      <c r="B463" s="372"/>
      <c r="C463" s="372"/>
      <c r="D463" s="372"/>
      <c r="E463" s="372"/>
      <c r="F463" s="372"/>
      <c r="G463" s="372"/>
    </row>
    <row r="464" ht="15.75" customHeight="1">
      <c r="A464" s="372"/>
      <c r="B464" s="372"/>
      <c r="C464" s="372"/>
      <c r="D464" s="372"/>
      <c r="E464" s="372"/>
      <c r="F464" s="372"/>
      <c r="G464" s="372"/>
    </row>
    <row r="465" ht="15.75" customHeight="1">
      <c r="A465" s="372"/>
      <c r="B465" s="372"/>
      <c r="C465" s="372"/>
      <c r="D465" s="372"/>
      <c r="E465" s="372"/>
      <c r="F465" s="372"/>
      <c r="G465" s="372"/>
    </row>
    <row r="466" ht="15.75" customHeight="1">
      <c r="A466" s="372"/>
      <c r="B466" s="372"/>
      <c r="C466" s="372"/>
      <c r="D466" s="372"/>
      <c r="E466" s="372"/>
      <c r="F466" s="372"/>
      <c r="G466" s="372"/>
    </row>
    <row r="467" ht="15.75" customHeight="1">
      <c r="A467" s="372"/>
      <c r="B467" s="372"/>
      <c r="C467" s="372"/>
      <c r="D467" s="372"/>
      <c r="E467" s="372"/>
      <c r="F467" s="372"/>
      <c r="G467" s="372"/>
    </row>
    <row r="468" ht="15.75" customHeight="1">
      <c r="A468" s="372"/>
      <c r="B468" s="372"/>
      <c r="C468" s="372"/>
      <c r="D468" s="372"/>
      <c r="E468" s="372"/>
      <c r="F468" s="372"/>
      <c r="G468" s="372"/>
    </row>
    <row r="469" ht="15.75" customHeight="1">
      <c r="A469" s="372"/>
      <c r="B469" s="372"/>
      <c r="C469" s="372"/>
      <c r="D469" s="372"/>
      <c r="E469" s="372"/>
      <c r="F469" s="372"/>
      <c r="G469" s="372"/>
    </row>
    <row r="470" ht="15.75" customHeight="1">
      <c r="A470" s="372"/>
      <c r="B470" s="372"/>
      <c r="C470" s="372"/>
      <c r="D470" s="372"/>
      <c r="E470" s="372"/>
      <c r="F470" s="372"/>
      <c r="G470" s="372"/>
    </row>
    <row r="471" ht="15.75" customHeight="1">
      <c r="A471" s="372"/>
      <c r="B471" s="372"/>
      <c r="C471" s="372"/>
      <c r="D471" s="372"/>
      <c r="E471" s="372"/>
      <c r="F471" s="372"/>
      <c r="G471" s="372"/>
    </row>
    <row r="472" ht="15.75" customHeight="1">
      <c r="A472" s="372"/>
      <c r="B472" s="372"/>
      <c r="C472" s="372"/>
      <c r="D472" s="372"/>
      <c r="E472" s="372"/>
      <c r="F472" s="372"/>
      <c r="G472" s="372"/>
    </row>
    <row r="473" ht="15.75" customHeight="1">
      <c r="A473" s="372"/>
      <c r="B473" s="372"/>
      <c r="C473" s="372"/>
      <c r="D473" s="372"/>
      <c r="E473" s="372"/>
      <c r="F473" s="372"/>
      <c r="G473" s="372"/>
    </row>
    <row r="474" ht="15.75" customHeight="1">
      <c r="A474" s="372"/>
      <c r="B474" s="372"/>
      <c r="C474" s="372"/>
      <c r="D474" s="372"/>
      <c r="E474" s="372"/>
      <c r="F474" s="372"/>
      <c r="G474" s="372"/>
    </row>
    <row r="475" ht="15.75" customHeight="1">
      <c r="A475" s="372"/>
      <c r="B475" s="372"/>
      <c r="C475" s="372"/>
      <c r="D475" s="372"/>
      <c r="E475" s="372"/>
      <c r="F475" s="372"/>
      <c r="G475" s="372"/>
    </row>
    <row r="476" ht="15.75" customHeight="1">
      <c r="A476" s="372"/>
      <c r="B476" s="372"/>
      <c r="C476" s="372"/>
      <c r="D476" s="372"/>
      <c r="E476" s="372"/>
      <c r="F476" s="372"/>
      <c r="G476" s="372"/>
    </row>
    <row r="477" ht="15.75" customHeight="1">
      <c r="A477" s="372"/>
      <c r="B477" s="372"/>
      <c r="C477" s="372"/>
      <c r="D477" s="372"/>
      <c r="E477" s="372"/>
      <c r="F477" s="372"/>
      <c r="G477" s="372"/>
    </row>
    <row r="478" ht="15.75" customHeight="1">
      <c r="A478" s="372"/>
      <c r="B478" s="372"/>
      <c r="C478" s="372"/>
      <c r="D478" s="372"/>
      <c r="E478" s="372"/>
      <c r="F478" s="372"/>
      <c r="G478" s="372"/>
    </row>
    <row r="479" ht="15.75" customHeight="1">
      <c r="A479" s="372"/>
      <c r="B479" s="372"/>
      <c r="C479" s="372"/>
      <c r="D479" s="372"/>
      <c r="E479" s="372"/>
      <c r="F479" s="372"/>
      <c r="G479" s="372"/>
    </row>
    <row r="480" ht="15.75" customHeight="1">
      <c r="A480" s="372"/>
      <c r="B480" s="372"/>
      <c r="C480" s="372"/>
      <c r="D480" s="372"/>
      <c r="E480" s="372"/>
      <c r="F480" s="372"/>
      <c r="G480" s="372"/>
    </row>
    <row r="481" ht="15.75" customHeight="1">
      <c r="A481" s="372"/>
      <c r="B481" s="372"/>
      <c r="C481" s="372"/>
      <c r="D481" s="372"/>
      <c r="E481" s="372"/>
      <c r="F481" s="372"/>
      <c r="G481" s="372"/>
    </row>
    <row r="482" ht="15.75" customHeight="1">
      <c r="A482" s="372"/>
      <c r="B482" s="372"/>
      <c r="C482" s="372"/>
      <c r="D482" s="372"/>
      <c r="E482" s="372"/>
      <c r="F482" s="372"/>
      <c r="G482" s="372"/>
    </row>
    <row r="483" ht="15.75" customHeight="1">
      <c r="A483" s="372"/>
      <c r="B483" s="372"/>
      <c r="C483" s="372"/>
      <c r="D483" s="372"/>
      <c r="E483" s="372"/>
      <c r="F483" s="372"/>
      <c r="G483" s="372"/>
    </row>
    <row r="484" ht="15.75" customHeight="1">
      <c r="A484" s="372"/>
      <c r="B484" s="372"/>
      <c r="C484" s="372"/>
      <c r="D484" s="372"/>
      <c r="E484" s="372"/>
      <c r="F484" s="372"/>
      <c r="G484" s="372"/>
    </row>
    <row r="485" ht="15.75" customHeight="1">
      <c r="A485" s="372"/>
      <c r="B485" s="372"/>
      <c r="C485" s="372"/>
      <c r="D485" s="372"/>
      <c r="E485" s="372"/>
      <c r="F485" s="372"/>
      <c r="G485" s="372"/>
    </row>
    <row r="486" ht="15.75" customHeight="1">
      <c r="A486" s="372"/>
      <c r="B486" s="372"/>
      <c r="C486" s="372"/>
      <c r="D486" s="372"/>
      <c r="E486" s="372"/>
      <c r="F486" s="372"/>
      <c r="G486" s="372"/>
    </row>
    <row r="487" ht="15.75" customHeight="1">
      <c r="A487" s="372"/>
      <c r="B487" s="372"/>
      <c r="C487" s="372"/>
      <c r="D487" s="372"/>
      <c r="E487" s="372"/>
      <c r="F487" s="372"/>
      <c r="G487" s="372"/>
    </row>
    <row r="488" ht="15.75" customHeight="1">
      <c r="A488" s="372"/>
      <c r="B488" s="372"/>
      <c r="C488" s="372"/>
      <c r="D488" s="372"/>
      <c r="E488" s="372"/>
      <c r="F488" s="372"/>
      <c r="G488" s="372"/>
    </row>
    <row r="489" ht="15.75" customHeight="1">
      <c r="A489" s="372"/>
      <c r="B489" s="372"/>
      <c r="C489" s="372"/>
      <c r="D489" s="372"/>
      <c r="E489" s="372"/>
      <c r="F489" s="372"/>
      <c r="G489" s="372"/>
    </row>
    <row r="490" ht="15.75" customHeight="1">
      <c r="A490" s="372"/>
      <c r="B490" s="372"/>
      <c r="C490" s="372"/>
      <c r="D490" s="372"/>
      <c r="E490" s="372"/>
      <c r="F490" s="372"/>
      <c r="G490" s="372"/>
    </row>
    <row r="491" ht="15.75" customHeight="1">
      <c r="A491" s="372"/>
      <c r="B491" s="372"/>
      <c r="C491" s="372"/>
      <c r="D491" s="372"/>
      <c r="E491" s="372"/>
      <c r="F491" s="372"/>
      <c r="G491" s="372"/>
    </row>
    <row r="492" ht="15.75" customHeight="1">
      <c r="A492" s="372"/>
      <c r="B492" s="372"/>
      <c r="C492" s="372"/>
      <c r="D492" s="372"/>
      <c r="E492" s="372"/>
      <c r="F492" s="372"/>
      <c r="G492" s="372"/>
    </row>
    <row r="493" ht="15.75" customHeight="1">
      <c r="A493" s="372"/>
      <c r="B493" s="372"/>
      <c r="C493" s="372"/>
      <c r="D493" s="372"/>
      <c r="E493" s="372"/>
      <c r="F493" s="372"/>
      <c r="G493" s="372"/>
    </row>
    <row r="494" ht="15.75" customHeight="1">
      <c r="A494" s="372"/>
      <c r="B494" s="372"/>
      <c r="C494" s="372"/>
      <c r="D494" s="372"/>
      <c r="E494" s="372"/>
      <c r="F494" s="372"/>
      <c r="G494" s="372"/>
    </row>
    <row r="495" ht="15.75" customHeight="1">
      <c r="A495" s="372"/>
      <c r="B495" s="372"/>
      <c r="C495" s="372"/>
      <c r="D495" s="372"/>
      <c r="E495" s="372"/>
      <c r="F495" s="372"/>
      <c r="G495" s="372"/>
    </row>
    <row r="496" ht="15.75" customHeight="1">
      <c r="A496" s="372"/>
      <c r="B496" s="372"/>
      <c r="C496" s="372"/>
      <c r="D496" s="372"/>
      <c r="E496" s="372"/>
      <c r="F496" s="372"/>
      <c r="G496" s="372"/>
    </row>
    <row r="497" ht="15.75" customHeight="1">
      <c r="A497" s="372"/>
      <c r="B497" s="372"/>
      <c r="C497" s="372"/>
      <c r="D497" s="372"/>
      <c r="E497" s="372"/>
      <c r="F497" s="372"/>
      <c r="G497" s="372"/>
    </row>
    <row r="498" ht="15.75" customHeight="1">
      <c r="A498" s="372"/>
      <c r="B498" s="372"/>
      <c r="C498" s="372"/>
      <c r="D498" s="372"/>
      <c r="E498" s="372"/>
      <c r="F498" s="372"/>
      <c r="G498" s="372"/>
    </row>
    <row r="499" ht="15.75" customHeight="1">
      <c r="A499" s="372"/>
      <c r="B499" s="372"/>
      <c r="C499" s="372"/>
      <c r="D499" s="372"/>
      <c r="E499" s="372"/>
      <c r="F499" s="372"/>
      <c r="G499" s="372"/>
    </row>
    <row r="500" ht="15.75" customHeight="1">
      <c r="A500" s="372"/>
      <c r="B500" s="372"/>
      <c r="C500" s="372"/>
      <c r="D500" s="372"/>
      <c r="E500" s="372"/>
      <c r="F500" s="372"/>
      <c r="G500" s="372"/>
    </row>
    <row r="501" ht="15.75" customHeight="1">
      <c r="A501" s="372"/>
      <c r="B501" s="372"/>
      <c r="C501" s="372"/>
      <c r="D501" s="372"/>
      <c r="E501" s="372"/>
      <c r="F501" s="372"/>
      <c r="G501" s="372"/>
    </row>
    <row r="502" ht="15.75" customHeight="1">
      <c r="A502" s="372"/>
      <c r="B502" s="372"/>
      <c r="C502" s="372"/>
      <c r="D502" s="372"/>
      <c r="E502" s="372"/>
      <c r="F502" s="372"/>
      <c r="G502" s="372"/>
    </row>
    <row r="503" ht="15.75" customHeight="1">
      <c r="A503" s="372"/>
      <c r="B503" s="372"/>
      <c r="C503" s="372"/>
      <c r="D503" s="372"/>
      <c r="E503" s="372"/>
      <c r="F503" s="372"/>
      <c r="G503" s="372"/>
    </row>
    <row r="504" ht="15.75" customHeight="1">
      <c r="A504" s="372"/>
      <c r="B504" s="372"/>
      <c r="C504" s="372"/>
      <c r="D504" s="372"/>
      <c r="E504" s="372"/>
      <c r="F504" s="372"/>
      <c r="G504" s="372"/>
    </row>
    <row r="505" ht="15.75" customHeight="1">
      <c r="A505" s="372"/>
      <c r="B505" s="372"/>
      <c r="C505" s="372"/>
      <c r="D505" s="372"/>
      <c r="E505" s="372"/>
      <c r="F505" s="372"/>
      <c r="G505" s="372"/>
    </row>
    <row r="506" ht="15.75" customHeight="1">
      <c r="A506" s="372"/>
      <c r="B506" s="372"/>
      <c r="C506" s="372"/>
      <c r="D506" s="372"/>
      <c r="E506" s="372"/>
      <c r="F506" s="372"/>
      <c r="G506" s="372"/>
    </row>
    <row r="507" ht="15.75" customHeight="1">
      <c r="A507" s="372"/>
      <c r="B507" s="372"/>
      <c r="C507" s="372"/>
      <c r="D507" s="372"/>
      <c r="E507" s="372"/>
      <c r="F507" s="372"/>
      <c r="G507" s="372"/>
    </row>
    <row r="508" ht="15.75" customHeight="1">
      <c r="A508" s="372"/>
      <c r="B508" s="372"/>
      <c r="C508" s="372"/>
      <c r="D508" s="372"/>
      <c r="E508" s="372"/>
      <c r="F508" s="372"/>
      <c r="G508" s="372"/>
    </row>
    <row r="509" ht="15.75" customHeight="1">
      <c r="A509" s="372"/>
      <c r="B509" s="372"/>
      <c r="C509" s="372"/>
      <c r="D509" s="372"/>
      <c r="E509" s="372"/>
      <c r="F509" s="372"/>
      <c r="G509" s="372"/>
    </row>
    <row r="510" ht="15.75" customHeight="1">
      <c r="A510" s="372"/>
      <c r="B510" s="372"/>
      <c r="C510" s="372"/>
      <c r="D510" s="372"/>
      <c r="E510" s="372"/>
      <c r="F510" s="372"/>
      <c r="G510" s="372"/>
    </row>
    <row r="511" ht="15.75" customHeight="1">
      <c r="A511" s="372"/>
      <c r="B511" s="372"/>
      <c r="C511" s="372"/>
      <c r="D511" s="372"/>
      <c r="E511" s="372"/>
      <c r="F511" s="372"/>
      <c r="G511" s="372"/>
    </row>
    <row r="512" ht="15.75" customHeight="1">
      <c r="A512" s="372"/>
      <c r="B512" s="372"/>
      <c r="C512" s="372"/>
      <c r="D512" s="372"/>
      <c r="E512" s="372"/>
      <c r="F512" s="372"/>
      <c r="G512" s="372"/>
    </row>
    <row r="513" ht="15.75" customHeight="1">
      <c r="A513" s="372"/>
      <c r="B513" s="372"/>
      <c r="C513" s="372"/>
      <c r="D513" s="372"/>
      <c r="E513" s="372"/>
      <c r="F513" s="372"/>
      <c r="G513" s="372"/>
    </row>
    <row r="514" ht="15.75" customHeight="1">
      <c r="A514" s="372"/>
      <c r="B514" s="372"/>
      <c r="C514" s="372"/>
      <c r="D514" s="372"/>
      <c r="E514" s="372"/>
      <c r="F514" s="372"/>
      <c r="G514" s="372"/>
    </row>
    <row r="515" ht="15.75" customHeight="1">
      <c r="A515" s="372"/>
      <c r="B515" s="372"/>
      <c r="C515" s="372"/>
      <c r="D515" s="372"/>
      <c r="E515" s="372"/>
      <c r="F515" s="372"/>
      <c r="G515" s="372"/>
    </row>
    <row r="516" ht="15.75" customHeight="1">
      <c r="A516" s="372"/>
      <c r="B516" s="372"/>
      <c r="C516" s="372"/>
      <c r="D516" s="372"/>
      <c r="E516" s="372"/>
      <c r="F516" s="372"/>
      <c r="G516" s="372"/>
    </row>
    <row r="517" ht="15.75" customHeight="1">
      <c r="A517" s="372"/>
      <c r="B517" s="372"/>
      <c r="C517" s="372"/>
      <c r="D517" s="372"/>
      <c r="E517" s="372"/>
      <c r="F517" s="372"/>
      <c r="G517" s="372"/>
    </row>
    <row r="518" ht="15.75" customHeight="1">
      <c r="A518" s="372"/>
      <c r="B518" s="372"/>
      <c r="C518" s="372"/>
      <c r="D518" s="372"/>
      <c r="E518" s="372"/>
      <c r="F518" s="372"/>
      <c r="G518" s="372"/>
    </row>
    <row r="519" ht="15.75" customHeight="1">
      <c r="A519" s="372"/>
      <c r="B519" s="372"/>
      <c r="C519" s="372"/>
      <c r="D519" s="372"/>
      <c r="E519" s="372"/>
      <c r="F519" s="372"/>
      <c r="G519" s="372"/>
    </row>
    <row r="520" ht="15.75" customHeight="1">
      <c r="A520" s="372"/>
      <c r="B520" s="372"/>
      <c r="C520" s="372"/>
      <c r="D520" s="372"/>
      <c r="E520" s="372"/>
      <c r="F520" s="372"/>
      <c r="G520" s="372"/>
    </row>
    <row r="521" ht="15.75" customHeight="1">
      <c r="A521" s="372"/>
      <c r="B521" s="372"/>
      <c r="C521" s="372"/>
      <c r="D521" s="372"/>
      <c r="E521" s="372"/>
      <c r="F521" s="372"/>
      <c r="G521" s="372"/>
    </row>
    <row r="522" ht="15.75" customHeight="1">
      <c r="A522" s="372"/>
      <c r="B522" s="372"/>
      <c r="C522" s="372"/>
      <c r="D522" s="372"/>
      <c r="E522" s="372"/>
      <c r="F522" s="372"/>
      <c r="G522" s="372"/>
    </row>
    <row r="523" ht="15.75" customHeight="1">
      <c r="A523" s="372"/>
      <c r="B523" s="372"/>
      <c r="C523" s="372"/>
      <c r="D523" s="372"/>
      <c r="E523" s="372"/>
      <c r="F523" s="372"/>
      <c r="G523" s="372"/>
    </row>
    <row r="524" ht="15.75" customHeight="1">
      <c r="A524" s="372"/>
      <c r="B524" s="372"/>
      <c r="C524" s="372"/>
      <c r="D524" s="372"/>
      <c r="E524" s="372"/>
      <c r="F524" s="372"/>
      <c r="G524" s="372"/>
    </row>
    <row r="525" ht="15.75" customHeight="1">
      <c r="A525" s="372"/>
      <c r="B525" s="372"/>
      <c r="C525" s="372"/>
      <c r="D525" s="372"/>
      <c r="E525" s="372"/>
      <c r="F525" s="372"/>
      <c r="G525" s="372"/>
    </row>
    <row r="526" ht="15.75" customHeight="1">
      <c r="A526" s="372"/>
      <c r="B526" s="372"/>
      <c r="C526" s="372"/>
      <c r="D526" s="372"/>
      <c r="E526" s="372"/>
      <c r="F526" s="372"/>
      <c r="G526" s="372"/>
    </row>
    <row r="527" ht="15.75" customHeight="1">
      <c r="A527" s="372"/>
      <c r="B527" s="372"/>
      <c r="C527" s="372"/>
      <c r="D527" s="372"/>
      <c r="E527" s="372"/>
      <c r="F527" s="372"/>
      <c r="G527" s="372"/>
    </row>
    <row r="528" ht="15.75" customHeight="1">
      <c r="A528" s="372"/>
      <c r="B528" s="372"/>
      <c r="C528" s="372"/>
      <c r="D528" s="372"/>
      <c r="E528" s="372"/>
      <c r="F528" s="372"/>
      <c r="G528" s="372"/>
    </row>
    <row r="529" ht="15.75" customHeight="1">
      <c r="A529" s="372"/>
      <c r="B529" s="372"/>
      <c r="C529" s="372"/>
      <c r="D529" s="372"/>
      <c r="E529" s="372"/>
      <c r="F529" s="372"/>
      <c r="G529" s="372"/>
    </row>
    <row r="530" ht="15.75" customHeight="1">
      <c r="A530" s="372"/>
      <c r="B530" s="372"/>
      <c r="C530" s="372"/>
      <c r="D530" s="372"/>
      <c r="E530" s="372"/>
      <c r="F530" s="372"/>
      <c r="G530" s="372"/>
    </row>
    <row r="531" ht="15.75" customHeight="1">
      <c r="A531" s="372"/>
      <c r="B531" s="372"/>
      <c r="C531" s="372"/>
      <c r="D531" s="372"/>
      <c r="E531" s="372"/>
      <c r="F531" s="372"/>
      <c r="G531" s="372"/>
    </row>
    <row r="532" ht="15.75" customHeight="1">
      <c r="A532" s="372"/>
      <c r="B532" s="372"/>
      <c r="C532" s="372"/>
      <c r="D532" s="372"/>
      <c r="E532" s="372"/>
      <c r="F532" s="372"/>
      <c r="G532" s="372"/>
    </row>
    <row r="533" ht="15.75" customHeight="1">
      <c r="A533" s="372"/>
      <c r="B533" s="372"/>
      <c r="C533" s="372"/>
      <c r="D533" s="372"/>
      <c r="E533" s="372"/>
      <c r="F533" s="372"/>
      <c r="G533" s="372"/>
    </row>
    <row r="534" ht="15.75" customHeight="1">
      <c r="A534" s="372"/>
      <c r="B534" s="372"/>
      <c r="C534" s="372"/>
      <c r="D534" s="372"/>
      <c r="E534" s="372"/>
      <c r="F534" s="372"/>
      <c r="G534" s="372"/>
    </row>
    <row r="535" ht="15.75" customHeight="1">
      <c r="A535" s="372"/>
      <c r="B535" s="372"/>
      <c r="C535" s="372"/>
      <c r="D535" s="372"/>
      <c r="E535" s="372"/>
      <c r="F535" s="372"/>
      <c r="G535" s="372"/>
    </row>
    <row r="536" ht="15.75" customHeight="1">
      <c r="A536" s="372"/>
      <c r="B536" s="372"/>
      <c r="C536" s="372"/>
      <c r="D536" s="372"/>
      <c r="E536" s="372"/>
      <c r="F536" s="372"/>
      <c r="G536" s="372"/>
    </row>
    <row r="537" ht="15.75" customHeight="1">
      <c r="A537" s="372"/>
      <c r="B537" s="372"/>
      <c r="C537" s="372"/>
      <c r="D537" s="372"/>
      <c r="E537" s="372"/>
      <c r="F537" s="372"/>
      <c r="G537" s="372"/>
    </row>
    <row r="538" ht="15.75" customHeight="1">
      <c r="A538" s="372"/>
      <c r="B538" s="372"/>
      <c r="C538" s="372"/>
      <c r="D538" s="372"/>
      <c r="E538" s="372"/>
      <c r="F538" s="372"/>
      <c r="G538" s="372"/>
    </row>
    <row r="539" ht="15.75" customHeight="1">
      <c r="A539" s="372"/>
      <c r="B539" s="372"/>
      <c r="C539" s="372"/>
      <c r="D539" s="372"/>
      <c r="E539" s="372"/>
      <c r="F539" s="372"/>
      <c r="G539" s="372"/>
    </row>
    <row r="540" ht="15.75" customHeight="1">
      <c r="A540" s="372"/>
      <c r="B540" s="372"/>
      <c r="C540" s="372"/>
      <c r="D540" s="372"/>
      <c r="E540" s="372"/>
      <c r="F540" s="372"/>
      <c r="G540" s="372"/>
    </row>
    <row r="541" ht="15.75" customHeight="1">
      <c r="A541" s="372"/>
      <c r="B541" s="372"/>
      <c r="C541" s="372"/>
      <c r="D541" s="372"/>
      <c r="E541" s="372"/>
      <c r="F541" s="372"/>
      <c r="G541" s="372"/>
    </row>
    <row r="542" ht="15.75" customHeight="1">
      <c r="A542" s="372"/>
      <c r="B542" s="372"/>
      <c r="C542" s="372"/>
      <c r="D542" s="372"/>
      <c r="E542" s="372"/>
      <c r="F542" s="372"/>
      <c r="G542" s="372"/>
    </row>
    <row r="543" ht="15.75" customHeight="1">
      <c r="A543" s="372"/>
      <c r="B543" s="372"/>
      <c r="C543" s="372"/>
      <c r="D543" s="372"/>
      <c r="E543" s="372"/>
      <c r="F543" s="372"/>
      <c r="G543" s="372"/>
    </row>
    <row r="544" ht="15.75" customHeight="1">
      <c r="A544" s="372"/>
      <c r="B544" s="372"/>
      <c r="C544" s="372"/>
      <c r="D544" s="372"/>
      <c r="E544" s="372"/>
      <c r="F544" s="372"/>
      <c r="G544" s="372"/>
    </row>
    <row r="545" ht="15.75" customHeight="1">
      <c r="A545" s="372"/>
      <c r="B545" s="372"/>
      <c r="C545" s="372"/>
      <c r="D545" s="372"/>
      <c r="E545" s="372"/>
      <c r="F545" s="372"/>
      <c r="G545" s="372"/>
    </row>
    <row r="546" ht="15.75" customHeight="1">
      <c r="A546" s="372"/>
      <c r="B546" s="372"/>
      <c r="C546" s="372"/>
      <c r="D546" s="372"/>
      <c r="E546" s="372"/>
      <c r="F546" s="372"/>
      <c r="G546" s="372"/>
    </row>
    <row r="547" ht="15.75" customHeight="1">
      <c r="A547" s="372"/>
      <c r="B547" s="372"/>
      <c r="C547" s="372"/>
      <c r="D547" s="372"/>
      <c r="E547" s="372"/>
      <c r="F547" s="372"/>
      <c r="G547" s="372"/>
    </row>
    <row r="548" ht="15.75" customHeight="1">
      <c r="A548" s="372"/>
      <c r="B548" s="372"/>
      <c r="C548" s="372"/>
      <c r="D548" s="372"/>
      <c r="E548" s="372"/>
      <c r="F548" s="372"/>
      <c r="G548" s="372"/>
    </row>
    <row r="549" ht="15.75" customHeight="1">
      <c r="A549" s="372"/>
      <c r="B549" s="372"/>
      <c r="C549" s="372"/>
      <c r="D549" s="372"/>
      <c r="E549" s="372"/>
      <c r="F549" s="372"/>
      <c r="G549" s="372"/>
    </row>
    <row r="550" ht="15.75" customHeight="1">
      <c r="A550" s="372"/>
      <c r="B550" s="372"/>
      <c r="C550" s="372"/>
      <c r="D550" s="372"/>
      <c r="E550" s="372"/>
      <c r="F550" s="372"/>
      <c r="G550" s="372"/>
    </row>
    <row r="551" ht="15.75" customHeight="1">
      <c r="A551" s="372"/>
      <c r="B551" s="372"/>
      <c r="C551" s="372"/>
      <c r="D551" s="372"/>
      <c r="E551" s="372"/>
      <c r="F551" s="372"/>
      <c r="G551" s="372"/>
    </row>
    <row r="552" ht="15.75" customHeight="1">
      <c r="A552" s="372"/>
      <c r="B552" s="372"/>
      <c r="C552" s="372"/>
      <c r="D552" s="372"/>
      <c r="E552" s="372"/>
      <c r="F552" s="372"/>
      <c r="G552" s="372"/>
    </row>
    <row r="553" ht="15.75" customHeight="1">
      <c r="A553" s="372"/>
      <c r="B553" s="372"/>
      <c r="C553" s="372"/>
      <c r="D553" s="372"/>
      <c r="E553" s="372"/>
      <c r="F553" s="372"/>
      <c r="G553" s="372"/>
    </row>
    <row r="554" ht="15.75" customHeight="1">
      <c r="A554" s="372"/>
      <c r="B554" s="372"/>
      <c r="C554" s="372"/>
      <c r="D554" s="372"/>
      <c r="E554" s="372"/>
      <c r="F554" s="372"/>
      <c r="G554" s="372"/>
    </row>
    <row r="555" ht="15.75" customHeight="1">
      <c r="A555" s="372"/>
      <c r="B555" s="372"/>
      <c r="C555" s="372"/>
      <c r="D555" s="372"/>
      <c r="E555" s="372"/>
      <c r="F555" s="372"/>
      <c r="G555" s="372"/>
    </row>
    <row r="556" ht="15.75" customHeight="1">
      <c r="A556" s="372"/>
      <c r="B556" s="372"/>
      <c r="C556" s="372"/>
      <c r="D556" s="372"/>
      <c r="E556" s="372"/>
      <c r="F556" s="372"/>
      <c r="G556" s="372"/>
    </row>
    <row r="557" ht="15.75" customHeight="1">
      <c r="A557" s="372"/>
      <c r="B557" s="372"/>
      <c r="C557" s="372"/>
      <c r="D557" s="372"/>
      <c r="E557" s="372"/>
      <c r="F557" s="372"/>
      <c r="G557" s="372"/>
    </row>
    <row r="558" ht="15.75" customHeight="1">
      <c r="A558" s="372"/>
      <c r="B558" s="372"/>
      <c r="C558" s="372"/>
      <c r="D558" s="372"/>
      <c r="E558" s="372"/>
      <c r="F558" s="372"/>
      <c r="G558" s="372"/>
    </row>
    <row r="559" ht="15.75" customHeight="1">
      <c r="A559" s="372"/>
      <c r="B559" s="372"/>
      <c r="C559" s="372"/>
      <c r="D559" s="372"/>
      <c r="E559" s="372"/>
      <c r="F559" s="372"/>
      <c r="G559" s="372"/>
    </row>
    <row r="560" ht="15.75" customHeight="1">
      <c r="A560" s="372"/>
      <c r="B560" s="372"/>
      <c r="C560" s="372"/>
      <c r="D560" s="372"/>
      <c r="E560" s="372"/>
      <c r="F560" s="372"/>
      <c r="G560" s="372"/>
    </row>
    <row r="561" ht="15.75" customHeight="1">
      <c r="A561" s="372"/>
      <c r="B561" s="372"/>
      <c r="C561" s="372"/>
      <c r="D561" s="372"/>
      <c r="E561" s="372"/>
      <c r="F561" s="372"/>
      <c r="G561" s="372"/>
    </row>
    <row r="562" ht="15.75" customHeight="1">
      <c r="A562" s="372"/>
      <c r="B562" s="372"/>
      <c r="C562" s="372"/>
      <c r="D562" s="372"/>
      <c r="E562" s="372"/>
      <c r="F562" s="372"/>
      <c r="G562" s="372"/>
    </row>
    <row r="563" ht="15.75" customHeight="1">
      <c r="A563" s="372"/>
      <c r="B563" s="372"/>
      <c r="C563" s="372"/>
      <c r="D563" s="372"/>
      <c r="E563" s="372"/>
      <c r="F563" s="372"/>
      <c r="G563" s="372"/>
    </row>
    <row r="564" ht="15.75" customHeight="1">
      <c r="A564" s="372"/>
      <c r="B564" s="372"/>
      <c r="C564" s="372"/>
      <c r="D564" s="372"/>
      <c r="E564" s="372"/>
      <c r="F564" s="372"/>
      <c r="G564" s="372"/>
    </row>
    <row r="565" ht="15.75" customHeight="1">
      <c r="A565" s="372"/>
      <c r="B565" s="372"/>
      <c r="C565" s="372"/>
      <c r="D565" s="372"/>
      <c r="E565" s="372"/>
      <c r="F565" s="372"/>
      <c r="G565" s="372"/>
    </row>
    <row r="566" ht="15.75" customHeight="1">
      <c r="A566" s="372"/>
      <c r="B566" s="372"/>
      <c r="C566" s="372"/>
      <c r="D566" s="372"/>
      <c r="E566" s="372"/>
      <c r="F566" s="372"/>
      <c r="G566" s="372"/>
    </row>
    <row r="567" ht="15.75" customHeight="1">
      <c r="A567" s="372"/>
      <c r="B567" s="372"/>
      <c r="C567" s="372"/>
      <c r="D567" s="372"/>
      <c r="E567" s="372"/>
      <c r="F567" s="372"/>
      <c r="G567" s="372"/>
    </row>
    <row r="568" ht="15.75" customHeight="1">
      <c r="A568" s="372"/>
      <c r="B568" s="372"/>
      <c r="C568" s="372"/>
      <c r="D568" s="372"/>
      <c r="E568" s="372"/>
      <c r="F568" s="372"/>
      <c r="G568" s="372"/>
    </row>
    <row r="569" ht="15.75" customHeight="1">
      <c r="A569" s="372"/>
      <c r="B569" s="372"/>
      <c r="C569" s="372"/>
      <c r="D569" s="372"/>
      <c r="E569" s="372"/>
      <c r="F569" s="372"/>
      <c r="G569" s="372"/>
    </row>
    <row r="570" ht="15.75" customHeight="1">
      <c r="A570" s="372"/>
      <c r="B570" s="372"/>
      <c r="C570" s="372"/>
      <c r="D570" s="372"/>
      <c r="E570" s="372"/>
      <c r="F570" s="372"/>
      <c r="G570" s="372"/>
    </row>
    <row r="571" ht="15.75" customHeight="1">
      <c r="A571" s="372"/>
      <c r="B571" s="372"/>
      <c r="C571" s="372"/>
      <c r="D571" s="372"/>
      <c r="E571" s="372"/>
      <c r="F571" s="372"/>
      <c r="G571" s="372"/>
    </row>
    <row r="572" ht="15.75" customHeight="1">
      <c r="A572" s="372"/>
      <c r="B572" s="372"/>
      <c r="C572" s="372"/>
      <c r="D572" s="372"/>
      <c r="E572" s="372"/>
      <c r="F572" s="372"/>
      <c r="G572" s="372"/>
    </row>
    <row r="573" ht="15.75" customHeight="1">
      <c r="A573" s="372"/>
      <c r="B573" s="372"/>
      <c r="C573" s="372"/>
      <c r="D573" s="372"/>
      <c r="E573" s="372"/>
      <c r="F573" s="372"/>
      <c r="G573" s="372"/>
    </row>
    <row r="574" ht="15.75" customHeight="1">
      <c r="A574" s="372"/>
      <c r="B574" s="372"/>
      <c r="C574" s="372"/>
      <c r="D574" s="372"/>
      <c r="E574" s="372"/>
      <c r="F574" s="372"/>
      <c r="G574" s="372"/>
    </row>
    <row r="575" ht="15.75" customHeight="1">
      <c r="A575" s="372"/>
      <c r="B575" s="372"/>
      <c r="C575" s="372"/>
      <c r="D575" s="372"/>
      <c r="E575" s="372"/>
      <c r="F575" s="372"/>
      <c r="G575" s="372"/>
    </row>
    <row r="576" ht="15.75" customHeight="1">
      <c r="A576" s="372"/>
      <c r="B576" s="372"/>
      <c r="C576" s="372"/>
      <c r="D576" s="372"/>
      <c r="E576" s="372"/>
      <c r="F576" s="372"/>
      <c r="G576" s="372"/>
    </row>
    <row r="577" ht="15.75" customHeight="1">
      <c r="A577" s="372"/>
      <c r="B577" s="372"/>
      <c r="C577" s="372"/>
      <c r="D577" s="372"/>
      <c r="E577" s="372"/>
      <c r="F577" s="372"/>
      <c r="G577" s="372"/>
    </row>
    <row r="578" ht="15.75" customHeight="1">
      <c r="A578" s="372"/>
      <c r="B578" s="372"/>
      <c r="C578" s="372"/>
      <c r="D578" s="372"/>
      <c r="E578" s="372"/>
      <c r="F578" s="372"/>
      <c r="G578" s="372"/>
    </row>
    <row r="579" ht="15.75" customHeight="1">
      <c r="A579" s="372"/>
      <c r="B579" s="372"/>
      <c r="C579" s="372"/>
      <c r="D579" s="372"/>
      <c r="E579" s="372"/>
      <c r="F579" s="372"/>
      <c r="G579" s="372"/>
    </row>
    <row r="580" ht="15.75" customHeight="1">
      <c r="A580" s="372"/>
      <c r="B580" s="372"/>
      <c r="C580" s="372"/>
      <c r="D580" s="372"/>
      <c r="E580" s="372"/>
      <c r="F580" s="372"/>
      <c r="G580" s="372"/>
    </row>
    <row r="581" ht="15.75" customHeight="1">
      <c r="A581" s="372"/>
      <c r="B581" s="372"/>
      <c r="C581" s="372"/>
      <c r="D581" s="372"/>
      <c r="E581" s="372"/>
      <c r="F581" s="372"/>
      <c r="G581" s="372"/>
    </row>
    <row r="582" ht="15.75" customHeight="1">
      <c r="A582" s="372"/>
      <c r="B582" s="372"/>
      <c r="C582" s="372"/>
      <c r="D582" s="372"/>
      <c r="E582" s="372"/>
      <c r="F582" s="372"/>
      <c r="G582" s="372"/>
    </row>
    <row r="583" ht="15.75" customHeight="1">
      <c r="A583" s="372"/>
      <c r="B583" s="372"/>
      <c r="C583" s="372"/>
      <c r="D583" s="372"/>
      <c r="E583" s="372"/>
      <c r="F583" s="372"/>
      <c r="G583" s="372"/>
    </row>
    <row r="584" ht="15.75" customHeight="1">
      <c r="A584" s="372"/>
      <c r="B584" s="372"/>
      <c r="C584" s="372"/>
      <c r="D584" s="372"/>
      <c r="E584" s="372"/>
      <c r="F584" s="372"/>
      <c r="G584" s="372"/>
    </row>
    <row r="585" ht="15.75" customHeight="1">
      <c r="A585" s="372"/>
      <c r="B585" s="372"/>
      <c r="C585" s="372"/>
      <c r="D585" s="372"/>
      <c r="E585" s="372"/>
      <c r="F585" s="372"/>
      <c r="G585" s="372"/>
    </row>
    <row r="586" ht="15.75" customHeight="1">
      <c r="A586" s="372"/>
      <c r="B586" s="372"/>
      <c r="C586" s="372"/>
      <c r="D586" s="372"/>
      <c r="E586" s="372"/>
      <c r="F586" s="372"/>
      <c r="G586" s="372"/>
    </row>
    <row r="587" ht="15.75" customHeight="1">
      <c r="A587" s="372"/>
      <c r="B587" s="372"/>
      <c r="C587" s="372"/>
      <c r="D587" s="372"/>
      <c r="E587" s="372"/>
      <c r="F587" s="372"/>
      <c r="G587" s="372"/>
    </row>
    <row r="588" ht="15.75" customHeight="1">
      <c r="A588" s="372"/>
      <c r="B588" s="372"/>
      <c r="C588" s="372"/>
      <c r="D588" s="372"/>
      <c r="E588" s="372"/>
      <c r="F588" s="372"/>
      <c r="G588" s="372"/>
    </row>
    <row r="589" ht="15.75" customHeight="1">
      <c r="A589" s="372"/>
      <c r="B589" s="372"/>
      <c r="C589" s="372"/>
      <c r="D589" s="372"/>
      <c r="E589" s="372"/>
      <c r="F589" s="372"/>
      <c r="G589" s="372"/>
    </row>
    <row r="590" ht="15.75" customHeight="1">
      <c r="A590" s="372"/>
      <c r="B590" s="372"/>
      <c r="C590" s="372"/>
      <c r="D590" s="372"/>
      <c r="E590" s="372"/>
      <c r="F590" s="372"/>
      <c r="G590" s="372"/>
    </row>
    <row r="591" ht="15.75" customHeight="1">
      <c r="A591" s="372"/>
      <c r="B591" s="372"/>
      <c r="C591" s="372"/>
      <c r="D591" s="372"/>
      <c r="E591" s="372"/>
      <c r="F591" s="372"/>
      <c r="G591" s="372"/>
    </row>
    <row r="592" ht="15.75" customHeight="1">
      <c r="A592" s="372"/>
      <c r="B592" s="372"/>
      <c r="C592" s="372"/>
      <c r="D592" s="372"/>
      <c r="E592" s="372"/>
      <c r="F592" s="372"/>
      <c r="G592" s="372"/>
    </row>
    <row r="593" ht="15.75" customHeight="1">
      <c r="A593" s="372"/>
      <c r="B593" s="372"/>
      <c r="C593" s="372"/>
      <c r="D593" s="372"/>
      <c r="E593" s="372"/>
      <c r="F593" s="372"/>
      <c r="G593" s="372"/>
    </row>
    <row r="594" ht="15.75" customHeight="1">
      <c r="A594" s="372"/>
      <c r="B594" s="372"/>
      <c r="C594" s="372"/>
      <c r="D594" s="372"/>
      <c r="E594" s="372"/>
      <c r="F594" s="372"/>
      <c r="G594" s="372"/>
    </row>
    <row r="595" ht="15.75" customHeight="1">
      <c r="A595" s="372"/>
      <c r="B595" s="372"/>
      <c r="C595" s="372"/>
      <c r="D595" s="372"/>
      <c r="E595" s="372"/>
      <c r="F595" s="372"/>
      <c r="G595" s="372"/>
    </row>
    <row r="596" ht="15.75" customHeight="1">
      <c r="A596" s="372"/>
      <c r="B596" s="372"/>
      <c r="C596" s="372"/>
      <c r="D596" s="372"/>
      <c r="E596" s="372"/>
      <c r="F596" s="372"/>
      <c r="G596" s="372"/>
    </row>
    <row r="597" ht="15.75" customHeight="1">
      <c r="A597" s="372"/>
      <c r="B597" s="372"/>
      <c r="C597" s="372"/>
      <c r="D597" s="372"/>
      <c r="E597" s="372"/>
      <c r="F597" s="372"/>
      <c r="G597" s="372"/>
    </row>
    <row r="598" ht="15.75" customHeight="1">
      <c r="A598" s="372"/>
      <c r="B598" s="372"/>
      <c r="C598" s="372"/>
      <c r="D598" s="372"/>
      <c r="E598" s="372"/>
      <c r="F598" s="372"/>
      <c r="G598" s="372"/>
    </row>
    <row r="599" ht="15.75" customHeight="1">
      <c r="A599" s="372"/>
      <c r="B599" s="372"/>
      <c r="C599" s="372"/>
      <c r="D599" s="372"/>
      <c r="E599" s="372"/>
      <c r="F599" s="372"/>
      <c r="G599" s="372"/>
    </row>
    <row r="600" ht="15.75" customHeight="1">
      <c r="A600" s="372"/>
      <c r="B600" s="372"/>
      <c r="C600" s="372"/>
      <c r="D600" s="372"/>
      <c r="E600" s="372"/>
      <c r="F600" s="372"/>
      <c r="G600" s="372"/>
    </row>
    <row r="601" ht="15.75" customHeight="1">
      <c r="A601" s="372"/>
      <c r="B601" s="372"/>
      <c r="C601" s="372"/>
      <c r="D601" s="372"/>
      <c r="E601" s="372"/>
      <c r="F601" s="372"/>
      <c r="G601" s="372"/>
    </row>
    <row r="602" ht="15.75" customHeight="1">
      <c r="A602" s="372"/>
      <c r="B602" s="372"/>
      <c r="C602" s="372"/>
      <c r="D602" s="372"/>
      <c r="E602" s="372"/>
      <c r="F602" s="372"/>
      <c r="G602" s="372"/>
    </row>
    <row r="603" ht="15.75" customHeight="1">
      <c r="A603" s="372"/>
      <c r="B603" s="372"/>
      <c r="C603" s="372"/>
      <c r="D603" s="372"/>
      <c r="E603" s="372"/>
      <c r="F603" s="372"/>
      <c r="G603" s="372"/>
    </row>
    <row r="604" ht="15.75" customHeight="1">
      <c r="A604" s="372"/>
      <c r="B604" s="372"/>
      <c r="C604" s="372"/>
      <c r="D604" s="372"/>
      <c r="E604" s="372"/>
      <c r="F604" s="372"/>
      <c r="G604" s="372"/>
    </row>
    <row r="605" ht="15.75" customHeight="1">
      <c r="A605" s="372"/>
      <c r="B605" s="372"/>
      <c r="C605" s="372"/>
      <c r="D605" s="372"/>
      <c r="E605" s="372"/>
      <c r="F605" s="372"/>
      <c r="G605" s="372"/>
    </row>
    <row r="606" ht="15.75" customHeight="1">
      <c r="A606" s="372"/>
      <c r="B606" s="372"/>
      <c r="C606" s="372"/>
      <c r="D606" s="372"/>
      <c r="E606" s="372"/>
      <c r="F606" s="372"/>
      <c r="G606" s="372"/>
    </row>
    <row r="607" ht="15.75" customHeight="1">
      <c r="A607" s="372"/>
      <c r="B607" s="372"/>
      <c r="C607" s="372"/>
      <c r="D607" s="372"/>
      <c r="E607" s="372"/>
      <c r="F607" s="372"/>
      <c r="G607" s="372"/>
    </row>
    <row r="608" ht="15.75" customHeight="1">
      <c r="A608" s="372"/>
      <c r="B608" s="372"/>
      <c r="C608" s="372"/>
      <c r="D608" s="372"/>
      <c r="E608" s="372"/>
      <c r="F608" s="372"/>
      <c r="G608" s="372"/>
    </row>
    <row r="609" ht="15.75" customHeight="1">
      <c r="A609" s="372"/>
      <c r="B609" s="372"/>
      <c r="C609" s="372"/>
      <c r="D609" s="372"/>
      <c r="E609" s="372"/>
      <c r="F609" s="372"/>
      <c r="G609" s="372"/>
    </row>
    <row r="610" ht="15.75" customHeight="1">
      <c r="A610" s="372"/>
      <c r="B610" s="372"/>
      <c r="C610" s="372"/>
      <c r="D610" s="372"/>
      <c r="E610" s="372"/>
      <c r="F610" s="372"/>
      <c r="G610" s="372"/>
    </row>
    <row r="611" ht="15.75" customHeight="1">
      <c r="A611" s="372"/>
      <c r="B611" s="372"/>
      <c r="C611" s="372"/>
      <c r="D611" s="372"/>
      <c r="E611" s="372"/>
      <c r="F611" s="372"/>
      <c r="G611" s="372"/>
    </row>
    <row r="612" ht="15.75" customHeight="1">
      <c r="A612" s="372"/>
      <c r="B612" s="372"/>
      <c r="C612" s="372"/>
      <c r="D612" s="372"/>
      <c r="E612" s="372"/>
      <c r="F612" s="372"/>
      <c r="G612" s="372"/>
    </row>
    <row r="613" ht="15.75" customHeight="1">
      <c r="A613" s="372"/>
      <c r="B613" s="372"/>
      <c r="C613" s="372"/>
      <c r="D613" s="372"/>
      <c r="E613" s="372"/>
      <c r="F613" s="372"/>
      <c r="G613" s="372"/>
    </row>
    <row r="614" ht="15.75" customHeight="1">
      <c r="A614" s="372"/>
      <c r="B614" s="372"/>
      <c r="C614" s="372"/>
      <c r="D614" s="372"/>
      <c r="E614" s="372"/>
      <c r="F614" s="372"/>
      <c r="G614" s="372"/>
    </row>
    <row r="615" ht="15.75" customHeight="1">
      <c r="A615" s="372"/>
      <c r="B615" s="372"/>
      <c r="C615" s="372"/>
      <c r="D615" s="372"/>
      <c r="E615" s="372"/>
      <c r="F615" s="372"/>
      <c r="G615" s="372"/>
    </row>
    <row r="616" ht="15.75" customHeight="1">
      <c r="A616" s="372"/>
      <c r="B616" s="372"/>
      <c r="C616" s="372"/>
      <c r="D616" s="372"/>
      <c r="E616" s="372"/>
      <c r="F616" s="372"/>
      <c r="G616" s="372"/>
    </row>
    <row r="617" ht="15.75" customHeight="1">
      <c r="A617" s="372"/>
      <c r="B617" s="372"/>
      <c r="C617" s="372"/>
      <c r="D617" s="372"/>
      <c r="E617" s="372"/>
      <c r="F617" s="372"/>
      <c r="G617" s="372"/>
    </row>
    <row r="618" ht="15.75" customHeight="1">
      <c r="A618" s="372"/>
      <c r="B618" s="372"/>
      <c r="C618" s="372"/>
      <c r="D618" s="372"/>
      <c r="E618" s="372"/>
      <c r="F618" s="372"/>
      <c r="G618" s="372"/>
    </row>
    <row r="619" ht="15.75" customHeight="1">
      <c r="A619" s="372"/>
      <c r="B619" s="372"/>
      <c r="C619" s="372"/>
      <c r="D619" s="372"/>
      <c r="E619" s="372"/>
      <c r="F619" s="372"/>
      <c r="G619" s="372"/>
    </row>
    <row r="620" ht="15.75" customHeight="1">
      <c r="A620" s="372"/>
      <c r="B620" s="372"/>
      <c r="C620" s="372"/>
      <c r="D620" s="372"/>
      <c r="E620" s="372"/>
      <c r="F620" s="372"/>
      <c r="G620" s="372"/>
    </row>
    <row r="621" ht="15.75" customHeight="1">
      <c r="A621" s="372"/>
      <c r="B621" s="372"/>
      <c r="C621" s="372"/>
      <c r="D621" s="372"/>
      <c r="E621" s="372"/>
      <c r="F621" s="372"/>
      <c r="G621" s="372"/>
    </row>
    <row r="622" ht="15.75" customHeight="1">
      <c r="A622" s="372"/>
      <c r="B622" s="372"/>
      <c r="C622" s="372"/>
      <c r="D622" s="372"/>
      <c r="E622" s="372"/>
      <c r="F622" s="372"/>
      <c r="G622" s="372"/>
    </row>
    <row r="623" ht="15.75" customHeight="1">
      <c r="A623" s="372"/>
      <c r="B623" s="372"/>
      <c r="C623" s="372"/>
      <c r="D623" s="372"/>
      <c r="E623" s="372"/>
      <c r="F623" s="372"/>
      <c r="G623" s="372"/>
    </row>
    <row r="624" ht="15.75" customHeight="1">
      <c r="A624" s="372"/>
      <c r="B624" s="372"/>
      <c r="C624" s="372"/>
      <c r="D624" s="372"/>
      <c r="E624" s="372"/>
      <c r="F624" s="372"/>
      <c r="G624" s="372"/>
    </row>
    <row r="625" ht="15.75" customHeight="1">
      <c r="A625" s="372"/>
      <c r="B625" s="372"/>
      <c r="C625" s="372"/>
      <c r="D625" s="372"/>
      <c r="E625" s="372"/>
      <c r="F625" s="372"/>
      <c r="G625" s="372"/>
    </row>
    <row r="626" ht="15.75" customHeight="1">
      <c r="A626" s="372"/>
      <c r="B626" s="372"/>
      <c r="C626" s="372"/>
      <c r="D626" s="372"/>
      <c r="E626" s="372"/>
      <c r="F626" s="372"/>
      <c r="G626" s="372"/>
    </row>
    <row r="627" ht="15.75" customHeight="1">
      <c r="A627" s="372"/>
      <c r="B627" s="372"/>
      <c r="C627" s="372"/>
      <c r="D627" s="372"/>
      <c r="E627" s="372"/>
      <c r="F627" s="372"/>
      <c r="G627" s="372"/>
    </row>
    <row r="628" ht="15.75" customHeight="1">
      <c r="A628" s="372"/>
      <c r="B628" s="372"/>
      <c r="C628" s="372"/>
      <c r="D628" s="372"/>
      <c r="E628" s="372"/>
      <c r="F628" s="372"/>
      <c r="G628" s="372"/>
    </row>
    <row r="629" ht="15.75" customHeight="1">
      <c r="A629" s="372"/>
      <c r="B629" s="372"/>
      <c r="C629" s="372"/>
      <c r="D629" s="372"/>
      <c r="E629" s="372"/>
      <c r="F629" s="372"/>
      <c r="G629" s="372"/>
    </row>
    <row r="630" ht="15.75" customHeight="1">
      <c r="A630" s="372"/>
      <c r="B630" s="372"/>
      <c r="C630" s="372"/>
      <c r="D630" s="372"/>
      <c r="E630" s="372"/>
      <c r="F630" s="372"/>
      <c r="G630" s="372"/>
    </row>
    <row r="631" ht="15.75" customHeight="1">
      <c r="A631" s="372"/>
      <c r="B631" s="372"/>
      <c r="C631" s="372"/>
      <c r="D631" s="372"/>
      <c r="E631" s="372"/>
      <c r="F631" s="372"/>
      <c r="G631" s="372"/>
    </row>
    <row r="632" ht="15.75" customHeight="1">
      <c r="A632" s="372"/>
      <c r="B632" s="372"/>
      <c r="C632" s="372"/>
      <c r="D632" s="372"/>
      <c r="E632" s="372"/>
      <c r="F632" s="372"/>
      <c r="G632" s="372"/>
    </row>
    <row r="633" ht="15.75" customHeight="1">
      <c r="A633" s="372"/>
      <c r="B633" s="372"/>
      <c r="C633" s="372"/>
      <c r="D633" s="372"/>
      <c r="E633" s="372"/>
      <c r="F633" s="372"/>
      <c r="G633" s="372"/>
    </row>
    <row r="634" ht="15.75" customHeight="1">
      <c r="A634" s="372"/>
      <c r="B634" s="372"/>
      <c r="C634" s="372"/>
      <c r="D634" s="372"/>
      <c r="E634" s="372"/>
      <c r="F634" s="372"/>
      <c r="G634" s="372"/>
    </row>
    <row r="635" ht="15.75" customHeight="1">
      <c r="A635" s="372"/>
      <c r="B635" s="372"/>
      <c r="C635" s="372"/>
      <c r="D635" s="372"/>
      <c r="E635" s="372"/>
      <c r="F635" s="372"/>
      <c r="G635" s="372"/>
    </row>
    <row r="636" ht="15.75" customHeight="1">
      <c r="A636" s="372"/>
      <c r="B636" s="372"/>
      <c r="C636" s="372"/>
      <c r="D636" s="372"/>
      <c r="E636" s="372"/>
      <c r="F636" s="372"/>
      <c r="G636" s="372"/>
    </row>
    <row r="637" ht="15.75" customHeight="1">
      <c r="A637" s="372"/>
      <c r="B637" s="372"/>
      <c r="C637" s="372"/>
      <c r="D637" s="372"/>
      <c r="E637" s="372"/>
      <c r="F637" s="372"/>
      <c r="G637" s="372"/>
    </row>
    <row r="638" ht="15.75" customHeight="1">
      <c r="A638" s="372"/>
      <c r="B638" s="372"/>
      <c r="C638" s="372"/>
      <c r="D638" s="372"/>
      <c r="E638" s="372"/>
      <c r="F638" s="372"/>
      <c r="G638" s="372"/>
    </row>
    <row r="639" ht="15.75" customHeight="1">
      <c r="A639" s="372"/>
      <c r="B639" s="372"/>
      <c r="C639" s="372"/>
      <c r="D639" s="372"/>
      <c r="E639" s="372"/>
      <c r="F639" s="372"/>
      <c r="G639" s="372"/>
    </row>
    <row r="640" ht="15.75" customHeight="1">
      <c r="A640" s="372"/>
      <c r="B640" s="372"/>
      <c r="C640" s="372"/>
      <c r="D640" s="372"/>
      <c r="E640" s="372"/>
      <c r="F640" s="372"/>
      <c r="G640" s="372"/>
    </row>
    <row r="641" ht="15.75" customHeight="1">
      <c r="A641" s="372"/>
      <c r="B641" s="372"/>
      <c r="C641" s="372"/>
      <c r="D641" s="372"/>
      <c r="E641" s="372"/>
      <c r="F641" s="372"/>
      <c r="G641" s="372"/>
    </row>
    <row r="642" ht="15.75" customHeight="1">
      <c r="A642" s="372"/>
      <c r="B642" s="372"/>
      <c r="C642" s="372"/>
      <c r="D642" s="372"/>
      <c r="E642" s="372"/>
      <c r="F642" s="372"/>
      <c r="G642" s="372"/>
    </row>
    <row r="643" ht="15.75" customHeight="1">
      <c r="A643" s="372"/>
      <c r="B643" s="372"/>
      <c r="C643" s="372"/>
      <c r="D643" s="372"/>
      <c r="E643" s="372"/>
      <c r="F643" s="372"/>
      <c r="G643" s="372"/>
    </row>
    <row r="644" ht="15.75" customHeight="1">
      <c r="A644" s="372"/>
      <c r="B644" s="372"/>
      <c r="C644" s="372"/>
      <c r="D644" s="372"/>
      <c r="E644" s="372"/>
      <c r="F644" s="372"/>
      <c r="G644" s="372"/>
    </row>
    <row r="645" ht="15.75" customHeight="1">
      <c r="A645" s="372"/>
      <c r="B645" s="372"/>
      <c r="C645" s="372"/>
      <c r="D645" s="372"/>
      <c r="E645" s="372"/>
      <c r="F645" s="372"/>
      <c r="G645" s="372"/>
    </row>
    <row r="646" ht="15.75" customHeight="1">
      <c r="A646" s="372"/>
      <c r="B646" s="372"/>
      <c r="C646" s="372"/>
      <c r="D646" s="372"/>
      <c r="E646" s="372"/>
      <c r="F646" s="372"/>
      <c r="G646" s="372"/>
    </row>
    <row r="647" ht="15.75" customHeight="1">
      <c r="A647" s="372"/>
      <c r="B647" s="372"/>
      <c r="C647" s="372"/>
      <c r="D647" s="372"/>
      <c r="E647" s="372"/>
      <c r="F647" s="372"/>
      <c r="G647" s="372"/>
    </row>
    <row r="648" ht="15.75" customHeight="1">
      <c r="A648" s="372"/>
      <c r="B648" s="372"/>
      <c r="C648" s="372"/>
      <c r="D648" s="372"/>
      <c r="E648" s="372"/>
      <c r="F648" s="372"/>
      <c r="G648" s="372"/>
    </row>
    <row r="649" ht="15.75" customHeight="1">
      <c r="A649" s="372"/>
      <c r="B649" s="372"/>
      <c r="C649" s="372"/>
      <c r="D649" s="372"/>
      <c r="E649" s="372"/>
      <c r="F649" s="372"/>
      <c r="G649" s="372"/>
    </row>
    <row r="650" ht="15.75" customHeight="1">
      <c r="A650" s="372"/>
      <c r="B650" s="372"/>
      <c r="C650" s="372"/>
      <c r="D650" s="372"/>
      <c r="E650" s="372"/>
      <c r="F650" s="372"/>
      <c r="G650" s="372"/>
    </row>
    <row r="651" ht="15.75" customHeight="1">
      <c r="A651" s="372"/>
      <c r="B651" s="372"/>
      <c r="C651" s="372"/>
      <c r="D651" s="372"/>
      <c r="E651" s="372"/>
      <c r="F651" s="372"/>
      <c r="G651" s="372"/>
    </row>
    <row r="652" ht="15.75" customHeight="1">
      <c r="A652" s="372"/>
      <c r="B652" s="372"/>
      <c r="C652" s="372"/>
      <c r="D652" s="372"/>
      <c r="E652" s="372"/>
      <c r="F652" s="372"/>
      <c r="G652" s="372"/>
    </row>
    <row r="653" ht="15.75" customHeight="1">
      <c r="A653" s="372"/>
      <c r="B653" s="372"/>
      <c r="C653" s="372"/>
      <c r="D653" s="372"/>
      <c r="E653" s="372"/>
      <c r="F653" s="372"/>
      <c r="G653" s="372"/>
    </row>
    <row r="654" ht="15.75" customHeight="1">
      <c r="A654" s="372"/>
      <c r="B654" s="372"/>
      <c r="C654" s="372"/>
      <c r="D654" s="372"/>
      <c r="E654" s="372"/>
      <c r="F654" s="372"/>
      <c r="G654" s="372"/>
    </row>
    <row r="655" ht="15.75" customHeight="1">
      <c r="A655" s="372"/>
      <c r="B655" s="372"/>
      <c r="C655" s="372"/>
      <c r="D655" s="372"/>
      <c r="E655" s="372"/>
      <c r="F655" s="372"/>
      <c r="G655" s="372"/>
    </row>
    <row r="656" ht="15.75" customHeight="1">
      <c r="A656" s="372"/>
      <c r="B656" s="372"/>
      <c r="C656" s="372"/>
      <c r="D656" s="372"/>
      <c r="E656" s="372"/>
      <c r="F656" s="372"/>
      <c r="G656" s="372"/>
    </row>
    <row r="657" ht="15.75" customHeight="1">
      <c r="A657" s="372"/>
      <c r="B657" s="372"/>
      <c r="C657" s="372"/>
      <c r="D657" s="372"/>
      <c r="E657" s="372"/>
      <c r="F657" s="372"/>
      <c r="G657" s="372"/>
    </row>
    <row r="658" ht="15.75" customHeight="1">
      <c r="A658" s="372"/>
      <c r="B658" s="372"/>
      <c r="C658" s="372"/>
      <c r="D658" s="372"/>
      <c r="E658" s="372"/>
      <c r="F658" s="372"/>
      <c r="G658" s="372"/>
    </row>
    <row r="659" ht="15.75" customHeight="1">
      <c r="A659" s="372"/>
      <c r="B659" s="372"/>
      <c r="C659" s="372"/>
      <c r="D659" s="372"/>
      <c r="E659" s="372"/>
      <c r="F659" s="372"/>
      <c r="G659" s="372"/>
    </row>
    <row r="660" ht="15.75" customHeight="1">
      <c r="A660" s="372"/>
      <c r="B660" s="372"/>
      <c r="C660" s="372"/>
      <c r="D660" s="372"/>
      <c r="E660" s="372"/>
      <c r="F660" s="372"/>
      <c r="G660" s="372"/>
    </row>
    <row r="661" ht="15.75" customHeight="1">
      <c r="A661" s="372"/>
      <c r="B661" s="372"/>
      <c r="C661" s="372"/>
      <c r="D661" s="372"/>
      <c r="E661" s="372"/>
      <c r="F661" s="372"/>
      <c r="G661" s="372"/>
    </row>
    <row r="662" ht="15.75" customHeight="1">
      <c r="A662" s="372"/>
      <c r="B662" s="372"/>
      <c r="C662" s="372"/>
      <c r="D662" s="372"/>
      <c r="E662" s="372"/>
      <c r="F662" s="372"/>
      <c r="G662" s="372"/>
    </row>
    <row r="663" ht="15.75" customHeight="1">
      <c r="A663" s="372"/>
      <c r="B663" s="372"/>
      <c r="C663" s="372"/>
      <c r="D663" s="372"/>
      <c r="E663" s="372"/>
      <c r="F663" s="372"/>
      <c r="G663" s="372"/>
    </row>
    <row r="664" ht="15.75" customHeight="1">
      <c r="A664" s="372"/>
      <c r="B664" s="372"/>
      <c r="C664" s="372"/>
      <c r="D664" s="372"/>
      <c r="E664" s="372"/>
      <c r="F664" s="372"/>
      <c r="G664" s="372"/>
    </row>
    <row r="665" ht="15.75" customHeight="1">
      <c r="A665" s="372"/>
      <c r="B665" s="372"/>
      <c r="C665" s="372"/>
      <c r="D665" s="372"/>
      <c r="E665" s="372"/>
      <c r="F665" s="372"/>
      <c r="G665" s="372"/>
    </row>
    <row r="666" ht="15.75" customHeight="1">
      <c r="A666" s="372"/>
      <c r="B666" s="372"/>
      <c r="C666" s="372"/>
      <c r="D666" s="372"/>
      <c r="E666" s="372"/>
      <c r="F666" s="372"/>
      <c r="G666" s="372"/>
    </row>
    <row r="667" ht="15.75" customHeight="1">
      <c r="A667" s="372"/>
      <c r="B667" s="372"/>
      <c r="C667" s="372"/>
      <c r="D667" s="372"/>
      <c r="E667" s="372"/>
      <c r="F667" s="372"/>
      <c r="G667" s="372"/>
    </row>
    <row r="668" ht="15.75" customHeight="1">
      <c r="A668" s="372"/>
      <c r="B668" s="372"/>
      <c r="C668" s="372"/>
      <c r="D668" s="372"/>
      <c r="E668" s="372"/>
      <c r="F668" s="372"/>
      <c r="G668" s="372"/>
    </row>
    <row r="669" ht="15.75" customHeight="1">
      <c r="A669" s="372"/>
      <c r="B669" s="372"/>
      <c r="C669" s="372"/>
      <c r="D669" s="372"/>
      <c r="E669" s="372"/>
      <c r="F669" s="372"/>
      <c r="G669" s="372"/>
    </row>
    <row r="670" ht="15.75" customHeight="1">
      <c r="A670" s="372"/>
      <c r="B670" s="372"/>
      <c r="C670" s="372"/>
      <c r="D670" s="372"/>
      <c r="E670" s="372"/>
      <c r="F670" s="372"/>
      <c r="G670" s="372"/>
    </row>
    <row r="671" ht="15.75" customHeight="1">
      <c r="A671" s="372"/>
      <c r="B671" s="372"/>
      <c r="C671" s="372"/>
      <c r="D671" s="372"/>
      <c r="E671" s="372"/>
      <c r="F671" s="372"/>
      <c r="G671" s="372"/>
    </row>
    <row r="672" ht="15.75" customHeight="1">
      <c r="A672" s="372"/>
      <c r="B672" s="372"/>
      <c r="C672" s="372"/>
      <c r="D672" s="372"/>
      <c r="E672" s="372"/>
      <c r="F672" s="372"/>
      <c r="G672" s="372"/>
    </row>
    <row r="673" ht="15.75" customHeight="1">
      <c r="A673" s="372"/>
      <c r="B673" s="372"/>
      <c r="C673" s="372"/>
      <c r="D673" s="372"/>
      <c r="E673" s="372"/>
      <c r="F673" s="372"/>
      <c r="G673" s="372"/>
    </row>
    <row r="674" ht="15.75" customHeight="1">
      <c r="A674" s="372"/>
      <c r="B674" s="372"/>
      <c r="C674" s="372"/>
      <c r="D674" s="372"/>
      <c r="E674" s="372"/>
      <c r="F674" s="372"/>
      <c r="G674" s="372"/>
    </row>
    <row r="675" ht="15.75" customHeight="1">
      <c r="A675" s="372"/>
      <c r="B675" s="372"/>
      <c r="C675" s="372"/>
      <c r="D675" s="372"/>
      <c r="E675" s="372"/>
      <c r="F675" s="372"/>
      <c r="G675" s="372"/>
    </row>
    <row r="676" ht="15.75" customHeight="1">
      <c r="A676" s="372"/>
      <c r="B676" s="372"/>
      <c r="C676" s="372"/>
      <c r="D676" s="372"/>
      <c r="E676" s="372"/>
      <c r="F676" s="372"/>
      <c r="G676" s="372"/>
    </row>
    <row r="677" ht="15.75" customHeight="1">
      <c r="A677" s="372"/>
      <c r="B677" s="372"/>
      <c r="C677" s="372"/>
      <c r="D677" s="372"/>
      <c r="E677" s="372"/>
      <c r="F677" s="372"/>
      <c r="G677" s="372"/>
    </row>
    <row r="678" ht="15.75" customHeight="1">
      <c r="A678" s="372"/>
      <c r="B678" s="372"/>
      <c r="C678" s="372"/>
      <c r="D678" s="372"/>
      <c r="E678" s="372"/>
      <c r="F678" s="372"/>
      <c r="G678" s="372"/>
    </row>
    <row r="679" ht="15.75" customHeight="1">
      <c r="A679" s="372"/>
      <c r="B679" s="372"/>
      <c r="C679" s="372"/>
      <c r="D679" s="372"/>
      <c r="E679" s="372"/>
      <c r="F679" s="372"/>
      <c r="G679" s="372"/>
    </row>
    <row r="680" ht="15.75" customHeight="1">
      <c r="A680" s="372"/>
      <c r="B680" s="372"/>
      <c r="C680" s="372"/>
      <c r="D680" s="372"/>
      <c r="E680" s="372"/>
      <c r="F680" s="372"/>
      <c r="G680" s="372"/>
    </row>
    <row r="681" ht="15.75" customHeight="1">
      <c r="A681" s="372"/>
      <c r="B681" s="372"/>
      <c r="C681" s="372"/>
      <c r="D681" s="372"/>
      <c r="E681" s="372"/>
      <c r="F681" s="372"/>
      <c r="G681" s="372"/>
    </row>
    <row r="682" ht="15.75" customHeight="1">
      <c r="A682" s="372"/>
      <c r="B682" s="372"/>
      <c r="C682" s="372"/>
      <c r="D682" s="372"/>
      <c r="E682" s="372"/>
      <c r="F682" s="372"/>
      <c r="G682" s="372"/>
    </row>
    <row r="683" ht="15.75" customHeight="1">
      <c r="A683" s="372"/>
      <c r="B683" s="372"/>
      <c r="C683" s="372"/>
      <c r="D683" s="372"/>
      <c r="E683" s="372"/>
      <c r="F683" s="372"/>
      <c r="G683" s="372"/>
    </row>
    <row r="684" ht="15.75" customHeight="1">
      <c r="A684" s="372"/>
      <c r="B684" s="372"/>
      <c r="C684" s="372"/>
      <c r="D684" s="372"/>
      <c r="E684" s="372"/>
      <c r="F684" s="372"/>
      <c r="G684" s="372"/>
    </row>
    <row r="685" ht="15.75" customHeight="1">
      <c r="A685" s="372"/>
      <c r="B685" s="372"/>
      <c r="C685" s="372"/>
      <c r="D685" s="372"/>
      <c r="E685" s="372"/>
      <c r="F685" s="372"/>
      <c r="G685" s="372"/>
    </row>
    <row r="686" ht="15.75" customHeight="1">
      <c r="A686" s="372"/>
      <c r="B686" s="372"/>
      <c r="C686" s="372"/>
      <c r="D686" s="372"/>
      <c r="E686" s="372"/>
      <c r="F686" s="372"/>
      <c r="G686" s="372"/>
    </row>
    <row r="687" ht="15.75" customHeight="1">
      <c r="A687" s="372"/>
      <c r="B687" s="372"/>
      <c r="C687" s="372"/>
      <c r="D687" s="372"/>
      <c r="E687" s="372"/>
      <c r="F687" s="372"/>
      <c r="G687" s="372"/>
    </row>
    <row r="688" ht="15.75" customHeight="1">
      <c r="A688" s="372"/>
      <c r="B688" s="372"/>
      <c r="C688" s="372"/>
      <c r="D688" s="372"/>
      <c r="E688" s="372"/>
      <c r="F688" s="372"/>
      <c r="G688" s="372"/>
    </row>
    <row r="689" ht="15.75" customHeight="1">
      <c r="A689" s="372"/>
      <c r="B689" s="372"/>
      <c r="C689" s="372"/>
      <c r="D689" s="372"/>
      <c r="E689" s="372"/>
      <c r="F689" s="372"/>
      <c r="G689" s="372"/>
    </row>
    <row r="690" ht="15.75" customHeight="1">
      <c r="A690" s="372"/>
      <c r="B690" s="372"/>
      <c r="C690" s="372"/>
      <c r="D690" s="372"/>
      <c r="E690" s="372"/>
      <c r="F690" s="372"/>
      <c r="G690" s="372"/>
    </row>
    <row r="691" ht="15.75" customHeight="1">
      <c r="A691" s="372"/>
      <c r="B691" s="372"/>
      <c r="C691" s="372"/>
      <c r="D691" s="372"/>
      <c r="E691" s="372"/>
      <c r="F691" s="372"/>
      <c r="G691" s="372"/>
    </row>
    <row r="692" ht="15.75" customHeight="1">
      <c r="A692" s="372"/>
      <c r="B692" s="372"/>
      <c r="C692" s="372"/>
      <c r="D692" s="372"/>
      <c r="E692" s="372"/>
      <c r="F692" s="372"/>
      <c r="G692" s="372"/>
    </row>
    <row r="693" ht="15.75" customHeight="1">
      <c r="A693" s="372"/>
      <c r="B693" s="372"/>
      <c r="C693" s="372"/>
      <c r="D693" s="372"/>
      <c r="E693" s="372"/>
      <c r="F693" s="372"/>
      <c r="G693" s="372"/>
    </row>
    <row r="694" ht="15.75" customHeight="1">
      <c r="A694" s="372"/>
      <c r="B694" s="372"/>
      <c r="C694" s="372"/>
      <c r="D694" s="372"/>
      <c r="E694" s="372"/>
      <c r="F694" s="372"/>
      <c r="G694" s="372"/>
    </row>
    <row r="695" ht="15.75" customHeight="1">
      <c r="A695" s="372"/>
      <c r="B695" s="372"/>
      <c r="C695" s="372"/>
      <c r="D695" s="372"/>
      <c r="E695" s="372"/>
      <c r="F695" s="372"/>
      <c r="G695" s="372"/>
    </row>
    <row r="696" ht="15.75" customHeight="1">
      <c r="A696" s="372"/>
      <c r="B696" s="372"/>
      <c r="C696" s="372"/>
      <c r="D696" s="372"/>
      <c r="E696" s="372"/>
      <c r="F696" s="372"/>
      <c r="G696" s="372"/>
    </row>
    <row r="697" ht="15.75" customHeight="1">
      <c r="A697" s="372"/>
      <c r="B697" s="372"/>
      <c r="C697" s="372"/>
      <c r="D697" s="372"/>
      <c r="E697" s="372"/>
      <c r="F697" s="372"/>
      <c r="G697" s="372"/>
    </row>
    <row r="698" ht="15.75" customHeight="1">
      <c r="A698" s="372"/>
      <c r="B698" s="372"/>
      <c r="C698" s="372"/>
      <c r="D698" s="372"/>
      <c r="E698" s="372"/>
      <c r="F698" s="372"/>
      <c r="G698" s="372"/>
    </row>
    <row r="699" ht="15.75" customHeight="1">
      <c r="A699" s="372"/>
      <c r="B699" s="372"/>
      <c r="C699" s="372"/>
      <c r="D699" s="372"/>
      <c r="E699" s="372"/>
      <c r="F699" s="372"/>
      <c r="G699" s="372"/>
    </row>
    <row r="700" ht="15.75" customHeight="1">
      <c r="A700" s="372"/>
      <c r="B700" s="372"/>
      <c r="C700" s="372"/>
      <c r="D700" s="372"/>
      <c r="E700" s="372"/>
      <c r="F700" s="372"/>
      <c r="G700" s="372"/>
    </row>
    <row r="701" ht="15.75" customHeight="1">
      <c r="A701" s="372"/>
      <c r="B701" s="372"/>
      <c r="C701" s="372"/>
      <c r="D701" s="372"/>
      <c r="E701" s="372"/>
      <c r="F701" s="372"/>
      <c r="G701" s="372"/>
    </row>
    <row r="702" ht="15.75" customHeight="1">
      <c r="A702" s="372"/>
      <c r="B702" s="372"/>
      <c r="C702" s="372"/>
      <c r="D702" s="372"/>
      <c r="E702" s="372"/>
      <c r="F702" s="372"/>
      <c r="G702" s="372"/>
    </row>
    <row r="703" ht="15.75" customHeight="1">
      <c r="A703" s="372"/>
      <c r="B703" s="372"/>
      <c r="C703" s="372"/>
      <c r="D703" s="372"/>
      <c r="E703" s="372"/>
      <c r="F703" s="372"/>
      <c r="G703" s="372"/>
    </row>
    <row r="704" ht="15.75" customHeight="1">
      <c r="A704" s="372"/>
      <c r="B704" s="372"/>
      <c r="C704" s="372"/>
      <c r="D704" s="372"/>
      <c r="E704" s="372"/>
      <c r="F704" s="372"/>
      <c r="G704" s="372"/>
    </row>
    <row r="705" ht="15.75" customHeight="1">
      <c r="A705" s="372"/>
      <c r="B705" s="372"/>
      <c r="C705" s="372"/>
      <c r="D705" s="372"/>
      <c r="E705" s="372"/>
      <c r="F705" s="372"/>
      <c r="G705" s="372"/>
    </row>
    <row r="706" ht="15.75" customHeight="1">
      <c r="A706" s="372"/>
      <c r="B706" s="372"/>
      <c r="C706" s="372"/>
      <c r="D706" s="372"/>
      <c r="E706" s="372"/>
      <c r="F706" s="372"/>
      <c r="G706" s="372"/>
    </row>
    <row r="707" ht="15.75" customHeight="1">
      <c r="A707" s="372"/>
      <c r="B707" s="372"/>
      <c r="C707" s="372"/>
      <c r="D707" s="372"/>
      <c r="E707" s="372"/>
      <c r="F707" s="372"/>
      <c r="G707" s="372"/>
    </row>
    <row r="708" ht="15.75" customHeight="1">
      <c r="A708" s="372"/>
      <c r="B708" s="372"/>
      <c r="C708" s="372"/>
      <c r="D708" s="372"/>
      <c r="E708" s="372"/>
      <c r="F708" s="372"/>
      <c r="G708" s="372"/>
    </row>
    <row r="709" ht="15.75" customHeight="1">
      <c r="A709" s="372"/>
      <c r="B709" s="372"/>
      <c r="C709" s="372"/>
      <c r="D709" s="372"/>
      <c r="E709" s="372"/>
      <c r="F709" s="372"/>
      <c r="G709" s="372"/>
    </row>
    <row r="710" ht="15.75" customHeight="1">
      <c r="A710" s="372"/>
      <c r="B710" s="372"/>
      <c r="C710" s="372"/>
      <c r="D710" s="372"/>
      <c r="E710" s="372"/>
      <c r="F710" s="372"/>
      <c r="G710" s="372"/>
    </row>
    <row r="711" ht="15.75" customHeight="1">
      <c r="A711" s="372"/>
      <c r="B711" s="372"/>
      <c r="C711" s="372"/>
      <c r="D711" s="372"/>
      <c r="E711" s="372"/>
      <c r="F711" s="372"/>
      <c r="G711" s="372"/>
    </row>
    <row r="712" ht="15.75" customHeight="1">
      <c r="A712" s="372"/>
      <c r="B712" s="372"/>
      <c r="C712" s="372"/>
      <c r="D712" s="372"/>
      <c r="E712" s="372"/>
      <c r="F712" s="372"/>
      <c r="G712" s="372"/>
    </row>
    <row r="713" ht="15.75" customHeight="1">
      <c r="A713" s="372"/>
      <c r="B713" s="372"/>
      <c r="C713" s="372"/>
      <c r="D713" s="372"/>
      <c r="E713" s="372"/>
      <c r="F713" s="372"/>
      <c r="G713" s="372"/>
    </row>
    <row r="714" ht="15.75" customHeight="1">
      <c r="A714" s="372"/>
      <c r="B714" s="372"/>
      <c r="C714" s="372"/>
      <c r="D714" s="372"/>
      <c r="E714" s="372"/>
      <c r="F714" s="372"/>
      <c r="G714" s="372"/>
    </row>
    <row r="715" ht="15.75" customHeight="1">
      <c r="A715" s="372"/>
      <c r="B715" s="372"/>
      <c r="C715" s="372"/>
      <c r="D715" s="372"/>
      <c r="E715" s="372"/>
      <c r="F715" s="372"/>
      <c r="G715" s="372"/>
    </row>
    <row r="716" ht="15.75" customHeight="1">
      <c r="A716" s="372"/>
      <c r="B716" s="372"/>
      <c r="C716" s="372"/>
      <c r="D716" s="372"/>
      <c r="E716" s="372"/>
      <c r="F716" s="372"/>
      <c r="G716" s="372"/>
    </row>
    <row r="717" ht="15.75" customHeight="1">
      <c r="A717" s="372"/>
      <c r="B717" s="372"/>
      <c r="C717" s="372"/>
      <c r="D717" s="372"/>
      <c r="E717" s="372"/>
      <c r="F717" s="372"/>
      <c r="G717" s="372"/>
    </row>
    <row r="718" ht="15.75" customHeight="1">
      <c r="A718" s="372"/>
      <c r="B718" s="372"/>
      <c r="C718" s="372"/>
      <c r="D718" s="372"/>
      <c r="E718" s="372"/>
      <c r="F718" s="372"/>
      <c r="G718" s="372"/>
    </row>
    <row r="719" ht="15.75" customHeight="1">
      <c r="A719" s="372"/>
      <c r="B719" s="372"/>
      <c r="C719" s="372"/>
      <c r="D719" s="372"/>
      <c r="E719" s="372"/>
      <c r="F719" s="372"/>
      <c r="G719" s="372"/>
    </row>
    <row r="720" ht="15.75" customHeight="1">
      <c r="A720" s="372"/>
      <c r="B720" s="372"/>
      <c r="C720" s="372"/>
      <c r="D720" s="372"/>
      <c r="E720" s="372"/>
      <c r="F720" s="372"/>
      <c r="G720" s="372"/>
    </row>
    <row r="721" ht="15.75" customHeight="1">
      <c r="A721" s="372"/>
      <c r="B721" s="372"/>
      <c r="C721" s="372"/>
      <c r="D721" s="372"/>
      <c r="E721" s="372"/>
      <c r="F721" s="372"/>
      <c r="G721" s="372"/>
    </row>
    <row r="722" ht="15.75" customHeight="1">
      <c r="A722" s="372"/>
      <c r="B722" s="372"/>
      <c r="C722" s="372"/>
      <c r="D722" s="372"/>
      <c r="E722" s="372"/>
      <c r="F722" s="372"/>
      <c r="G722" s="372"/>
    </row>
    <row r="723" ht="15.75" customHeight="1">
      <c r="A723" s="372"/>
      <c r="B723" s="372"/>
      <c r="C723" s="372"/>
      <c r="D723" s="372"/>
      <c r="E723" s="372"/>
      <c r="F723" s="372"/>
      <c r="G723" s="372"/>
    </row>
    <row r="724" ht="15.75" customHeight="1">
      <c r="A724" s="372"/>
      <c r="B724" s="372"/>
      <c r="C724" s="372"/>
      <c r="D724" s="372"/>
      <c r="E724" s="372"/>
      <c r="F724" s="372"/>
      <c r="G724" s="372"/>
    </row>
    <row r="725" ht="15.75" customHeight="1">
      <c r="A725" s="372"/>
      <c r="B725" s="372"/>
      <c r="C725" s="372"/>
      <c r="D725" s="372"/>
      <c r="E725" s="372"/>
      <c r="F725" s="372"/>
      <c r="G725" s="372"/>
    </row>
    <row r="726" ht="15.75" customHeight="1">
      <c r="A726" s="372"/>
      <c r="B726" s="372"/>
      <c r="C726" s="372"/>
      <c r="D726" s="372"/>
      <c r="E726" s="372"/>
      <c r="F726" s="372"/>
      <c r="G726" s="372"/>
    </row>
    <row r="727" ht="15.75" customHeight="1">
      <c r="A727" s="372"/>
      <c r="B727" s="372"/>
      <c r="C727" s="372"/>
      <c r="D727" s="372"/>
      <c r="E727" s="372"/>
      <c r="F727" s="372"/>
      <c r="G727" s="372"/>
    </row>
    <row r="728" ht="15.75" customHeight="1">
      <c r="A728" s="372"/>
      <c r="B728" s="372"/>
      <c r="C728" s="372"/>
      <c r="D728" s="372"/>
      <c r="E728" s="372"/>
      <c r="F728" s="372"/>
      <c r="G728" s="372"/>
    </row>
    <row r="729" ht="15.75" customHeight="1">
      <c r="A729" s="372"/>
      <c r="B729" s="372"/>
      <c r="C729" s="372"/>
      <c r="D729" s="372"/>
      <c r="E729" s="372"/>
      <c r="F729" s="372"/>
      <c r="G729" s="372"/>
    </row>
    <row r="730" ht="15.75" customHeight="1">
      <c r="A730" s="372"/>
      <c r="B730" s="372"/>
      <c r="C730" s="372"/>
      <c r="D730" s="372"/>
      <c r="E730" s="372"/>
      <c r="F730" s="372"/>
      <c r="G730" s="372"/>
    </row>
    <row r="731" ht="15.75" customHeight="1">
      <c r="A731" s="372"/>
      <c r="B731" s="372"/>
      <c r="C731" s="372"/>
      <c r="D731" s="372"/>
      <c r="E731" s="372"/>
      <c r="F731" s="372"/>
      <c r="G731" s="372"/>
    </row>
    <row r="732" ht="15.75" customHeight="1">
      <c r="A732" s="372"/>
      <c r="B732" s="372"/>
      <c r="C732" s="372"/>
      <c r="D732" s="372"/>
      <c r="E732" s="372"/>
      <c r="F732" s="372"/>
      <c r="G732" s="372"/>
    </row>
    <row r="733" ht="15.75" customHeight="1">
      <c r="A733" s="372"/>
      <c r="B733" s="372"/>
      <c r="C733" s="372"/>
      <c r="D733" s="372"/>
      <c r="E733" s="372"/>
      <c r="F733" s="372"/>
      <c r="G733" s="372"/>
    </row>
    <row r="734" ht="15.75" customHeight="1">
      <c r="A734" s="372"/>
      <c r="B734" s="372"/>
      <c r="C734" s="372"/>
      <c r="D734" s="372"/>
      <c r="E734" s="372"/>
      <c r="F734" s="372"/>
      <c r="G734" s="372"/>
    </row>
    <row r="735" ht="15.75" customHeight="1">
      <c r="A735" s="372"/>
      <c r="B735" s="372"/>
      <c r="C735" s="372"/>
      <c r="D735" s="372"/>
      <c r="E735" s="372"/>
      <c r="F735" s="372"/>
      <c r="G735" s="372"/>
    </row>
    <row r="736" ht="15.75" customHeight="1">
      <c r="A736" s="372"/>
      <c r="B736" s="372"/>
      <c r="C736" s="372"/>
      <c r="D736" s="372"/>
      <c r="E736" s="372"/>
      <c r="F736" s="372"/>
      <c r="G736" s="372"/>
    </row>
    <row r="737" ht="15.75" customHeight="1">
      <c r="A737" s="372"/>
      <c r="B737" s="372"/>
      <c r="C737" s="372"/>
      <c r="D737" s="372"/>
      <c r="E737" s="372"/>
      <c r="F737" s="372"/>
      <c r="G737" s="372"/>
    </row>
    <row r="738" ht="15.75" customHeight="1">
      <c r="A738" s="372"/>
      <c r="B738" s="372"/>
      <c r="C738" s="372"/>
      <c r="D738" s="372"/>
      <c r="E738" s="372"/>
      <c r="F738" s="372"/>
      <c r="G738" s="372"/>
    </row>
    <row r="739" ht="15.75" customHeight="1">
      <c r="A739" s="372"/>
      <c r="B739" s="372"/>
      <c r="C739" s="372"/>
      <c r="D739" s="372"/>
      <c r="E739" s="372"/>
      <c r="F739" s="372"/>
      <c r="G739" s="372"/>
    </row>
    <row r="740" ht="15.75" customHeight="1">
      <c r="A740" s="372"/>
      <c r="B740" s="372"/>
      <c r="C740" s="372"/>
      <c r="D740" s="372"/>
      <c r="E740" s="372"/>
      <c r="F740" s="372"/>
      <c r="G740" s="372"/>
    </row>
    <row r="741" ht="15.75" customHeight="1">
      <c r="A741" s="372"/>
      <c r="B741" s="372"/>
      <c r="C741" s="372"/>
      <c r="D741" s="372"/>
      <c r="E741" s="372"/>
      <c r="F741" s="372"/>
      <c r="G741" s="372"/>
    </row>
    <row r="742" ht="15.75" customHeight="1">
      <c r="A742" s="372"/>
      <c r="B742" s="372"/>
      <c r="C742" s="372"/>
      <c r="D742" s="372"/>
      <c r="E742" s="372"/>
      <c r="F742" s="372"/>
      <c r="G742" s="372"/>
    </row>
    <row r="743" ht="15.75" customHeight="1">
      <c r="A743" s="372"/>
      <c r="B743" s="372"/>
      <c r="C743" s="372"/>
      <c r="D743" s="372"/>
      <c r="E743" s="372"/>
      <c r="F743" s="372"/>
      <c r="G743" s="372"/>
    </row>
    <row r="744" ht="15.75" customHeight="1">
      <c r="A744" s="372"/>
      <c r="B744" s="372"/>
      <c r="C744" s="372"/>
      <c r="D744" s="372"/>
      <c r="E744" s="372"/>
      <c r="F744" s="372"/>
      <c r="G744" s="372"/>
    </row>
    <row r="745" ht="15.75" customHeight="1">
      <c r="A745" s="372"/>
      <c r="B745" s="372"/>
      <c r="C745" s="372"/>
      <c r="D745" s="372"/>
      <c r="E745" s="372"/>
      <c r="F745" s="372"/>
      <c r="G745" s="372"/>
    </row>
    <row r="746" ht="15.75" customHeight="1">
      <c r="A746" s="372"/>
      <c r="B746" s="372"/>
      <c r="C746" s="372"/>
      <c r="D746" s="372"/>
      <c r="E746" s="372"/>
      <c r="F746" s="372"/>
      <c r="G746" s="372"/>
    </row>
    <row r="747" ht="15.75" customHeight="1">
      <c r="A747" s="372"/>
      <c r="B747" s="372"/>
      <c r="C747" s="372"/>
      <c r="D747" s="372"/>
      <c r="E747" s="372"/>
      <c r="F747" s="372"/>
      <c r="G747" s="372"/>
    </row>
    <row r="748" ht="15.75" customHeight="1">
      <c r="A748" s="372"/>
      <c r="B748" s="372"/>
      <c r="C748" s="372"/>
      <c r="D748" s="372"/>
      <c r="E748" s="372"/>
      <c r="F748" s="372"/>
      <c r="G748" s="372"/>
    </row>
    <row r="749" ht="15.75" customHeight="1">
      <c r="A749" s="372"/>
      <c r="B749" s="372"/>
      <c r="C749" s="372"/>
      <c r="D749" s="372"/>
      <c r="E749" s="372"/>
      <c r="F749" s="372"/>
      <c r="G749" s="372"/>
    </row>
    <row r="750" ht="15.75" customHeight="1">
      <c r="A750" s="372"/>
      <c r="B750" s="372"/>
      <c r="C750" s="372"/>
      <c r="D750" s="372"/>
      <c r="E750" s="372"/>
      <c r="F750" s="372"/>
      <c r="G750" s="372"/>
    </row>
    <row r="751" ht="15.75" customHeight="1">
      <c r="A751" s="372"/>
      <c r="B751" s="372"/>
      <c r="C751" s="372"/>
      <c r="D751" s="372"/>
      <c r="E751" s="372"/>
      <c r="F751" s="372"/>
      <c r="G751" s="372"/>
    </row>
    <row r="752" ht="15.75" customHeight="1">
      <c r="A752" s="372"/>
      <c r="B752" s="372"/>
      <c r="C752" s="372"/>
      <c r="D752" s="372"/>
      <c r="E752" s="372"/>
      <c r="F752" s="372"/>
      <c r="G752" s="372"/>
    </row>
    <row r="753" ht="15.75" customHeight="1">
      <c r="A753" s="372"/>
      <c r="B753" s="372"/>
      <c r="C753" s="372"/>
      <c r="D753" s="372"/>
      <c r="E753" s="372"/>
      <c r="F753" s="372"/>
      <c r="G753" s="372"/>
    </row>
    <row r="754" ht="15.75" customHeight="1">
      <c r="A754" s="372"/>
      <c r="B754" s="372"/>
      <c r="C754" s="372"/>
      <c r="D754" s="372"/>
      <c r="E754" s="372"/>
      <c r="F754" s="372"/>
      <c r="G754" s="372"/>
    </row>
    <row r="755" ht="15.75" customHeight="1">
      <c r="A755" s="372"/>
      <c r="B755" s="372"/>
      <c r="C755" s="372"/>
      <c r="D755" s="372"/>
      <c r="E755" s="372"/>
      <c r="F755" s="372"/>
      <c r="G755" s="372"/>
    </row>
    <row r="756" ht="15.75" customHeight="1">
      <c r="A756" s="372"/>
      <c r="B756" s="372"/>
      <c r="C756" s="372"/>
      <c r="D756" s="372"/>
      <c r="E756" s="372"/>
      <c r="F756" s="372"/>
      <c r="G756" s="372"/>
    </row>
    <row r="757" ht="15.75" customHeight="1">
      <c r="A757" s="372"/>
      <c r="B757" s="372"/>
      <c r="C757" s="372"/>
      <c r="D757" s="372"/>
      <c r="E757" s="372"/>
      <c r="F757" s="372"/>
      <c r="G757" s="372"/>
    </row>
    <row r="758" ht="15.75" customHeight="1">
      <c r="A758" s="372"/>
      <c r="B758" s="372"/>
      <c r="C758" s="372"/>
      <c r="D758" s="372"/>
      <c r="E758" s="372"/>
      <c r="F758" s="372"/>
      <c r="G758" s="372"/>
    </row>
    <row r="759" ht="15.75" customHeight="1">
      <c r="A759" s="372"/>
      <c r="B759" s="372"/>
      <c r="C759" s="372"/>
      <c r="D759" s="372"/>
      <c r="E759" s="372"/>
      <c r="F759" s="372"/>
      <c r="G759" s="372"/>
    </row>
    <row r="760" ht="15.75" customHeight="1">
      <c r="A760" s="372"/>
      <c r="B760" s="372"/>
      <c r="C760" s="372"/>
      <c r="D760" s="372"/>
      <c r="E760" s="372"/>
      <c r="F760" s="372"/>
      <c r="G760" s="372"/>
    </row>
    <row r="761" ht="15.75" customHeight="1">
      <c r="A761" s="372"/>
      <c r="B761" s="372"/>
      <c r="C761" s="372"/>
      <c r="D761" s="372"/>
      <c r="E761" s="372"/>
      <c r="F761" s="372"/>
      <c r="G761" s="372"/>
    </row>
    <row r="762" ht="15.75" customHeight="1">
      <c r="A762" s="372"/>
      <c r="B762" s="372"/>
      <c r="C762" s="372"/>
      <c r="D762" s="372"/>
      <c r="E762" s="372"/>
      <c r="F762" s="372"/>
      <c r="G762" s="372"/>
    </row>
    <row r="763" ht="15.75" customHeight="1">
      <c r="A763" s="372"/>
      <c r="B763" s="372"/>
      <c r="C763" s="372"/>
      <c r="D763" s="372"/>
      <c r="E763" s="372"/>
      <c r="F763" s="372"/>
      <c r="G763" s="372"/>
    </row>
    <row r="764" ht="15.75" customHeight="1">
      <c r="A764" s="372"/>
      <c r="B764" s="372"/>
      <c r="C764" s="372"/>
      <c r="D764" s="372"/>
      <c r="E764" s="372"/>
      <c r="F764" s="372"/>
      <c r="G764" s="372"/>
    </row>
    <row r="765" ht="15.75" customHeight="1">
      <c r="A765" s="372"/>
      <c r="B765" s="372"/>
      <c r="C765" s="372"/>
      <c r="D765" s="372"/>
      <c r="E765" s="372"/>
      <c r="F765" s="372"/>
      <c r="G765" s="372"/>
    </row>
    <row r="766" ht="15.75" customHeight="1">
      <c r="A766" s="372"/>
      <c r="B766" s="372"/>
      <c r="C766" s="372"/>
      <c r="D766" s="372"/>
      <c r="E766" s="372"/>
      <c r="F766" s="372"/>
      <c r="G766" s="372"/>
    </row>
    <row r="767" ht="15.75" customHeight="1">
      <c r="A767" s="372"/>
      <c r="B767" s="372"/>
      <c r="C767" s="372"/>
      <c r="D767" s="372"/>
      <c r="E767" s="372"/>
      <c r="F767" s="372"/>
      <c r="G767" s="372"/>
    </row>
    <row r="768" ht="15.75" customHeight="1">
      <c r="A768" s="372"/>
      <c r="B768" s="372"/>
      <c r="C768" s="372"/>
      <c r="D768" s="372"/>
      <c r="E768" s="372"/>
      <c r="F768" s="372"/>
      <c r="G768" s="372"/>
    </row>
    <row r="769" ht="15.75" customHeight="1">
      <c r="A769" s="372"/>
      <c r="B769" s="372"/>
      <c r="C769" s="372"/>
      <c r="D769" s="372"/>
      <c r="E769" s="372"/>
      <c r="F769" s="372"/>
      <c r="G769" s="372"/>
    </row>
    <row r="770" ht="15.75" customHeight="1">
      <c r="A770" s="372"/>
      <c r="B770" s="372"/>
      <c r="C770" s="372"/>
      <c r="D770" s="372"/>
      <c r="E770" s="372"/>
      <c r="F770" s="372"/>
      <c r="G770" s="372"/>
    </row>
    <row r="771" ht="15.75" customHeight="1">
      <c r="A771" s="372"/>
      <c r="B771" s="372"/>
      <c r="C771" s="372"/>
      <c r="D771" s="372"/>
      <c r="E771" s="372"/>
      <c r="F771" s="372"/>
      <c r="G771" s="372"/>
    </row>
    <row r="772" ht="15.75" customHeight="1">
      <c r="A772" s="372"/>
      <c r="B772" s="372"/>
      <c r="C772" s="372"/>
      <c r="D772" s="372"/>
      <c r="E772" s="372"/>
      <c r="F772" s="372"/>
      <c r="G772" s="372"/>
    </row>
    <row r="773" ht="15.75" customHeight="1">
      <c r="A773" s="372"/>
      <c r="B773" s="372"/>
      <c r="C773" s="372"/>
      <c r="D773" s="372"/>
      <c r="E773" s="372"/>
      <c r="F773" s="372"/>
      <c r="G773" s="372"/>
    </row>
    <row r="774" ht="15.75" customHeight="1">
      <c r="A774" s="372"/>
      <c r="B774" s="372"/>
      <c r="C774" s="372"/>
      <c r="D774" s="372"/>
      <c r="E774" s="372"/>
      <c r="F774" s="372"/>
      <c r="G774" s="372"/>
    </row>
    <row r="775" ht="15.75" customHeight="1">
      <c r="A775" s="372"/>
      <c r="B775" s="372"/>
      <c r="C775" s="372"/>
      <c r="D775" s="372"/>
      <c r="E775" s="372"/>
      <c r="F775" s="372"/>
      <c r="G775" s="372"/>
    </row>
    <row r="776" ht="15.75" customHeight="1">
      <c r="A776" s="372"/>
      <c r="B776" s="372"/>
      <c r="C776" s="372"/>
      <c r="D776" s="372"/>
      <c r="E776" s="372"/>
      <c r="F776" s="372"/>
      <c r="G776" s="372"/>
    </row>
    <row r="777" ht="15.75" customHeight="1">
      <c r="A777" s="372"/>
      <c r="B777" s="372"/>
      <c r="C777" s="372"/>
      <c r="D777" s="372"/>
      <c r="E777" s="372"/>
      <c r="F777" s="372"/>
      <c r="G777" s="372"/>
    </row>
    <row r="778" ht="15.75" customHeight="1">
      <c r="A778" s="372"/>
      <c r="B778" s="372"/>
      <c r="C778" s="372"/>
      <c r="D778" s="372"/>
      <c r="E778" s="372"/>
      <c r="F778" s="372"/>
      <c r="G778" s="372"/>
    </row>
    <row r="779" ht="15.75" customHeight="1">
      <c r="A779" s="372"/>
      <c r="B779" s="372"/>
      <c r="C779" s="372"/>
      <c r="D779" s="372"/>
      <c r="E779" s="372"/>
      <c r="F779" s="372"/>
      <c r="G779" s="372"/>
    </row>
    <row r="780" ht="15.75" customHeight="1">
      <c r="A780" s="372"/>
      <c r="B780" s="372"/>
      <c r="C780" s="372"/>
      <c r="D780" s="372"/>
      <c r="E780" s="372"/>
      <c r="F780" s="372"/>
      <c r="G780" s="372"/>
    </row>
    <row r="781" ht="15.75" customHeight="1">
      <c r="A781" s="372"/>
      <c r="B781" s="372"/>
      <c r="C781" s="372"/>
      <c r="D781" s="372"/>
      <c r="E781" s="372"/>
      <c r="F781" s="372"/>
      <c r="G781" s="372"/>
    </row>
    <row r="782" ht="15.75" customHeight="1">
      <c r="A782" s="372"/>
      <c r="B782" s="372"/>
      <c r="C782" s="372"/>
      <c r="D782" s="372"/>
      <c r="E782" s="372"/>
      <c r="F782" s="372"/>
      <c r="G782" s="372"/>
    </row>
    <row r="783" ht="15.75" customHeight="1">
      <c r="A783" s="372"/>
      <c r="B783" s="372"/>
      <c r="C783" s="372"/>
      <c r="D783" s="372"/>
      <c r="E783" s="372"/>
      <c r="F783" s="372"/>
      <c r="G783" s="372"/>
    </row>
    <row r="784" ht="15.75" customHeight="1">
      <c r="A784" s="372"/>
      <c r="B784" s="372"/>
      <c r="C784" s="372"/>
      <c r="D784" s="372"/>
      <c r="E784" s="372"/>
      <c r="F784" s="372"/>
      <c r="G784" s="372"/>
    </row>
    <row r="785" ht="15.75" customHeight="1">
      <c r="A785" s="372"/>
      <c r="B785" s="372"/>
      <c r="C785" s="372"/>
      <c r="D785" s="372"/>
      <c r="E785" s="372"/>
      <c r="F785" s="372"/>
      <c r="G785" s="372"/>
    </row>
    <row r="786" ht="15.75" customHeight="1">
      <c r="A786" s="372"/>
      <c r="B786" s="372"/>
      <c r="C786" s="372"/>
      <c r="D786" s="372"/>
      <c r="E786" s="372"/>
      <c r="F786" s="372"/>
      <c r="G786" s="372"/>
    </row>
    <row r="787" ht="15.75" customHeight="1">
      <c r="A787" s="372"/>
      <c r="B787" s="372"/>
      <c r="C787" s="372"/>
      <c r="D787" s="372"/>
      <c r="E787" s="372"/>
      <c r="F787" s="372"/>
      <c r="G787" s="372"/>
    </row>
    <row r="788" ht="15.75" customHeight="1">
      <c r="A788" s="372"/>
      <c r="B788" s="372"/>
      <c r="C788" s="372"/>
      <c r="D788" s="372"/>
      <c r="E788" s="372"/>
      <c r="F788" s="372"/>
      <c r="G788" s="372"/>
    </row>
    <row r="789" ht="15.75" customHeight="1">
      <c r="A789" s="372"/>
      <c r="B789" s="372"/>
      <c r="C789" s="372"/>
      <c r="D789" s="372"/>
      <c r="E789" s="372"/>
      <c r="F789" s="372"/>
      <c r="G789" s="372"/>
    </row>
    <row r="790" ht="15.75" customHeight="1">
      <c r="A790" s="372"/>
      <c r="B790" s="372"/>
      <c r="C790" s="372"/>
      <c r="D790" s="372"/>
      <c r="E790" s="372"/>
      <c r="F790" s="372"/>
      <c r="G790" s="372"/>
    </row>
    <row r="791" ht="15.75" customHeight="1">
      <c r="A791" s="372"/>
      <c r="B791" s="372"/>
      <c r="C791" s="372"/>
      <c r="D791" s="372"/>
      <c r="E791" s="372"/>
      <c r="F791" s="372"/>
      <c r="G791" s="372"/>
    </row>
    <row r="792" ht="15.75" customHeight="1">
      <c r="A792" s="372"/>
      <c r="B792" s="372"/>
      <c r="C792" s="372"/>
      <c r="D792" s="372"/>
      <c r="E792" s="372"/>
      <c r="F792" s="372"/>
      <c r="G792" s="372"/>
    </row>
    <row r="793" ht="15.75" customHeight="1">
      <c r="A793" s="372"/>
      <c r="B793" s="372"/>
      <c r="C793" s="372"/>
      <c r="D793" s="372"/>
      <c r="E793" s="372"/>
      <c r="F793" s="372"/>
      <c r="G793" s="372"/>
    </row>
    <row r="794" ht="15.75" customHeight="1">
      <c r="A794" s="372"/>
      <c r="B794" s="372"/>
      <c r="C794" s="372"/>
      <c r="D794" s="372"/>
      <c r="E794" s="372"/>
      <c r="F794" s="372"/>
      <c r="G794" s="372"/>
    </row>
    <row r="795" ht="15.75" customHeight="1">
      <c r="A795" s="372"/>
      <c r="B795" s="372"/>
      <c r="C795" s="372"/>
      <c r="D795" s="372"/>
      <c r="E795" s="372"/>
      <c r="F795" s="372"/>
      <c r="G795" s="372"/>
    </row>
    <row r="796" ht="15.75" customHeight="1">
      <c r="A796" s="372"/>
      <c r="B796" s="372"/>
      <c r="C796" s="372"/>
      <c r="D796" s="372"/>
      <c r="E796" s="372"/>
      <c r="F796" s="372"/>
      <c r="G796" s="372"/>
    </row>
    <row r="797" ht="15.75" customHeight="1">
      <c r="A797" s="372"/>
      <c r="B797" s="372"/>
      <c r="C797" s="372"/>
      <c r="D797" s="372"/>
      <c r="E797" s="372"/>
      <c r="F797" s="372"/>
      <c r="G797" s="372"/>
    </row>
    <row r="798" ht="15.75" customHeight="1">
      <c r="A798" s="372"/>
      <c r="B798" s="372"/>
      <c r="C798" s="372"/>
      <c r="D798" s="372"/>
      <c r="E798" s="372"/>
      <c r="F798" s="372"/>
      <c r="G798" s="372"/>
    </row>
    <row r="799" ht="15.75" customHeight="1">
      <c r="A799" s="372"/>
      <c r="B799" s="372"/>
      <c r="C799" s="372"/>
      <c r="D799" s="372"/>
      <c r="E799" s="372"/>
      <c r="F799" s="372"/>
      <c r="G799" s="372"/>
    </row>
    <row r="800" ht="15.75" customHeight="1">
      <c r="A800" s="372"/>
      <c r="B800" s="372"/>
      <c r="C800" s="372"/>
      <c r="D800" s="372"/>
      <c r="E800" s="372"/>
      <c r="F800" s="372"/>
      <c r="G800" s="372"/>
    </row>
    <row r="801" ht="15.75" customHeight="1">
      <c r="A801" s="372"/>
      <c r="B801" s="372"/>
      <c r="C801" s="372"/>
      <c r="D801" s="372"/>
      <c r="E801" s="372"/>
      <c r="F801" s="372"/>
      <c r="G801" s="372"/>
    </row>
    <row r="802" ht="15.75" customHeight="1">
      <c r="A802" s="372"/>
      <c r="B802" s="372"/>
      <c r="C802" s="372"/>
      <c r="D802" s="372"/>
      <c r="E802" s="372"/>
      <c r="F802" s="372"/>
      <c r="G802" s="372"/>
    </row>
    <row r="803" ht="15.75" customHeight="1">
      <c r="A803" s="372"/>
      <c r="B803" s="372"/>
      <c r="C803" s="372"/>
      <c r="D803" s="372"/>
      <c r="E803" s="372"/>
      <c r="F803" s="372"/>
      <c r="G803" s="372"/>
    </row>
    <row r="804" ht="15.75" customHeight="1">
      <c r="A804" s="372"/>
      <c r="B804" s="372"/>
      <c r="C804" s="372"/>
      <c r="D804" s="372"/>
      <c r="E804" s="372"/>
      <c r="F804" s="372"/>
      <c r="G804" s="372"/>
    </row>
    <row r="805" ht="15.75" customHeight="1">
      <c r="A805" s="372"/>
      <c r="B805" s="372"/>
      <c r="C805" s="372"/>
      <c r="D805" s="372"/>
      <c r="E805" s="372"/>
      <c r="F805" s="372"/>
      <c r="G805" s="372"/>
    </row>
    <row r="806" ht="15.75" customHeight="1">
      <c r="A806" s="372"/>
      <c r="B806" s="372"/>
      <c r="C806" s="372"/>
      <c r="D806" s="372"/>
      <c r="E806" s="372"/>
      <c r="F806" s="372"/>
      <c r="G806" s="372"/>
    </row>
    <row r="807" ht="15.75" customHeight="1">
      <c r="A807" s="372"/>
      <c r="B807" s="372"/>
      <c r="C807" s="372"/>
      <c r="D807" s="372"/>
      <c r="E807" s="372"/>
      <c r="F807" s="372"/>
      <c r="G807" s="372"/>
    </row>
    <row r="808" ht="15.75" customHeight="1">
      <c r="A808" s="372"/>
      <c r="B808" s="372"/>
      <c r="C808" s="372"/>
      <c r="D808" s="372"/>
      <c r="E808" s="372"/>
      <c r="F808" s="372"/>
      <c r="G808" s="372"/>
    </row>
    <row r="809" ht="15.75" customHeight="1">
      <c r="A809" s="372"/>
      <c r="B809" s="372"/>
      <c r="C809" s="372"/>
      <c r="D809" s="372"/>
      <c r="E809" s="372"/>
      <c r="F809" s="372"/>
      <c r="G809" s="372"/>
    </row>
    <row r="810" ht="15.75" customHeight="1">
      <c r="A810" s="372"/>
      <c r="B810" s="372"/>
      <c r="C810" s="372"/>
      <c r="D810" s="372"/>
      <c r="E810" s="372"/>
      <c r="F810" s="372"/>
      <c r="G810" s="372"/>
    </row>
    <row r="811" ht="15.75" customHeight="1">
      <c r="A811" s="372"/>
      <c r="B811" s="372"/>
      <c r="C811" s="372"/>
      <c r="D811" s="372"/>
      <c r="E811" s="372"/>
      <c r="F811" s="372"/>
      <c r="G811" s="372"/>
    </row>
    <row r="812" ht="15.75" customHeight="1">
      <c r="A812" s="372"/>
      <c r="B812" s="372"/>
      <c r="C812" s="372"/>
      <c r="D812" s="372"/>
      <c r="E812" s="372"/>
      <c r="F812" s="372"/>
      <c r="G812" s="372"/>
    </row>
    <row r="813" ht="15.75" customHeight="1">
      <c r="A813" s="372"/>
      <c r="B813" s="372"/>
      <c r="C813" s="372"/>
      <c r="D813" s="372"/>
      <c r="E813" s="372"/>
      <c r="F813" s="372"/>
      <c r="G813" s="372"/>
    </row>
    <row r="814" ht="15.75" customHeight="1">
      <c r="A814" s="372"/>
      <c r="B814" s="372"/>
      <c r="C814" s="372"/>
      <c r="D814" s="372"/>
      <c r="E814" s="372"/>
      <c r="F814" s="372"/>
      <c r="G814" s="372"/>
    </row>
    <row r="815" ht="15.75" customHeight="1">
      <c r="A815" s="372"/>
      <c r="B815" s="372"/>
      <c r="C815" s="372"/>
      <c r="D815" s="372"/>
      <c r="E815" s="372"/>
      <c r="F815" s="372"/>
      <c r="G815" s="372"/>
    </row>
    <row r="816" ht="15.75" customHeight="1">
      <c r="A816" s="372"/>
      <c r="B816" s="372"/>
      <c r="C816" s="372"/>
      <c r="D816" s="372"/>
      <c r="E816" s="372"/>
      <c r="F816" s="372"/>
      <c r="G816" s="372"/>
    </row>
    <row r="817" ht="15.75" customHeight="1">
      <c r="A817" s="372"/>
      <c r="B817" s="372"/>
      <c r="C817" s="372"/>
      <c r="D817" s="372"/>
      <c r="E817" s="372"/>
      <c r="F817" s="372"/>
      <c r="G817" s="372"/>
    </row>
    <row r="818" ht="15.75" customHeight="1">
      <c r="A818" s="372"/>
      <c r="B818" s="372"/>
      <c r="C818" s="372"/>
      <c r="D818" s="372"/>
      <c r="E818" s="372"/>
      <c r="F818" s="372"/>
      <c r="G818" s="372"/>
    </row>
    <row r="819" ht="15.75" customHeight="1">
      <c r="A819" s="372"/>
      <c r="B819" s="372"/>
      <c r="C819" s="372"/>
      <c r="D819" s="372"/>
      <c r="E819" s="372"/>
      <c r="F819" s="372"/>
      <c r="G819" s="372"/>
    </row>
    <row r="820" ht="15.75" customHeight="1">
      <c r="A820" s="372"/>
      <c r="B820" s="372"/>
      <c r="C820" s="372"/>
      <c r="D820" s="372"/>
      <c r="E820" s="372"/>
      <c r="F820" s="372"/>
      <c r="G820" s="372"/>
    </row>
    <row r="821" ht="15.75" customHeight="1">
      <c r="A821" s="372"/>
      <c r="B821" s="372"/>
      <c r="C821" s="372"/>
      <c r="D821" s="372"/>
      <c r="E821" s="372"/>
      <c r="F821" s="372"/>
      <c r="G821" s="372"/>
    </row>
    <row r="822" ht="15.75" customHeight="1">
      <c r="A822" s="372"/>
      <c r="B822" s="372"/>
      <c r="C822" s="372"/>
      <c r="D822" s="372"/>
      <c r="E822" s="372"/>
      <c r="F822" s="372"/>
      <c r="G822" s="372"/>
    </row>
    <row r="823" ht="15.75" customHeight="1">
      <c r="A823" s="372"/>
      <c r="B823" s="372"/>
      <c r="C823" s="372"/>
      <c r="D823" s="372"/>
      <c r="E823" s="372"/>
      <c r="F823" s="372"/>
      <c r="G823" s="372"/>
    </row>
    <row r="824" ht="15.75" customHeight="1">
      <c r="A824" s="372"/>
      <c r="B824" s="372"/>
      <c r="C824" s="372"/>
      <c r="D824" s="372"/>
      <c r="E824" s="372"/>
      <c r="F824" s="372"/>
      <c r="G824" s="372"/>
    </row>
    <row r="825" ht="15.75" customHeight="1">
      <c r="A825" s="372"/>
      <c r="B825" s="372"/>
      <c r="C825" s="372"/>
      <c r="D825" s="372"/>
      <c r="E825" s="372"/>
      <c r="F825" s="372"/>
      <c r="G825" s="372"/>
    </row>
    <row r="826" ht="15.75" customHeight="1">
      <c r="A826" s="372"/>
      <c r="B826" s="372"/>
      <c r="C826" s="372"/>
      <c r="D826" s="372"/>
      <c r="E826" s="372"/>
      <c r="F826" s="372"/>
      <c r="G826" s="372"/>
    </row>
    <row r="827" ht="15.75" customHeight="1">
      <c r="A827" s="372"/>
      <c r="B827" s="372"/>
      <c r="C827" s="372"/>
      <c r="D827" s="372"/>
      <c r="E827" s="372"/>
      <c r="F827" s="372"/>
      <c r="G827" s="372"/>
    </row>
    <row r="828" ht="15.75" customHeight="1">
      <c r="A828" s="372"/>
      <c r="B828" s="372"/>
      <c r="C828" s="372"/>
      <c r="D828" s="372"/>
      <c r="E828" s="372"/>
      <c r="F828" s="372"/>
      <c r="G828" s="372"/>
    </row>
    <row r="829" ht="15.75" customHeight="1">
      <c r="A829" s="372"/>
      <c r="B829" s="372"/>
      <c r="C829" s="372"/>
      <c r="D829" s="372"/>
      <c r="E829" s="372"/>
      <c r="F829" s="372"/>
      <c r="G829" s="372"/>
    </row>
    <row r="830" ht="15.75" customHeight="1">
      <c r="A830" s="372"/>
      <c r="B830" s="372"/>
      <c r="C830" s="372"/>
      <c r="D830" s="372"/>
      <c r="E830" s="372"/>
      <c r="F830" s="372"/>
      <c r="G830" s="372"/>
    </row>
    <row r="831" ht="15.75" customHeight="1">
      <c r="A831" s="372"/>
      <c r="B831" s="372"/>
      <c r="C831" s="372"/>
      <c r="D831" s="372"/>
      <c r="E831" s="372"/>
      <c r="F831" s="372"/>
      <c r="G831" s="372"/>
    </row>
    <row r="832" ht="15.75" customHeight="1">
      <c r="A832" s="372"/>
      <c r="B832" s="372"/>
      <c r="C832" s="372"/>
      <c r="D832" s="372"/>
      <c r="E832" s="372"/>
      <c r="F832" s="372"/>
      <c r="G832" s="372"/>
    </row>
    <row r="833" ht="15.75" customHeight="1">
      <c r="A833" s="372"/>
      <c r="B833" s="372"/>
      <c r="C833" s="372"/>
      <c r="D833" s="372"/>
      <c r="E833" s="372"/>
      <c r="F833" s="372"/>
      <c r="G833" s="372"/>
    </row>
    <row r="834" ht="15.75" customHeight="1">
      <c r="A834" s="372"/>
      <c r="B834" s="372"/>
      <c r="C834" s="372"/>
      <c r="D834" s="372"/>
      <c r="E834" s="372"/>
      <c r="F834" s="372"/>
      <c r="G834" s="372"/>
    </row>
    <row r="835" ht="15.75" customHeight="1">
      <c r="A835" s="372"/>
      <c r="B835" s="372"/>
      <c r="C835" s="372"/>
      <c r="D835" s="372"/>
      <c r="E835" s="372"/>
      <c r="F835" s="372"/>
      <c r="G835" s="372"/>
    </row>
    <row r="836" ht="15.75" customHeight="1">
      <c r="A836" s="372"/>
      <c r="B836" s="372"/>
      <c r="C836" s="372"/>
      <c r="D836" s="372"/>
      <c r="E836" s="372"/>
      <c r="F836" s="372"/>
      <c r="G836" s="372"/>
    </row>
    <row r="837" ht="15.75" customHeight="1">
      <c r="A837" s="372"/>
      <c r="B837" s="372"/>
      <c r="C837" s="372"/>
      <c r="D837" s="372"/>
      <c r="E837" s="372"/>
      <c r="F837" s="372"/>
      <c r="G837" s="372"/>
    </row>
    <row r="838" ht="15.75" customHeight="1">
      <c r="A838" s="372"/>
      <c r="B838" s="372"/>
      <c r="C838" s="372"/>
      <c r="D838" s="372"/>
      <c r="E838" s="372"/>
      <c r="F838" s="372"/>
      <c r="G838" s="372"/>
    </row>
    <row r="839" ht="15.75" customHeight="1">
      <c r="A839" s="372"/>
      <c r="B839" s="372"/>
      <c r="C839" s="372"/>
      <c r="D839" s="372"/>
      <c r="E839" s="372"/>
      <c r="F839" s="372"/>
      <c r="G839" s="372"/>
    </row>
    <row r="840" ht="15.75" customHeight="1">
      <c r="A840" s="372"/>
      <c r="B840" s="372"/>
      <c r="C840" s="372"/>
      <c r="D840" s="372"/>
      <c r="E840" s="372"/>
      <c r="F840" s="372"/>
      <c r="G840" s="372"/>
    </row>
    <row r="841" ht="15.75" customHeight="1">
      <c r="A841" s="372"/>
      <c r="B841" s="372"/>
      <c r="C841" s="372"/>
      <c r="D841" s="372"/>
      <c r="E841" s="372"/>
      <c r="F841" s="372"/>
      <c r="G841" s="372"/>
    </row>
    <row r="842" ht="15.75" customHeight="1">
      <c r="A842" s="372"/>
      <c r="B842" s="372"/>
      <c r="C842" s="372"/>
      <c r="D842" s="372"/>
      <c r="E842" s="372"/>
      <c r="F842" s="372"/>
      <c r="G842" s="372"/>
    </row>
    <row r="843" ht="15.75" customHeight="1">
      <c r="A843" s="372"/>
      <c r="B843" s="372"/>
      <c r="C843" s="372"/>
      <c r="D843" s="372"/>
      <c r="E843" s="372"/>
      <c r="F843" s="372"/>
      <c r="G843" s="372"/>
    </row>
    <row r="844" ht="15.75" customHeight="1">
      <c r="A844" s="372"/>
      <c r="B844" s="372"/>
      <c r="C844" s="372"/>
      <c r="D844" s="372"/>
      <c r="E844" s="372"/>
      <c r="F844" s="372"/>
      <c r="G844" s="372"/>
    </row>
    <row r="845" ht="15.75" customHeight="1">
      <c r="A845" s="372"/>
      <c r="B845" s="372"/>
      <c r="C845" s="372"/>
      <c r="D845" s="372"/>
      <c r="E845" s="372"/>
      <c r="F845" s="372"/>
      <c r="G845" s="372"/>
    </row>
    <row r="846" ht="15.75" customHeight="1">
      <c r="A846" s="372"/>
      <c r="B846" s="372"/>
      <c r="C846" s="372"/>
      <c r="D846" s="372"/>
      <c r="E846" s="372"/>
      <c r="F846" s="372"/>
      <c r="G846" s="372"/>
    </row>
    <row r="847" ht="15.75" customHeight="1">
      <c r="A847" s="372"/>
      <c r="B847" s="372"/>
      <c r="C847" s="372"/>
      <c r="D847" s="372"/>
      <c r="E847" s="372"/>
      <c r="F847" s="372"/>
      <c r="G847" s="372"/>
    </row>
    <row r="848" ht="15.75" customHeight="1">
      <c r="A848" s="372"/>
      <c r="B848" s="372"/>
      <c r="C848" s="372"/>
      <c r="D848" s="372"/>
      <c r="E848" s="372"/>
      <c r="F848" s="372"/>
      <c r="G848" s="372"/>
    </row>
    <row r="849" ht="15.75" customHeight="1">
      <c r="A849" s="372"/>
      <c r="B849" s="372"/>
      <c r="C849" s="372"/>
      <c r="D849" s="372"/>
      <c r="E849" s="372"/>
      <c r="F849" s="372"/>
      <c r="G849" s="372"/>
    </row>
    <row r="850" ht="15.75" customHeight="1">
      <c r="A850" s="372"/>
      <c r="B850" s="372"/>
      <c r="C850" s="372"/>
      <c r="D850" s="372"/>
      <c r="E850" s="372"/>
      <c r="F850" s="372"/>
      <c r="G850" s="372"/>
    </row>
    <row r="851" ht="15.75" customHeight="1">
      <c r="A851" s="372"/>
      <c r="B851" s="372"/>
      <c r="C851" s="372"/>
      <c r="D851" s="372"/>
      <c r="E851" s="372"/>
      <c r="F851" s="372"/>
      <c r="G851" s="372"/>
    </row>
    <row r="852" ht="15.75" customHeight="1">
      <c r="A852" s="372"/>
      <c r="B852" s="372"/>
      <c r="C852" s="372"/>
      <c r="D852" s="372"/>
      <c r="E852" s="372"/>
      <c r="F852" s="372"/>
      <c r="G852" s="372"/>
    </row>
    <row r="853" ht="15.75" customHeight="1">
      <c r="A853" s="372"/>
      <c r="B853" s="372"/>
      <c r="C853" s="372"/>
      <c r="D853" s="372"/>
      <c r="E853" s="372"/>
      <c r="F853" s="372"/>
      <c r="G853" s="372"/>
    </row>
    <row r="854" ht="15.75" customHeight="1">
      <c r="A854" s="372"/>
      <c r="B854" s="372"/>
      <c r="C854" s="372"/>
      <c r="D854" s="372"/>
      <c r="E854" s="372"/>
      <c r="F854" s="372"/>
      <c r="G854" s="372"/>
    </row>
    <row r="855" ht="15.75" customHeight="1">
      <c r="A855" s="372"/>
      <c r="B855" s="372"/>
      <c r="C855" s="372"/>
      <c r="D855" s="372"/>
      <c r="E855" s="372"/>
      <c r="F855" s="372"/>
      <c r="G855" s="372"/>
    </row>
    <row r="856" ht="15.75" customHeight="1">
      <c r="A856" s="372"/>
      <c r="B856" s="372"/>
      <c r="C856" s="372"/>
      <c r="D856" s="372"/>
      <c r="E856" s="372"/>
      <c r="F856" s="372"/>
      <c r="G856" s="372"/>
    </row>
    <row r="857" ht="15.75" customHeight="1">
      <c r="A857" s="372"/>
      <c r="B857" s="372"/>
      <c r="C857" s="372"/>
      <c r="D857" s="372"/>
      <c r="E857" s="372"/>
      <c r="F857" s="372"/>
      <c r="G857" s="372"/>
    </row>
    <row r="858" ht="15.75" customHeight="1">
      <c r="A858" s="372"/>
      <c r="B858" s="372"/>
      <c r="C858" s="372"/>
      <c r="D858" s="372"/>
      <c r="E858" s="372"/>
      <c r="F858" s="372"/>
      <c r="G858" s="372"/>
    </row>
    <row r="859" ht="15.75" customHeight="1">
      <c r="A859" s="372"/>
      <c r="B859" s="372"/>
      <c r="C859" s="372"/>
      <c r="D859" s="372"/>
      <c r="E859" s="372"/>
      <c r="F859" s="372"/>
      <c r="G859" s="372"/>
    </row>
    <row r="860" ht="15.75" customHeight="1">
      <c r="A860" s="372"/>
      <c r="B860" s="372"/>
      <c r="C860" s="372"/>
      <c r="D860" s="372"/>
      <c r="E860" s="372"/>
      <c r="F860" s="372"/>
      <c r="G860" s="372"/>
    </row>
    <row r="861" ht="15.75" customHeight="1">
      <c r="A861" s="372"/>
      <c r="B861" s="372"/>
      <c r="C861" s="372"/>
      <c r="D861" s="372"/>
      <c r="E861" s="372"/>
      <c r="F861" s="372"/>
      <c r="G861" s="372"/>
    </row>
    <row r="862" ht="15.75" customHeight="1">
      <c r="A862" s="372"/>
      <c r="B862" s="372"/>
      <c r="C862" s="372"/>
      <c r="D862" s="372"/>
      <c r="E862" s="372"/>
      <c r="F862" s="372"/>
      <c r="G862" s="372"/>
    </row>
    <row r="863" ht="15.75" customHeight="1">
      <c r="A863" s="372"/>
      <c r="B863" s="372"/>
      <c r="C863" s="372"/>
      <c r="D863" s="372"/>
      <c r="E863" s="372"/>
      <c r="F863" s="372"/>
      <c r="G863" s="372"/>
    </row>
    <row r="864" ht="15.75" customHeight="1">
      <c r="A864" s="372"/>
      <c r="B864" s="372"/>
      <c r="C864" s="372"/>
      <c r="D864" s="372"/>
      <c r="E864" s="372"/>
      <c r="F864" s="372"/>
      <c r="G864" s="372"/>
    </row>
    <row r="865" ht="15.75" customHeight="1">
      <c r="A865" s="372"/>
      <c r="B865" s="372"/>
      <c r="C865" s="372"/>
      <c r="D865" s="372"/>
      <c r="E865" s="372"/>
      <c r="F865" s="372"/>
      <c r="G865" s="372"/>
    </row>
    <row r="866" ht="15.75" customHeight="1">
      <c r="A866" s="372"/>
      <c r="B866" s="372"/>
      <c r="C866" s="372"/>
      <c r="D866" s="372"/>
      <c r="E866" s="372"/>
      <c r="F866" s="372"/>
      <c r="G866" s="372"/>
    </row>
    <row r="867" ht="15.75" customHeight="1">
      <c r="A867" s="372"/>
      <c r="B867" s="372"/>
      <c r="C867" s="372"/>
      <c r="D867" s="372"/>
      <c r="E867" s="372"/>
      <c r="F867" s="372"/>
      <c r="G867" s="372"/>
    </row>
    <row r="868" ht="15.75" customHeight="1">
      <c r="A868" s="372"/>
      <c r="B868" s="372"/>
      <c r="C868" s="372"/>
      <c r="D868" s="372"/>
      <c r="E868" s="372"/>
      <c r="F868" s="372"/>
      <c r="G868" s="372"/>
    </row>
    <row r="869" ht="15.75" customHeight="1">
      <c r="A869" s="372"/>
      <c r="B869" s="372"/>
      <c r="C869" s="372"/>
      <c r="D869" s="372"/>
      <c r="E869" s="372"/>
      <c r="F869" s="372"/>
      <c r="G869" s="372"/>
    </row>
    <row r="870" ht="15.75" customHeight="1">
      <c r="A870" s="372"/>
      <c r="B870" s="372"/>
      <c r="C870" s="372"/>
      <c r="D870" s="372"/>
      <c r="E870" s="372"/>
      <c r="F870" s="372"/>
      <c r="G870" s="372"/>
    </row>
    <row r="871" ht="15.75" customHeight="1">
      <c r="A871" s="372"/>
      <c r="B871" s="372"/>
      <c r="C871" s="372"/>
      <c r="D871" s="372"/>
      <c r="E871" s="372"/>
      <c r="F871" s="372"/>
      <c r="G871" s="372"/>
    </row>
    <row r="872" ht="15.75" customHeight="1">
      <c r="A872" s="372"/>
      <c r="B872" s="372"/>
      <c r="C872" s="372"/>
      <c r="D872" s="372"/>
      <c r="E872" s="372"/>
      <c r="F872" s="372"/>
      <c r="G872" s="372"/>
    </row>
    <row r="873" ht="15.75" customHeight="1">
      <c r="A873" s="372"/>
      <c r="B873" s="372"/>
      <c r="C873" s="372"/>
      <c r="D873" s="372"/>
      <c r="E873" s="372"/>
      <c r="F873" s="372"/>
      <c r="G873" s="372"/>
    </row>
    <row r="874" ht="15.75" customHeight="1">
      <c r="A874" s="372"/>
      <c r="B874" s="372"/>
      <c r="C874" s="372"/>
      <c r="D874" s="372"/>
      <c r="E874" s="372"/>
      <c r="F874" s="372"/>
      <c r="G874" s="372"/>
    </row>
    <row r="875" ht="15.75" customHeight="1">
      <c r="A875" s="372"/>
      <c r="B875" s="372"/>
      <c r="C875" s="372"/>
      <c r="D875" s="372"/>
      <c r="E875" s="372"/>
      <c r="F875" s="372"/>
      <c r="G875" s="372"/>
    </row>
    <row r="876" ht="15.75" customHeight="1">
      <c r="A876" s="372"/>
      <c r="B876" s="372"/>
      <c r="C876" s="372"/>
      <c r="D876" s="372"/>
      <c r="E876" s="372"/>
      <c r="F876" s="372"/>
      <c r="G876" s="372"/>
    </row>
    <row r="877" ht="15.75" customHeight="1">
      <c r="A877" s="372"/>
      <c r="B877" s="372"/>
      <c r="C877" s="372"/>
      <c r="D877" s="372"/>
      <c r="E877" s="372"/>
      <c r="F877" s="372"/>
      <c r="G877" s="372"/>
    </row>
    <row r="878" ht="15.75" customHeight="1">
      <c r="A878" s="372"/>
      <c r="B878" s="372"/>
      <c r="C878" s="372"/>
      <c r="D878" s="372"/>
      <c r="E878" s="372"/>
      <c r="F878" s="372"/>
      <c r="G878" s="372"/>
    </row>
    <row r="879" ht="15.75" customHeight="1">
      <c r="A879" s="372"/>
      <c r="B879" s="372"/>
      <c r="C879" s="372"/>
      <c r="D879" s="372"/>
      <c r="E879" s="372"/>
      <c r="F879" s="372"/>
      <c r="G879" s="372"/>
    </row>
    <row r="880" ht="15.75" customHeight="1">
      <c r="A880" s="372"/>
      <c r="B880" s="372"/>
      <c r="C880" s="372"/>
      <c r="D880" s="372"/>
      <c r="E880" s="372"/>
      <c r="F880" s="372"/>
      <c r="G880" s="372"/>
    </row>
    <row r="881" ht="15.75" customHeight="1">
      <c r="A881" s="372"/>
      <c r="B881" s="372"/>
      <c r="C881" s="372"/>
      <c r="D881" s="372"/>
      <c r="E881" s="372"/>
      <c r="F881" s="372"/>
      <c r="G881" s="372"/>
    </row>
    <row r="882" ht="15.75" customHeight="1">
      <c r="A882" s="372"/>
      <c r="B882" s="372"/>
      <c r="C882" s="372"/>
      <c r="D882" s="372"/>
      <c r="E882" s="372"/>
      <c r="F882" s="372"/>
      <c r="G882" s="372"/>
    </row>
    <row r="883" ht="15.75" customHeight="1">
      <c r="A883" s="372"/>
      <c r="B883" s="372"/>
      <c r="C883" s="372"/>
      <c r="D883" s="372"/>
      <c r="E883" s="372"/>
      <c r="F883" s="372"/>
      <c r="G883" s="372"/>
    </row>
    <row r="884" ht="15.75" customHeight="1">
      <c r="A884" s="372"/>
      <c r="B884" s="372"/>
      <c r="C884" s="372"/>
      <c r="D884" s="372"/>
      <c r="E884" s="372"/>
      <c r="F884" s="372"/>
      <c r="G884" s="372"/>
    </row>
    <row r="885" ht="15.75" customHeight="1">
      <c r="A885" s="372"/>
      <c r="B885" s="372"/>
      <c r="C885" s="372"/>
      <c r="D885" s="372"/>
      <c r="E885" s="372"/>
      <c r="F885" s="372"/>
      <c r="G885" s="372"/>
    </row>
    <row r="886" ht="15.75" customHeight="1">
      <c r="A886" s="372"/>
      <c r="B886" s="372"/>
      <c r="C886" s="372"/>
      <c r="D886" s="372"/>
      <c r="E886" s="372"/>
      <c r="F886" s="372"/>
      <c r="G886" s="372"/>
    </row>
    <row r="887" ht="15.75" customHeight="1">
      <c r="A887" s="372"/>
      <c r="B887" s="372"/>
      <c r="C887" s="372"/>
      <c r="D887" s="372"/>
      <c r="E887" s="372"/>
      <c r="F887" s="372"/>
      <c r="G887" s="372"/>
    </row>
    <row r="888" ht="15.75" customHeight="1">
      <c r="A888" s="372"/>
      <c r="B888" s="372"/>
      <c r="C888" s="372"/>
      <c r="D888" s="372"/>
      <c r="E888" s="372"/>
      <c r="F888" s="372"/>
      <c r="G888" s="372"/>
    </row>
    <row r="889" ht="15.75" customHeight="1">
      <c r="A889" s="372"/>
      <c r="B889" s="372"/>
      <c r="C889" s="372"/>
      <c r="D889" s="372"/>
      <c r="E889" s="372"/>
      <c r="F889" s="372"/>
      <c r="G889" s="372"/>
    </row>
    <row r="890" ht="15.75" customHeight="1">
      <c r="A890" s="372"/>
      <c r="B890" s="372"/>
      <c r="C890" s="372"/>
      <c r="D890" s="372"/>
      <c r="E890" s="372"/>
      <c r="F890" s="372"/>
      <c r="G890" s="372"/>
    </row>
    <row r="891" ht="15.75" customHeight="1">
      <c r="A891" s="372"/>
      <c r="B891" s="372"/>
      <c r="C891" s="372"/>
      <c r="D891" s="372"/>
      <c r="E891" s="372"/>
      <c r="F891" s="372"/>
      <c r="G891" s="372"/>
    </row>
    <row r="892" ht="15.75" customHeight="1">
      <c r="A892" s="372"/>
      <c r="B892" s="372"/>
      <c r="C892" s="372"/>
      <c r="D892" s="372"/>
      <c r="E892" s="372"/>
      <c r="F892" s="372"/>
      <c r="G892" s="372"/>
    </row>
    <row r="893" ht="15.75" customHeight="1">
      <c r="A893" s="372"/>
      <c r="B893" s="372"/>
      <c r="C893" s="372"/>
      <c r="D893" s="372"/>
      <c r="E893" s="372"/>
      <c r="F893" s="372"/>
      <c r="G893" s="372"/>
    </row>
    <row r="894" ht="15.75" customHeight="1">
      <c r="A894" s="372"/>
      <c r="B894" s="372"/>
      <c r="C894" s="372"/>
      <c r="D894" s="372"/>
      <c r="E894" s="372"/>
      <c r="F894" s="372"/>
      <c r="G894" s="372"/>
    </row>
    <row r="895" ht="15.75" customHeight="1">
      <c r="A895" s="372"/>
      <c r="B895" s="372"/>
      <c r="C895" s="372"/>
      <c r="D895" s="372"/>
      <c r="E895" s="372"/>
      <c r="F895" s="372"/>
      <c r="G895" s="372"/>
    </row>
    <row r="896" ht="15.75" customHeight="1">
      <c r="A896" s="372"/>
      <c r="B896" s="372"/>
      <c r="C896" s="372"/>
      <c r="D896" s="372"/>
      <c r="E896" s="372"/>
      <c r="F896" s="372"/>
      <c r="G896" s="372"/>
    </row>
    <row r="897" ht="15.75" customHeight="1">
      <c r="A897" s="372"/>
      <c r="B897" s="372"/>
      <c r="C897" s="372"/>
      <c r="D897" s="372"/>
      <c r="E897" s="372"/>
      <c r="F897" s="372"/>
      <c r="G897" s="372"/>
    </row>
    <row r="898" ht="15.75" customHeight="1">
      <c r="A898" s="372"/>
      <c r="B898" s="372"/>
      <c r="C898" s="372"/>
      <c r="D898" s="372"/>
      <c r="E898" s="372"/>
      <c r="F898" s="372"/>
      <c r="G898" s="372"/>
    </row>
    <row r="899" ht="15.75" customHeight="1">
      <c r="A899" s="372"/>
      <c r="B899" s="372"/>
      <c r="C899" s="372"/>
      <c r="D899" s="372"/>
      <c r="E899" s="372"/>
      <c r="F899" s="372"/>
      <c r="G899" s="372"/>
    </row>
    <row r="900" ht="15.75" customHeight="1">
      <c r="A900" s="372"/>
      <c r="B900" s="372"/>
      <c r="C900" s="372"/>
      <c r="D900" s="372"/>
      <c r="E900" s="372"/>
      <c r="F900" s="372"/>
      <c r="G900" s="372"/>
    </row>
    <row r="901" ht="15.75" customHeight="1">
      <c r="A901" s="372"/>
      <c r="B901" s="372"/>
      <c r="C901" s="372"/>
      <c r="D901" s="372"/>
      <c r="E901" s="372"/>
      <c r="F901" s="372"/>
      <c r="G901" s="372"/>
    </row>
    <row r="902" ht="15.75" customHeight="1">
      <c r="A902" s="372"/>
      <c r="B902" s="372"/>
      <c r="C902" s="372"/>
      <c r="D902" s="372"/>
      <c r="E902" s="372"/>
      <c r="F902" s="372"/>
      <c r="G902" s="372"/>
    </row>
    <row r="903" ht="15.75" customHeight="1">
      <c r="A903" s="372"/>
      <c r="B903" s="372"/>
      <c r="C903" s="372"/>
      <c r="D903" s="372"/>
      <c r="E903" s="372"/>
      <c r="F903" s="372"/>
      <c r="G903" s="372"/>
    </row>
    <row r="904" ht="15.75" customHeight="1">
      <c r="A904" s="372"/>
      <c r="B904" s="372"/>
      <c r="C904" s="372"/>
      <c r="D904" s="372"/>
      <c r="E904" s="372"/>
      <c r="F904" s="372"/>
      <c r="G904" s="372"/>
    </row>
    <row r="905" ht="15.75" customHeight="1">
      <c r="A905" s="372"/>
      <c r="B905" s="372"/>
      <c r="C905" s="372"/>
      <c r="D905" s="372"/>
      <c r="E905" s="372"/>
      <c r="F905" s="372"/>
      <c r="G905" s="372"/>
    </row>
    <row r="906" ht="15.75" customHeight="1">
      <c r="A906" s="372"/>
      <c r="B906" s="372"/>
      <c r="C906" s="372"/>
      <c r="D906" s="372"/>
      <c r="E906" s="372"/>
      <c r="F906" s="372"/>
      <c r="G906" s="372"/>
    </row>
    <row r="907" ht="15.75" customHeight="1">
      <c r="A907" s="372"/>
      <c r="B907" s="372"/>
      <c r="C907" s="372"/>
      <c r="D907" s="372"/>
      <c r="E907" s="372"/>
      <c r="F907" s="372"/>
      <c r="G907" s="372"/>
    </row>
    <row r="908" ht="15.75" customHeight="1">
      <c r="A908" s="372"/>
      <c r="B908" s="372"/>
      <c r="C908" s="372"/>
      <c r="D908" s="372"/>
      <c r="E908" s="372"/>
      <c r="F908" s="372"/>
      <c r="G908" s="372"/>
    </row>
    <row r="909" ht="15.75" customHeight="1">
      <c r="A909" s="372"/>
      <c r="B909" s="372"/>
      <c r="C909" s="372"/>
      <c r="D909" s="372"/>
      <c r="E909" s="372"/>
      <c r="F909" s="372"/>
      <c r="G909" s="372"/>
    </row>
    <row r="910" ht="15.75" customHeight="1">
      <c r="A910" s="372"/>
      <c r="B910" s="372"/>
      <c r="C910" s="372"/>
      <c r="D910" s="372"/>
      <c r="E910" s="372"/>
      <c r="F910" s="372"/>
      <c r="G910" s="372"/>
    </row>
    <row r="911" ht="15.75" customHeight="1">
      <c r="A911" s="372"/>
      <c r="B911" s="372"/>
      <c r="C911" s="372"/>
      <c r="D911" s="372"/>
      <c r="E911" s="372"/>
      <c r="F911" s="372"/>
      <c r="G911" s="372"/>
    </row>
    <row r="912" ht="15.75" customHeight="1">
      <c r="A912" s="372"/>
      <c r="B912" s="372"/>
      <c r="C912" s="372"/>
      <c r="D912" s="372"/>
      <c r="E912" s="372"/>
      <c r="F912" s="372"/>
      <c r="G912" s="372"/>
    </row>
    <row r="913" ht="15.75" customHeight="1">
      <c r="A913" s="372"/>
      <c r="B913" s="372"/>
      <c r="C913" s="372"/>
      <c r="D913" s="372"/>
      <c r="E913" s="372"/>
      <c r="F913" s="372"/>
      <c r="G913" s="372"/>
    </row>
    <row r="914" ht="15.75" customHeight="1">
      <c r="A914" s="372"/>
      <c r="B914" s="372"/>
      <c r="C914" s="372"/>
      <c r="D914" s="372"/>
      <c r="E914" s="372"/>
      <c r="F914" s="372"/>
      <c r="G914" s="372"/>
    </row>
    <row r="915" ht="15.75" customHeight="1">
      <c r="A915" s="372"/>
      <c r="B915" s="372"/>
      <c r="C915" s="372"/>
      <c r="D915" s="372"/>
      <c r="E915" s="372"/>
      <c r="F915" s="372"/>
      <c r="G915" s="372"/>
    </row>
    <row r="916" ht="15.75" customHeight="1">
      <c r="A916" s="372"/>
      <c r="B916" s="372"/>
      <c r="C916" s="372"/>
      <c r="D916" s="372"/>
      <c r="E916" s="372"/>
      <c r="F916" s="372"/>
      <c r="G916" s="372"/>
    </row>
    <row r="917" ht="15.75" customHeight="1">
      <c r="A917" s="372"/>
      <c r="B917" s="372"/>
      <c r="C917" s="372"/>
      <c r="D917" s="372"/>
      <c r="E917" s="372"/>
      <c r="F917" s="372"/>
      <c r="G917" s="372"/>
    </row>
    <row r="918" ht="15.75" customHeight="1">
      <c r="A918" s="372"/>
      <c r="B918" s="372"/>
      <c r="C918" s="372"/>
      <c r="D918" s="372"/>
      <c r="E918" s="372"/>
      <c r="F918" s="372"/>
      <c r="G918" s="372"/>
    </row>
    <row r="919" ht="15.75" customHeight="1">
      <c r="A919" s="372"/>
      <c r="B919" s="372"/>
      <c r="C919" s="372"/>
      <c r="D919" s="372"/>
      <c r="E919" s="372"/>
      <c r="F919" s="372"/>
      <c r="G919" s="372"/>
    </row>
    <row r="920" ht="15.75" customHeight="1">
      <c r="A920" s="372"/>
      <c r="B920" s="372"/>
      <c r="C920" s="372"/>
      <c r="D920" s="372"/>
      <c r="E920" s="372"/>
      <c r="F920" s="372"/>
      <c r="G920" s="372"/>
    </row>
    <row r="921" ht="15.75" customHeight="1">
      <c r="A921" s="372"/>
      <c r="B921" s="372"/>
      <c r="C921" s="372"/>
      <c r="D921" s="372"/>
      <c r="E921" s="372"/>
      <c r="F921" s="372"/>
      <c r="G921" s="372"/>
    </row>
    <row r="922" ht="15.75" customHeight="1">
      <c r="A922" s="372"/>
      <c r="B922" s="372"/>
      <c r="C922" s="372"/>
      <c r="D922" s="372"/>
      <c r="E922" s="372"/>
      <c r="F922" s="372"/>
      <c r="G922" s="372"/>
    </row>
    <row r="923" ht="15.75" customHeight="1">
      <c r="A923" s="372"/>
      <c r="B923" s="372"/>
      <c r="C923" s="372"/>
      <c r="D923" s="372"/>
      <c r="E923" s="372"/>
      <c r="F923" s="372"/>
      <c r="G923" s="372"/>
    </row>
    <row r="924" ht="15.75" customHeight="1">
      <c r="A924" s="372"/>
      <c r="B924" s="372"/>
      <c r="C924" s="372"/>
      <c r="D924" s="372"/>
      <c r="E924" s="372"/>
      <c r="F924" s="372"/>
      <c r="G924" s="372"/>
    </row>
    <row r="925" ht="15.75" customHeight="1">
      <c r="A925" s="372"/>
      <c r="B925" s="372"/>
      <c r="C925" s="372"/>
      <c r="D925" s="372"/>
      <c r="E925" s="372"/>
      <c r="F925" s="372"/>
      <c r="G925" s="372"/>
    </row>
    <row r="926" ht="15.75" customHeight="1">
      <c r="A926" s="372"/>
      <c r="B926" s="372"/>
      <c r="C926" s="372"/>
      <c r="D926" s="372"/>
      <c r="E926" s="372"/>
      <c r="F926" s="372"/>
      <c r="G926" s="372"/>
    </row>
    <row r="927" ht="15.75" customHeight="1">
      <c r="A927" s="372"/>
      <c r="B927" s="372"/>
      <c r="C927" s="372"/>
      <c r="D927" s="372"/>
      <c r="E927" s="372"/>
      <c r="F927" s="372"/>
      <c r="G927" s="372"/>
    </row>
    <row r="928" ht="15.75" customHeight="1">
      <c r="A928" s="372"/>
      <c r="B928" s="372"/>
      <c r="C928" s="372"/>
      <c r="D928" s="372"/>
      <c r="E928" s="372"/>
      <c r="F928" s="372"/>
      <c r="G928" s="372"/>
    </row>
    <row r="929" ht="15.75" customHeight="1">
      <c r="A929" s="372"/>
      <c r="B929" s="372"/>
      <c r="C929" s="372"/>
      <c r="D929" s="372"/>
      <c r="E929" s="372"/>
      <c r="F929" s="372"/>
      <c r="G929" s="372"/>
    </row>
    <row r="930" ht="15.75" customHeight="1">
      <c r="A930" s="372"/>
      <c r="B930" s="372"/>
      <c r="C930" s="372"/>
      <c r="D930" s="372"/>
      <c r="E930" s="372"/>
      <c r="F930" s="372"/>
      <c r="G930" s="372"/>
    </row>
    <row r="931" ht="15.75" customHeight="1">
      <c r="A931" s="372"/>
      <c r="B931" s="372"/>
      <c r="C931" s="372"/>
      <c r="D931" s="372"/>
      <c r="E931" s="372"/>
      <c r="F931" s="372"/>
      <c r="G931" s="372"/>
    </row>
    <row r="932" ht="15.75" customHeight="1">
      <c r="A932" s="372"/>
      <c r="B932" s="372"/>
      <c r="C932" s="372"/>
      <c r="D932" s="372"/>
      <c r="E932" s="372"/>
      <c r="F932" s="372"/>
      <c r="G932" s="372"/>
    </row>
    <row r="933" ht="15.75" customHeight="1">
      <c r="A933" s="372"/>
      <c r="B933" s="372"/>
      <c r="C933" s="372"/>
      <c r="D933" s="372"/>
      <c r="E933" s="372"/>
      <c r="F933" s="372"/>
      <c r="G933" s="372"/>
    </row>
    <row r="934" ht="15.75" customHeight="1">
      <c r="A934" s="372"/>
      <c r="B934" s="372"/>
      <c r="C934" s="372"/>
      <c r="D934" s="372"/>
      <c r="E934" s="372"/>
      <c r="F934" s="372"/>
      <c r="G934" s="372"/>
    </row>
    <row r="935" ht="15.75" customHeight="1">
      <c r="A935" s="372"/>
      <c r="B935" s="372"/>
      <c r="C935" s="372"/>
      <c r="D935" s="372"/>
      <c r="E935" s="372"/>
      <c r="F935" s="372"/>
      <c r="G935" s="372"/>
    </row>
    <row r="936" ht="15.75" customHeight="1">
      <c r="A936" s="372"/>
      <c r="B936" s="372"/>
      <c r="C936" s="372"/>
      <c r="D936" s="372"/>
      <c r="E936" s="372"/>
      <c r="F936" s="372"/>
      <c r="G936" s="372"/>
    </row>
    <row r="937" ht="15.75" customHeight="1">
      <c r="A937" s="372"/>
      <c r="B937" s="372"/>
      <c r="C937" s="372"/>
      <c r="D937" s="372"/>
      <c r="E937" s="372"/>
      <c r="F937" s="372"/>
      <c r="G937" s="372"/>
    </row>
    <row r="938" ht="15.75" customHeight="1">
      <c r="A938" s="372"/>
      <c r="B938" s="372"/>
      <c r="C938" s="372"/>
      <c r="D938" s="372"/>
      <c r="E938" s="372"/>
      <c r="F938" s="372"/>
      <c r="G938" s="372"/>
    </row>
    <row r="939" ht="15.75" customHeight="1">
      <c r="A939" s="372"/>
      <c r="B939" s="372"/>
      <c r="C939" s="372"/>
      <c r="D939" s="372"/>
      <c r="E939" s="372"/>
      <c r="F939" s="372"/>
      <c r="G939" s="372"/>
    </row>
    <row r="940" ht="15.75" customHeight="1">
      <c r="A940" s="372"/>
      <c r="B940" s="372"/>
      <c r="C940" s="372"/>
      <c r="D940" s="372"/>
      <c r="E940" s="372"/>
      <c r="F940" s="372"/>
      <c r="G940" s="372"/>
    </row>
    <row r="941" ht="15.75" customHeight="1">
      <c r="A941" s="372"/>
      <c r="B941" s="372"/>
      <c r="C941" s="372"/>
      <c r="D941" s="372"/>
      <c r="E941" s="372"/>
      <c r="F941" s="372"/>
      <c r="G941" s="372"/>
    </row>
    <row r="942" ht="15.75" customHeight="1">
      <c r="A942" s="372"/>
      <c r="B942" s="372"/>
      <c r="C942" s="372"/>
      <c r="D942" s="372"/>
      <c r="E942" s="372"/>
      <c r="F942" s="372"/>
      <c r="G942" s="372"/>
    </row>
    <row r="943" ht="15.75" customHeight="1">
      <c r="A943" s="372"/>
      <c r="B943" s="372"/>
      <c r="C943" s="372"/>
      <c r="D943" s="372"/>
      <c r="E943" s="372"/>
      <c r="F943" s="372"/>
      <c r="G943" s="372"/>
    </row>
    <row r="944" ht="15.75" customHeight="1">
      <c r="A944" s="372"/>
      <c r="B944" s="372"/>
      <c r="C944" s="372"/>
      <c r="D944" s="372"/>
      <c r="E944" s="372"/>
      <c r="F944" s="372"/>
      <c r="G944" s="372"/>
    </row>
    <row r="945" ht="15.75" customHeight="1">
      <c r="A945" s="372"/>
      <c r="B945" s="372"/>
      <c r="C945" s="372"/>
      <c r="D945" s="372"/>
      <c r="E945" s="372"/>
      <c r="F945" s="372"/>
      <c r="G945" s="372"/>
    </row>
    <row r="946" ht="15.75" customHeight="1">
      <c r="A946" s="372"/>
      <c r="B946" s="372"/>
      <c r="C946" s="372"/>
      <c r="D946" s="372"/>
      <c r="E946" s="372"/>
      <c r="F946" s="372"/>
      <c r="G946" s="372"/>
    </row>
    <row r="947" ht="15.75" customHeight="1">
      <c r="A947" s="372"/>
      <c r="B947" s="372"/>
      <c r="C947" s="372"/>
      <c r="D947" s="372"/>
      <c r="E947" s="372"/>
      <c r="F947" s="372"/>
      <c r="G947" s="372"/>
    </row>
    <row r="948" ht="15.75" customHeight="1">
      <c r="A948" s="372"/>
      <c r="B948" s="372"/>
      <c r="C948" s="372"/>
      <c r="D948" s="372"/>
      <c r="E948" s="372"/>
      <c r="F948" s="372"/>
      <c r="G948" s="372"/>
    </row>
    <row r="949" ht="15.75" customHeight="1">
      <c r="A949" s="372"/>
      <c r="B949" s="372"/>
      <c r="C949" s="372"/>
      <c r="D949" s="372"/>
      <c r="E949" s="372"/>
      <c r="F949" s="372"/>
      <c r="G949" s="372"/>
    </row>
    <row r="950" ht="15.75" customHeight="1">
      <c r="A950" s="372"/>
      <c r="B950" s="372"/>
      <c r="C950" s="372"/>
      <c r="D950" s="372"/>
      <c r="E950" s="372"/>
      <c r="F950" s="372"/>
      <c r="G950" s="372"/>
    </row>
    <row r="951" ht="15.75" customHeight="1">
      <c r="A951" s="372"/>
      <c r="B951" s="372"/>
      <c r="C951" s="372"/>
      <c r="D951" s="372"/>
      <c r="E951" s="372"/>
      <c r="F951" s="372"/>
      <c r="G951" s="372"/>
    </row>
    <row r="952" ht="15.75" customHeight="1">
      <c r="A952" s="372"/>
      <c r="B952" s="372"/>
      <c r="C952" s="372"/>
      <c r="D952" s="372"/>
      <c r="E952" s="372"/>
      <c r="F952" s="372"/>
      <c r="G952" s="372"/>
    </row>
    <row r="953" ht="15.75" customHeight="1">
      <c r="A953" s="372"/>
      <c r="B953" s="372"/>
      <c r="C953" s="372"/>
      <c r="D953" s="372"/>
      <c r="E953" s="372"/>
      <c r="F953" s="372"/>
      <c r="G953" s="372"/>
    </row>
    <row r="954" ht="15.75" customHeight="1">
      <c r="A954" s="372"/>
      <c r="B954" s="372"/>
      <c r="C954" s="372"/>
      <c r="D954" s="372"/>
      <c r="E954" s="372"/>
      <c r="F954" s="372"/>
      <c r="G954" s="372"/>
    </row>
    <row r="955" ht="15.75" customHeight="1">
      <c r="A955" s="372"/>
      <c r="B955" s="372"/>
      <c r="C955" s="372"/>
      <c r="D955" s="372"/>
      <c r="E955" s="372"/>
      <c r="F955" s="372"/>
      <c r="G955" s="372"/>
    </row>
    <row r="956" ht="15.75" customHeight="1">
      <c r="A956" s="372"/>
      <c r="B956" s="372"/>
      <c r="C956" s="372"/>
      <c r="D956" s="372"/>
      <c r="E956" s="372"/>
      <c r="F956" s="372"/>
      <c r="G956" s="372"/>
    </row>
    <row r="957" ht="15.75" customHeight="1">
      <c r="A957" s="372"/>
      <c r="B957" s="372"/>
      <c r="C957" s="372"/>
      <c r="D957" s="372"/>
      <c r="E957" s="372"/>
      <c r="F957" s="372"/>
      <c r="G957" s="372"/>
    </row>
    <row r="958" ht="15.75" customHeight="1">
      <c r="A958" s="372"/>
      <c r="B958" s="372"/>
      <c r="C958" s="372"/>
      <c r="D958" s="372"/>
      <c r="E958" s="372"/>
      <c r="F958" s="372"/>
      <c r="G958" s="372"/>
    </row>
    <row r="959" ht="15.75" customHeight="1">
      <c r="A959" s="372"/>
      <c r="B959" s="372"/>
      <c r="C959" s="372"/>
      <c r="D959" s="372"/>
      <c r="E959" s="372"/>
      <c r="F959" s="372"/>
      <c r="G959" s="372"/>
    </row>
    <row r="960" ht="15.75" customHeight="1">
      <c r="A960" s="372"/>
      <c r="B960" s="372"/>
      <c r="C960" s="372"/>
      <c r="D960" s="372"/>
      <c r="E960" s="372"/>
      <c r="F960" s="372"/>
      <c r="G960" s="372"/>
    </row>
    <row r="961" ht="15.75" customHeight="1">
      <c r="A961" s="372"/>
      <c r="B961" s="372"/>
      <c r="C961" s="372"/>
      <c r="D961" s="372"/>
      <c r="E961" s="372"/>
      <c r="F961" s="372"/>
      <c r="G961" s="372"/>
    </row>
    <row r="962" ht="15.75" customHeight="1">
      <c r="A962" s="372"/>
      <c r="B962" s="372"/>
      <c r="C962" s="372"/>
      <c r="D962" s="372"/>
      <c r="E962" s="372"/>
      <c r="F962" s="372"/>
      <c r="G962" s="372"/>
    </row>
    <row r="963" ht="15.75" customHeight="1">
      <c r="A963" s="372"/>
      <c r="B963" s="372"/>
      <c r="C963" s="372"/>
      <c r="D963" s="372"/>
      <c r="E963" s="372"/>
      <c r="F963" s="372"/>
      <c r="G963" s="372"/>
    </row>
    <row r="964" ht="15.75" customHeight="1">
      <c r="A964" s="372"/>
      <c r="B964" s="372"/>
      <c r="C964" s="372"/>
      <c r="D964" s="372"/>
      <c r="E964" s="372"/>
      <c r="F964" s="372"/>
      <c r="G964" s="372"/>
    </row>
    <row r="965" ht="15.75" customHeight="1">
      <c r="A965" s="372"/>
      <c r="B965" s="372"/>
      <c r="C965" s="372"/>
      <c r="D965" s="372"/>
      <c r="E965" s="372"/>
      <c r="F965" s="372"/>
      <c r="G965" s="372"/>
    </row>
    <row r="966" ht="15.75" customHeight="1">
      <c r="A966" s="372"/>
      <c r="B966" s="372"/>
      <c r="C966" s="372"/>
      <c r="D966" s="372"/>
      <c r="E966" s="372"/>
      <c r="F966" s="372"/>
      <c r="G966" s="372"/>
    </row>
    <row r="967" ht="15.75" customHeight="1">
      <c r="A967" s="372"/>
      <c r="B967" s="372"/>
      <c r="C967" s="372"/>
      <c r="D967" s="372"/>
      <c r="E967" s="372"/>
      <c r="F967" s="372"/>
      <c r="G967" s="372"/>
    </row>
    <row r="968" ht="15.75" customHeight="1">
      <c r="A968" s="372"/>
      <c r="B968" s="372"/>
      <c r="C968" s="372"/>
      <c r="D968" s="372"/>
      <c r="E968" s="372"/>
      <c r="F968" s="372"/>
      <c r="G968" s="372"/>
    </row>
    <row r="969" ht="15.75" customHeight="1">
      <c r="A969" s="372"/>
      <c r="B969" s="372"/>
      <c r="C969" s="372"/>
      <c r="D969" s="372"/>
      <c r="E969" s="372"/>
      <c r="F969" s="372"/>
      <c r="G969" s="372"/>
    </row>
    <row r="970" ht="15.75" customHeight="1">
      <c r="A970" s="372"/>
      <c r="B970" s="372"/>
      <c r="C970" s="372"/>
      <c r="D970" s="372"/>
      <c r="E970" s="372"/>
      <c r="F970" s="372"/>
      <c r="G970" s="372"/>
    </row>
    <row r="971" ht="15.75" customHeight="1">
      <c r="A971" s="372"/>
      <c r="B971" s="372"/>
      <c r="C971" s="372"/>
      <c r="D971" s="372"/>
      <c r="E971" s="372"/>
      <c r="F971" s="372"/>
      <c r="G971" s="372"/>
    </row>
    <row r="972" ht="15.75" customHeight="1">
      <c r="A972" s="372"/>
      <c r="B972" s="372"/>
      <c r="C972" s="372"/>
      <c r="D972" s="372"/>
      <c r="E972" s="372"/>
      <c r="F972" s="372"/>
      <c r="G972" s="372"/>
    </row>
    <row r="973" ht="15.75" customHeight="1">
      <c r="A973" s="372"/>
      <c r="B973" s="372"/>
      <c r="C973" s="372"/>
      <c r="D973" s="372"/>
      <c r="E973" s="372"/>
      <c r="F973" s="372"/>
      <c r="G973" s="372"/>
    </row>
    <row r="974" ht="15.75" customHeight="1">
      <c r="A974" s="372"/>
      <c r="B974" s="372"/>
      <c r="C974" s="372"/>
      <c r="D974" s="372"/>
      <c r="E974" s="372"/>
      <c r="F974" s="372"/>
      <c r="G974" s="372"/>
    </row>
    <row r="975" ht="15.75" customHeight="1">
      <c r="A975" s="372"/>
      <c r="B975" s="372"/>
      <c r="C975" s="372"/>
      <c r="D975" s="372"/>
      <c r="E975" s="372"/>
      <c r="F975" s="372"/>
      <c r="G975" s="372"/>
    </row>
    <row r="976" ht="15.75" customHeight="1">
      <c r="A976" s="372"/>
      <c r="B976" s="372"/>
      <c r="C976" s="372"/>
      <c r="D976" s="372"/>
      <c r="E976" s="372"/>
      <c r="F976" s="372"/>
      <c r="G976" s="372"/>
    </row>
    <row r="977" ht="15.75" customHeight="1">
      <c r="A977" s="372"/>
      <c r="B977" s="372"/>
      <c r="C977" s="372"/>
      <c r="D977" s="372"/>
      <c r="E977" s="372"/>
      <c r="F977" s="372"/>
      <c r="G977" s="372"/>
    </row>
    <row r="978" ht="15.75" customHeight="1">
      <c r="A978" s="372"/>
      <c r="B978" s="372"/>
      <c r="C978" s="372"/>
      <c r="D978" s="372"/>
      <c r="E978" s="372"/>
      <c r="F978" s="372"/>
      <c r="G978" s="372"/>
    </row>
    <row r="979" ht="15.75" customHeight="1">
      <c r="A979" s="372"/>
      <c r="B979" s="372"/>
      <c r="C979" s="372"/>
      <c r="D979" s="372"/>
      <c r="E979" s="372"/>
      <c r="F979" s="372"/>
      <c r="G979" s="372"/>
    </row>
    <row r="980" ht="15.75" customHeight="1">
      <c r="A980" s="372"/>
      <c r="B980" s="372"/>
      <c r="C980" s="372"/>
      <c r="D980" s="372"/>
      <c r="E980" s="372"/>
      <c r="F980" s="372"/>
      <c r="G980" s="372"/>
    </row>
    <row r="981" ht="15.75" customHeight="1">
      <c r="A981" s="372"/>
      <c r="B981" s="372"/>
      <c r="C981" s="372"/>
      <c r="D981" s="372"/>
      <c r="E981" s="372"/>
      <c r="F981" s="372"/>
      <c r="G981" s="372"/>
    </row>
    <row r="982" ht="15.75" customHeight="1">
      <c r="A982" s="372"/>
      <c r="B982" s="372"/>
      <c r="C982" s="372"/>
      <c r="D982" s="372"/>
      <c r="E982" s="372"/>
      <c r="F982" s="372"/>
      <c r="G982" s="372"/>
    </row>
    <row r="983" ht="15.75" customHeight="1">
      <c r="A983" s="372"/>
      <c r="B983" s="372"/>
      <c r="C983" s="372"/>
      <c r="D983" s="372"/>
      <c r="E983" s="372"/>
      <c r="F983" s="372"/>
      <c r="G983" s="372"/>
    </row>
    <row r="984" ht="15.75" customHeight="1">
      <c r="A984" s="372"/>
      <c r="B984" s="372"/>
      <c r="C984" s="372"/>
      <c r="D984" s="372"/>
      <c r="E984" s="372"/>
      <c r="F984" s="372"/>
      <c r="G984" s="372"/>
    </row>
    <row r="985" ht="15.75" customHeight="1">
      <c r="A985" s="372"/>
      <c r="B985" s="372"/>
      <c r="C985" s="372"/>
      <c r="D985" s="372"/>
      <c r="E985" s="372"/>
      <c r="F985" s="372"/>
      <c r="G985" s="372"/>
    </row>
    <row r="986" ht="15.75" customHeight="1">
      <c r="A986" s="372"/>
      <c r="B986" s="372"/>
      <c r="C986" s="372"/>
      <c r="D986" s="372"/>
      <c r="E986" s="372"/>
      <c r="F986" s="372"/>
      <c r="G986" s="372"/>
    </row>
    <row r="987" ht="15.75" customHeight="1">
      <c r="A987" s="372"/>
      <c r="B987" s="372"/>
      <c r="C987" s="372"/>
      <c r="D987" s="372"/>
      <c r="E987" s="372"/>
      <c r="F987" s="372"/>
      <c r="G987" s="372"/>
    </row>
    <row r="988" ht="15.75" customHeight="1">
      <c r="A988" s="372"/>
      <c r="B988" s="372"/>
      <c r="C988" s="372"/>
      <c r="D988" s="372"/>
      <c r="E988" s="372"/>
      <c r="F988" s="372"/>
      <c r="G988" s="372"/>
    </row>
    <row r="989" ht="15.75" customHeight="1">
      <c r="A989" s="372"/>
      <c r="B989" s="372"/>
      <c r="C989" s="372"/>
      <c r="D989" s="372"/>
      <c r="E989" s="372"/>
      <c r="F989" s="372"/>
      <c r="G989" s="372"/>
    </row>
    <row r="990" ht="15.75" customHeight="1">
      <c r="A990" s="372"/>
      <c r="B990" s="372"/>
      <c r="C990" s="372"/>
      <c r="D990" s="372"/>
      <c r="E990" s="372"/>
      <c r="F990" s="372"/>
      <c r="G990" s="372"/>
    </row>
    <row r="991" ht="15.75" customHeight="1">
      <c r="A991" s="372"/>
      <c r="B991" s="372"/>
      <c r="C991" s="372"/>
      <c r="D991" s="372"/>
      <c r="E991" s="372"/>
      <c r="F991" s="372"/>
      <c r="G991" s="372"/>
    </row>
    <row r="992" ht="15.75" customHeight="1">
      <c r="A992" s="372"/>
      <c r="B992" s="372"/>
      <c r="C992" s="372"/>
      <c r="D992" s="372"/>
      <c r="E992" s="372"/>
      <c r="F992" s="372"/>
      <c r="G992" s="372"/>
    </row>
    <row r="993" ht="15.75" customHeight="1">
      <c r="A993" s="372"/>
      <c r="B993" s="372"/>
      <c r="C993" s="372"/>
      <c r="D993" s="372"/>
      <c r="E993" s="372"/>
      <c r="F993" s="372"/>
      <c r="G993" s="372"/>
    </row>
    <row r="994" ht="15.75" customHeight="1">
      <c r="A994" s="372"/>
      <c r="B994" s="372"/>
      <c r="C994" s="372"/>
      <c r="D994" s="372"/>
      <c r="E994" s="372"/>
      <c r="F994" s="372"/>
      <c r="G994" s="372"/>
    </row>
    <row r="995" ht="15.75" customHeight="1">
      <c r="A995" s="372"/>
      <c r="B995" s="372"/>
      <c r="C995" s="372"/>
      <c r="D995" s="372"/>
      <c r="E995" s="372"/>
      <c r="F995" s="372"/>
      <c r="G995" s="372"/>
    </row>
    <row r="996" ht="15.75" customHeight="1">
      <c r="A996" s="372"/>
      <c r="B996" s="372"/>
      <c r="C996" s="372"/>
      <c r="D996" s="372"/>
      <c r="E996" s="372"/>
      <c r="F996" s="372"/>
      <c r="G996" s="372"/>
    </row>
    <row r="997" ht="15.75" customHeight="1">
      <c r="A997" s="372"/>
      <c r="B997" s="372"/>
      <c r="C997" s="372"/>
      <c r="D997" s="372"/>
      <c r="E997" s="372"/>
      <c r="F997" s="372"/>
      <c r="G997" s="372"/>
    </row>
    <row r="998" ht="15.75" customHeight="1">
      <c r="A998" s="372"/>
      <c r="B998" s="372"/>
      <c r="C998" s="372"/>
      <c r="D998" s="372"/>
      <c r="E998" s="372"/>
      <c r="F998" s="372"/>
      <c r="G998" s="372"/>
    </row>
    <row r="999" ht="15.75" customHeight="1">
      <c r="A999" s="372"/>
      <c r="B999" s="372"/>
      <c r="C999" s="372"/>
      <c r="D999" s="372"/>
      <c r="E999" s="372"/>
      <c r="F999" s="372"/>
      <c r="G999" s="372"/>
    </row>
    <row r="1000" ht="15.75" customHeight="1">
      <c r="A1000" s="372"/>
      <c r="B1000" s="372"/>
      <c r="C1000" s="372"/>
      <c r="D1000" s="372"/>
      <c r="E1000" s="372"/>
      <c r="F1000" s="372"/>
      <c r="G1000" s="372"/>
    </row>
    <row r="1001" ht="15.75" customHeight="1">
      <c r="A1001" s="372"/>
      <c r="B1001" s="372"/>
      <c r="C1001" s="372"/>
      <c r="D1001" s="372"/>
      <c r="E1001" s="372"/>
      <c r="F1001" s="372"/>
      <c r="G1001" s="372"/>
    </row>
    <row r="1002" ht="15.75" customHeight="1">
      <c r="A1002" s="372"/>
      <c r="B1002" s="372"/>
      <c r="C1002" s="372"/>
      <c r="D1002" s="372"/>
      <c r="E1002" s="372"/>
      <c r="F1002" s="372"/>
      <c r="G1002" s="372"/>
    </row>
    <row r="1003" ht="15.75" customHeight="1">
      <c r="A1003" s="372"/>
      <c r="B1003" s="372"/>
      <c r="C1003" s="372"/>
      <c r="D1003" s="372"/>
      <c r="E1003" s="372"/>
      <c r="F1003" s="372"/>
      <c r="G1003" s="372"/>
    </row>
  </sheetData>
  <dataValidations>
    <dataValidation type="list" allowBlank="1" showErrorMessage="1" sqref="C6:C266">
      <formula1>Lists!$I$2:$I1003</formula1>
    </dataValidation>
  </dataValidations>
  <hyperlinks>
    <hyperlink r:id="rId1" location="gid=774505606" ref="A5"/>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0"/>
    <col customWidth="1" min="2" max="3" width="36.5"/>
    <col customWidth="1" min="4" max="5" width="35.38"/>
    <col customWidth="1" min="6" max="9" width="45.63"/>
    <col customWidth="1" min="10" max="10" width="34.38"/>
  </cols>
  <sheetData>
    <row r="1">
      <c r="A1" s="373"/>
      <c r="B1" s="374"/>
      <c r="C1" s="374"/>
      <c r="D1" s="374"/>
      <c r="E1" s="374"/>
      <c r="F1" s="375"/>
      <c r="G1" s="375"/>
      <c r="H1" s="375"/>
      <c r="I1" s="376" t="s">
        <v>3329</v>
      </c>
      <c r="J1" s="376" t="s">
        <v>3330</v>
      </c>
    </row>
    <row r="2">
      <c r="A2" s="377" t="s">
        <v>3059</v>
      </c>
      <c r="B2" s="377" t="s">
        <v>3059</v>
      </c>
      <c r="C2" s="374" t="str">
        <f>IFERROR(__xludf.DUMMYFUNCTION("FILTER('General Information'!C2:C50500, 'General Information'!C2:C50500 &lt;&gt; """")"),"Project ID")</f>
        <v>Project ID</v>
      </c>
      <c r="D2" s="374" t="str">
        <f>IFERROR(__xludf.DUMMYFUNCTION("FILTER('General Information'!D2:D50500, 'General Information'!D2:D50500 &lt;&gt; """")"),"project_id")</f>
        <v>project_id</v>
      </c>
      <c r="E2" s="374" t="str">
        <f t="array" ref="E2:E29">TRANSPOSE(INDEX('Building Bill of Materials_FULL'!B:AC, 1, ))</f>
        <v>Floor level</v>
      </c>
      <c r="F2" s="374" t="str">
        <f t="array" ref="F2:F29">TRANSPOSE(INDEX('Building Bill of Materials_FULL'!B:AC, 8, ))</f>
        <v>floor_level</v>
      </c>
      <c r="G2" s="378" t="str">
        <f t="array" ref="G2:G350">TRANSPOSE(INDEX('Building LCA Results_Wide_FULL'!B:ML, 1, ))</f>
        <v>Material Name (or ID)</v>
      </c>
      <c r="H2" s="378" t="str">
        <f t="array" ref="H2:H350">TRANSPOSE(INDEX('Building LCA Results_Wide_FULL'!B:ML, 8, ))</f>
        <v>material_name_custom</v>
      </c>
      <c r="I2" s="378" t="str">
        <f>IFERROR(__xludf.DUMMYFUNCTION("UNIQUE(FILTER({A:A ; C:C; E:E; G:G}, {A:A ; C:C; E:E; G:G} &lt;&gt; """"))"),"n/a")</f>
        <v>n/a</v>
      </c>
      <c r="J2" s="378" t="str">
        <f t="shared" ref="J2:J505" si="1">XLOOKUP(I2, A:A, B:B,
   XLOOKUP(I2, C:C, D:D,
      XLOOKUP(I2, E:E, F:F,
         XLOOKUP(I2, G:G, H:H, "Not found")
      )
   )
)
</f>
        <v>n/a</v>
      </c>
      <c r="K2" s="379"/>
      <c r="L2" s="379"/>
      <c r="M2" s="379"/>
      <c r="N2" s="379"/>
      <c r="O2" s="379"/>
      <c r="P2" s="379"/>
      <c r="Q2" s="379"/>
      <c r="R2" s="379"/>
      <c r="S2" s="379"/>
      <c r="T2" s="379"/>
      <c r="U2" s="379"/>
      <c r="V2" s="379"/>
      <c r="W2" s="379"/>
      <c r="X2" s="379"/>
      <c r="Y2" s="379"/>
      <c r="Z2" s="379"/>
      <c r="AA2" s="379"/>
      <c r="AB2" s="379"/>
      <c r="AC2" s="379"/>
      <c r="AD2" s="379"/>
      <c r="AE2" s="379"/>
    </row>
    <row r="3">
      <c r="A3" s="374" t="str">
        <f t="array" ref="A3:A26">TRANSPOSE(INDEX('Building Bill of Materials_SLIM'!B:Y, 1, ))</f>
        <v>Floor level</v>
      </c>
      <c r="B3" s="374" t="str">
        <f t="array" ref="B3:B26">TRANSPOSE(INDEX('Building Bill of Materials_SLIM'!B:Y, 8, ))</f>
        <v>floor_level</v>
      </c>
      <c r="C3" s="374" t="str">
        <f>IFERROR(__xludf.DUMMYFUNCTION("""COMPUTED_VALUE"""),"Project Unit System")</f>
        <v>Project Unit System</v>
      </c>
      <c r="D3" s="374" t="str">
        <f>IFERROR(__xludf.DUMMYFUNCTION("""COMPUTED_VALUE"""),"project_units")</f>
        <v>project_units</v>
      </c>
      <c r="E3" s="374" t="s">
        <v>654</v>
      </c>
      <c r="F3" s="374" t="s">
        <v>729</v>
      </c>
      <c r="G3" s="374" t="s">
        <v>590</v>
      </c>
      <c r="H3" s="374" t="s">
        <v>638</v>
      </c>
      <c r="I3" s="374" t="str">
        <f>IFERROR(__xludf.DUMMYFUNCTION("""COMPUTED_VALUE"""),"Floor level")</f>
        <v>Floor level</v>
      </c>
      <c r="J3" s="378" t="str">
        <f t="shared" si="1"/>
        <v>floor_level</v>
      </c>
    </row>
    <row r="4">
      <c r="A4" s="374" t="s">
        <v>654</v>
      </c>
      <c r="B4" s="374" t="s">
        <v>729</v>
      </c>
      <c r="C4" s="374" t="str">
        <f>IFERROR(__xludf.DUMMYFUNCTION("""COMPUTED_VALUE"""),"Project Name")</f>
        <v>Project Name</v>
      </c>
      <c r="D4" s="374" t="str">
        <f>IFERROR(__xludf.DUMMYFUNCTION("""COMPUTED_VALUE"""),"project_name")</f>
        <v>project_name</v>
      </c>
      <c r="E4" s="374" t="s">
        <v>649</v>
      </c>
      <c r="F4" s="374" t="s">
        <v>670</v>
      </c>
      <c r="G4" s="374" t="s">
        <v>591</v>
      </c>
      <c r="H4" s="374" t="s">
        <v>639</v>
      </c>
      <c r="I4" s="374" t="str">
        <f>IFERROR(__xludf.DUMMYFUNCTION("""COMPUTED_VALUE"""),"Above/Below Ground")</f>
        <v>Above/Below Ground</v>
      </c>
      <c r="J4" s="378" t="str">
        <f t="shared" si="1"/>
        <v>above_below_ground</v>
      </c>
    </row>
    <row r="5">
      <c r="A5" s="374" t="s">
        <v>649</v>
      </c>
      <c r="B5" s="374" t="s">
        <v>670</v>
      </c>
      <c r="C5" s="374" t="str">
        <f>IFERROR(__xludf.DUMMYFUNCTION("""COMPUTED_VALUE"""),"Project Description")</f>
        <v>Project Description</v>
      </c>
      <c r="D5" s="374" t="str">
        <f>IFERROR(__xludf.DUMMYFUNCTION("""COMPUTED_VALUE"""),"project_description")</f>
        <v>project_description</v>
      </c>
      <c r="E5" s="374" t="s">
        <v>650</v>
      </c>
      <c r="F5" s="374" t="s">
        <v>671</v>
      </c>
      <c r="G5" s="374" t="s">
        <v>688</v>
      </c>
      <c r="H5" s="374" t="s">
        <v>740</v>
      </c>
      <c r="I5" s="374" t="str">
        <f>IFERROR(__xludf.DUMMYFUNCTION("""COMPUTED_VALUE"""),"Element Class (Tier 1)")</f>
        <v>Element Class (Tier 1)</v>
      </c>
      <c r="J5" s="378" t="str">
        <f t="shared" si="1"/>
        <v>bec_custom_tier1</v>
      </c>
    </row>
    <row r="6">
      <c r="A6" s="374" t="s">
        <v>650</v>
      </c>
      <c r="B6" s="374" t="s">
        <v>671</v>
      </c>
      <c r="C6" s="374" t="str">
        <f>IFERROR(__xludf.DUMMYFUNCTION("""COMPUTED_VALUE"""),"Project Construction Type")</f>
        <v>Project Construction Type</v>
      </c>
      <c r="D6" s="374" t="str">
        <f>IFERROR(__xludf.DUMMYFUNCTION("""COMPUTED_VALUE"""),"project_construction_type")</f>
        <v>project_construction_type</v>
      </c>
      <c r="E6" s="374" t="s">
        <v>651</v>
      </c>
      <c r="F6" s="374" t="s">
        <v>672</v>
      </c>
      <c r="G6" s="374" t="s">
        <v>689</v>
      </c>
      <c r="H6" s="374" t="s">
        <v>741</v>
      </c>
      <c r="I6" s="374" t="str">
        <f>IFERROR(__xludf.DUMMYFUNCTION("""COMPUTED_VALUE"""),"Element Class (Tier 2)")</f>
        <v>Element Class (Tier 2)</v>
      </c>
      <c r="J6" s="378" t="str">
        <f t="shared" si="1"/>
        <v>bec_custom_tier2</v>
      </c>
    </row>
    <row r="7">
      <c r="A7" s="374" t="s">
        <v>651</v>
      </c>
      <c r="B7" s="374" t="s">
        <v>672</v>
      </c>
      <c r="C7" s="374" t="str">
        <f>IFERROR(__xludf.DUMMYFUNCTION("""COMPUTED_VALUE"""),"Country")</f>
        <v>Country</v>
      </c>
      <c r="D7" s="374" t="str">
        <f>IFERROR(__xludf.DUMMYFUNCTION("""COMPUTED_VALUE"""),"project_country")</f>
        <v>project_country</v>
      </c>
      <c r="E7" s="374" t="s">
        <v>652</v>
      </c>
      <c r="F7" s="374" t="s">
        <v>673</v>
      </c>
      <c r="G7" s="374" t="s">
        <v>690</v>
      </c>
      <c r="H7" s="374" t="s">
        <v>742</v>
      </c>
      <c r="I7" s="374" t="str">
        <f>IFERROR(__xludf.DUMMYFUNCTION("""COMPUTED_VALUE"""),"Element Class (Tier 3)")</f>
        <v>Element Class (Tier 3)</v>
      </c>
      <c r="J7" s="378" t="str">
        <f t="shared" si="1"/>
        <v>bec_custom_tier3</v>
      </c>
    </row>
    <row r="8">
      <c r="A8" s="374" t="s">
        <v>652</v>
      </c>
      <c r="B8" s="374" t="s">
        <v>673</v>
      </c>
      <c r="C8" s="374" t="str">
        <f>IFERROR(__xludf.DUMMYFUNCTION("""COMPUTED_VALUE"""),"City")</f>
        <v>City</v>
      </c>
      <c r="D8" s="374" t="str">
        <f>IFERROR(__xludf.DUMMYFUNCTION("""COMPUTED_VALUE"""),"project_city")</f>
        <v>project_city</v>
      </c>
      <c r="E8" s="374" t="s">
        <v>680</v>
      </c>
      <c r="F8" s="374" t="s">
        <v>730</v>
      </c>
      <c r="G8" s="374" t="s">
        <v>691</v>
      </c>
      <c r="H8" s="374" t="s">
        <v>743</v>
      </c>
      <c r="I8" s="374" t="str">
        <f>IFERROR(__xludf.DUMMYFUNCTION("""COMPUTED_VALUE"""),"Element Class (Tier 4)")</f>
        <v>Element Class (Tier 4)</v>
      </c>
      <c r="J8" s="378" t="str">
        <f t="shared" si="1"/>
        <v>bec_custom_tier4</v>
      </c>
    </row>
    <row r="9">
      <c r="A9" s="374" t="s">
        <v>680</v>
      </c>
      <c r="B9" s="374" t="s">
        <v>730</v>
      </c>
      <c r="C9" s="374" t="str">
        <f>IFERROR(__xludf.DUMMYFUNCTION("""COMPUTED_VALUE"""),"State")</f>
        <v>State</v>
      </c>
      <c r="D9" s="374" t="str">
        <f>IFERROR(__xludf.DUMMYFUNCTION("""COMPUTED_VALUE"""),"project_state")</f>
        <v>project_state</v>
      </c>
      <c r="E9" s="374" t="s">
        <v>681</v>
      </c>
      <c r="F9" s="374" t="s">
        <v>731</v>
      </c>
      <c r="G9" s="374" t="s">
        <v>597</v>
      </c>
      <c r="H9" s="374" t="s">
        <v>744</v>
      </c>
      <c r="I9" s="374" t="str">
        <f>IFERROR(__xludf.DUMMYFUNCTION("""COMPUTED_VALUE"""),"Element Class Description")</f>
        <v>Element Class Description</v>
      </c>
      <c r="J9" s="378" t="str">
        <f t="shared" si="1"/>
        <v>bec_custom_description</v>
      </c>
    </row>
    <row r="10">
      <c r="A10" s="374" t="s">
        <v>681</v>
      </c>
      <c r="B10" s="374" t="s">
        <v>731</v>
      </c>
      <c r="C10" s="374" t="str">
        <f>IFERROR(__xludf.DUMMYFUNCTION("""COMPUTED_VALUE"""),"Address")</f>
        <v>Address</v>
      </c>
      <c r="D10" s="374" t="str">
        <f>IFERROR(__xludf.DUMMYFUNCTION("""COMPUTED_VALUE"""),"project_address")</f>
        <v>project_address</v>
      </c>
      <c r="E10" s="374" t="s">
        <v>682</v>
      </c>
      <c r="F10" s="374" t="s">
        <v>732</v>
      </c>
      <c r="G10" s="374" t="s">
        <v>692</v>
      </c>
      <c r="H10" s="374" t="s">
        <v>641</v>
      </c>
      <c r="I10" s="374" t="str">
        <f>IFERROR(__xludf.DUMMYFUNCTION("""COMPUTED_VALUE"""),"OpenBDF Building Element Classification")</f>
        <v>OpenBDF Building Element Classification</v>
      </c>
      <c r="J10" s="378" t="str">
        <f t="shared" si="1"/>
        <v>bec_openbdf_selection</v>
      </c>
    </row>
    <row r="11">
      <c r="A11" s="374" t="s">
        <v>682</v>
      </c>
      <c r="B11" s="374" t="s">
        <v>732</v>
      </c>
      <c r="C11" s="374" t="str">
        <f>IFERROR(__xludf.DUMMYFUNCTION("""COMPUTED_VALUE"""),"Owner / Client Name")</f>
        <v>Owner / Client Name</v>
      </c>
      <c r="D11" s="374" t="str">
        <f>IFERROR(__xludf.DUMMYFUNCTION("""COMPUTED_VALUE"""),"project_owner_name")</f>
        <v>project_owner_name</v>
      </c>
      <c r="E11" s="374" t="s">
        <v>683</v>
      </c>
      <c r="F11" s="374" t="s">
        <v>733</v>
      </c>
      <c r="G11" s="374" t="s">
        <v>837</v>
      </c>
      <c r="H11" s="374" t="s">
        <v>1233</v>
      </c>
      <c r="I11" s="374" t="str">
        <f>IFERROR(__xludf.DUMMYFUNCTION("""COMPUTED_VALUE"""),"openBDF Building Element class (T1)")</f>
        <v>openBDF Building Element class (T1)</v>
      </c>
      <c r="J11" s="378" t="str">
        <f t="shared" si="1"/>
        <v>bec_openbdf_tier1</v>
      </c>
    </row>
    <row r="12">
      <c r="A12" s="374" t="s">
        <v>683</v>
      </c>
      <c r="B12" s="374" t="s">
        <v>733</v>
      </c>
      <c r="C12" s="374" t="str">
        <f>IFERROR(__xludf.DUMMYFUNCTION("""COMPUTED_VALUE"""),"Date of Assessment")</f>
        <v>Date of Assessment</v>
      </c>
      <c r="D12" s="374" t="str">
        <f>IFERROR(__xludf.DUMMYFUNCTION("""COMPUTED_VALUE"""),"project_date_assessment")</f>
        <v>project_date_assessment</v>
      </c>
      <c r="E12" s="374" t="s">
        <v>684</v>
      </c>
      <c r="F12" s="374" t="s">
        <v>734</v>
      </c>
      <c r="G12" s="374" t="s">
        <v>838</v>
      </c>
      <c r="H12" s="374" t="s">
        <v>1234</v>
      </c>
      <c r="I12" s="374" t="str">
        <f>IFERROR(__xludf.DUMMYFUNCTION("""COMPUTED_VALUE"""),"openBDF Building Element class (T2)")</f>
        <v>openBDF Building Element class (T2)</v>
      </c>
      <c r="J12" s="378" t="str">
        <f t="shared" si="1"/>
        <v>bec_openbdf_tier2</v>
      </c>
    </row>
    <row r="13">
      <c r="A13" s="374" t="s">
        <v>684</v>
      </c>
      <c r="B13" s="374" t="s">
        <v>734</v>
      </c>
      <c r="C13" s="374" t="str">
        <f>IFERROR(__xludf.DUMMYFUNCTION("""COMPUTED_VALUE"""),"Third Party Verified")</f>
        <v>Third Party Verified</v>
      </c>
      <c r="D13" s="374" t="str">
        <f>IFERROR(__xludf.DUMMYFUNCTION("""COMPUTED_VALUE"""),"project_third_verified")</f>
        <v>project_third_verified</v>
      </c>
      <c r="E13" s="374" t="s">
        <v>685</v>
      </c>
      <c r="F13" s="374" t="s">
        <v>735</v>
      </c>
      <c r="G13" s="374" t="s">
        <v>839</v>
      </c>
      <c r="H13" s="374" t="s">
        <v>1235</v>
      </c>
      <c r="I13" s="374" t="str">
        <f>IFERROR(__xludf.DUMMYFUNCTION("""COMPUTED_VALUE"""),"openBDF Building Element class (T3)")</f>
        <v>openBDF Building Element class (T3)</v>
      </c>
      <c r="J13" s="378" t="str">
        <f t="shared" si="1"/>
        <v>bec_openbdf_tier3</v>
      </c>
    </row>
    <row r="14">
      <c r="A14" s="374" t="s">
        <v>685</v>
      </c>
      <c r="B14" s="374" t="s">
        <v>735</v>
      </c>
      <c r="C14" s="374" t="str">
        <f>IFERROR(__xludf.DUMMYFUNCTION("""COMPUTED_VALUE"""),"Third Party Verifier Name")</f>
        <v>Third Party Verifier Name</v>
      </c>
      <c r="D14" s="374" t="str">
        <f>IFERROR(__xludf.DUMMYFUNCTION("""COMPUTED_VALUE"""),"project_third_verifier_name")</f>
        <v>project_third_verifier_name</v>
      </c>
      <c r="E14" s="374" t="s">
        <v>653</v>
      </c>
      <c r="F14" s="374" t="s">
        <v>674</v>
      </c>
      <c r="G14" s="374" t="s">
        <v>840</v>
      </c>
      <c r="H14" s="374" t="s">
        <v>1236</v>
      </c>
      <c r="I14" s="374" t="str">
        <f>IFERROR(__xludf.DUMMYFUNCTION("""COMPUTED_VALUE"""),"openBDF Building Element class (T4)")</f>
        <v>openBDF Building Element class (T4)</v>
      </c>
      <c r="J14" s="378" t="str">
        <f t="shared" si="1"/>
        <v>bec_openbdf_tier4</v>
      </c>
    </row>
    <row r="15">
      <c r="A15" s="374" t="s">
        <v>653</v>
      </c>
      <c r="B15" s="374" t="s">
        <v>674</v>
      </c>
      <c r="C15" s="374" t="str">
        <f>IFERROR(__xludf.DUMMYFUNCTION("""COMPUTED_VALUE"""),"Verification Date")</f>
        <v>Verification Date</v>
      </c>
      <c r="D15" s="374" t="str">
        <f>IFERROR(__xludf.DUMMYFUNCTION("""COMPUTED_VALUE"""),"project_verification_date")</f>
        <v>project_verification_date</v>
      </c>
      <c r="E15" s="374" t="s">
        <v>686</v>
      </c>
      <c r="F15" s="374" t="s">
        <v>736</v>
      </c>
      <c r="G15" s="374" t="s">
        <v>841</v>
      </c>
      <c r="H15" s="374" t="s">
        <v>1237</v>
      </c>
      <c r="I15" s="374" t="str">
        <f>IFERROR(__xludf.DUMMYFUNCTION("""COMPUTED_VALUE"""),"Element Name (or ID)")</f>
        <v>Element Name (or ID)</v>
      </c>
      <c r="J15" s="378" t="str">
        <f t="shared" si="1"/>
        <v>element_name_custom</v>
      </c>
    </row>
    <row r="16">
      <c r="A16" s="374" t="s">
        <v>686</v>
      </c>
      <c r="B16" s="374" t="s">
        <v>736</v>
      </c>
      <c r="C16" s="374" t="str">
        <f>IFERROR(__xludf.DUMMYFUNCTION("""COMPUTED_VALUE"""),"Certification")</f>
        <v>Certification</v>
      </c>
      <c r="D16" s="374" t="str">
        <f>IFERROR(__xludf.DUMMYFUNCTION("""COMPUTED_VALUE"""),"project_certification")</f>
        <v>project_certification</v>
      </c>
      <c r="E16" s="374" t="s">
        <v>589</v>
      </c>
      <c r="F16" s="374" t="s">
        <v>637</v>
      </c>
      <c r="G16" s="374" t="s">
        <v>842</v>
      </c>
      <c r="H16" s="374" t="s">
        <v>1238</v>
      </c>
      <c r="I16" s="374" t="str">
        <f>IFERROR(__xludf.DUMMYFUNCTION("""COMPUTED_VALUE"""),"OpenBDF Common Material Classification")</f>
        <v>OpenBDF Common Material Classification</v>
      </c>
      <c r="J16" s="378" t="str">
        <f t="shared" si="1"/>
        <v>openbdf_material_name</v>
      </c>
    </row>
    <row r="17">
      <c r="A17" s="374" t="s">
        <v>589</v>
      </c>
      <c r="B17" s="374" t="s">
        <v>637</v>
      </c>
      <c r="C17" s="374" t="str">
        <f>IFERROR(__xludf.DUMMYFUNCTION("""COMPUTED_VALUE"""),"Certification Name")</f>
        <v>Certification Name</v>
      </c>
      <c r="D17" s="374" t="str">
        <f>IFERROR(__xludf.DUMMYFUNCTION("""COMPUTED_VALUE"""),"project_certification_name")</f>
        <v>project_certification_name</v>
      </c>
      <c r="E17" s="374" t="s">
        <v>590</v>
      </c>
      <c r="F17" s="374" t="s">
        <v>638</v>
      </c>
      <c r="G17" s="374" t="s">
        <v>843</v>
      </c>
      <c r="H17" s="374" t="s">
        <v>1239</v>
      </c>
      <c r="I17" s="374" t="str">
        <f>IFERROR(__xludf.DUMMYFUNCTION("""COMPUTED_VALUE"""),"Material Name (or ID)")</f>
        <v>Material Name (or ID)</v>
      </c>
      <c r="J17" s="378" t="str">
        <f t="shared" si="1"/>
        <v>material_name_custom</v>
      </c>
    </row>
    <row r="18">
      <c r="A18" s="374" t="s">
        <v>590</v>
      </c>
      <c r="B18" s="374" t="s">
        <v>638</v>
      </c>
      <c r="C18" s="374" t="str">
        <f>IFERROR(__xludf.DUMMYFUNCTION("""COMPUTED_VALUE"""),"Certification Application Date")</f>
        <v>Certification Application Date</v>
      </c>
      <c r="D18" s="374" t="str">
        <f>IFERROR(__xludf.DUMMYFUNCTION("""COMPUTED_VALUE"""),"pooject_certification_date")</f>
        <v>pooject_certification_date</v>
      </c>
      <c r="E18" s="374" t="s">
        <v>591</v>
      </c>
      <c r="F18" s="374" t="s">
        <v>737</v>
      </c>
      <c r="G18" s="374" t="s">
        <v>844</v>
      </c>
      <c r="H18" s="374" t="s">
        <v>1240</v>
      </c>
      <c r="I18" s="374" t="str">
        <f>IFERROR(__xludf.DUMMYFUNCTION("""COMPUTED_VALUE"""),"Material Name from EPD database")</f>
        <v>Material Name from EPD database</v>
      </c>
      <c r="J18" s="378" t="str">
        <f t="shared" si="1"/>
        <v>material_name_database</v>
      </c>
    </row>
    <row r="19">
      <c r="A19" s="374" t="s">
        <v>591</v>
      </c>
      <c r="B19" s="374" t="s">
        <v>639</v>
      </c>
      <c r="C19" s="374" t="str">
        <f>IFERROR(__xludf.DUMMYFUNCTION("""COMPUTED_VALUE"""),"Certification Application ID")</f>
        <v>Certification Application ID</v>
      </c>
      <c r="D19" s="374" t="str">
        <f>IFERROR(__xludf.DUMMYFUNCTION("""COMPUTED_VALUE"""),"project_certification_id")</f>
        <v>project_certification_id</v>
      </c>
      <c r="E19" s="374" t="s">
        <v>592</v>
      </c>
      <c r="F19" s="374" t="s">
        <v>738</v>
      </c>
      <c r="G19" s="374" t="s">
        <v>845</v>
      </c>
      <c r="H19" s="374" t="s">
        <v>1241</v>
      </c>
      <c r="I19" s="374" t="str">
        <f>IFERROR(__xludf.DUMMYFUNCTION("""COMPUTED_VALUE"""),"EPD Database Name")</f>
        <v>EPD Database Name</v>
      </c>
      <c r="J19" s="378" t="str">
        <f t="shared" si="1"/>
        <v>epd_dataset</v>
      </c>
    </row>
    <row r="20">
      <c r="A20" s="374" t="s">
        <v>592</v>
      </c>
      <c r="B20" s="374" t="s">
        <v>640</v>
      </c>
      <c r="C20" s="374" t="str">
        <f>IFERROR(__xludf.DUMMYFUNCTION("""COMPUTED_VALUE"""),"Project Permit Application Date")</f>
        <v>Project Permit Application Date</v>
      </c>
      <c r="D20" s="374" t="str">
        <f>IFERROR(__xludf.DUMMYFUNCTION("""COMPUTED_VALUE"""),"project_ardpit_date")</f>
        <v>project_ardpit_date</v>
      </c>
      <c r="E20" s="374" t="s">
        <v>687</v>
      </c>
      <c r="F20" s="374" t="s">
        <v>739</v>
      </c>
      <c r="G20" s="374" t="s">
        <v>846</v>
      </c>
      <c r="H20" s="374" t="s">
        <v>1242</v>
      </c>
      <c r="I20" s="374" t="str">
        <f>IFERROR(__xludf.DUMMYFUNCTION("""COMPUTED_VALUE"""),"EPD Database Link")</f>
        <v>EPD Database Link</v>
      </c>
      <c r="J20" s="378" t="str">
        <f t="shared" si="1"/>
        <v>epd_dataset_link</v>
      </c>
    </row>
    <row r="21">
      <c r="A21" s="374" t="s">
        <v>688</v>
      </c>
      <c r="B21" s="374" t="s">
        <v>740</v>
      </c>
      <c r="C21" s="374" t="str">
        <f>IFERROR(__xludf.DUMMYFUNCTION("""COMPUTED_VALUE"""),"Project Permit ID")</f>
        <v>Project Permit ID</v>
      </c>
      <c r="D21" s="374" t="str">
        <f>IFERROR(__xludf.DUMMYFUNCTION("""COMPUTED_VALUE"""),"project_ardpit_id")</f>
        <v>project_ardpit_id</v>
      </c>
      <c r="E21" s="374" t="s">
        <v>688</v>
      </c>
      <c r="F21" s="374" t="s">
        <v>740</v>
      </c>
      <c r="G21" s="374" t="s">
        <v>847</v>
      </c>
      <c r="H21" s="374" t="s">
        <v>1243</v>
      </c>
      <c r="I21" s="374" t="str">
        <f>IFERROR(__xludf.DUMMYFUNCTION("""COMPUTED_VALUE"""),"Material Quantity (m3)")</f>
        <v>Material Quantity (m3)</v>
      </c>
      <c r="J21" s="378" t="str">
        <f t="shared" si="1"/>
        <v>custom_material_quantity_m3</v>
      </c>
    </row>
    <row r="22">
      <c r="A22" s="374" t="s">
        <v>689</v>
      </c>
      <c r="B22" s="374" t="s">
        <v>741</v>
      </c>
      <c r="C22" s="374" t="str">
        <f>IFERROR(__xludf.DUMMYFUNCTION("""COMPUTED_VALUE"""),"Project Total Plot Area")</f>
        <v>Project Total Plot Area</v>
      </c>
      <c r="D22" s="374" t="str">
        <f>IFERROR(__xludf.DUMMYFUNCTION("""COMPUTED_VALUE"""),"project_plot_area")</f>
        <v>project_plot_area</v>
      </c>
      <c r="E22" s="374" t="s">
        <v>689</v>
      </c>
      <c r="F22" s="374" t="s">
        <v>741</v>
      </c>
      <c r="G22" s="374" t="s">
        <v>848</v>
      </c>
      <c r="H22" s="374" t="s">
        <v>1244</v>
      </c>
      <c r="I22" s="374" t="str">
        <f>IFERROR(__xludf.DUMMYFUNCTION("""COMPUTED_VALUE"""),"Material Quantity (m2)")</f>
        <v>Material Quantity (m2)</v>
      </c>
      <c r="J22" s="378" t="str">
        <f t="shared" si="1"/>
        <v>custom_material_quantity_m2</v>
      </c>
    </row>
    <row r="23">
      <c r="A23" s="374" t="s">
        <v>690</v>
      </c>
      <c r="B23" s="374" t="s">
        <v>742</v>
      </c>
      <c r="C23" s="374" t="str">
        <f>IFERROR(__xludf.DUMMYFUNCTION("""COMPUTED_VALUE"""),"No. of Buildings")</f>
        <v>No. of Buildings</v>
      </c>
      <c r="D23" s="374" t="str">
        <f>IFERROR(__xludf.DUMMYFUNCTION("""COMPUTED_VALUE"""),"project_no_of_buildings")</f>
        <v>project_no_of_buildings</v>
      </c>
      <c r="E23" s="374" t="s">
        <v>690</v>
      </c>
      <c r="F23" s="374" t="s">
        <v>742</v>
      </c>
      <c r="G23" s="374" t="s">
        <v>849</v>
      </c>
      <c r="H23" s="374" t="s">
        <v>1245</v>
      </c>
      <c r="I23" s="374" t="str">
        <f>IFERROR(__xludf.DUMMYFUNCTION("""COMPUTED_VALUE"""),"Material Quantity (m)")</f>
        <v>Material Quantity (m)</v>
      </c>
      <c r="J23" s="378" t="str">
        <f t="shared" si="1"/>
        <v>custom_material_quantity_m</v>
      </c>
    </row>
    <row r="24">
      <c r="A24" s="374" t="s">
        <v>691</v>
      </c>
      <c r="B24" s="374" t="s">
        <v>743</v>
      </c>
      <c r="C24" s="374" t="str">
        <f>IFERROR(__xludf.DUMMYFUNCTION("""COMPUTED_VALUE"""),"Project Phase")</f>
        <v>Project Phase</v>
      </c>
      <c r="D24" s="374" t="str">
        <f>IFERROR(__xludf.DUMMYFUNCTION("""COMPUTED_VALUE"""),"project_phase")</f>
        <v>project_phase</v>
      </c>
      <c r="E24" s="374" t="s">
        <v>691</v>
      </c>
      <c r="F24" s="374" t="s">
        <v>743</v>
      </c>
      <c r="G24" s="374" t="s">
        <v>850</v>
      </c>
      <c r="H24" s="374" t="s">
        <v>1246</v>
      </c>
      <c r="I24" s="374" t="str">
        <f>IFERROR(__xludf.DUMMYFUNCTION("""COMPUTED_VALUE"""),"Material Quantity (count)")</f>
        <v>Material Quantity (count)</v>
      </c>
      <c r="J24" s="378" t="str">
        <f t="shared" si="1"/>
        <v>custom_material_quantity_count</v>
      </c>
    </row>
    <row r="25">
      <c r="A25" s="374" t="s">
        <v>597</v>
      </c>
      <c r="B25" s="374" t="s">
        <v>744</v>
      </c>
      <c r="C25" s="374" t="str">
        <f>IFERROR(__xludf.DUMMYFUNCTION("""COMPUTED_VALUE"""),"Project Design Start Date")</f>
        <v>Project Design Start Date</v>
      </c>
      <c r="D25" s="374" t="str">
        <f>IFERROR(__xludf.DUMMYFUNCTION("""COMPUTED_VALUE"""),"project_design_start_date")</f>
        <v>project_design_start_date</v>
      </c>
      <c r="E25" s="374" t="s">
        <v>597</v>
      </c>
      <c r="F25" s="374" t="s">
        <v>744</v>
      </c>
      <c r="G25" s="374" t="s">
        <v>851</v>
      </c>
      <c r="H25" s="374" t="s">
        <v>1247</v>
      </c>
      <c r="I25" s="374" t="str">
        <f>IFERROR(__xludf.DUMMYFUNCTION("""COMPUTED_VALUE"""),"Material Weight (kg)")</f>
        <v>Material Weight (kg)</v>
      </c>
      <c r="J25" s="378" t="str">
        <f t="shared" si="1"/>
        <v>custom_material_weight_kg</v>
      </c>
    </row>
    <row r="26">
      <c r="A26" s="374" t="s">
        <v>692</v>
      </c>
      <c r="B26" s="374" t="s">
        <v>641</v>
      </c>
      <c r="C26" s="374" t="str">
        <f>IFERROR(__xludf.DUMMYFUNCTION("""COMPUTED_VALUE"""),"Construction Company Name")</f>
        <v>Construction Company Name</v>
      </c>
      <c r="D26" s="374" t="str">
        <f>IFERROR(__xludf.DUMMYFUNCTION("""COMPUTED_VALUE"""),"project_construction_company_name")</f>
        <v>project_construction_company_name</v>
      </c>
      <c r="E26" s="374" t="s">
        <v>692</v>
      </c>
      <c r="F26" s="374" t="s">
        <v>641</v>
      </c>
      <c r="G26" s="374" t="s">
        <v>852</v>
      </c>
      <c r="H26" s="374" t="s">
        <v>1248</v>
      </c>
      <c r="I26" s="374" t="str">
        <f>IFERROR(__xludf.DUMMYFUNCTION("""COMPUTED_VALUE"""),"Density (kg/m3)")</f>
        <v>Density (kg/m3)</v>
      </c>
      <c r="J26" s="378" t="str">
        <f t="shared" si="1"/>
        <v>custom_material_density</v>
      </c>
    </row>
    <row r="27">
      <c r="A27" s="374"/>
      <c r="B27" s="374"/>
      <c r="C27" s="374" t="str">
        <f>IFERROR(__xludf.DUMMYFUNCTION("""COMPUTED_VALUE"""),"Construction Company Address")</f>
        <v>Construction Company Address</v>
      </c>
      <c r="D27" s="374" t="str">
        <f>IFERROR(__xludf.DUMMYFUNCTION("""COMPUTED_VALUE"""),"project_construction_company_address")</f>
        <v>project_construction_company_address</v>
      </c>
      <c r="E27" s="374" t="s">
        <v>693</v>
      </c>
      <c r="F27" s="374" t="s">
        <v>745</v>
      </c>
      <c r="G27" s="374" t="s">
        <v>853</v>
      </c>
      <c r="H27" s="374" t="s">
        <v>1249</v>
      </c>
      <c r="I27" s="374" t="str">
        <f>IFERROR(__xludf.DUMMYFUNCTION("""COMPUTED_VALUE"""),"Project ID")</f>
        <v>Project ID</v>
      </c>
      <c r="J27" s="378" t="str">
        <f t="shared" si="1"/>
        <v>project_id</v>
      </c>
    </row>
    <row r="28">
      <c r="A28" s="374"/>
      <c r="B28" s="374"/>
      <c r="C28" s="374" t="str">
        <f>IFERROR(__xludf.DUMMYFUNCTION("""COMPUTED_VALUE"""),"Contractor Name")</f>
        <v>Contractor Name</v>
      </c>
      <c r="D28" s="374" t="str">
        <f>IFERROR(__xludf.DUMMYFUNCTION("""COMPUTED_VALUE"""),"project_contractor_name")</f>
        <v>project_contractor_name</v>
      </c>
      <c r="E28" s="374" t="s">
        <v>601</v>
      </c>
      <c r="F28" s="374" t="s">
        <v>746</v>
      </c>
      <c r="G28" s="374" t="s">
        <v>854</v>
      </c>
      <c r="H28" s="374" t="s">
        <v>1250</v>
      </c>
      <c r="I28" s="374" t="str">
        <f>IFERROR(__xludf.DUMMYFUNCTION("""COMPUTED_VALUE"""),"Project Unit System")</f>
        <v>Project Unit System</v>
      </c>
      <c r="J28" s="378" t="str">
        <f t="shared" si="1"/>
        <v>project_units</v>
      </c>
    </row>
    <row r="29">
      <c r="A29" s="374"/>
      <c r="B29" s="374"/>
      <c r="C29" s="374" t="str">
        <f>IFERROR(__xludf.DUMMYFUNCTION("""COMPUTED_VALUE"""),"Architect/ Engineer")</f>
        <v>Architect/ Engineer</v>
      </c>
      <c r="D29" s="374" t="str">
        <f>IFERROR(__xludf.DUMMYFUNCTION("""COMPUTED_VALUE"""),"project_architect_engineer_name")</f>
        <v>project_architect_engineer_name</v>
      </c>
      <c r="E29" s="374" t="s">
        <v>694</v>
      </c>
      <c r="F29" s="374" t="s">
        <v>747</v>
      </c>
      <c r="G29" s="374" t="s">
        <v>855</v>
      </c>
      <c r="H29" s="374" t="s">
        <v>1251</v>
      </c>
      <c r="I29" s="374" t="str">
        <f>IFERROR(__xludf.DUMMYFUNCTION("""COMPUTED_VALUE"""),"Project Name")</f>
        <v>Project Name</v>
      </c>
      <c r="J29" s="378" t="str">
        <f t="shared" si="1"/>
        <v>project_name</v>
      </c>
    </row>
    <row r="30">
      <c r="A30" s="374"/>
      <c r="B30" s="374"/>
      <c r="C30" s="374" t="str">
        <f>IFERROR(__xludf.DUMMYFUNCTION("""COMPUTED_VALUE"""),"Structural Engineer")</f>
        <v>Structural Engineer</v>
      </c>
      <c r="D30" s="374" t="str">
        <f>IFERROR(__xludf.DUMMYFUNCTION("""COMPUTED_VALUE"""),"project_structural_engineer_name")</f>
        <v>project_structural_engineer_name</v>
      </c>
      <c r="E30" s="374"/>
      <c r="F30" s="374"/>
      <c r="G30" s="374" t="s">
        <v>856</v>
      </c>
      <c r="H30" s="374" t="s">
        <v>1252</v>
      </c>
      <c r="I30" s="374" t="str">
        <f>IFERROR(__xludf.DUMMYFUNCTION("""COMPUTED_VALUE"""),"Project Description")</f>
        <v>Project Description</v>
      </c>
      <c r="J30" s="378" t="str">
        <f t="shared" si="1"/>
        <v>project_description</v>
      </c>
    </row>
    <row r="31">
      <c r="A31" s="374"/>
      <c r="B31" s="374"/>
      <c r="C31" s="374" t="str">
        <f>IFERROR(__xludf.DUMMYFUNCTION("""COMPUTED_VALUE"""),"MEP Engineer")</f>
        <v>MEP Engineer</v>
      </c>
      <c r="D31" s="374" t="str">
        <f>IFERROR(__xludf.DUMMYFUNCTION("""COMPUTED_VALUE"""),"project_mep_engineer_name")</f>
        <v>project_mep_engineer_name</v>
      </c>
      <c r="E31" s="374"/>
      <c r="F31" s="374"/>
      <c r="G31" s="374" t="s">
        <v>857</v>
      </c>
      <c r="H31" s="374" t="s">
        <v>1253</v>
      </c>
      <c r="I31" s="374" t="str">
        <f>IFERROR(__xludf.DUMMYFUNCTION("""COMPUTED_VALUE"""),"Project Construction Type")</f>
        <v>Project Construction Type</v>
      </c>
      <c r="J31" s="378" t="str">
        <f t="shared" si="1"/>
        <v>project_construction_type</v>
      </c>
    </row>
    <row r="32">
      <c r="A32" s="374"/>
      <c r="B32" s="374"/>
      <c r="C32" s="374" t="str">
        <f>IFERROR(__xludf.DUMMYFUNCTION("""COMPUTED_VALUE"""),"Environmental Consultant Company")</f>
        <v>Environmental Consultant Company</v>
      </c>
      <c r="D32" s="374" t="str">
        <f>IFERROR(__xludf.DUMMYFUNCTION("""COMPUTED_VALUE"""),"project_environmental_consultant_company")</f>
        <v>project_environmental_consultant_company</v>
      </c>
      <c r="E32" s="374"/>
      <c r="F32" s="374"/>
      <c r="G32" s="374" t="s">
        <v>858</v>
      </c>
      <c r="H32" s="374" t="s">
        <v>1254</v>
      </c>
      <c r="I32" s="374" t="str">
        <f>IFERROR(__xludf.DUMMYFUNCTION("""COMPUTED_VALUE"""),"Country")</f>
        <v>Country</v>
      </c>
      <c r="J32" s="378" t="str">
        <f t="shared" si="1"/>
        <v>project_country</v>
      </c>
    </row>
    <row r="33">
      <c r="A33" s="374"/>
      <c r="B33" s="374"/>
      <c r="C33" s="374" t="str">
        <f>IFERROR(__xludf.DUMMYFUNCTION("""COMPUTED_VALUE"""),"Environmental Assessor Name")</f>
        <v>Environmental Assessor Name</v>
      </c>
      <c r="D33" s="374" t="str">
        <f>IFERROR(__xludf.DUMMYFUNCTION("""COMPUTED_VALUE"""),"project_environmental_assessor_name")</f>
        <v>project_environmental_assessor_name</v>
      </c>
      <c r="E33" s="374"/>
      <c r="F33" s="374"/>
      <c r="G33" s="374" t="s">
        <v>859</v>
      </c>
      <c r="H33" s="374" t="s">
        <v>1255</v>
      </c>
      <c r="I33" s="374" t="str">
        <f>IFERROR(__xludf.DUMMYFUNCTION("""COMPUTED_VALUE"""),"City")</f>
        <v>City</v>
      </c>
      <c r="J33" s="378" t="str">
        <f t="shared" si="1"/>
        <v>project_city</v>
      </c>
    </row>
    <row r="34">
      <c r="A34" s="374"/>
      <c r="B34" s="374"/>
      <c r="C34" s="374" t="str">
        <f>IFERROR(__xludf.DUMMYFUNCTION("""COMPUTED_VALUE"""),"Environmental Assessor Contact")</f>
        <v>Environmental Assessor Contact</v>
      </c>
      <c r="D34" s="374" t="str">
        <f>IFERROR(__xludf.DUMMYFUNCTION("""COMPUTED_VALUE"""),"project_environmental_assessor_contact")</f>
        <v>project_environmental_assessor_contact</v>
      </c>
      <c r="E34" s="374"/>
      <c r="F34" s="374"/>
      <c r="G34" s="374" t="s">
        <v>860</v>
      </c>
      <c r="H34" s="374" t="s">
        <v>1256</v>
      </c>
      <c r="I34" s="374" t="str">
        <f>IFERROR(__xludf.DUMMYFUNCTION("""COMPUTED_VALUE"""),"State")</f>
        <v>State</v>
      </c>
      <c r="J34" s="378" t="str">
        <f t="shared" si="1"/>
        <v>project_state</v>
      </c>
    </row>
    <row r="35">
      <c r="A35" s="374"/>
      <c r="B35" s="374"/>
      <c r="C35" s="374" t="str">
        <f>IFERROR(__xludf.DUMMYFUNCTION("""COMPUTED_VALUE"""),"Building ID")</f>
        <v>Building ID</v>
      </c>
      <c r="D35" s="374" t="str">
        <f>IFERROR(__xludf.DUMMYFUNCTION("""COMPUTED_VALUE"""),"building_id")</f>
        <v>building_id</v>
      </c>
      <c r="E35" s="374"/>
      <c r="F35" s="374"/>
      <c r="G35" s="374" t="s">
        <v>861</v>
      </c>
      <c r="H35" s="374" t="s">
        <v>1257</v>
      </c>
      <c r="I35" s="374" t="str">
        <f>IFERROR(__xludf.DUMMYFUNCTION("""COMPUTED_VALUE"""),"Address")</f>
        <v>Address</v>
      </c>
      <c r="J35" s="378" t="str">
        <f t="shared" si="1"/>
        <v>project_address</v>
      </c>
    </row>
    <row r="36">
      <c r="A36" s="374"/>
      <c r="B36" s="374"/>
      <c r="C36" s="374" t="str">
        <f>IFERROR(__xludf.DUMMYFUNCTION("""COMPUTED_VALUE"""),"Building GPS Coordinates")</f>
        <v>Building GPS Coordinates</v>
      </c>
      <c r="D36" s="374" t="str">
        <f>IFERROR(__xludf.DUMMYFUNCTION("""COMPUTED_VALUE"""),"building_gps_coordinates")</f>
        <v>building_gps_coordinates</v>
      </c>
      <c r="E36" s="374"/>
      <c r="F36" s="374"/>
      <c r="G36" s="374" t="s">
        <v>862</v>
      </c>
      <c r="H36" s="374" t="s">
        <v>1258</v>
      </c>
      <c r="I36" s="374" t="str">
        <f>IFERROR(__xludf.DUMMYFUNCTION("""COMPUTED_VALUE"""),"Owner / Client Name")</f>
        <v>Owner / Client Name</v>
      </c>
      <c r="J36" s="378" t="str">
        <f t="shared" si="1"/>
        <v>project_owner_name</v>
      </c>
    </row>
    <row r="37">
      <c r="A37" s="374"/>
      <c r="B37" s="374"/>
      <c r="C37" s="374" t="str">
        <f>IFERROR(__xludf.DUMMYFUNCTION("""COMPUTED_VALUE"""),"ASHRAE Geographic Climate Zone Typologies")</f>
        <v>ASHRAE Geographic Climate Zone Typologies</v>
      </c>
      <c r="D37" s="374" t="str">
        <f>IFERROR(__xludf.DUMMYFUNCTION("""COMPUTED_VALUE"""),"building_geographic_climate_zone")</f>
        <v>building_geographic_climate_zone</v>
      </c>
      <c r="E37" s="374"/>
      <c r="F37" s="374"/>
      <c r="G37" s="374" t="s">
        <v>863</v>
      </c>
      <c r="H37" s="374" t="s">
        <v>1259</v>
      </c>
      <c r="I37" s="374" t="str">
        <f>IFERROR(__xludf.DUMMYFUNCTION("""COMPUTED_VALUE"""),"Date of Assessment")</f>
        <v>Date of Assessment</v>
      </c>
      <c r="J37" s="378" t="str">
        <f t="shared" si="1"/>
        <v>project_date_assessment</v>
      </c>
    </row>
    <row r="38">
      <c r="A38" s="374"/>
      <c r="B38" s="374"/>
      <c r="C38" s="374" t="str">
        <f>IFERROR(__xludf.DUMMYFUNCTION("""COMPUTED_VALUE"""),"Altitude")</f>
        <v>Altitude</v>
      </c>
      <c r="D38" s="374" t="str">
        <f>IFERROR(__xludf.DUMMYFUNCTION("""COMPUTED_VALUE"""),"building_altitude")</f>
        <v>building_altitude</v>
      </c>
      <c r="E38" s="374"/>
      <c r="F38" s="374"/>
      <c r="G38" s="374" t="s">
        <v>864</v>
      </c>
      <c r="H38" s="374" t="s">
        <v>1260</v>
      </c>
      <c r="I38" s="374" t="str">
        <f>IFERROR(__xludf.DUMMYFUNCTION("""COMPUTED_VALUE"""),"Third Party Verified")</f>
        <v>Third Party Verified</v>
      </c>
      <c r="J38" s="378" t="str">
        <f t="shared" si="1"/>
        <v>project_third_verified</v>
      </c>
    </row>
    <row r="39">
      <c r="A39" s="374"/>
      <c r="B39" s="374"/>
      <c r="C39" s="374" t="str">
        <f>IFERROR(__xludf.DUMMYFUNCTION("""COMPUTED_VALUE"""),"Seismic Zone")</f>
        <v>Seismic Zone</v>
      </c>
      <c r="D39" s="374" t="str">
        <f>IFERROR(__xludf.DUMMYFUNCTION("""COMPUTED_VALUE"""),"building_seismic_zone")</f>
        <v>building_seismic_zone</v>
      </c>
      <c r="E39" s="374"/>
      <c r="F39" s="374"/>
      <c r="G39" s="374" t="s">
        <v>865</v>
      </c>
      <c r="H39" s="374" t="s">
        <v>1261</v>
      </c>
      <c r="I39" s="374" t="str">
        <f>IFERROR(__xludf.DUMMYFUNCTION("""COMPUTED_VALUE"""),"Third Party Verifier Name")</f>
        <v>Third Party Verifier Name</v>
      </c>
      <c r="J39" s="378" t="str">
        <f t="shared" si="1"/>
        <v>project_third_verifier_name</v>
      </c>
    </row>
    <row r="40">
      <c r="A40" s="374"/>
      <c r="B40" s="374"/>
      <c r="C40" s="374" t="str">
        <f>IFERROR(__xludf.DUMMYFUNCTION("""COMPUTED_VALUE"""),"Building Typology")</f>
        <v>Building Typology</v>
      </c>
      <c r="D40" s="374" t="str">
        <f>IFERROR(__xludf.DUMMYFUNCTION("""COMPUTED_VALUE"""),"building_typology")</f>
        <v>building_typology</v>
      </c>
      <c r="E40" s="374"/>
      <c r="F40" s="374"/>
      <c r="G40" s="374" t="s">
        <v>866</v>
      </c>
      <c r="H40" s="374" t="s">
        <v>1262</v>
      </c>
      <c r="I40" s="374" t="str">
        <f>IFERROR(__xludf.DUMMYFUNCTION("""COMPUTED_VALUE"""),"Verification Date")</f>
        <v>Verification Date</v>
      </c>
      <c r="J40" s="378" t="str">
        <f t="shared" si="1"/>
        <v>project_verification_date</v>
      </c>
    </row>
    <row r="41">
      <c r="A41" s="374"/>
      <c r="B41" s="374"/>
      <c r="C41" s="374" t="str">
        <f>IFERROR(__xludf.DUMMYFUNCTION("""COMPUTED_VALUE"""),"No. of Invidual Residential Units")</f>
        <v>No. of Invidual Residential Units</v>
      </c>
      <c r="D41" s="374" t="str">
        <f>IFERROR(__xludf.DUMMYFUNCTION("""COMPUTED_VALUE"""),"building_residential_units")</f>
        <v>building_residential_units</v>
      </c>
      <c r="E41" s="374"/>
      <c r="F41" s="374"/>
      <c r="G41" s="374" t="s">
        <v>867</v>
      </c>
      <c r="H41" s="374" t="s">
        <v>1263</v>
      </c>
      <c r="I41" s="374" t="str">
        <f>IFERROR(__xludf.DUMMYFUNCTION("""COMPUTED_VALUE"""),"Certification")</f>
        <v>Certification</v>
      </c>
      <c r="J41" s="378" t="str">
        <f t="shared" si="1"/>
        <v>project_certification</v>
      </c>
    </row>
    <row r="42">
      <c r="A42" s="374"/>
      <c r="B42" s="374"/>
      <c r="C42" s="374" t="str">
        <f>IFERROR(__xludf.DUMMYFUNCTION("""COMPUTED_VALUE"""),"No. of Rooms in the Residential Units")</f>
        <v>No. of Rooms in the Residential Units</v>
      </c>
      <c r="D42" s="374" t="str">
        <f>IFERROR(__xludf.DUMMYFUNCTION("""COMPUTED_VALUE"""),"building_rooms")</f>
        <v>building_rooms</v>
      </c>
      <c r="E42" s="374"/>
      <c r="F42" s="374"/>
      <c r="G42" s="374" t="s">
        <v>868</v>
      </c>
      <c r="H42" s="374" t="s">
        <v>1264</v>
      </c>
      <c r="I42" s="374" t="str">
        <f>IFERROR(__xludf.DUMMYFUNCTION("""COMPUTED_VALUE"""),"Certification Name")</f>
        <v>Certification Name</v>
      </c>
      <c r="J42" s="378" t="str">
        <f t="shared" si="1"/>
        <v>project_certification_name</v>
      </c>
    </row>
    <row r="43">
      <c r="A43" s="374"/>
      <c r="B43" s="374"/>
      <c r="C43" s="374" t="str">
        <f>IFERROR(__xludf.DUMMYFUNCTION("""COMPUTED_VALUE"""),"Energy Classification")</f>
        <v>Energy Classification</v>
      </c>
      <c r="D43" s="374" t="str">
        <f>IFERROR(__xludf.DUMMYFUNCTION("""COMPUTED_VALUE"""),"building_energy_classification")</f>
        <v>building_energy_classification</v>
      </c>
      <c r="E43" s="374"/>
      <c r="F43" s="374"/>
      <c r="G43" s="374" t="s">
        <v>869</v>
      </c>
      <c r="H43" s="374" t="s">
        <v>1265</v>
      </c>
      <c r="I43" s="374" t="str">
        <f>IFERROR(__xludf.DUMMYFUNCTION("""COMPUTED_VALUE"""),"Certification Application Date")</f>
        <v>Certification Application Date</v>
      </c>
      <c r="J43" s="378" t="str">
        <f t="shared" si="1"/>
        <v>pooject_certification_date</v>
      </c>
    </row>
    <row r="44">
      <c r="A44" s="374"/>
      <c r="B44" s="374"/>
      <c r="C44" s="374" t="str">
        <f>IFERROR(__xludf.DUMMYFUNCTION("""COMPUTED_VALUE"""),"Construction Start Date")</f>
        <v>Construction Start Date</v>
      </c>
      <c r="D44" s="374" t="str">
        <f>IFERROR(__xludf.DUMMYFUNCTION("""COMPUTED_VALUE"""),"building_construction_start_date")</f>
        <v>building_construction_start_date</v>
      </c>
      <c r="E44" s="374"/>
      <c r="F44" s="374"/>
      <c r="G44" s="374" t="s">
        <v>870</v>
      </c>
      <c r="H44" s="374" t="s">
        <v>1266</v>
      </c>
      <c r="I44" s="374" t="str">
        <f>IFERROR(__xludf.DUMMYFUNCTION("""COMPUTED_VALUE"""),"Certification Application ID")</f>
        <v>Certification Application ID</v>
      </c>
      <c r="J44" s="378" t="str">
        <f t="shared" si="1"/>
        <v>project_certification_id</v>
      </c>
    </row>
    <row r="45">
      <c r="A45" s="374"/>
      <c r="B45" s="374"/>
      <c r="C45" s="374" t="str">
        <f>IFERROR(__xludf.DUMMYFUNCTION("""COMPUTED_VALUE"""),"Construction End Date")</f>
        <v>Construction End Date</v>
      </c>
      <c r="D45" s="374" t="str">
        <f>IFERROR(__xludf.DUMMYFUNCTION("""COMPUTED_VALUE"""),"building_construction_end_date")</f>
        <v>building_construction_end_date</v>
      </c>
      <c r="E45" s="374"/>
      <c r="F45" s="374"/>
      <c r="G45" s="374" t="s">
        <v>871</v>
      </c>
      <c r="H45" s="374" t="s">
        <v>1267</v>
      </c>
      <c r="I45" s="374" t="str">
        <f>IFERROR(__xludf.DUMMYFUNCTION("""COMPUTED_VALUE"""),"Project Permit Application Date")</f>
        <v>Project Permit Application Date</v>
      </c>
      <c r="J45" s="378" t="str">
        <f t="shared" si="1"/>
        <v>project_ardpit_date</v>
      </c>
    </row>
    <row r="46">
      <c r="A46" s="374"/>
      <c r="B46" s="374"/>
      <c r="C46" s="374" t="str">
        <f>IFERROR(__xludf.DUMMYFUNCTION("""COMPUTED_VALUE"""),"Demolished Area")</f>
        <v>Demolished Area</v>
      </c>
      <c r="D46" s="374" t="str">
        <f>IFERROR(__xludf.DUMMYFUNCTION("""COMPUTED_VALUE"""),"building_demolished_area")</f>
        <v>building_demolished_area</v>
      </c>
      <c r="E46" s="374"/>
      <c r="F46" s="374"/>
      <c r="G46" s="374" t="s">
        <v>872</v>
      </c>
      <c r="H46" s="374" t="s">
        <v>1268</v>
      </c>
      <c r="I46" s="374" t="str">
        <f>IFERROR(__xludf.DUMMYFUNCTION("""COMPUTED_VALUE"""),"Project Permit ID")</f>
        <v>Project Permit ID</v>
      </c>
      <c r="J46" s="378" t="str">
        <f t="shared" si="1"/>
        <v>project_ardpit_id</v>
      </c>
    </row>
    <row r="47">
      <c r="A47" s="374"/>
      <c r="B47" s="374"/>
      <c r="C47" s="374" t="str">
        <f>IFERROR(__xludf.DUMMYFUNCTION("""COMPUTED_VALUE"""),"Roof Area")</f>
        <v>Roof Area</v>
      </c>
      <c r="D47" s="374" t="str">
        <f>IFERROR(__xludf.DUMMYFUNCTION("""COMPUTED_VALUE"""),"building_roof_area")</f>
        <v>building_roof_area</v>
      </c>
      <c r="E47" s="374"/>
      <c r="F47" s="374"/>
      <c r="G47" s="374" t="s">
        <v>873</v>
      </c>
      <c r="H47" s="374" t="s">
        <v>1269</v>
      </c>
      <c r="I47" s="374" t="str">
        <f>IFERROR(__xludf.DUMMYFUNCTION("""COMPUTED_VALUE"""),"Project Total Plot Area")</f>
        <v>Project Total Plot Area</v>
      </c>
      <c r="J47" s="378" t="str">
        <f t="shared" si="1"/>
        <v>project_plot_area</v>
      </c>
    </row>
    <row r="48">
      <c r="A48" s="374"/>
      <c r="B48" s="374"/>
      <c r="C48" s="374" t="str">
        <f>IFERROR(__xludf.DUMMYFUNCTION("""COMPUTED_VALUE"""),"No. of Floors (Below Ground)")</f>
        <v>No. of Floors (Below Ground)</v>
      </c>
      <c r="D48" s="374" t="str">
        <f>IFERROR(__xludf.DUMMYFUNCTION("""COMPUTED_VALUE"""),"building_floors_bg")</f>
        <v>building_floors_bg</v>
      </c>
      <c r="E48" s="374"/>
      <c r="F48" s="374"/>
      <c r="G48" s="374" t="s">
        <v>874</v>
      </c>
      <c r="H48" s="374" t="s">
        <v>1270</v>
      </c>
      <c r="I48" s="374" t="str">
        <f>IFERROR(__xludf.DUMMYFUNCTION("""COMPUTED_VALUE"""),"No. of Buildings")</f>
        <v>No. of Buildings</v>
      </c>
      <c r="J48" s="378" t="str">
        <f t="shared" si="1"/>
        <v>project_no_of_buildings</v>
      </c>
    </row>
    <row r="49">
      <c r="A49" s="374"/>
      <c r="B49" s="374"/>
      <c r="C49" s="374" t="str">
        <f>IFERROR(__xludf.DUMMYFUNCTION("""COMPUTED_VALUE"""),"No. of Floors (Above Ground)")</f>
        <v>No. of Floors (Above Ground)</v>
      </c>
      <c r="D49" s="374" t="str">
        <f>IFERROR(__xludf.DUMMYFUNCTION("""COMPUTED_VALUE"""),"building_floors_ag")</f>
        <v>building_floors_ag</v>
      </c>
      <c r="E49" s="374"/>
      <c r="F49" s="374"/>
      <c r="G49" s="374" t="s">
        <v>875</v>
      </c>
      <c r="H49" s="374" t="s">
        <v>1271</v>
      </c>
      <c r="I49" s="374" t="str">
        <f>IFERROR(__xludf.DUMMYFUNCTION("""COMPUTED_VALUE"""),"Project Phase")</f>
        <v>Project Phase</v>
      </c>
      <c r="J49" s="378" t="str">
        <f t="shared" si="1"/>
        <v>project_phase</v>
      </c>
    </row>
    <row r="50">
      <c r="A50" s="374"/>
      <c r="B50" s="374"/>
      <c r="C50" s="374" t="str">
        <f>IFERROR(__xludf.DUMMYFUNCTION("""COMPUTED_VALUE"""),"No. of Parking Spots (In Building)")</f>
        <v>No. of Parking Spots (In Building)</v>
      </c>
      <c r="D50" s="374" t="str">
        <f>IFERROR(__xludf.DUMMYFUNCTION("""COMPUTED_VALUE"""),"building_parking_building")</f>
        <v>building_parking_building</v>
      </c>
      <c r="E50" s="374"/>
      <c r="F50" s="374"/>
      <c r="G50" s="374" t="s">
        <v>876</v>
      </c>
      <c r="H50" s="374" t="s">
        <v>1272</v>
      </c>
      <c r="I50" s="374" t="str">
        <f>IFERROR(__xludf.DUMMYFUNCTION("""COMPUTED_VALUE"""),"Project Design Start Date")</f>
        <v>Project Design Start Date</v>
      </c>
      <c r="J50" s="378" t="str">
        <f t="shared" si="1"/>
        <v>project_design_start_date</v>
      </c>
    </row>
    <row r="51">
      <c r="A51" s="374"/>
      <c r="B51" s="374"/>
      <c r="C51" s="374" t="str">
        <f>IFERROR(__xludf.DUMMYFUNCTION("""COMPUTED_VALUE"""),"No. of Parking Spots (Dislocated)")</f>
        <v>No. of Parking Spots (Dislocated)</v>
      </c>
      <c r="D51" s="374" t="str">
        <f>IFERROR(__xludf.DUMMYFUNCTION("""COMPUTED_VALUE"""),"building_parking_dislocated")</f>
        <v>building_parking_dislocated</v>
      </c>
      <c r="E51" s="374"/>
      <c r="F51" s="374"/>
      <c r="G51" s="374" t="s">
        <v>877</v>
      </c>
      <c r="H51" s="374" t="s">
        <v>1273</v>
      </c>
      <c r="I51" s="374" t="str">
        <f>IFERROR(__xludf.DUMMYFUNCTION("""COMPUTED_VALUE"""),"Construction Company Name")</f>
        <v>Construction Company Name</v>
      </c>
      <c r="J51" s="378" t="str">
        <f t="shared" si="1"/>
        <v>project_construction_company_name</v>
      </c>
    </row>
    <row r="52">
      <c r="A52" s="374"/>
      <c r="B52" s="374"/>
      <c r="C52" s="374" t="str">
        <f>IFERROR(__xludf.DUMMYFUNCTION("""COMPUTED_VALUE"""),"Building Element Classification Code Name")</f>
        <v>Building Element Classification Code Name</v>
      </c>
      <c r="D52" s="374" t="str">
        <f>IFERROR(__xludf.DUMMYFUNCTION("""COMPUTED_VALUE"""),"building_element_classification_code_name")</f>
        <v>building_element_classification_code_name</v>
      </c>
      <c r="E52" s="374"/>
      <c r="F52" s="374"/>
      <c r="G52" s="374" t="s">
        <v>878</v>
      </c>
      <c r="H52" s="374" t="s">
        <v>1274</v>
      </c>
      <c r="I52" s="374" t="str">
        <f>IFERROR(__xludf.DUMMYFUNCTION("""COMPUTED_VALUE"""),"Construction Company Address")</f>
        <v>Construction Company Address</v>
      </c>
      <c r="J52" s="378" t="str">
        <f t="shared" si="1"/>
        <v>project_construction_company_address</v>
      </c>
    </row>
    <row r="53">
      <c r="A53" s="374"/>
      <c r="B53" s="374"/>
      <c r="C53" s="374" t="str">
        <f>IFERROR(__xludf.DUMMYFUNCTION("""COMPUTED_VALUE"""),"Building Element Classification Code Link")</f>
        <v>Building Element Classification Code Link</v>
      </c>
      <c r="D53" s="374" t="str">
        <f>IFERROR(__xludf.DUMMYFUNCTION("""COMPUTED_VALUE"""),"building_element_classification_code_link")</f>
        <v>building_element_classification_code_link</v>
      </c>
      <c r="E53" s="374"/>
      <c r="F53" s="374"/>
      <c r="G53" s="374" t="s">
        <v>879</v>
      </c>
      <c r="H53" s="374" t="s">
        <v>1275</v>
      </c>
      <c r="I53" s="374" t="str">
        <f>IFERROR(__xludf.DUMMYFUNCTION("""COMPUTED_VALUE"""),"Contractor Name")</f>
        <v>Contractor Name</v>
      </c>
      <c r="J53" s="378" t="str">
        <f t="shared" si="1"/>
        <v>project_contractor_name</v>
      </c>
    </row>
    <row r="54">
      <c r="A54" s="374"/>
      <c r="B54" s="374"/>
      <c r="C54" s="374" t="str">
        <f>IFERROR(__xludf.DUMMYFUNCTION("""COMPUTED_VALUE"""),"Building Element Classification Code Version")</f>
        <v>Building Element Classification Code Version</v>
      </c>
      <c r="D54" s="374" t="str">
        <f>IFERROR(__xludf.DUMMYFUNCTION("""COMPUTED_VALUE"""),"building_element_classification_code_version")</f>
        <v>building_element_classification_code_version</v>
      </c>
      <c r="E54" s="374"/>
      <c r="F54" s="374"/>
      <c r="G54" s="374" t="s">
        <v>880</v>
      </c>
      <c r="H54" s="374" t="s">
        <v>1276</v>
      </c>
      <c r="I54" s="374" t="str">
        <f>IFERROR(__xludf.DUMMYFUNCTION("""COMPUTED_VALUE"""),"Architect/ Engineer")</f>
        <v>Architect/ Engineer</v>
      </c>
      <c r="J54" s="378" t="str">
        <f t="shared" si="1"/>
        <v>project_architect_engineer_name</v>
      </c>
    </row>
    <row r="55">
      <c r="A55" s="374"/>
      <c r="B55" s="374"/>
      <c r="C55" s="374" t="str">
        <f>IFERROR(__xludf.DUMMYFUNCTION("""COMPUTED_VALUE"""),"Building Element Classification Tier")</f>
        <v>Building Element Classification Tier</v>
      </c>
      <c r="D55" s="374" t="str">
        <f>IFERROR(__xludf.DUMMYFUNCTION("""COMPUTED_VALUE"""),"building_element_classification_tier")</f>
        <v>building_element_classification_tier</v>
      </c>
      <c r="E55" s="374"/>
      <c r="F55" s="374"/>
      <c r="G55" s="374" t="s">
        <v>881</v>
      </c>
      <c r="H55" s="374" t="s">
        <v>1277</v>
      </c>
      <c r="I55" s="374" t="str">
        <f>IFERROR(__xludf.DUMMYFUNCTION("""COMPUTED_VALUE"""),"Structural Engineer")</f>
        <v>Structural Engineer</v>
      </c>
      <c r="J55" s="378" t="str">
        <f t="shared" si="1"/>
        <v>project_structural_engineer_name</v>
      </c>
    </row>
    <row r="56">
      <c r="A56" s="374"/>
      <c r="B56" s="374"/>
      <c r="C56" s="374" t="str">
        <f>IFERROR(__xludf.DUMMYFUNCTION("""COMPUTED_VALUE"""),"Building Structure Typology")</f>
        <v>Building Structure Typology</v>
      </c>
      <c r="D56" s="374" t="str">
        <f>IFERROR(__xludf.DUMMYFUNCTION("""COMPUTED_VALUE"""),"building_structure_typology")</f>
        <v>building_structure_typology</v>
      </c>
      <c r="E56" s="374"/>
      <c r="F56" s="374"/>
      <c r="G56" s="374" t="s">
        <v>882</v>
      </c>
      <c r="H56" s="374" t="s">
        <v>1278</v>
      </c>
      <c r="I56" s="374" t="str">
        <f>IFERROR(__xludf.DUMMYFUNCTION("""COMPUTED_VALUE"""),"MEP Engineer")</f>
        <v>MEP Engineer</v>
      </c>
      <c r="J56" s="378" t="str">
        <f t="shared" si="1"/>
        <v>project_mep_engineer_name</v>
      </c>
    </row>
    <row r="57">
      <c r="A57" s="374"/>
      <c r="B57" s="374"/>
      <c r="C57" s="374" t="str">
        <f>IFERROR(__xludf.DUMMYFUNCTION("""COMPUTED_VALUE"""),"Prefabricated Elements")</f>
        <v>Prefabricated Elements</v>
      </c>
      <c r="D57" s="374" t="str">
        <f>IFERROR(__xludf.DUMMYFUNCTION("""COMPUTED_VALUE"""),"building_prefabricated_elements")</f>
        <v>building_prefabricated_elements</v>
      </c>
      <c r="E57" s="374"/>
      <c r="F57" s="374"/>
      <c r="G57" s="374" t="s">
        <v>883</v>
      </c>
      <c r="H57" s="374" t="s">
        <v>1279</v>
      </c>
      <c r="I57" s="374" t="str">
        <f>IFERROR(__xludf.DUMMYFUNCTION("""COMPUTED_VALUE"""),"Environmental Consultant Company")</f>
        <v>Environmental Consultant Company</v>
      </c>
      <c r="J57" s="378" t="str">
        <f t="shared" si="1"/>
        <v>project_environmental_consultant_company</v>
      </c>
    </row>
    <row r="58">
      <c r="A58" s="374"/>
      <c r="B58" s="374"/>
      <c r="C58" s="374" t="str">
        <f>IFERROR(__xludf.DUMMYFUNCTION("""COMPUTED_VALUE"""),"Soil Data")</f>
        <v>Soil Data</v>
      </c>
      <c r="D58" s="374" t="str">
        <f>IFERROR(__xludf.DUMMYFUNCTION("""COMPUTED_VALUE"""),"building_soil_data")</f>
        <v>building_soil_data</v>
      </c>
      <c r="E58" s="374"/>
      <c r="F58" s="374"/>
      <c r="G58" s="374" t="s">
        <v>884</v>
      </c>
      <c r="H58" s="374" t="s">
        <v>1280</v>
      </c>
      <c r="I58" s="374" t="str">
        <f>IFERROR(__xludf.DUMMYFUNCTION("""COMPUTED_VALUE"""),"Environmental Assessor Name")</f>
        <v>Environmental Assessor Name</v>
      </c>
      <c r="J58" s="378" t="str">
        <f t="shared" si="1"/>
        <v>project_environmental_assessor_name</v>
      </c>
    </row>
    <row r="59">
      <c r="A59" s="374"/>
      <c r="B59" s="374"/>
      <c r="C59" s="374" t="str">
        <f>IFERROR(__xludf.DUMMYFUNCTION("""COMPUTED_VALUE"""),"Foundation Type")</f>
        <v>Foundation Type</v>
      </c>
      <c r="D59" s="374" t="str">
        <f>IFERROR(__xludf.DUMMYFUNCTION("""COMPUTED_VALUE"""),"building_foundation_type")</f>
        <v>building_foundation_type</v>
      </c>
      <c r="E59" s="374"/>
      <c r="F59" s="374"/>
      <c r="G59" s="374" t="s">
        <v>885</v>
      </c>
      <c r="H59" s="374" t="s">
        <v>1281</v>
      </c>
      <c r="I59" s="374" t="str">
        <f>IFERROR(__xludf.DUMMYFUNCTION("""COMPUTED_VALUE"""),"Environmental Assessor Contact")</f>
        <v>Environmental Assessor Contact</v>
      </c>
      <c r="J59" s="378" t="str">
        <f t="shared" si="1"/>
        <v>project_environmental_assessor_contact</v>
      </c>
    </row>
    <row r="60">
      <c r="A60" s="374"/>
      <c r="B60" s="374"/>
      <c r="C60" s="374" t="str">
        <f>IFERROR(__xludf.DUMMYFUNCTION("""COMPUTED_VALUE"""),"Energy Demand - Thermal")</f>
        <v>Energy Demand - Thermal</v>
      </c>
      <c r="D60" s="374" t="str">
        <f>IFERROR(__xludf.DUMMYFUNCTION("""COMPUTED_VALUE"""),"building_energy_demand_thermal")</f>
        <v>building_energy_demand_thermal</v>
      </c>
      <c r="E60" s="374"/>
      <c r="F60" s="374"/>
      <c r="G60" s="374" t="s">
        <v>886</v>
      </c>
      <c r="H60" s="374" t="s">
        <v>1282</v>
      </c>
      <c r="I60" s="374" t="str">
        <f>IFERROR(__xludf.DUMMYFUNCTION("""COMPUTED_VALUE"""),"Building ID")</f>
        <v>Building ID</v>
      </c>
      <c r="J60" s="378" t="str">
        <f t="shared" si="1"/>
        <v>building_id</v>
      </c>
    </row>
    <row r="61">
      <c r="A61" s="374"/>
      <c r="B61" s="374"/>
      <c r="C61" s="374" t="str">
        <f>IFERROR(__xludf.DUMMYFUNCTION("""COMPUTED_VALUE"""),"Energy Demand - Electric")</f>
        <v>Energy Demand - Electric</v>
      </c>
      <c r="D61" s="374" t="str">
        <f>IFERROR(__xludf.DUMMYFUNCTION("""COMPUTED_VALUE"""),"building_energy_demand_electricity")</f>
        <v>building_energy_demand_electricity</v>
      </c>
      <c r="E61" s="374"/>
      <c r="F61" s="374"/>
      <c r="G61" s="374" t="s">
        <v>887</v>
      </c>
      <c r="H61" s="374" t="s">
        <v>1283</v>
      </c>
      <c r="I61" s="374" t="str">
        <f>IFERROR(__xludf.DUMMYFUNCTION("""COMPUTED_VALUE"""),"Building GPS Coordinates")</f>
        <v>Building GPS Coordinates</v>
      </c>
      <c r="J61" s="378" t="str">
        <f t="shared" si="1"/>
        <v>building_gps_coordinates</v>
      </c>
    </row>
    <row r="62">
      <c r="A62" s="374"/>
      <c r="B62" s="374"/>
      <c r="C62" s="374" t="str">
        <f>IFERROR(__xludf.DUMMYFUNCTION("""COMPUTED_VALUE"""),"Energy Supply - Thermal")</f>
        <v>Energy Supply - Thermal</v>
      </c>
      <c r="D62" s="374" t="str">
        <f>IFERROR(__xludf.DUMMYFUNCTION("""COMPUTED_VALUE"""),"building_energy_supply_thermal")</f>
        <v>building_energy_supply_thermal</v>
      </c>
      <c r="E62" s="374"/>
      <c r="F62" s="374"/>
      <c r="G62" s="374" t="s">
        <v>888</v>
      </c>
      <c r="H62" s="374" t="s">
        <v>1284</v>
      </c>
      <c r="I62" s="374" t="str">
        <f>IFERROR(__xludf.DUMMYFUNCTION("""COMPUTED_VALUE"""),"ASHRAE Geographic Climate Zone Typologies")</f>
        <v>ASHRAE Geographic Climate Zone Typologies</v>
      </c>
      <c r="J62" s="378" t="str">
        <f t="shared" si="1"/>
        <v>building_geographic_climate_zone</v>
      </c>
    </row>
    <row r="63">
      <c r="A63" s="374"/>
      <c r="B63" s="374"/>
      <c r="C63" s="374" t="str">
        <f>IFERROR(__xludf.DUMMYFUNCTION("""COMPUTED_VALUE"""),"Energy Supply - Electric")</f>
        <v>Energy Supply - Electric</v>
      </c>
      <c r="D63" s="374" t="str">
        <f>IFERROR(__xludf.DUMMYFUNCTION("""COMPUTED_VALUE"""),"building_energy_supply_electricity")</f>
        <v>building_energy_supply_electricity</v>
      </c>
      <c r="E63" s="374"/>
      <c r="F63" s="374"/>
      <c r="G63" s="374" t="s">
        <v>889</v>
      </c>
      <c r="H63" s="374" t="s">
        <v>1285</v>
      </c>
      <c r="I63" s="374" t="str">
        <f>IFERROR(__xludf.DUMMYFUNCTION("""COMPUTED_VALUE"""),"Altitude")</f>
        <v>Altitude</v>
      </c>
      <c r="J63" s="378" t="str">
        <f t="shared" si="1"/>
        <v>building_altitude</v>
      </c>
    </row>
    <row r="64">
      <c r="A64" s="374"/>
      <c r="B64" s="374"/>
      <c r="C64" s="374" t="str">
        <f>IFERROR(__xludf.DUMMYFUNCTION("""COMPUTED_VALUE"""),"Building Primary Energy Source")</f>
        <v>Building Primary Energy Source</v>
      </c>
      <c r="D64" s="374" t="str">
        <f>IFERROR(__xludf.DUMMYFUNCTION("""COMPUTED_VALUE"""),"building_primary_energy_source")</f>
        <v>building_primary_energy_source</v>
      </c>
      <c r="E64" s="374"/>
      <c r="F64" s="374"/>
      <c r="G64" s="374" t="s">
        <v>890</v>
      </c>
      <c r="H64" s="374" t="s">
        <v>1286</v>
      </c>
      <c r="I64" s="374" t="str">
        <f>IFERROR(__xludf.DUMMYFUNCTION("""COMPUTED_VALUE"""),"Seismic Zone")</f>
        <v>Seismic Zone</v>
      </c>
      <c r="J64" s="378" t="str">
        <f t="shared" si="1"/>
        <v>building_seismic_zone</v>
      </c>
    </row>
    <row r="65">
      <c r="A65" s="374"/>
      <c r="B65" s="374"/>
      <c r="C65" s="374" t="str">
        <f>IFERROR(__xludf.DUMMYFUNCTION("""COMPUTED_VALUE"""),"Building BIPV Description")</f>
        <v>Building BIPV Description</v>
      </c>
      <c r="D65" s="374" t="str">
        <f>IFERROR(__xludf.DUMMYFUNCTION("""COMPUTED_VALUE"""),"building_bipv_description")</f>
        <v>building_bipv_description</v>
      </c>
      <c r="E65" s="374"/>
      <c r="F65" s="374"/>
      <c r="G65" s="374" t="s">
        <v>891</v>
      </c>
      <c r="H65" s="374" t="s">
        <v>1287</v>
      </c>
      <c r="I65" s="374" t="str">
        <f>IFERROR(__xludf.DUMMYFUNCTION("""COMPUTED_VALUE"""),"Building Typology")</f>
        <v>Building Typology</v>
      </c>
      <c r="J65" s="378" t="str">
        <f t="shared" si="1"/>
        <v>building_typology</v>
      </c>
    </row>
    <row r="66">
      <c r="A66" s="374"/>
      <c r="B66" s="374"/>
      <c r="C66" s="374" t="str">
        <f>IFERROR(__xludf.DUMMYFUNCTION("""COMPUTED_VALUE"""),"Building Orientation")</f>
        <v>Building Orientation</v>
      </c>
      <c r="D66" s="374" t="str">
        <f>IFERROR(__xludf.DUMMYFUNCTION("""COMPUTED_VALUE"""),"building_orientation")</f>
        <v>building_orientation</v>
      </c>
      <c r="E66" s="374"/>
      <c r="F66" s="374"/>
      <c r="G66" s="374" t="s">
        <v>892</v>
      </c>
      <c r="H66" s="374" t="s">
        <v>1288</v>
      </c>
      <c r="I66" s="374" t="str">
        <f>IFERROR(__xludf.DUMMYFUNCTION("""COMPUTED_VALUE"""),"No. of Invidual Residential Units")</f>
        <v>No. of Invidual Residential Units</v>
      </c>
      <c r="J66" s="378" t="str">
        <f t="shared" si="1"/>
        <v>building_residential_units</v>
      </c>
    </row>
    <row r="67">
      <c r="A67" s="374"/>
      <c r="B67" s="374"/>
      <c r="C67" s="374" t="str">
        <f>IFERROR(__xludf.DUMMYFUNCTION("""COMPUTED_VALUE"""),"Gross Floor Area (GFA) Measurement Method")</f>
        <v>Gross Floor Area (GFA) Measurement Method</v>
      </c>
      <c r="D67" s="374" t="str">
        <f>IFERROR(__xludf.DUMMYFUNCTION("""COMPUTED_VALUE"""),"building_gross_floor_area_measurement_method")</f>
        <v>building_gross_floor_area_measurement_method</v>
      </c>
      <c r="E67" s="374"/>
      <c r="F67" s="374"/>
      <c r="G67" s="374" t="s">
        <v>893</v>
      </c>
      <c r="H67" s="374" t="s">
        <v>1289</v>
      </c>
      <c r="I67" s="374" t="str">
        <f>IFERROR(__xludf.DUMMYFUNCTION("""COMPUTED_VALUE"""),"No. of Rooms in the Residential Units")</f>
        <v>No. of Rooms in the Residential Units</v>
      </c>
      <c r="J67" s="378" t="str">
        <f t="shared" si="1"/>
        <v>building_rooms</v>
      </c>
    </row>
    <row r="68">
      <c r="A68" s="374"/>
      <c r="B68" s="374"/>
      <c r="C68" s="374" t="str">
        <f>IFERROR(__xludf.DUMMYFUNCTION("""COMPUTED_VALUE"""),"Useful Floor Area (UFA)")</f>
        <v>Useful Floor Area (UFA)</v>
      </c>
      <c r="D68" s="374" t="str">
        <f>IFERROR(__xludf.DUMMYFUNCTION("""COMPUTED_VALUE"""),"building_useful_floor_area")</f>
        <v>building_useful_floor_area</v>
      </c>
      <c r="E68" s="374"/>
      <c r="F68" s="374"/>
      <c r="G68" s="374" t="s">
        <v>894</v>
      </c>
      <c r="H68" s="374" t="s">
        <v>1290</v>
      </c>
      <c r="I68" s="374" t="str">
        <f>IFERROR(__xludf.DUMMYFUNCTION("""COMPUTED_VALUE"""),"Energy Classification")</f>
        <v>Energy Classification</v>
      </c>
      <c r="J68" s="378" t="str">
        <f t="shared" si="1"/>
        <v>building_energy_classification</v>
      </c>
    </row>
    <row r="69">
      <c r="A69" s="374"/>
      <c r="B69" s="374"/>
      <c r="C69" s="374" t="str">
        <f>IFERROR(__xludf.DUMMYFUNCTION("""COMPUTED_VALUE"""),"Gross Floor Area (GFA)")</f>
        <v>Gross Floor Area (GFA)</v>
      </c>
      <c r="D69" s="374" t="str">
        <f>IFERROR(__xludf.DUMMYFUNCTION("""COMPUTED_VALUE"""),"building_gross_floor_area")</f>
        <v>building_gross_floor_area</v>
      </c>
      <c r="E69" s="374"/>
      <c r="F69" s="374"/>
      <c r="G69" s="374" t="s">
        <v>895</v>
      </c>
      <c r="H69" s="374" t="s">
        <v>1291</v>
      </c>
      <c r="I69" s="374" t="str">
        <f>IFERROR(__xludf.DUMMYFUNCTION("""COMPUTED_VALUE"""),"Construction Start Date")</f>
        <v>Construction Start Date</v>
      </c>
      <c r="J69" s="378" t="str">
        <f t="shared" si="1"/>
        <v>building_construction_start_date</v>
      </c>
    </row>
    <row r="70">
      <c r="A70" s="374"/>
      <c r="B70" s="374"/>
      <c r="C70" s="374" t="str">
        <f>IFERROR(__xludf.DUMMYFUNCTION("""COMPUTED_VALUE"""),"Building Footprint Area")</f>
        <v>Building Footprint Area</v>
      </c>
      <c r="D70" s="374" t="str">
        <f>IFERROR(__xludf.DUMMYFUNCTION("""COMPUTED_VALUE"""),"building_footprint")</f>
        <v>building_footprint</v>
      </c>
      <c r="E70" s="374"/>
      <c r="F70" s="374"/>
      <c r="G70" s="374" t="s">
        <v>896</v>
      </c>
      <c r="H70" s="374" t="s">
        <v>1292</v>
      </c>
      <c r="I70" s="374" t="str">
        <f>IFERROR(__xludf.DUMMYFUNCTION("""COMPUTED_VALUE"""),"Construction End Date")</f>
        <v>Construction End Date</v>
      </c>
      <c r="J70" s="378" t="str">
        <f t="shared" si="1"/>
        <v>building_construction_end_date</v>
      </c>
    </row>
    <row r="71">
      <c r="A71" s="374"/>
      <c r="B71" s="374"/>
      <c r="C71" s="374" t="str">
        <f>IFERROR(__xludf.DUMMYFUNCTION("""COMPUTED_VALUE"""),"Unconditioned Floor Area")</f>
        <v>Unconditioned Floor Area</v>
      </c>
      <c r="D71" s="374" t="str">
        <f>IFERROR(__xludf.DUMMYFUNCTION("""COMPUTED_VALUE"""),"building_unconditioned_area")</f>
        <v>building_unconditioned_area</v>
      </c>
      <c r="E71" s="374"/>
      <c r="F71" s="374"/>
      <c r="G71" s="374" t="s">
        <v>897</v>
      </c>
      <c r="H71" s="374" t="s">
        <v>1293</v>
      </c>
      <c r="I71" s="374" t="str">
        <f>IFERROR(__xludf.DUMMYFUNCTION("""COMPUTED_VALUE"""),"Demolished Area")</f>
        <v>Demolished Area</v>
      </c>
      <c r="J71" s="378" t="str">
        <f t="shared" si="1"/>
        <v>building_demolished_area</v>
      </c>
    </row>
    <row r="72">
      <c r="A72" s="374"/>
      <c r="B72" s="374"/>
      <c r="C72" s="374" t="str">
        <f>IFERROR(__xludf.DUMMYFUNCTION("""COMPUTED_VALUE"""),"Conditioned Floor Area")</f>
        <v>Conditioned Floor Area</v>
      </c>
      <c r="D72" s="374" t="str">
        <f>IFERROR(__xludf.DUMMYFUNCTION("""COMPUTED_VALUE"""),"building_conditioned_area")</f>
        <v>building_conditioned_area</v>
      </c>
      <c r="E72" s="374"/>
      <c r="F72" s="374"/>
      <c r="G72" s="374" t="s">
        <v>898</v>
      </c>
      <c r="H72" s="374" t="s">
        <v>1294</v>
      </c>
      <c r="I72" s="374" t="str">
        <f>IFERROR(__xludf.DUMMYFUNCTION("""COMPUTED_VALUE"""),"Roof Area")</f>
        <v>Roof Area</v>
      </c>
      <c r="J72" s="378" t="str">
        <f t="shared" si="1"/>
        <v>building_roof_area</v>
      </c>
    </row>
    <row r="73">
      <c r="A73" s="374"/>
      <c r="B73" s="374"/>
      <c r="C73" s="374" t="str">
        <f>IFERROR(__xludf.DUMMYFUNCTION("""COMPUTED_VALUE"""),"Circulation Area")</f>
        <v>Circulation Area</v>
      </c>
      <c r="D73" s="374" t="str">
        <f>IFERROR(__xludf.DUMMYFUNCTION("""COMPUTED_VALUE"""),"building_circulation_area")</f>
        <v>building_circulation_area</v>
      </c>
      <c r="E73" s="374"/>
      <c r="F73" s="374"/>
      <c r="G73" s="374" t="s">
        <v>899</v>
      </c>
      <c r="H73" s="374" t="s">
        <v>1295</v>
      </c>
      <c r="I73" s="374" t="str">
        <f>IFERROR(__xludf.DUMMYFUNCTION("""COMPUTED_VALUE"""),"No. of Floors (Below Ground)")</f>
        <v>No. of Floors (Below Ground)</v>
      </c>
      <c r="J73" s="378" t="str">
        <f t="shared" si="1"/>
        <v>building_floors_bg</v>
      </c>
    </row>
    <row r="74">
      <c r="A74" s="374"/>
      <c r="B74" s="374"/>
      <c r="C74" s="374" t="str">
        <f>IFERROR(__xludf.DUMMYFUNCTION("""COMPUTED_VALUE"""),"Technical Area")</f>
        <v>Technical Area</v>
      </c>
      <c r="D74" s="374" t="str">
        <f>IFERROR(__xludf.DUMMYFUNCTION("""COMPUTED_VALUE"""),"building_technical_area")</f>
        <v>building_technical_area</v>
      </c>
      <c r="E74" s="374"/>
      <c r="F74" s="374"/>
      <c r="G74" s="374" t="s">
        <v>900</v>
      </c>
      <c r="H74" s="374" t="s">
        <v>1296</v>
      </c>
      <c r="I74" s="374" t="str">
        <f>IFERROR(__xludf.DUMMYFUNCTION("""COMPUTED_VALUE"""),"No. of Floors (Above Ground)")</f>
        <v>No. of Floors (Above Ground)</v>
      </c>
      <c r="J74" s="378" t="str">
        <f t="shared" si="1"/>
        <v>building_floors_ag</v>
      </c>
    </row>
    <row r="75">
      <c r="A75" s="374"/>
      <c r="B75" s="374"/>
      <c r="C75" s="374" t="str">
        <f>IFERROR(__xludf.DUMMYFUNCTION("""COMPUTED_VALUE"""),"Built Floor Area (BFA)")</f>
        <v>Built Floor Area (BFA)</v>
      </c>
      <c r="D75" s="374" t="str">
        <f>IFERROR(__xludf.DUMMYFUNCTION("""COMPUTED_VALUE"""),"building_built_floor_area")</f>
        <v>building_built_floor_area</v>
      </c>
      <c r="E75" s="374"/>
      <c r="F75" s="374"/>
      <c r="G75" s="374" t="s">
        <v>901</v>
      </c>
      <c r="H75" s="374" t="s">
        <v>1297</v>
      </c>
      <c r="I75" s="374" t="str">
        <f>IFERROR(__xludf.DUMMYFUNCTION("""COMPUTED_VALUE"""),"No. of Parking Spots (In Building)")</f>
        <v>No. of Parking Spots (In Building)</v>
      </c>
      <c r="J75" s="378" t="str">
        <f t="shared" si="1"/>
        <v>building_parking_building</v>
      </c>
    </row>
    <row r="76">
      <c r="A76" s="374"/>
      <c r="B76" s="374"/>
      <c r="C76" s="374" t="str">
        <f>IFERROR(__xludf.DUMMYFUNCTION("""COMPUTED_VALUE"""),"Building Envelope Area")</f>
        <v>Building Envelope Area</v>
      </c>
      <c r="D76" s="374" t="str">
        <f>IFERROR(__xludf.DUMMYFUNCTION("""COMPUTED_VALUE"""),"building_envelope_area")</f>
        <v>building_envelope_area</v>
      </c>
      <c r="E76" s="374"/>
      <c r="F76" s="374"/>
      <c r="G76" s="374" t="s">
        <v>902</v>
      </c>
      <c r="H76" s="374" t="s">
        <v>1298</v>
      </c>
      <c r="I76" s="374" t="str">
        <f>IFERROR(__xludf.DUMMYFUNCTION("""COMPUTED_VALUE"""),"No. of Parking Spots (Dislocated)")</f>
        <v>No. of Parking Spots (Dislocated)</v>
      </c>
      <c r="J76" s="378" t="str">
        <f t="shared" si="1"/>
        <v>building_parking_dislocated</v>
      </c>
    </row>
    <row r="77">
      <c r="A77" s="374"/>
      <c r="B77" s="374"/>
      <c r="C77" s="374" t="str">
        <f>IFERROR(__xludf.DUMMYFUNCTION("""COMPUTED_VALUE"""),"Window Area")</f>
        <v>Window Area</v>
      </c>
      <c r="D77" s="374" t="str">
        <f>IFERROR(__xludf.DUMMYFUNCTION("""COMPUTED_VALUE"""),"building_window_area")</f>
        <v>building_window_area</v>
      </c>
      <c r="E77" s="374"/>
      <c r="F77" s="374"/>
      <c r="G77" s="374" t="s">
        <v>903</v>
      </c>
      <c r="H77" s="374" t="s">
        <v>1299</v>
      </c>
      <c r="I77" s="374" t="str">
        <f>IFERROR(__xludf.DUMMYFUNCTION("""COMPUTED_VALUE"""),"Building Element Classification Code Name")</f>
        <v>Building Element Classification Code Name</v>
      </c>
      <c r="J77" s="378" t="str">
        <f t="shared" si="1"/>
        <v>building_element_classification_code_name</v>
      </c>
    </row>
    <row r="78">
      <c r="A78" s="374"/>
      <c r="B78" s="374"/>
      <c r="C78" s="374" t="str">
        <f>IFERROR(__xludf.DUMMYFUNCTION("""COMPUTED_VALUE"""),"Wall Area (Interior)")</f>
        <v>Wall Area (Interior)</v>
      </c>
      <c r="D78" s="374" t="str">
        <f>IFERROR(__xludf.DUMMYFUNCTION("""COMPUTED_VALUE"""),"building_wall_area_interior")</f>
        <v>building_wall_area_interior</v>
      </c>
      <c r="E78" s="374"/>
      <c r="F78" s="374"/>
      <c r="G78" s="374" t="s">
        <v>904</v>
      </c>
      <c r="H78" s="374" t="s">
        <v>1300</v>
      </c>
      <c r="I78" s="374" t="str">
        <f>IFERROR(__xludf.DUMMYFUNCTION("""COMPUTED_VALUE"""),"Building Element Classification Code Link")</f>
        <v>Building Element Classification Code Link</v>
      </c>
      <c r="J78" s="378" t="str">
        <f t="shared" si="1"/>
        <v>building_element_classification_code_link</v>
      </c>
    </row>
    <row r="79">
      <c r="A79" s="374"/>
      <c r="B79" s="374"/>
      <c r="C79" s="374" t="str">
        <f>IFERROR(__xludf.DUMMYFUNCTION("""COMPUTED_VALUE"""),"Enclosed Parking Area")</f>
        <v>Enclosed Parking Area</v>
      </c>
      <c r="D79" s="374" t="str">
        <f>IFERROR(__xludf.DUMMYFUNCTION("""COMPUTED_VALUE"""),"Building_enclosed_parking_area")</f>
        <v>Building_enclosed_parking_area</v>
      </c>
      <c r="E79" s="374"/>
      <c r="F79" s="374"/>
      <c r="G79" s="374" t="s">
        <v>905</v>
      </c>
      <c r="H79" s="374" t="s">
        <v>1301</v>
      </c>
      <c r="I79" s="374" t="str">
        <f>IFERROR(__xludf.DUMMYFUNCTION("""COMPUTED_VALUE"""),"Building Element Classification Code Version")</f>
        <v>Building Element Classification Code Version</v>
      </c>
      <c r="J79" s="378" t="str">
        <f t="shared" si="1"/>
        <v>building_element_classification_code_version</v>
      </c>
    </row>
    <row r="80">
      <c r="A80" s="374"/>
      <c r="B80" s="374"/>
      <c r="C80" s="374" t="str">
        <f>IFERROR(__xludf.DUMMYFUNCTION("""COMPUTED_VALUE"""),"Building Height")</f>
        <v>Building Height</v>
      </c>
      <c r="D80" s="374" t="str">
        <f>IFERROR(__xludf.DUMMYFUNCTION("""COMPUTED_VALUE"""),"building_height")</f>
        <v>building_height</v>
      </c>
      <c r="E80" s="374"/>
      <c r="F80" s="374"/>
      <c r="G80" s="374" t="s">
        <v>906</v>
      </c>
      <c r="H80" s="374" t="s">
        <v>1302</v>
      </c>
      <c r="I80" s="374" t="str">
        <f>IFERROR(__xludf.DUMMYFUNCTION("""COMPUTED_VALUE"""),"Building Element Classification Tier")</f>
        <v>Building Element Classification Tier</v>
      </c>
      <c r="J80" s="378" t="str">
        <f t="shared" si="1"/>
        <v>building_element_classification_tier</v>
      </c>
    </row>
    <row r="81">
      <c r="A81" s="374"/>
      <c r="B81" s="374"/>
      <c r="C81" s="374" t="str">
        <f>IFERROR(__xludf.DUMMYFUNCTION("""COMPUTED_VALUE"""),"Average Floor Height")</f>
        <v>Average Floor Height</v>
      </c>
      <c r="D81" s="374" t="str">
        <f>IFERROR(__xludf.DUMMYFUNCTION("""COMPUTED_VALUE"""),"building_floor_heaight")</f>
        <v>building_floor_heaight</v>
      </c>
      <c r="E81" s="374"/>
      <c r="F81" s="374"/>
      <c r="G81" s="374" t="s">
        <v>907</v>
      </c>
      <c r="H81" s="374" t="s">
        <v>1303</v>
      </c>
      <c r="I81" s="374" t="str">
        <f>IFERROR(__xludf.DUMMYFUNCTION("""COMPUTED_VALUE"""),"Building Structure Typology")</f>
        <v>Building Structure Typology</v>
      </c>
      <c r="J81" s="378" t="str">
        <f t="shared" si="1"/>
        <v>building_structure_typology</v>
      </c>
    </row>
    <row r="82">
      <c r="A82" s="374"/>
      <c r="B82" s="374"/>
      <c r="C82" s="374" t="str">
        <f>IFERROR(__xludf.DUMMYFUNCTION("""COMPUTED_VALUE"""),"Building Volume")</f>
        <v>Building Volume</v>
      </c>
      <c r="D82" s="374" t="str">
        <f>IFERROR(__xludf.DUMMYFUNCTION("""COMPUTED_VALUE"""),"building_volume")</f>
        <v>building_volume</v>
      </c>
      <c r="E82" s="374"/>
      <c r="F82" s="374"/>
      <c r="G82" s="374" t="s">
        <v>908</v>
      </c>
      <c r="H82" s="374" t="s">
        <v>1304</v>
      </c>
      <c r="I82" s="374" t="str">
        <f>IFERROR(__xludf.DUMMYFUNCTION("""COMPUTED_VALUE"""),"Prefabricated Elements")</f>
        <v>Prefabricated Elements</v>
      </c>
      <c r="J82" s="378" t="str">
        <f t="shared" si="1"/>
        <v>building_prefabricated_elements</v>
      </c>
    </row>
    <row r="83">
      <c r="A83" s="374"/>
      <c r="B83" s="374"/>
      <c r="C83" s="374" t="str">
        <f>IFERROR(__xludf.DUMMYFUNCTION("""COMPUTED_VALUE"""),"Occupancy Count")</f>
        <v>Occupancy Count</v>
      </c>
      <c r="D83" s="374" t="str">
        <f>IFERROR(__xludf.DUMMYFUNCTION("""COMPUTED_VALUE"""),"building_occupancy_count")</f>
        <v>building_occupancy_count</v>
      </c>
      <c r="E83" s="374"/>
      <c r="F83" s="374"/>
      <c r="G83" s="374" t="s">
        <v>909</v>
      </c>
      <c r="H83" s="374" t="s">
        <v>1305</v>
      </c>
      <c r="I83" s="374" t="str">
        <f>IFERROR(__xludf.DUMMYFUNCTION("""COMPUTED_VALUE"""),"Soil Data")</f>
        <v>Soil Data</v>
      </c>
      <c r="J83" s="378" t="str">
        <f t="shared" si="1"/>
        <v>building_soil_data</v>
      </c>
    </row>
    <row r="84">
      <c r="A84" s="374"/>
      <c r="B84" s="374"/>
      <c r="C84" s="374" t="str">
        <f>IFERROR(__xludf.DUMMYFUNCTION("""COMPUTED_VALUE"""),"LCA Goal")</f>
        <v>LCA Goal</v>
      </c>
      <c r="D84" s="374" t="str">
        <f>IFERROR(__xludf.DUMMYFUNCTION("""COMPUTED_VALUE"""),"lca_goal")</f>
        <v>lca_goal</v>
      </c>
      <c r="E84" s="374"/>
      <c r="F84" s="374"/>
      <c r="G84" s="374" t="s">
        <v>910</v>
      </c>
      <c r="H84" s="374" t="s">
        <v>1306</v>
      </c>
      <c r="I84" s="374" t="str">
        <f>IFERROR(__xludf.DUMMYFUNCTION("""COMPUTED_VALUE"""),"Foundation Type")</f>
        <v>Foundation Type</v>
      </c>
      <c r="J84" s="378" t="str">
        <f t="shared" si="1"/>
        <v>building_foundation_type</v>
      </c>
    </row>
    <row r="85">
      <c r="A85" s="374"/>
      <c r="B85" s="374"/>
      <c r="C85" s="374" t="str">
        <f>IFERROR(__xludf.DUMMYFUNCTION("""COMPUTED_VALUE"""),"Reference Unit")</f>
        <v>Reference Unit</v>
      </c>
      <c r="D85" s="374" t="str">
        <f>IFERROR(__xludf.DUMMYFUNCTION("""COMPUTED_VALUE"""),"lca_reference_unit")</f>
        <v>lca_reference_unit</v>
      </c>
      <c r="E85" s="374"/>
      <c r="F85" s="374"/>
      <c r="G85" s="374" t="s">
        <v>911</v>
      </c>
      <c r="H85" s="374" t="s">
        <v>1307</v>
      </c>
      <c r="I85" s="374" t="str">
        <f>IFERROR(__xludf.DUMMYFUNCTION("""COMPUTED_VALUE"""),"Energy Demand - Thermal")</f>
        <v>Energy Demand - Thermal</v>
      </c>
      <c r="J85" s="378" t="str">
        <f t="shared" si="1"/>
        <v>building_energy_demand_thermal</v>
      </c>
    </row>
    <row r="86">
      <c r="A86" s="374"/>
      <c r="B86" s="374"/>
      <c r="C86" s="374" t="str">
        <f>IFERROR(__xludf.DUMMYFUNCTION("""COMPUTED_VALUE"""),"Required Service Life (RSL)")</f>
        <v>Required Service Life (RSL)</v>
      </c>
      <c r="D86" s="374" t="str">
        <f>IFERROR(__xludf.DUMMYFUNCTION("""COMPUTED_VALUE"""),"lca_rsl")</f>
        <v>lca_rsl</v>
      </c>
      <c r="E86" s="374"/>
      <c r="F86" s="374"/>
      <c r="G86" s="374" t="s">
        <v>912</v>
      </c>
      <c r="H86" s="374" t="s">
        <v>1308</v>
      </c>
      <c r="I86" s="374" t="str">
        <f>IFERROR(__xludf.DUMMYFUNCTION("""COMPUTED_VALUE"""),"Energy Demand - Electric")</f>
        <v>Energy Demand - Electric</v>
      </c>
      <c r="J86" s="378" t="str">
        <f t="shared" si="1"/>
        <v>building_energy_demand_electricity</v>
      </c>
    </row>
    <row r="87">
      <c r="A87" s="374"/>
      <c r="B87" s="374"/>
      <c r="C87" s="374" t="str">
        <f>IFERROR(__xludf.DUMMYFUNCTION("""COMPUTED_VALUE"""),"Functional Unit")</f>
        <v>Functional Unit</v>
      </c>
      <c r="D87" s="374" t="str">
        <f>IFERROR(__xludf.DUMMYFUNCTION("""COMPUTED_VALUE"""),"lca_functional_unit")</f>
        <v>lca_functional_unit</v>
      </c>
      <c r="E87" s="374"/>
      <c r="F87" s="374"/>
      <c r="G87" s="374" t="s">
        <v>913</v>
      </c>
      <c r="H87" s="374" t="s">
        <v>1309</v>
      </c>
      <c r="I87" s="374" t="str">
        <f>IFERROR(__xludf.DUMMYFUNCTION("""COMPUTED_VALUE"""),"Energy Supply - Thermal")</f>
        <v>Energy Supply - Thermal</v>
      </c>
      <c r="J87" s="378" t="str">
        <f t="shared" si="1"/>
        <v>building_energy_supply_thermal</v>
      </c>
    </row>
    <row r="88">
      <c r="A88" s="374"/>
      <c r="B88" s="374"/>
      <c r="C88" s="374" t="str">
        <f>IFERROR(__xludf.DUMMYFUNCTION("""COMPUTED_VALUE"""),"Building Regulation / Code")</f>
        <v>Building Regulation / Code</v>
      </c>
      <c r="D88" s="374" t="str">
        <f>IFERROR(__xludf.DUMMYFUNCTION("""COMPUTED_VALUE"""),"project_building_regulation_code")</f>
        <v>project_building_regulation_code</v>
      </c>
      <c r="E88" s="374"/>
      <c r="F88" s="374"/>
      <c r="G88" s="374" t="s">
        <v>914</v>
      </c>
      <c r="H88" s="374" t="s">
        <v>1310</v>
      </c>
      <c r="I88" s="374" t="str">
        <f>IFERROR(__xludf.DUMMYFUNCTION("""COMPUTED_VALUE"""),"Energy Supply - Electric")</f>
        <v>Energy Supply - Electric</v>
      </c>
      <c r="J88" s="378" t="str">
        <f t="shared" si="1"/>
        <v>building_energy_supply_electricity</v>
      </c>
    </row>
    <row r="89">
      <c r="A89" s="374"/>
      <c r="B89" s="374"/>
      <c r="C89" s="374" t="str">
        <f>IFERROR(__xludf.DUMMYFUNCTION("""COMPUTED_VALUE"""),"LCA Software Name")</f>
        <v>LCA Software Name</v>
      </c>
      <c r="D89" s="374" t="str">
        <f>IFERROR(__xludf.DUMMYFUNCTION("""COMPUTED_VALUE"""),"lca_software_name")</f>
        <v>lca_software_name</v>
      </c>
      <c r="E89" s="374"/>
      <c r="F89" s="374"/>
      <c r="G89" s="374" t="s">
        <v>915</v>
      </c>
      <c r="H89" s="374" t="s">
        <v>1311</v>
      </c>
      <c r="I89" s="374" t="str">
        <f>IFERROR(__xludf.DUMMYFUNCTION("""COMPUTED_VALUE"""),"Building Primary Energy Source")</f>
        <v>Building Primary Energy Source</v>
      </c>
      <c r="J89" s="378" t="str">
        <f t="shared" si="1"/>
        <v>building_primary_energy_source</v>
      </c>
    </row>
    <row r="90">
      <c r="A90" s="374"/>
      <c r="B90" s="374"/>
      <c r="C90" s="374" t="str">
        <f>IFERROR(__xludf.DUMMYFUNCTION("""COMPUTED_VALUE"""),"LCA Software Publisher")</f>
        <v>LCA Software Publisher</v>
      </c>
      <c r="D90" s="374" t="str">
        <f>IFERROR(__xludf.DUMMYFUNCTION("""COMPUTED_VALUE"""),"lca_software_publisher")</f>
        <v>lca_software_publisher</v>
      </c>
      <c r="E90" s="374"/>
      <c r="F90" s="374"/>
      <c r="G90" s="374" t="s">
        <v>916</v>
      </c>
      <c r="H90" s="374" t="s">
        <v>1312</v>
      </c>
      <c r="I90" s="374" t="str">
        <f>IFERROR(__xludf.DUMMYFUNCTION("""COMPUTED_VALUE"""),"Building BIPV Description")</f>
        <v>Building BIPV Description</v>
      </c>
      <c r="J90" s="378" t="str">
        <f t="shared" si="1"/>
        <v>building_bipv_description</v>
      </c>
    </row>
    <row r="91">
      <c r="A91" s="374"/>
      <c r="B91" s="374"/>
      <c r="C91" s="374" t="str">
        <f>IFERROR(__xludf.DUMMYFUNCTION("""COMPUTED_VALUE"""),"LCA Software Version")</f>
        <v>LCA Software Version</v>
      </c>
      <c r="D91" s="374" t="str">
        <f>IFERROR(__xludf.DUMMYFUNCTION("""COMPUTED_VALUE"""),"lca_software_version")</f>
        <v>lca_software_version</v>
      </c>
      <c r="E91" s="374"/>
      <c r="F91" s="374"/>
      <c r="G91" s="374" t="s">
        <v>917</v>
      </c>
      <c r="H91" s="374" t="s">
        <v>1313</v>
      </c>
      <c r="I91" s="374" t="str">
        <f>IFERROR(__xludf.DUMMYFUNCTION("""COMPUTED_VALUE"""),"Building Orientation")</f>
        <v>Building Orientation</v>
      </c>
      <c r="J91" s="378" t="str">
        <f t="shared" si="1"/>
        <v>building_orientation</v>
      </c>
    </row>
    <row r="92">
      <c r="A92" s="374"/>
      <c r="B92" s="374"/>
      <c r="C92" s="374" t="str">
        <f>IFERROR(__xludf.DUMMYFUNCTION("""COMPUTED_VALUE"""),"LCA Database Name")</f>
        <v>LCA Database Name</v>
      </c>
      <c r="D92" s="374" t="str">
        <f>IFERROR(__xludf.DUMMYFUNCTION("""COMPUTED_VALUE"""),"lca_database_name")</f>
        <v>lca_database_name</v>
      </c>
      <c r="E92" s="374"/>
      <c r="F92" s="374"/>
      <c r="G92" s="374" t="s">
        <v>918</v>
      </c>
      <c r="H92" s="374" t="s">
        <v>1314</v>
      </c>
      <c r="I92" s="374" t="str">
        <f>IFERROR(__xludf.DUMMYFUNCTION("""COMPUTED_VALUE"""),"Gross Floor Area (GFA) Measurement Method")</f>
        <v>Gross Floor Area (GFA) Measurement Method</v>
      </c>
      <c r="J92" s="378" t="str">
        <f t="shared" si="1"/>
        <v>building_gross_floor_area_measurement_method</v>
      </c>
    </row>
    <row r="93">
      <c r="A93" s="374"/>
      <c r="B93" s="374"/>
      <c r="C93" s="374" t="str">
        <f>IFERROR(__xludf.DUMMYFUNCTION("""COMPUTED_VALUE"""),"LCA Database Version")</f>
        <v>LCA Database Version</v>
      </c>
      <c r="D93" s="374" t="str">
        <f>IFERROR(__xludf.DUMMYFUNCTION("""COMPUTED_VALUE"""),"lca_database_version")</f>
        <v>lca_database_version</v>
      </c>
      <c r="E93" s="374"/>
      <c r="F93" s="374"/>
      <c r="G93" s="374" t="s">
        <v>919</v>
      </c>
      <c r="H93" s="374" t="s">
        <v>1315</v>
      </c>
      <c r="I93" s="374" t="str">
        <f>IFERROR(__xludf.DUMMYFUNCTION("""COMPUTED_VALUE"""),"Useful Floor Area (UFA)")</f>
        <v>Useful Floor Area (UFA)</v>
      </c>
      <c r="J93" s="378" t="str">
        <f t="shared" si="1"/>
        <v>building_useful_floor_area</v>
      </c>
    </row>
    <row r="94">
      <c r="A94" s="374"/>
      <c r="B94" s="374"/>
      <c r="C94" s="374" t="str">
        <f>IFERROR(__xludf.DUMMYFUNCTION("""COMPUTED_VALUE"""),"LCA Temporal Approach")</f>
        <v>LCA Temporal Approach</v>
      </c>
      <c r="D94" s="374" t="str">
        <f>IFERROR(__xludf.DUMMYFUNCTION("""COMPUTED_VALUE"""),"lca_temporal_approach")</f>
        <v>lca_temporal_approach</v>
      </c>
      <c r="E94" s="374"/>
      <c r="F94" s="374"/>
      <c r="G94" s="374" t="s">
        <v>920</v>
      </c>
      <c r="H94" s="374" t="s">
        <v>1316</v>
      </c>
      <c r="I94" s="374" t="str">
        <f>IFERROR(__xludf.DUMMYFUNCTION("""COMPUTED_VALUE"""),"Gross Floor Area (GFA)")</f>
        <v>Gross Floor Area (GFA)</v>
      </c>
      <c r="J94" s="378" t="str">
        <f t="shared" si="1"/>
        <v>building_gross_floor_area</v>
      </c>
    </row>
    <row r="95">
      <c r="A95" s="374"/>
      <c r="B95" s="374"/>
      <c r="C95" s="374" t="str">
        <f>IFERROR(__xludf.DUMMYFUNCTION("""COMPUTED_VALUE"""),"Life Cycle Inventory (LCI) Modeling Approach")</f>
        <v>Life Cycle Inventory (LCI) Modeling Approach</v>
      </c>
      <c r="D95" s="374" t="str">
        <f>IFERROR(__xludf.DUMMYFUNCTION("""COMPUTED_VALUE"""),"lca_lci_modeling_approach")</f>
        <v>lca_lci_modeling_approach</v>
      </c>
      <c r="E95" s="374"/>
      <c r="F95" s="374"/>
      <c r="G95" s="374" t="s">
        <v>921</v>
      </c>
      <c r="H95" s="374" t="s">
        <v>1317</v>
      </c>
      <c r="I95" s="374" t="str">
        <f>IFERROR(__xludf.DUMMYFUNCTION("""COMPUTED_VALUE"""),"Building Footprint Area")</f>
        <v>Building Footprint Area</v>
      </c>
      <c r="J95" s="378" t="str">
        <f t="shared" si="1"/>
        <v>building_footprint</v>
      </c>
    </row>
    <row r="96">
      <c r="A96" s="374"/>
      <c r="B96" s="374"/>
      <c r="C96" s="374" t="str">
        <f>IFERROR(__xludf.DUMMYFUNCTION("""COMPUTED_VALUE"""),"Life Cycle Stages")</f>
        <v>Life Cycle Stages</v>
      </c>
      <c r="D96" s="374" t="str">
        <f>IFERROR(__xludf.DUMMYFUNCTION("""COMPUTED_VALUE"""),"lca_cyle_stages")</f>
        <v>lca_cyle_stages</v>
      </c>
      <c r="E96" s="374"/>
      <c r="F96" s="374"/>
      <c r="G96" s="374" t="s">
        <v>922</v>
      </c>
      <c r="H96" s="374" t="s">
        <v>1318</v>
      </c>
      <c r="I96" s="374" t="str">
        <f>IFERROR(__xludf.DUMMYFUNCTION("""COMPUTED_VALUE"""),"Unconditioned Floor Area")</f>
        <v>Unconditioned Floor Area</v>
      </c>
      <c r="J96" s="378" t="str">
        <f t="shared" si="1"/>
        <v>building_unconditioned_area</v>
      </c>
    </row>
    <row r="97">
      <c r="A97" s="374"/>
      <c r="B97" s="374"/>
      <c r="C97" s="374" t="str">
        <f>IFERROR(__xludf.DUMMYFUNCTION("""COMPUTED_VALUE"""),"LCIA Methodology")</f>
        <v>LCIA Methodology</v>
      </c>
      <c r="D97" s="374" t="str">
        <f>IFERROR(__xludf.DUMMYFUNCTION("""COMPUTED_VALUE"""),"lcia_methodology")</f>
        <v>lcia_methodology</v>
      </c>
      <c r="E97" s="374"/>
      <c r="F97" s="374"/>
      <c r="G97" s="374" t="s">
        <v>923</v>
      </c>
      <c r="H97" s="374" t="s">
        <v>1319</v>
      </c>
      <c r="I97" s="374" t="str">
        <f>IFERROR(__xludf.DUMMYFUNCTION("""COMPUTED_VALUE"""),"Conditioned Floor Area")</f>
        <v>Conditioned Floor Area</v>
      </c>
      <c r="J97" s="378" t="str">
        <f t="shared" si="1"/>
        <v>building_conditioned_area</v>
      </c>
    </row>
    <row r="98">
      <c r="A98" s="374"/>
      <c r="B98" s="374"/>
      <c r="C98" s="374" t="str">
        <f>IFERROR(__xludf.DUMMYFUNCTION("""COMPUTED_VALUE"""),"Biogenic Carbon")</f>
        <v>Biogenic Carbon</v>
      </c>
      <c r="D98" s="374" t="str">
        <f>IFERROR(__xludf.DUMMYFUNCTION("""COMPUTED_VALUE"""),"lca_biogenic_carbon")</f>
        <v>lca_biogenic_carbon</v>
      </c>
      <c r="E98" s="374"/>
      <c r="F98" s="374"/>
      <c r="G98" s="374" t="s">
        <v>924</v>
      </c>
      <c r="H98" s="374" t="s">
        <v>1320</v>
      </c>
      <c r="I98" s="374" t="str">
        <f>IFERROR(__xludf.DUMMYFUNCTION("""COMPUTED_VALUE"""),"Circulation Area")</f>
        <v>Circulation Area</v>
      </c>
      <c r="J98" s="378" t="str">
        <f t="shared" si="1"/>
        <v>building_circulation_area</v>
      </c>
    </row>
    <row r="99">
      <c r="A99" s="374"/>
      <c r="B99" s="374"/>
      <c r="C99" s="374" t="str">
        <f>IFERROR(__xludf.DUMMYFUNCTION("""COMPUTED_VALUE"""),"Biogenic Carbon Accounting Method")</f>
        <v>Biogenic Carbon Accounting Method</v>
      </c>
      <c r="D99" s="374" t="str">
        <f>IFERROR(__xludf.DUMMYFUNCTION("""COMPUTED_VALUE"""),"lca_biogenic_method")</f>
        <v>lca_biogenic_method</v>
      </c>
      <c r="E99" s="374"/>
      <c r="F99" s="374"/>
      <c r="G99" s="374" t="s">
        <v>925</v>
      </c>
      <c r="H99" s="374" t="s">
        <v>1321</v>
      </c>
      <c r="I99" s="374" t="str">
        <f>IFERROR(__xludf.DUMMYFUNCTION("""COMPUTED_VALUE"""),"Technical Area")</f>
        <v>Technical Area</v>
      </c>
      <c r="J99" s="378" t="str">
        <f t="shared" si="1"/>
        <v>building_technical_area</v>
      </c>
    </row>
    <row r="100">
      <c r="A100" s="374"/>
      <c r="B100" s="374"/>
      <c r="C100" s="374" t="str">
        <f>IFERROR(__xludf.DUMMYFUNCTION("""COMPUTED_VALUE"""),"LCA Material Quantities Source")</f>
        <v>LCA Material Quantities Source</v>
      </c>
      <c r="D100" s="374" t="str">
        <f>IFERROR(__xludf.DUMMYFUNCTION("""COMPUTED_VALUE"""),"lca_material_source")</f>
        <v>lca_material_source</v>
      </c>
      <c r="E100" s="374"/>
      <c r="F100" s="374"/>
      <c r="G100" s="374" t="s">
        <v>926</v>
      </c>
      <c r="H100" s="374" t="s">
        <v>1322</v>
      </c>
      <c r="I100" s="374" t="str">
        <f>IFERROR(__xludf.DUMMYFUNCTION("""COMPUTED_VALUE"""),"Built Floor Area (BFA)")</f>
        <v>Built Floor Area (BFA)</v>
      </c>
      <c r="J100" s="378" t="str">
        <f t="shared" si="1"/>
        <v>building_built_floor_area</v>
      </c>
    </row>
    <row r="101">
      <c r="A101" s="374"/>
      <c r="B101" s="374"/>
      <c r="C101" s="374" t="str">
        <f>IFERROR(__xludf.DUMMYFUNCTION("""COMPUTED_VALUE"""),"Global Warming Potential - Total")</f>
        <v>Global Warming Potential - Total</v>
      </c>
      <c r="D101" s="374" t="str">
        <f>IFERROR(__xludf.DUMMYFUNCTION("""COMPUTED_VALUE"""),"lca_gwp_total")</f>
        <v>lca_gwp_total</v>
      </c>
      <c r="E101" s="374"/>
      <c r="F101" s="374"/>
      <c r="G101" s="374" t="s">
        <v>927</v>
      </c>
      <c r="H101" s="374" t="s">
        <v>1323</v>
      </c>
      <c r="I101" s="374" t="str">
        <f>IFERROR(__xludf.DUMMYFUNCTION("""COMPUTED_VALUE"""),"Building Envelope Area")</f>
        <v>Building Envelope Area</v>
      </c>
      <c r="J101" s="378" t="str">
        <f t="shared" si="1"/>
        <v>building_envelope_area</v>
      </c>
    </row>
    <row r="102">
      <c r="A102" s="374"/>
      <c r="B102" s="374"/>
      <c r="C102" s="374" t="str">
        <f>IFERROR(__xludf.DUMMYFUNCTION("""COMPUTED_VALUE"""),"Global Warming Potential - Fossil")</f>
        <v>Global Warming Potential - Fossil</v>
      </c>
      <c r="D102" s="374" t="str">
        <f>IFERROR(__xludf.DUMMYFUNCTION("""COMPUTED_VALUE"""),"lca_gwp_f_total")</f>
        <v>lca_gwp_f_total</v>
      </c>
      <c r="E102" s="374"/>
      <c r="F102" s="374"/>
      <c r="G102" s="374" t="s">
        <v>928</v>
      </c>
      <c r="H102" s="374" t="s">
        <v>1324</v>
      </c>
      <c r="I102" s="374" t="str">
        <f>IFERROR(__xludf.DUMMYFUNCTION("""COMPUTED_VALUE"""),"Window Area")</f>
        <v>Window Area</v>
      </c>
      <c r="J102" s="378" t="str">
        <f t="shared" si="1"/>
        <v>building_window_area</v>
      </c>
    </row>
    <row r="103">
      <c r="A103" s="374"/>
      <c r="B103" s="374"/>
      <c r="C103" s="374" t="str">
        <f>IFERROR(__xludf.DUMMYFUNCTION("""COMPUTED_VALUE"""),"Global Warming Potential - Biogenic")</f>
        <v>Global Warming Potential - Biogenic</v>
      </c>
      <c r="D103" s="374" t="str">
        <f>IFERROR(__xludf.DUMMYFUNCTION("""COMPUTED_VALUE"""),"lca_gwp_b_total")</f>
        <v>lca_gwp_b_total</v>
      </c>
      <c r="E103" s="374"/>
      <c r="F103" s="374"/>
      <c r="G103" s="374" t="s">
        <v>929</v>
      </c>
      <c r="H103" s="374" t="s">
        <v>1325</v>
      </c>
      <c r="I103" s="374" t="str">
        <f>IFERROR(__xludf.DUMMYFUNCTION("""COMPUTED_VALUE"""),"Wall Area (Interior)")</f>
        <v>Wall Area (Interior)</v>
      </c>
      <c r="J103" s="378" t="str">
        <f t="shared" si="1"/>
        <v>building_wall_area_interior</v>
      </c>
    </row>
    <row r="104">
      <c r="A104" s="374"/>
      <c r="B104" s="374"/>
      <c r="C104" s="374" t="str">
        <f>IFERROR(__xludf.DUMMYFUNCTION("""COMPUTED_VALUE"""),"Global Warming Potential - Land Use and Land Use Change")</f>
        <v>Global Warming Potential - Land Use and Land Use Change</v>
      </c>
      <c r="D104" s="374" t="str">
        <f>IFERROR(__xludf.DUMMYFUNCTION("""COMPUTED_VALUE"""),"lca_gwp_luc_total")</f>
        <v>lca_gwp_luc_total</v>
      </c>
      <c r="E104" s="374"/>
      <c r="F104" s="374"/>
      <c r="G104" s="374" t="s">
        <v>929</v>
      </c>
      <c r="H104" s="374" t="s">
        <v>1326</v>
      </c>
      <c r="I104" s="374" t="str">
        <f>IFERROR(__xludf.DUMMYFUNCTION("""COMPUTED_VALUE"""),"Enclosed Parking Area")</f>
        <v>Enclosed Parking Area</v>
      </c>
      <c r="J104" s="378" t="str">
        <f t="shared" si="1"/>
        <v>Building_enclosed_parking_area</v>
      </c>
    </row>
    <row r="105">
      <c r="A105" s="374"/>
      <c r="B105" s="374"/>
      <c r="C105" s="374" t="str">
        <f>IFERROR(__xludf.DUMMYFUNCTION("""COMPUTED_VALUE"""),"Ozone Depletion Potential (Stratospheric)")</f>
        <v>Ozone Depletion Potential (Stratospheric)</v>
      </c>
      <c r="D105" s="374" t="str">
        <f>IFERROR(__xludf.DUMMYFUNCTION("""COMPUTED_VALUE"""),"lca_odp_total")</f>
        <v>lca_odp_total</v>
      </c>
      <c r="E105" s="374"/>
      <c r="F105" s="374"/>
      <c r="G105" s="374" t="s">
        <v>930</v>
      </c>
      <c r="H105" s="374" t="s">
        <v>1327</v>
      </c>
      <c r="I105" s="374" t="str">
        <f>IFERROR(__xludf.DUMMYFUNCTION("""COMPUTED_VALUE"""),"Building Height")</f>
        <v>Building Height</v>
      </c>
      <c r="J105" s="378" t="str">
        <f t="shared" si="1"/>
        <v>building_height</v>
      </c>
    </row>
    <row r="106">
      <c r="A106" s="374"/>
      <c r="B106" s="374"/>
      <c r="C106" s="374" t="str">
        <f>IFERROR(__xludf.DUMMYFUNCTION("""COMPUTED_VALUE"""),"Acidification Potential")</f>
        <v>Acidification Potential</v>
      </c>
      <c r="D106" s="374" t="str">
        <f>IFERROR(__xludf.DUMMYFUNCTION("""COMPUTED_VALUE"""),"lca_ap_total")</f>
        <v>lca_ap_total</v>
      </c>
      <c r="E106" s="374"/>
      <c r="F106" s="374"/>
      <c r="G106" s="374" t="s">
        <v>931</v>
      </c>
      <c r="H106" s="374" t="s">
        <v>1328</v>
      </c>
      <c r="I106" s="374" t="str">
        <f>IFERROR(__xludf.DUMMYFUNCTION("""COMPUTED_VALUE"""),"Average Floor Height")</f>
        <v>Average Floor Height</v>
      </c>
      <c r="J106" s="378" t="str">
        <f t="shared" si="1"/>
        <v>building_floor_heaight</v>
      </c>
    </row>
    <row r="107">
      <c r="A107" s="374"/>
      <c r="B107" s="374"/>
      <c r="C107" s="374" t="str">
        <f>IFERROR(__xludf.DUMMYFUNCTION("""COMPUTED_VALUE"""),"Eutrophication Potential (Total/Generic)")</f>
        <v>Eutrophication Potential (Total/Generic)</v>
      </c>
      <c r="D107" s="374" t="str">
        <f>IFERROR(__xludf.DUMMYFUNCTION("""COMPUTED_VALUE"""),"lca_ep_total")</f>
        <v>lca_ep_total</v>
      </c>
      <c r="E107" s="374"/>
      <c r="F107" s="374"/>
      <c r="G107" s="374" t="s">
        <v>932</v>
      </c>
      <c r="H107" s="374" t="s">
        <v>1329</v>
      </c>
      <c r="I107" s="374" t="str">
        <f>IFERROR(__xludf.DUMMYFUNCTION("""COMPUTED_VALUE"""),"Building Volume")</f>
        <v>Building Volume</v>
      </c>
      <c r="J107" s="378" t="str">
        <f t="shared" si="1"/>
        <v>building_volume</v>
      </c>
    </row>
    <row r="108">
      <c r="A108" s="374"/>
      <c r="B108" s="374"/>
      <c r="C108" s="374" t="str">
        <f>IFERROR(__xludf.DUMMYFUNCTION("""COMPUTED_VALUE"""),"Eutrophication Potential - Freshwater")</f>
        <v>Eutrophication Potential - Freshwater</v>
      </c>
      <c r="D108" s="374" t="str">
        <f>IFERROR(__xludf.DUMMYFUNCTION("""COMPUTED_VALUE"""),"lca_ep_af_total")</f>
        <v>lca_ep_af_total</v>
      </c>
      <c r="E108" s="374"/>
      <c r="F108" s="374"/>
      <c r="G108" s="374" t="s">
        <v>933</v>
      </c>
      <c r="H108" s="374" t="s">
        <v>1330</v>
      </c>
      <c r="I108" s="374" t="str">
        <f>IFERROR(__xludf.DUMMYFUNCTION("""COMPUTED_VALUE"""),"Occupancy Count")</f>
        <v>Occupancy Count</v>
      </c>
      <c r="J108" s="378" t="str">
        <f t="shared" si="1"/>
        <v>building_occupancy_count</v>
      </c>
    </row>
    <row r="109">
      <c r="A109" s="374"/>
      <c r="B109" s="374"/>
      <c r="C109" s="374" t="str">
        <f>IFERROR(__xludf.DUMMYFUNCTION("""COMPUTED_VALUE"""),"Eutrophication Potential - Marine")</f>
        <v>Eutrophication Potential - Marine</v>
      </c>
      <c r="D109" s="374" t="str">
        <f>IFERROR(__xludf.DUMMYFUNCTION("""COMPUTED_VALUE"""),"lca_ep_am_total")</f>
        <v>lca_ep_am_total</v>
      </c>
      <c r="E109" s="374"/>
      <c r="F109" s="374"/>
      <c r="G109" s="374" t="s">
        <v>934</v>
      </c>
      <c r="H109" s="374" t="s">
        <v>1331</v>
      </c>
      <c r="I109" s="374" t="str">
        <f>IFERROR(__xludf.DUMMYFUNCTION("""COMPUTED_VALUE"""),"LCA Goal")</f>
        <v>LCA Goal</v>
      </c>
      <c r="J109" s="378" t="str">
        <f t="shared" si="1"/>
        <v>lca_goal</v>
      </c>
    </row>
    <row r="110">
      <c r="A110" s="374"/>
      <c r="B110" s="374"/>
      <c r="C110" s="374" t="str">
        <f>IFERROR(__xludf.DUMMYFUNCTION("""COMPUTED_VALUE"""),"Eutrophication Potential - Terrestrial")</f>
        <v>Eutrophication Potential - Terrestrial</v>
      </c>
      <c r="D110" s="374" t="str">
        <f>IFERROR(__xludf.DUMMYFUNCTION("""COMPUTED_VALUE"""),"lca_ep_t_total")</f>
        <v>lca_ep_t_total</v>
      </c>
      <c r="E110" s="374"/>
      <c r="F110" s="374"/>
      <c r="G110" s="374" t="s">
        <v>935</v>
      </c>
      <c r="H110" s="374" t="s">
        <v>1332</v>
      </c>
      <c r="I110" s="374" t="str">
        <f>IFERROR(__xludf.DUMMYFUNCTION("""COMPUTED_VALUE"""),"Reference Unit")</f>
        <v>Reference Unit</v>
      </c>
      <c r="J110" s="378" t="str">
        <f t="shared" si="1"/>
        <v>lca_reference_unit</v>
      </c>
    </row>
    <row r="111">
      <c r="A111" s="374"/>
      <c r="B111" s="374"/>
      <c r="C111" s="374" t="str">
        <f>IFERROR(__xludf.DUMMYFUNCTION("""COMPUTED_VALUE"""),"Photochemical Ozone Creation Potential")</f>
        <v>Photochemical Ozone Creation Potential</v>
      </c>
      <c r="D111" s="374" t="str">
        <f>IFERROR(__xludf.DUMMYFUNCTION("""COMPUTED_VALUE"""),"lca_pocp_total")</f>
        <v>lca_pocp_total</v>
      </c>
      <c r="E111" s="374"/>
      <c r="F111" s="374"/>
      <c r="G111" s="374" t="s">
        <v>936</v>
      </c>
      <c r="H111" s="374" t="s">
        <v>1333</v>
      </c>
      <c r="I111" s="374" t="str">
        <f>IFERROR(__xludf.DUMMYFUNCTION("""COMPUTED_VALUE"""),"Required Service Life (RSL)")</f>
        <v>Required Service Life (RSL)</v>
      </c>
      <c r="J111" s="378" t="str">
        <f t="shared" si="1"/>
        <v>lca_rsl</v>
      </c>
    </row>
    <row r="112">
      <c r="A112" s="374"/>
      <c r="B112" s="374"/>
      <c r="C112" s="374" t="str">
        <f>IFERROR(__xludf.DUMMYFUNCTION("""COMPUTED_VALUE"""),"Smog Formation Potential")</f>
        <v>Smog Formation Potential</v>
      </c>
      <c r="D112" s="374" t="str">
        <f>IFERROR(__xludf.DUMMYFUNCTION("""COMPUTED_VALUE"""),"lca_sfp_total")</f>
        <v>lca_sfp_total</v>
      </c>
      <c r="E112" s="374"/>
      <c r="F112" s="374"/>
      <c r="G112" s="374" t="s">
        <v>937</v>
      </c>
      <c r="H112" s="374" t="s">
        <v>1334</v>
      </c>
      <c r="I112" s="374" t="str">
        <f>IFERROR(__xludf.DUMMYFUNCTION("""COMPUTED_VALUE"""),"Functional Unit")</f>
        <v>Functional Unit</v>
      </c>
      <c r="J112" s="378" t="str">
        <f t="shared" si="1"/>
        <v>lca_functional_unit</v>
      </c>
    </row>
    <row r="113">
      <c r="A113" s="374"/>
      <c r="B113" s="374"/>
      <c r="C113" s="374" t="str">
        <f>IFERROR(__xludf.DUMMYFUNCTION("""COMPUTED_VALUE"""),"Photochemical Ozone Formation Potential")</f>
        <v>Photochemical Ozone Formation Potential</v>
      </c>
      <c r="D113" s="374" t="str">
        <f>IFERROR(__xludf.DUMMYFUNCTION("""COMPUTED_VALUE"""),"lca_pofp_total")</f>
        <v>lca_pofp_total</v>
      </c>
      <c r="E113" s="374"/>
      <c r="F113" s="374"/>
      <c r="G113" s="374" t="s">
        <v>938</v>
      </c>
      <c r="H113" s="374" t="s">
        <v>1335</v>
      </c>
      <c r="I113" s="374" t="str">
        <f>IFERROR(__xludf.DUMMYFUNCTION("""COMPUTED_VALUE"""),"Building Regulation / Code")</f>
        <v>Building Regulation / Code</v>
      </c>
      <c r="J113" s="378" t="str">
        <f t="shared" si="1"/>
        <v>project_building_regulation_code</v>
      </c>
    </row>
    <row r="114">
      <c r="A114" s="374"/>
      <c r="B114" s="374"/>
      <c r="C114" s="374" t="str">
        <f>IFERROR(__xludf.DUMMYFUNCTION("""COMPUTED_VALUE"""),"Abiotic Depletion Potential - Minerals and Metals (Non-fossil)")</f>
        <v>Abiotic Depletion Potential - Minerals and Metals (Non-fossil)</v>
      </c>
      <c r="D114" s="374" t="str">
        <f>IFERROR(__xludf.DUMMYFUNCTION("""COMPUTED_VALUE"""),"lca_adpmm_total")</f>
        <v>lca_adpmm_total</v>
      </c>
      <c r="E114" s="374"/>
      <c r="F114" s="374"/>
      <c r="G114" s="374" t="s">
        <v>939</v>
      </c>
      <c r="H114" s="374" t="s">
        <v>1336</v>
      </c>
      <c r="I114" s="374" t="str">
        <f>IFERROR(__xludf.DUMMYFUNCTION("""COMPUTED_VALUE"""),"LCA Software Name")</f>
        <v>LCA Software Name</v>
      </c>
      <c r="J114" s="378" t="str">
        <f t="shared" si="1"/>
        <v>lca_software_name</v>
      </c>
    </row>
    <row r="115">
      <c r="A115" s="374"/>
      <c r="B115" s="374"/>
      <c r="C115" s="374" t="str">
        <f>IFERROR(__xludf.DUMMYFUNCTION("""COMPUTED_VALUE"""),"Abiotic Depletion Potential - Fossil Resources")</f>
        <v>Abiotic Depletion Potential - Fossil Resources</v>
      </c>
      <c r="D115" s="374" t="str">
        <f>IFERROR(__xludf.DUMMYFUNCTION("""COMPUTED_VALUE"""),"lca_adpf_total")</f>
        <v>lca_adpf_total</v>
      </c>
      <c r="E115" s="374"/>
      <c r="F115" s="374"/>
      <c r="G115" s="374" t="s">
        <v>940</v>
      </c>
      <c r="H115" s="374" t="s">
        <v>1337</v>
      </c>
      <c r="I115" s="374" t="str">
        <f>IFERROR(__xludf.DUMMYFUNCTION("""COMPUTED_VALUE"""),"LCA Software Publisher")</f>
        <v>LCA Software Publisher</v>
      </c>
      <c r="J115" s="378" t="str">
        <f t="shared" si="1"/>
        <v>lca_software_publisher</v>
      </c>
    </row>
    <row r="116">
      <c r="A116" s="374"/>
      <c r="B116" s="374"/>
      <c r="C116" s="374" t="str">
        <f>IFERROR(__xludf.DUMMYFUNCTION("""COMPUTED_VALUE"""),"Water Deprivation Potential")</f>
        <v>Water Deprivation Potential</v>
      </c>
      <c r="D116" s="374" t="str">
        <f>IFERROR(__xludf.DUMMYFUNCTION("""COMPUTED_VALUE"""),"lca_wdp_total")</f>
        <v>lca_wdp_total</v>
      </c>
      <c r="E116" s="374"/>
      <c r="F116" s="374"/>
      <c r="G116" s="374" t="s">
        <v>941</v>
      </c>
      <c r="H116" s="374" t="s">
        <v>1338</v>
      </c>
      <c r="I116" s="374" t="str">
        <f>IFERROR(__xludf.DUMMYFUNCTION("""COMPUTED_VALUE"""),"LCA Software Version")</f>
        <v>LCA Software Version</v>
      </c>
      <c r="J116" s="378" t="str">
        <f t="shared" si="1"/>
        <v>lca_software_version</v>
      </c>
    </row>
    <row r="117">
      <c r="A117" s="374"/>
      <c r="B117" s="374"/>
      <c r="C117" s="374" t="str">
        <f>IFERROR(__xludf.DUMMYFUNCTION("""COMPUTED_VALUE"""),"Primary Energy Renewable (excluding resources used as raw materials)")</f>
        <v>Primary Energy Renewable (excluding resources used as raw materials)</v>
      </c>
      <c r="D117" s="374" t="str">
        <f>IFERROR(__xludf.DUMMYFUNCTION("""COMPUTED_VALUE"""),"lca_pere_total")</f>
        <v>lca_pere_total</v>
      </c>
      <c r="E117" s="374"/>
      <c r="F117" s="374"/>
      <c r="G117" s="374" t="s">
        <v>942</v>
      </c>
      <c r="H117" s="374" t="s">
        <v>1339</v>
      </c>
      <c r="I117" s="374" t="str">
        <f>IFERROR(__xludf.DUMMYFUNCTION("""COMPUTED_VALUE"""),"LCA Database Name")</f>
        <v>LCA Database Name</v>
      </c>
      <c r="J117" s="378" t="str">
        <f t="shared" si="1"/>
        <v>lca_database_name</v>
      </c>
    </row>
    <row r="118">
      <c r="A118" s="374"/>
      <c r="B118" s="374"/>
      <c r="C118" s="374" t="str">
        <f>IFERROR(__xludf.DUMMYFUNCTION("""COMPUTED_VALUE"""),"Primary Energy Non-Renewable (excluding resources used as raw materials)")</f>
        <v>Primary Energy Non-Renewable (excluding resources used as raw materials)</v>
      </c>
      <c r="D118" s="374" t="str">
        <f>IFERROR(__xludf.DUMMYFUNCTION("""COMPUTED_VALUE"""),"lca_penre_total")</f>
        <v>lca_penre_total</v>
      </c>
      <c r="E118" s="374"/>
      <c r="F118" s="374"/>
      <c r="G118" s="374" t="s">
        <v>943</v>
      </c>
      <c r="H118" s="374" t="s">
        <v>1340</v>
      </c>
      <c r="I118" s="374" t="str">
        <f>IFERROR(__xludf.DUMMYFUNCTION("""COMPUTED_VALUE"""),"LCA Database Version")</f>
        <v>LCA Database Version</v>
      </c>
      <c r="J118" s="378" t="str">
        <f t="shared" si="1"/>
        <v>lca_database_version</v>
      </c>
    </row>
    <row r="119">
      <c r="A119" s="374"/>
      <c r="B119" s="374"/>
      <c r="C119" s="374" t="str">
        <f>IFERROR(__xludf.DUMMYFUNCTION("""COMPUTED_VALUE"""),"Primary Energy Renewable - Total")</f>
        <v>Primary Energy Renewable - Total</v>
      </c>
      <c r="D119" s="374" t="str">
        <f>IFERROR(__xludf.DUMMYFUNCTION("""COMPUTED_VALUE"""),"lca_pert_total")</f>
        <v>lca_pert_total</v>
      </c>
      <c r="E119" s="374"/>
      <c r="F119" s="374"/>
      <c r="G119" s="374" t="s">
        <v>944</v>
      </c>
      <c r="H119" s="374" t="s">
        <v>1341</v>
      </c>
      <c r="I119" s="374" t="str">
        <f>IFERROR(__xludf.DUMMYFUNCTION("""COMPUTED_VALUE"""),"LCA Temporal Approach")</f>
        <v>LCA Temporal Approach</v>
      </c>
      <c r="J119" s="378" t="str">
        <f t="shared" si="1"/>
        <v>lca_temporal_approach</v>
      </c>
    </row>
    <row r="120">
      <c r="A120" s="374"/>
      <c r="B120" s="374"/>
      <c r="C120" s="374" t="str">
        <f>IFERROR(__xludf.DUMMYFUNCTION("""COMPUTED_VALUE"""),"Primary Energy Non-Renewable - Total")</f>
        <v>Primary Energy Non-Renewable - Total</v>
      </c>
      <c r="D120" s="374" t="str">
        <f>IFERROR(__xludf.DUMMYFUNCTION("""COMPUTED_VALUE"""),"lca_penrt_total")</f>
        <v>lca_penrt_total</v>
      </c>
      <c r="E120" s="374"/>
      <c r="F120" s="374"/>
      <c r="G120" s="374" t="s">
        <v>945</v>
      </c>
      <c r="H120" s="374" t="s">
        <v>1342</v>
      </c>
      <c r="I120" s="374" t="str">
        <f>IFERROR(__xludf.DUMMYFUNCTION("""COMPUTED_VALUE"""),"Life Cycle Inventory (LCI) Modeling Approach")</f>
        <v>Life Cycle Inventory (LCI) Modeling Approach</v>
      </c>
      <c r="J120" s="378" t="str">
        <f t="shared" si="1"/>
        <v>lca_lci_modeling_approach</v>
      </c>
    </row>
    <row r="121">
      <c r="A121" s="374"/>
      <c r="B121" s="374"/>
      <c r="C121" s="374" t="str">
        <f>IFERROR(__xludf.DUMMYFUNCTION("""COMPUTED_VALUE"""),"A1-A3: Product Stage")</f>
        <v>A1-A3: Product Stage</v>
      </c>
      <c r="D121" s="374" t="str">
        <f>IFERROR(__xludf.DUMMYFUNCTION("""COMPUTED_VALUE"""),"lca_a1_3")</f>
        <v>lca_a1_3</v>
      </c>
      <c r="E121" s="374"/>
      <c r="F121" s="374"/>
      <c r="G121" s="374" t="s">
        <v>946</v>
      </c>
      <c r="H121" s="374" t="s">
        <v>1343</v>
      </c>
      <c r="I121" s="374" t="str">
        <f>IFERROR(__xludf.DUMMYFUNCTION("""COMPUTED_VALUE"""),"Life Cycle Stages")</f>
        <v>Life Cycle Stages</v>
      </c>
      <c r="J121" s="378" t="str">
        <f t="shared" si="1"/>
        <v>lca_cyle_stages</v>
      </c>
    </row>
    <row r="122">
      <c r="A122" s="374"/>
      <c r="B122" s="374"/>
      <c r="C122" s="374" t="str">
        <f>IFERROR(__xludf.DUMMYFUNCTION("""COMPUTED_VALUE"""),"A1 Raw Material Supply")</f>
        <v>A1 Raw Material Supply</v>
      </c>
      <c r="D122" s="374" t="str">
        <f>IFERROR(__xludf.DUMMYFUNCTION("""COMPUTED_VALUE"""),"lca_a1")</f>
        <v>lca_a1</v>
      </c>
      <c r="E122" s="374"/>
      <c r="F122" s="374"/>
      <c r="G122" s="374" t="s">
        <v>947</v>
      </c>
      <c r="H122" s="374" t="s">
        <v>1344</v>
      </c>
      <c r="I122" s="374" t="str">
        <f>IFERROR(__xludf.DUMMYFUNCTION("""COMPUTED_VALUE"""),"LCIA Methodology")</f>
        <v>LCIA Methodology</v>
      </c>
      <c r="J122" s="378" t="str">
        <f t="shared" si="1"/>
        <v>lcia_methodology</v>
      </c>
    </row>
    <row r="123">
      <c r="A123" s="374"/>
      <c r="B123" s="374"/>
      <c r="C123" s="374" t="str">
        <f>IFERROR(__xludf.DUMMYFUNCTION("""COMPUTED_VALUE"""),"A2 Transport")</f>
        <v>A2 Transport</v>
      </c>
      <c r="D123" s="374" t="str">
        <f>IFERROR(__xludf.DUMMYFUNCTION("""COMPUTED_VALUE"""),"lca_a2")</f>
        <v>lca_a2</v>
      </c>
      <c r="E123" s="374"/>
      <c r="F123" s="374"/>
      <c r="G123" s="374" t="s">
        <v>948</v>
      </c>
      <c r="H123" s="374" t="s">
        <v>1345</v>
      </c>
      <c r="I123" s="374" t="str">
        <f>IFERROR(__xludf.DUMMYFUNCTION("""COMPUTED_VALUE"""),"Biogenic Carbon")</f>
        <v>Biogenic Carbon</v>
      </c>
      <c r="J123" s="378" t="str">
        <f t="shared" si="1"/>
        <v>lca_biogenic_carbon</v>
      </c>
    </row>
    <row r="124">
      <c r="A124" s="374"/>
      <c r="B124" s="374"/>
      <c r="C124" s="374" t="str">
        <f>IFERROR(__xludf.DUMMYFUNCTION("""COMPUTED_VALUE"""),"A3 Manufacturing")</f>
        <v>A3 Manufacturing</v>
      </c>
      <c r="D124" s="374" t="str">
        <f>IFERROR(__xludf.DUMMYFUNCTION("""COMPUTED_VALUE"""),"lca_a3")</f>
        <v>lca_a3</v>
      </c>
      <c r="E124" s="374"/>
      <c r="F124" s="374"/>
      <c r="G124" s="374" t="s">
        <v>949</v>
      </c>
      <c r="H124" s="374" t="s">
        <v>1346</v>
      </c>
      <c r="I124" s="374" t="str">
        <f>IFERROR(__xludf.DUMMYFUNCTION("""COMPUTED_VALUE"""),"Biogenic Carbon Accounting Method")</f>
        <v>Biogenic Carbon Accounting Method</v>
      </c>
      <c r="J124" s="378" t="str">
        <f t="shared" si="1"/>
        <v>lca_biogenic_method</v>
      </c>
    </row>
    <row r="125">
      <c r="A125" s="374"/>
      <c r="B125" s="374"/>
      <c r="C125" s="374" t="str">
        <f>IFERROR(__xludf.DUMMYFUNCTION("""COMPUTED_VALUE"""),"A4 Transport")</f>
        <v>A4 Transport</v>
      </c>
      <c r="D125" s="374" t="str">
        <f>IFERROR(__xludf.DUMMYFUNCTION("""COMPUTED_VALUE"""),"lca_a4")</f>
        <v>lca_a4</v>
      </c>
      <c r="E125" s="374"/>
      <c r="F125" s="374"/>
      <c r="G125" s="374" t="s">
        <v>950</v>
      </c>
      <c r="H125" s="374" t="s">
        <v>1347</v>
      </c>
      <c r="I125" s="374" t="str">
        <f>IFERROR(__xludf.DUMMYFUNCTION("""COMPUTED_VALUE"""),"LCA Material Quantities Source")</f>
        <v>LCA Material Quantities Source</v>
      </c>
      <c r="J125" s="378" t="str">
        <f t="shared" si="1"/>
        <v>lca_material_source</v>
      </c>
    </row>
    <row r="126">
      <c r="A126" s="374"/>
      <c r="B126" s="374"/>
      <c r="C126" s="374" t="str">
        <f>IFERROR(__xludf.DUMMYFUNCTION("""COMPUTED_VALUE"""),"A5 Construction/Installation: Installation of the product into the building")</f>
        <v>A5 Construction/Installation: Installation of the product into the building</v>
      </c>
      <c r="D126" s="374" t="str">
        <f>IFERROR(__xludf.DUMMYFUNCTION("""COMPUTED_VALUE"""),"lca_a5")</f>
        <v>lca_a5</v>
      </c>
      <c r="E126" s="374"/>
      <c r="F126" s="374"/>
      <c r="G126" s="374" t="s">
        <v>951</v>
      </c>
      <c r="H126" s="374" t="s">
        <v>1348</v>
      </c>
      <c r="I126" s="374" t="str">
        <f>IFERROR(__xludf.DUMMYFUNCTION("""COMPUTED_VALUE"""),"Global Warming Potential - Total")</f>
        <v>Global Warming Potential - Total</v>
      </c>
      <c r="J126" s="378" t="str">
        <f t="shared" si="1"/>
        <v>lca_gwp_total</v>
      </c>
    </row>
    <row r="127">
      <c r="A127" s="374"/>
      <c r="B127" s="374"/>
      <c r="C127" s="374" t="str">
        <f>IFERROR(__xludf.DUMMYFUNCTION("""COMPUTED_VALUE"""),"B1 Use: Environmental impacts arising from the product in use (eg, release of substances)")</f>
        <v>B1 Use: Environmental impacts arising from the product in use (eg, release of substances)</v>
      </c>
      <c r="D127" s="374" t="str">
        <f>IFERROR(__xludf.DUMMYFUNCTION("""COMPUTED_VALUE"""),"lca_b1")</f>
        <v>lca_b1</v>
      </c>
      <c r="E127" s="374"/>
      <c r="F127" s="374"/>
      <c r="G127" s="374" t="s">
        <v>952</v>
      </c>
      <c r="H127" s="374" t="s">
        <v>1349</v>
      </c>
      <c r="I127" s="374" t="str">
        <f>IFERROR(__xludf.DUMMYFUNCTION("""COMPUTED_VALUE"""),"Global Warming Potential - Fossil")</f>
        <v>Global Warming Potential - Fossil</v>
      </c>
      <c r="J127" s="378" t="str">
        <f t="shared" si="1"/>
        <v>lca_gwp_f_total</v>
      </c>
    </row>
    <row r="128">
      <c r="A128" s="374"/>
      <c r="B128" s="374"/>
      <c r="C128" s="374" t="str">
        <f>IFERROR(__xludf.DUMMYFUNCTION("""COMPUTED_VALUE"""),"B2 Maintenance: Actions to maintain the product's functional quality (cleaning, painting)")</f>
        <v>B2 Maintenance: Actions to maintain the product's functional quality (cleaning, painting)</v>
      </c>
      <c r="D128" s="374" t="str">
        <f>IFERROR(__xludf.DUMMYFUNCTION("""COMPUTED_VALUE"""),"lca_b2")</f>
        <v>lca_b2</v>
      </c>
      <c r="E128" s="374"/>
      <c r="F128" s="374"/>
      <c r="G128" s="374" t="s">
        <v>953</v>
      </c>
      <c r="H128" s="374" t="s">
        <v>1350</v>
      </c>
      <c r="I128" s="374" t="str">
        <f>IFERROR(__xludf.DUMMYFUNCTION("""COMPUTED_VALUE"""),"Global Warming Potential - Biogenic")</f>
        <v>Global Warming Potential - Biogenic</v>
      </c>
      <c r="J128" s="378" t="str">
        <f t="shared" si="1"/>
        <v>lca_gwp_b_total</v>
      </c>
    </row>
    <row r="129">
      <c r="A129" s="374"/>
      <c r="B129" s="374"/>
      <c r="C129" s="374" t="str">
        <f>IFERROR(__xludf.DUMMYFUNCTION("""COMPUTED_VALUE"""),"B3 Repair: Corrective actions to return the product to a functional state")</f>
        <v>B3 Repair: Corrective actions to return the product to a functional state</v>
      </c>
      <c r="D129" s="374" t="str">
        <f>IFERROR(__xludf.DUMMYFUNCTION("""COMPUTED_VALUE"""),"lca_b3")</f>
        <v>lca_b3</v>
      </c>
      <c r="E129" s="374"/>
      <c r="F129" s="374"/>
      <c r="G129" s="374" t="s">
        <v>954</v>
      </c>
      <c r="H129" s="374" t="s">
        <v>1351</v>
      </c>
      <c r="I129" s="374" t="str">
        <f>IFERROR(__xludf.DUMMYFUNCTION("""COMPUTED_VALUE"""),"Global Warming Potential - Land Use and Land Use Change")</f>
        <v>Global Warming Potential - Land Use and Land Use Change</v>
      </c>
      <c r="J129" s="378" t="str">
        <f t="shared" si="1"/>
        <v>lca_gwp_luc_total</v>
      </c>
    </row>
    <row r="130">
      <c r="A130" s="374"/>
      <c r="B130" s="374"/>
      <c r="C130" s="374" t="str">
        <f>IFERROR(__xludf.DUMMYFUNCTION("""COMPUTED_VALUE"""),"B4 Replacement: Replacing the product or parts of it at the end of its service life")</f>
        <v>B4 Replacement: Replacing the product or parts of it at the end of its service life</v>
      </c>
      <c r="D130" s="374" t="str">
        <f>IFERROR(__xludf.DUMMYFUNCTION("""COMPUTED_VALUE"""),"lca_b4")</f>
        <v>lca_b4</v>
      </c>
      <c r="E130" s="374"/>
      <c r="F130" s="374"/>
      <c r="G130" s="374" t="s">
        <v>955</v>
      </c>
      <c r="H130" s="374" t="s">
        <v>1352</v>
      </c>
      <c r="I130" s="374" t="str">
        <f>IFERROR(__xludf.DUMMYFUNCTION("""COMPUTED_VALUE"""),"Ozone Depletion Potential (Stratospheric)")</f>
        <v>Ozone Depletion Potential (Stratospheric)</v>
      </c>
      <c r="J130" s="378" t="str">
        <f t="shared" si="1"/>
        <v>lca_odp_total</v>
      </c>
    </row>
    <row r="131">
      <c r="A131" s="374"/>
      <c r="B131" s="374"/>
      <c r="C131" s="374" t="str">
        <f>IFERROR(__xludf.DUMMYFUNCTION("""COMPUTED_VALUE"""),"B5 Refurbishment: Major changes to restore or improve performance")</f>
        <v>B5 Refurbishment: Major changes to restore or improve performance</v>
      </c>
      <c r="D131" s="374" t="str">
        <f>IFERROR(__xludf.DUMMYFUNCTION("""COMPUTED_VALUE"""),"lca_b5")</f>
        <v>lca_b5</v>
      </c>
      <c r="E131" s="374"/>
      <c r="F131" s="374"/>
      <c r="G131" s="374" t="s">
        <v>956</v>
      </c>
      <c r="H131" s="374" t="s">
        <v>1353</v>
      </c>
      <c r="I131" s="374" t="str">
        <f>IFERROR(__xludf.DUMMYFUNCTION("""COMPUTED_VALUE"""),"Acidification Potential")</f>
        <v>Acidification Potential</v>
      </c>
      <c r="J131" s="378" t="str">
        <f t="shared" si="1"/>
        <v>lca_ap_total</v>
      </c>
    </row>
    <row r="132">
      <c r="A132" s="374"/>
      <c r="B132" s="374"/>
      <c r="C132" s="374" t="str">
        <f>IFERROR(__xludf.DUMMYFUNCTION("""COMPUTED_VALUE"""),"B6 Operational Energy Use: Energy consumption related to the building's operation (heating, cooling, lighting)")</f>
        <v>B6 Operational Energy Use: Energy consumption related to the building's operation (heating, cooling, lighting)</v>
      </c>
      <c r="D132" s="374" t="str">
        <f>IFERROR(__xludf.DUMMYFUNCTION("""COMPUTED_VALUE"""),"lca_b6")</f>
        <v>lca_b6</v>
      </c>
      <c r="E132" s="374"/>
      <c r="F132" s="374"/>
      <c r="G132" s="374" t="s">
        <v>957</v>
      </c>
      <c r="H132" s="374" t="s">
        <v>1354</v>
      </c>
      <c r="I132" s="374" t="str">
        <f>IFERROR(__xludf.DUMMYFUNCTION("""COMPUTED_VALUE"""),"Eutrophication Potential (Total/Generic)")</f>
        <v>Eutrophication Potential (Total/Generic)</v>
      </c>
      <c r="J132" s="378" t="str">
        <f t="shared" si="1"/>
        <v>lca_ep_total</v>
      </c>
    </row>
    <row r="133">
      <c r="A133" s="374"/>
      <c r="B133" s="374"/>
      <c r="C133" s="374" t="str">
        <f>IFERROR(__xludf.DUMMYFUNCTION("""COMPUTED_VALUE"""),"B7 Operational Water Use: Water consumption related to the building's operation")</f>
        <v>B7 Operational Water Use: Water consumption related to the building's operation</v>
      </c>
      <c r="D133" s="374" t="str">
        <f>IFERROR(__xludf.DUMMYFUNCTION("""COMPUTED_VALUE"""),"lca_b7")</f>
        <v>lca_b7</v>
      </c>
      <c r="E133" s="374"/>
      <c r="F133" s="374"/>
      <c r="G133" s="374" t="s">
        <v>958</v>
      </c>
      <c r="H133" s="374" t="s">
        <v>1355</v>
      </c>
      <c r="I133" s="374" t="str">
        <f>IFERROR(__xludf.DUMMYFUNCTION("""COMPUTED_VALUE"""),"Eutrophication Potential - Freshwater")</f>
        <v>Eutrophication Potential - Freshwater</v>
      </c>
      <c r="J133" s="378" t="str">
        <f t="shared" si="1"/>
        <v>lca_ep_af_total</v>
      </c>
    </row>
    <row r="134">
      <c r="A134" s="374"/>
      <c r="B134" s="374"/>
      <c r="C134" s="374" t="str">
        <f>IFERROR(__xludf.DUMMYFUNCTION("""COMPUTED_VALUE"""),"C1 De-construction/Demolition: Dismantling or demolishing the building/product")</f>
        <v>C1 De-construction/Demolition: Dismantling or demolishing the building/product</v>
      </c>
      <c r="D134" s="374" t="str">
        <f>IFERROR(__xludf.DUMMYFUNCTION("""COMPUTED_VALUE"""),"lca_c1")</f>
        <v>lca_c1</v>
      </c>
      <c r="E134" s="374"/>
      <c r="F134" s="374"/>
      <c r="G134" s="374" t="s">
        <v>959</v>
      </c>
      <c r="H134" s="374" t="s">
        <v>1356</v>
      </c>
      <c r="I134" s="374" t="str">
        <f>IFERROR(__xludf.DUMMYFUNCTION("""COMPUTED_VALUE"""),"Eutrophication Potential - Marine")</f>
        <v>Eutrophication Potential - Marine</v>
      </c>
      <c r="J134" s="378" t="str">
        <f t="shared" si="1"/>
        <v>lca_ep_am_total</v>
      </c>
    </row>
    <row r="135">
      <c r="A135" s="374"/>
      <c r="B135" s="374"/>
      <c r="C135" s="374" t="str">
        <f>IFERROR(__xludf.DUMMYFUNCTION("""COMPUTED_VALUE"""),"C2 Transport: Transporting the waste to processing or disposal sites")</f>
        <v>C2 Transport: Transporting the waste to processing or disposal sites</v>
      </c>
      <c r="D135" s="374" t="str">
        <f>IFERROR(__xludf.DUMMYFUNCTION("""COMPUTED_VALUE"""),"lca_c2")</f>
        <v>lca_c2</v>
      </c>
      <c r="E135" s="374"/>
      <c r="F135" s="374"/>
      <c r="G135" s="374" t="s">
        <v>960</v>
      </c>
      <c r="H135" s="374" t="s">
        <v>1357</v>
      </c>
      <c r="I135" s="374" t="str">
        <f>IFERROR(__xludf.DUMMYFUNCTION("""COMPUTED_VALUE"""),"Eutrophication Potential - Terrestrial")</f>
        <v>Eutrophication Potential - Terrestrial</v>
      </c>
      <c r="J135" s="378" t="str">
        <f t="shared" si="1"/>
        <v>lca_ep_t_total</v>
      </c>
    </row>
    <row r="136">
      <c r="A136" s="374"/>
      <c r="B136" s="374"/>
      <c r="C136" s="374" t="str">
        <f>IFERROR(__xludf.DUMMYFUNCTION("""COMPUTED_VALUE"""),"C3 Waste Processing: Processing waste for reuse, recovery, or recycling")</f>
        <v>C3 Waste Processing: Processing waste for reuse, recovery, or recycling</v>
      </c>
      <c r="D136" s="374" t="str">
        <f>IFERROR(__xludf.DUMMYFUNCTION("""COMPUTED_VALUE"""),"lca_c3")</f>
        <v>lca_c3</v>
      </c>
      <c r="E136" s="374"/>
      <c r="F136" s="374"/>
      <c r="G136" s="374" t="s">
        <v>961</v>
      </c>
      <c r="H136" s="374" t="s">
        <v>1358</v>
      </c>
      <c r="I136" s="374" t="str">
        <f>IFERROR(__xludf.DUMMYFUNCTION("""COMPUTED_VALUE"""),"Photochemical Ozone Creation Potential")</f>
        <v>Photochemical Ozone Creation Potential</v>
      </c>
      <c r="J136" s="378" t="str">
        <f t="shared" si="1"/>
        <v>lca_pocp_total</v>
      </c>
    </row>
    <row r="137">
      <c r="A137" s="374"/>
      <c r="B137" s="374"/>
      <c r="C137" s="374" t="str">
        <f>IFERROR(__xludf.DUMMYFUNCTION("""COMPUTED_VALUE"""),"C4 Disposal: Final disposal of waste that cannot be recovered (eg, landfill)")</f>
        <v>C4 Disposal: Final disposal of waste that cannot be recovered (eg, landfill)</v>
      </c>
      <c r="D137" s="374" t="str">
        <f>IFERROR(__xludf.DUMMYFUNCTION("""COMPUTED_VALUE"""),"lca_c4")</f>
        <v>lca_c4</v>
      </c>
      <c r="E137" s="374"/>
      <c r="F137" s="374"/>
      <c r="G137" s="374" t="s">
        <v>962</v>
      </c>
      <c r="H137" s="374" t="s">
        <v>1359</v>
      </c>
      <c r="I137" s="374" t="str">
        <f>IFERROR(__xludf.DUMMYFUNCTION("""COMPUTED_VALUE"""),"Smog Formation Potential")</f>
        <v>Smog Formation Potential</v>
      </c>
      <c r="J137" s="378" t="str">
        <f t="shared" si="1"/>
        <v>lca_sfp_total</v>
      </c>
    </row>
    <row r="138">
      <c r="A138" s="374"/>
      <c r="B138" s="374"/>
      <c r="C138" s="374" t="str">
        <f>IFERROR(__xludf.DUMMYFUNCTION("""COMPUTED_VALUE"""),"D Benefits and Loads Beyond the System Boundary")</f>
        <v>D Benefits and Loads Beyond the System Boundary</v>
      </c>
      <c r="D138" s="374" t="str">
        <f>IFERROR(__xludf.DUMMYFUNCTION("""COMPUTED_VALUE"""),"lca_d")</f>
        <v>lca_d</v>
      </c>
      <c r="E138" s="374"/>
      <c r="F138" s="374"/>
      <c r="G138" s="374" t="s">
        <v>963</v>
      </c>
      <c r="H138" s="374" t="s">
        <v>1360</v>
      </c>
      <c r="I138" s="374" t="str">
        <f>IFERROR(__xludf.DUMMYFUNCTION("""COMPUTED_VALUE"""),"Photochemical Ozone Formation Potential")</f>
        <v>Photochemical Ozone Formation Potential</v>
      </c>
      <c r="J138" s="378" t="str">
        <f t="shared" si="1"/>
        <v>lca_pofp_total</v>
      </c>
    </row>
    <row r="139">
      <c r="A139" s="374"/>
      <c r="B139" s="374"/>
      <c r="C139" s="374" t="str">
        <f>IFERROR(__xludf.DUMMYFUNCTION("""COMPUTED_VALUE"""),"D1 Reuse, Recovery, and Recycling Potential: Net benefits or loads resulting from reusing or recycling materials (avoided emissions)")</f>
        <v>D1 Reuse, Recovery, and Recycling Potential: Net benefits or loads resulting from reusing or recycling materials (avoided emissions)</v>
      </c>
      <c r="D139" s="374" t="str">
        <f>IFERROR(__xludf.DUMMYFUNCTION("""COMPUTED_VALUE"""),"lca_d1")</f>
        <v>lca_d1</v>
      </c>
      <c r="E139" s="374"/>
      <c r="F139" s="374"/>
      <c r="G139" s="374" t="s">
        <v>964</v>
      </c>
      <c r="H139" s="374" t="s">
        <v>1361</v>
      </c>
      <c r="I139" s="374" t="str">
        <f>IFERROR(__xludf.DUMMYFUNCTION("""COMPUTED_VALUE"""),"Abiotic Depletion Potential - Minerals and Metals (Non-fossil)")</f>
        <v>Abiotic Depletion Potential - Minerals and Metals (Non-fossil)</v>
      </c>
      <c r="J139" s="378" t="str">
        <f t="shared" si="1"/>
        <v>lca_adpmm_total</v>
      </c>
    </row>
    <row r="140">
      <c r="A140" s="374"/>
      <c r="B140" s="374"/>
      <c r="C140" s="374" t="str">
        <f>IFERROR(__xludf.DUMMYFUNCTION("""COMPUTED_VALUE"""),"D2 Exported Energy (or Energy Recovery Potential)")</f>
        <v>D2 Exported Energy (or Energy Recovery Potential)</v>
      </c>
      <c r="D140" s="374" t="str">
        <f>IFERROR(__xludf.DUMMYFUNCTION("""COMPUTED_VALUE"""),"lca_d2")</f>
        <v>lca_d2</v>
      </c>
      <c r="E140" s="374"/>
      <c r="F140" s="374"/>
      <c r="G140" s="374" t="s">
        <v>965</v>
      </c>
      <c r="H140" s="374" t="s">
        <v>1362</v>
      </c>
      <c r="I140" s="374" t="str">
        <f>IFERROR(__xludf.DUMMYFUNCTION("""COMPUTED_VALUE"""),"Abiotic Depletion Potential - Fossil Resources")</f>
        <v>Abiotic Depletion Potential - Fossil Resources</v>
      </c>
      <c r="J140" s="378" t="str">
        <f t="shared" si="1"/>
        <v>lca_adpf_total</v>
      </c>
    </row>
    <row r="141">
      <c r="A141" s="374"/>
      <c r="B141" s="374"/>
      <c r="C141" s="374"/>
      <c r="D141" s="374"/>
      <c r="E141" s="374"/>
      <c r="F141" s="374"/>
      <c r="G141" s="374" t="s">
        <v>966</v>
      </c>
      <c r="H141" s="374" t="s">
        <v>1363</v>
      </c>
      <c r="I141" s="374" t="str">
        <f>IFERROR(__xludf.DUMMYFUNCTION("""COMPUTED_VALUE"""),"Water Deprivation Potential")</f>
        <v>Water Deprivation Potential</v>
      </c>
      <c r="J141" s="378" t="str">
        <f t="shared" si="1"/>
        <v>lca_wdp_total</v>
      </c>
    </row>
    <row r="142">
      <c r="A142" s="374"/>
      <c r="B142" s="374"/>
      <c r="C142" s="374"/>
      <c r="D142" s="374"/>
      <c r="E142" s="374"/>
      <c r="F142" s="374"/>
      <c r="G142" s="374" t="s">
        <v>967</v>
      </c>
      <c r="H142" s="374" t="s">
        <v>1364</v>
      </c>
      <c r="I142" s="374" t="str">
        <f>IFERROR(__xludf.DUMMYFUNCTION("""COMPUTED_VALUE"""),"Primary Energy Renewable (excluding resources used as raw materials)")</f>
        <v>Primary Energy Renewable (excluding resources used as raw materials)</v>
      </c>
      <c r="J142" s="378" t="str">
        <f t="shared" si="1"/>
        <v>lca_pere_total</v>
      </c>
    </row>
    <row r="143">
      <c r="A143" s="374"/>
      <c r="B143" s="374"/>
      <c r="C143" s="374"/>
      <c r="D143" s="374"/>
      <c r="E143" s="374"/>
      <c r="F143" s="374"/>
      <c r="G143" s="374" t="s">
        <v>968</v>
      </c>
      <c r="H143" s="374" t="s">
        <v>1365</v>
      </c>
      <c r="I143" s="374" t="str">
        <f>IFERROR(__xludf.DUMMYFUNCTION("""COMPUTED_VALUE"""),"Primary Energy Non-Renewable (excluding resources used as raw materials)")</f>
        <v>Primary Energy Non-Renewable (excluding resources used as raw materials)</v>
      </c>
      <c r="J143" s="378" t="str">
        <f t="shared" si="1"/>
        <v>lca_penre_total</v>
      </c>
    </row>
    <row r="144">
      <c r="A144" s="374"/>
      <c r="B144" s="374"/>
      <c r="C144" s="374"/>
      <c r="D144" s="374"/>
      <c r="E144" s="374"/>
      <c r="F144" s="374"/>
      <c r="G144" s="374" t="s">
        <v>969</v>
      </c>
      <c r="H144" s="374" t="s">
        <v>1366</v>
      </c>
      <c r="I144" s="374" t="str">
        <f>IFERROR(__xludf.DUMMYFUNCTION("""COMPUTED_VALUE"""),"Primary Energy Renewable - Total")</f>
        <v>Primary Energy Renewable - Total</v>
      </c>
      <c r="J144" s="378" t="str">
        <f t="shared" si="1"/>
        <v>lca_pert_total</v>
      </c>
    </row>
    <row r="145">
      <c r="A145" s="374"/>
      <c r="B145" s="374"/>
      <c r="C145" s="374"/>
      <c r="D145" s="374"/>
      <c r="E145" s="374"/>
      <c r="F145" s="374"/>
      <c r="G145" s="374" t="s">
        <v>970</v>
      </c>
      <c r="H145" s="374" t="s">
        <v>1367</v>
      </c>
      <c r="I145" s="374" t="str">
        <f>IFERROR(__xludf.DUMMYFUNCTION("""COMPUTED_VALUE"""),"Primary Energy Non-Renewable - Total")</f>
        <v>Primary Energy Non-Renewable - Total</v>
      </c>
      <c r="J145" s="378" t="str">
        <f t="shared" si="1"/>
        <v>lca_penrt_total</v>
      </c>
    </row>
    <row r="146">
      <c r="A146" s="374"/>
      <c r="B146" s="374"/>
      <c r="C146" s="374"/>
      <c r="D146" s="374"/>
      <c r="E146" s="374"/>
      <c r="F146" s="374"/>
      <c r="G146" s="374" t="s">
        <v>971</v>
      </c>
      <c r="H146" s="374" t="s">
        <v>1368</v>
      </c>
      <c r="I146" s="374" t="str">
        <f>IFERROR(__xludf.DUMMYFUNCTION("""COMPUTED_VALUE"""),"A1-A3: Product Stage")</f>
        <v>A1-A3: Product Stage</v>
      </c>
      <c r="J146" s="378" t="str">
        <f t="shared" si="1"/>
        <v>lca_a1_3</v>
      </c>
    </row>
    <row r="147">
      <c r="A147" s="374"/>
      <c r="B147" s="374"/>
      <c r="C147" s="374"/>
      <c r="D147" s="374"/>
      <c r="E147" s="374"/>
      <c r="F147" s="374"/>
      <c r="G147" s="374" t="s">
        <v>972</v>
      </c>
      <c r="H147" s="374" t="s">
        <v>1369</v>
      </c>
      <c r="I147" s="374" t="str">
        <f>IFERROR(__xludf.DUMMYFUNCTION("""COMPUTED_VALUE"""),"A1 Raw Material Supply")</f>
        <v>A1 Raw Material Supply</v>
      </c>
      <c r="J147" s="378" t="str">
        <f t="shared" si="1"/>
        <v>lca_a1</v>
      </c>
    </row>
    <row r="148">
      <c r="A148" s="374"/>
      <c r="B148" s="374"/>
      <c r="C148" s="374"/>
      <c r="D148" s="374"/>
      <c r="E148" s="374"/>
      <c r="F148" s="374"/>
      <c r="G148" s="374" t="s">
        <v>973</v>
      </c>
      <c r="H148" s="374" t="s">
        <v>1370</v>
      </c>
      <c r="I148" s="374" t="str">
        <f>IFERROR(__xludf.DUMMYFUNCTION("""COMPUTED_VALUE"""),"A2 Transport")</f>
        <v>A2 Transport</v>
      </c>
      <c r="J148" s="378" t="str">
        <f t="shared" si="1"/>
        <v>lca_a2</v>
      </c>
    </row>
    <row r="149">
      <c r="A149" s="374"/>
      <c r="B149" s="374"/>
      <c r="C149" s="374"/>
      <c r="D149" s="374"/>
      <c r="E149" s="374"/>
      <c r="F149" s="374"/>
      <c r="G149" s="374" t="s">
        <v>974</v>
      </c>
      <c r="H149" s="374" t="s">
        <v>1371</v>
      </c>
      <c r="I149" s="374" t="str">
        <f>IFERROR(__xludf.DUMMYFUNCTION("""COMPUTED_VALUE"""),"A3 Manufacturing")</f>
        <v>A3 Manufacturing</v>
      </c>
      <c r="J149" s="378" t="str">
        <f t="shared" si="1"/>
        <v>lca_a3</v>
      </c>
    </row>
    <row r="150">
      <c r="A150" s="374"/>
      <c r="B150" s="374"/>
      <c r="C150" s="374"/>
      <c r="D150" s="374"/>
      <c r="E150" s="374"/>
      <c r="F150" s="374"/>
      <c r="G150" s="374" t="s">
        <v>975</v>
      </c>
      <c r="H150" s="374" t="s">
        <v>1372</v>
      </c>
      <c r="I150" s="374" t="str">
        <f>IFERROR(__xludf.DUMMYFUNCTION("""COMPUTED_VALUE"""),"A4 Transport")</f>
        <v>A4 Transport</v>
      </c>
      <c r="J150" s="378" t="str">
        <f t="shared" si="1"/>
        <v>lca_a4</v>
      </c>
    </row>
    <row r="151">
      <c r="A151" s="374"/>
      <c r="B151" s="374"/>
      <c r="C151" s="374"/>
      <c r="D151" s="374"/>
      <c r="E151" s="374"/>
      <c r="F151" s="374"/>
      <c r="G151" s="374" t="s">
        <v>976</v>
      </c>
      <c r="H151" s="374" t="s">
        <v>1373</v>
      </c>
      <c r="I151" s="374" t="str">
        <f>IFERROR(__xludf.DUMMYFUNCTION("""COMPUTED_VALUE"""),"A5 Construction/Installation: Installation of the product into the building")</f>
        <v>A5 Construction/Installation: Installation of the product into the building</v>
      </c>
      <c r="J151" s="378" t="str">
        <f t="shared" si="1"/>
        <v>lca_a5</v>
      </c>
    </row>
    <row r="152">
      <c r="A152" s="374"/>
      <c r="B152" s="374"/>
      <c r="C152" s="374"/>
      <c r="D152" s="374"/>
      <c r="E152" s="374"/>
      <c r="F152" s="374"/>
      <c r="G152" s="374" t="s">
        <v>977</v>
      </c>
      <c r="H152" s="374" t="s">
        <v>1374</v>
      </c>
      <c r="I152" s="374" t="str">
        <f>IFERROR(__xludf.DUMMYFUNCTION("""COMPUTED_VALUE"""),"B1 Use: Environmental impacts arising from the product in use (eg, release of substances)")</f>
        <v>B1 Use: Environmental impacts arising from the product in use (eg, release of substances)</v>
      </c>
      <c r="J152" s="378" t="str">
        <f t="shared" si="1"/>
        <v>lca_b1</v>
      </c>
    </row>
    <row r="153">
      <c r="A153" s="374"/>
      <c r="B153" s="374"/>
      <c r="C153" s="374"/>
      <c r="D153" s="374"/>
      <c r="E153" s="374"/>
      <c r="F153" s="374"/>
      <c r="G153" s="374" t="s">
        <v>978</v>
      </c>
      <c r="H153" s="374" t="s">
        <v>1375</v>
      </c>
      <c r="I153" s="374" t="str">
        <f>IFERROR(__xludf.DUMMYFUNCTION("""COMPUTED_VALUE"""),"B2 Maintenance: Actions to maintain the product's functional quality (cleaning, painting)")</f>
        <v>B2 Maintenance: Actions to maintain the product's functional quality (cleaning, painting)</v>
      </c>
      <c r="J153" s="378" t="str">
        <f t="shared" si="1"/>
        <v>lca_b2</v>
      </c>
    </row>
    <row r="154">
      <c r="A154" s="374"/>
      <c r="B154" s="374"/>
      <c r="C154" s="374"/>
      <c r="D154" s="374"/>
      <c r="E154" s="374"/>
      <c r="F154" s="374"/>
      <c r="G154" s="374" t="s">
        <v>979</v>
      </c>
      <c r="H154" s="374" t="s">
        <v>1376</v>
      </c>
      <c r="I154" s="374" t="str">
        <f>IFERROR(__xludf.DUMMYFUNCTION("""COMPUTED_VALUE"""),"B3 Repair: Corrective actions to return the product to a functional state")</f>
        <v>B3 Repair: Corrective actions to return the product to a functional state</v>
      </c>
      <c r="J154" s="378" t="str">
        <f t="shared" si="1"/>
        <v>lca_b3</v>
      </c>
    </row>
    <row r="155">
      <c r="A155" s="374"/>
      <c r="B155" s="374"/>
      <c r="C155" s="374"/>
      <c r="D155" s="374"/>
      <c r="E155" s="374"/>
      <c r="F155" s="374"/>
      <c r="G155" s="374" t="s">
        <v>980</v>
      </c>
      <c r="H155" s="374" t="s">
        <v>1377</v>
      </c>
      <c r="I155" s="374" t="str">
        <f>IFERROR(__xludf.DUMMYFUNCTION("""COMPUTED_VALUE"""),"B4 Replacement: Replacing the product or parts of it at the end of its service life")</f>
        <v>B4 Replacement: Replacing the product or parts of it at the end of its service life</v>
      </c>
      <c r="J155" s="378" t="str">
        <f t="shared" si="1"/>
        <v>lca_b4</v>
      </c>
    </row>
    <row r="156">
      <c r="A156" s="374"/>
      <c r="B156" s="374"/>
      <c r="C156" s="374"/>
      <c r="D156" s="374"/>
      <c r="E156" s="374"/>
      <c r="F156" s="374"/>
      <c r="G156" s="374" t="s">
        <v>981</v>
      </c>
      <c r="H156" s="374" t="s">
        <v>1378</v>
      </c>
      <c r="I156" s="374" t="str">
        <f>IFERROR(__xludf.DUMMYFUNCTION("""COMPUTED_VALUE"""),"B5 Refurbishment: Major changes to restore or improve performance")</f>
        <v>B5 Refurbishment: Major changes to restore or improve performance</v>
      </c>
      <c r="J156" s="378" t="str">
        <f t="shared" si="1"/>
        <v>lca_b5</v>
      </c>
    </row>
    <row r="157">
      <c r="A157" s="374"/>
      <c r="B157" s="374"/>
      <c r="C157" s="374"/>
      <c r="D157" s="374"/>
      <c r="E157" s="374"/>
      <c r="F157" s="374"/>
      <c r="G157" s="374" t="s">
        <v>982</v>
      </c>
      <c r="H157" s="374" t="s">
        <v>1379</v>
      </c>
      <c r="I157" s="374" t="str">
        <f>IFERROR(__xludf.DUMMYFUNCTION("""COMPUTED_VALUE"""),"B6 Operational Energy Use: Energy consumption related to the building's operation (heating, cooling, lighting)")</f>
        <v>B6 Operational Energy Use: Energy consumption related to the building's operation (heating, cooling, lighting)</v>
      </c>
      <c r="J157" s="378" t="str">
        <f t="shared" si="1"/>
        <v>lca_b6</v>
      </c>
    </row>
    <row r="158">
      <c r="A158" s="374"/>
      <c r="B158" s="374"/>
      <c r="C158" s="374"/>
      <c r="D158" s="374"/>
      <c r="E158" s="374"/>
      <c r="F158" s="374"/>
      <c r="G158" s="374" t="s">
        <v>983</v>
      </c>
      <c r="H158" s="374" t="s">
        <v>1380</v>
      </c>
      <c r="I158" s="374" t="str">
        <f>IFERROR(__xludf.DUMMYFUNCTION("""COMPUTED_VALUE"""),"B7 Operational Water Use: Water consumption related to the building's operation")</f>
        <v>B7 Operational Water Use: Water consumption related to the building's operation</v>
      </c>
      <c r="J158" s="378" t="str">
        <f t="shared" si="1"/>
        <v>lca_b7</v>
      </c>
    </row>
    <row r="159">
      <c r="A159" s="374"/>
      <c r="B159" s="374"/>
      <c r="C159" s="374"/>
      <c r="D159" s="374"/>
      <c r="E159" s="374"/>
      <c r="F159" s="374"/>
      <c r="G159" s="374" t="s">
        <v>984</v>
      </c>
      <c r="H159" s="374" t="s">
        <v>1381</v>
      </c>
      <c r="I159" s="374" t="str">
        <f>IFERROR(__xludf.DUMMYFUNCTION("""COMPUTED_VALUE"""),"C1 De-construction/Demolition: Dismantling or demolishing the building/product")</f>
        <v>C1 De-construction/Demolition: Dismantling or demolishing the building/product</v>
      </c>
      <c r="J159" s="378" t="str">
        <f t="shared" si="1"/>
        <v>lca_c1</v>
      </c>
    </row>
    <row r="160">
      <c r="A160" s="374"/>
      <c r="B160" s="374"/>
      <c r="C160" s="374"/>
      <c r="D160" s="374"/>
      <c r="E160" s="374"/>
      <c r="F160" s="374"/>
      <c r="G160" s="374" t="s">
        <v>985</v>
      </c>
      <c r="H160" s="374" t="s">
        <v>1382</v>
      </c>
      <c r="I160" s="374" t="str">
        <f>IFERROR(__xludf.DUMMYFUNCTION("""COMPUTED_VALUE"""),"C2 Transport: Transporting the waste to processing or disposal sites")</f>
        <v>C2 Transport: Transporting the waste to processing or disposal sites</v>
      </c>
      <c r="J160" s="378" t="str">
        <f t="shared" si="1"/>
        <v>lca_c2</v>
      </c>
    </row>
    <row r="161">
      <c r="A161" s="374"/>
      <c r="B161" s="374"/>
      <c r="C161" s="374"/>
      <c r="D161" s="374"/>
      <c r="E161" s="374"/>
      <c r="F161" s="374"/>
      <c r="G161" s="374" t="s">
        <v>986</v>
      </c>
      <c r="H161" s="374" t="s">
        <v>1383</v>
      </c>
      <c r="I161" s="374" t="str">
        <f>IFERROR(__xludf.DUMMYFUNCTION("""COMPUTED_VALUE"""),"C3 Waste Processing: Processing waste for reuse, recovery, or recycling")</f>
        <v>C3 Waste Processing: Processing waste for reuse, recovery, or recycling</v>
      </c>
      <c r="J161" s="378" t="str">
        <f t="shared" si="1"/>
        <v>lca_c3</v>
      </c>
    </row>
    <row r="162">
      <c r="A162" s="374"/>
      <c r="B162" s="374"/>
      <c r="C162" s="374"/>
      <c r="D162" s="374"/>
      <c r="E162" s="374"/>
      <c r="F162" s="374"/>
      <c r="G162" s="374" t="s">
        <v>987</v>
      </c>
      <c r="H162" s="374" t="s">
        <v>1384</v>
      </c>
      <c r="I162" s="374" t="str">
        <f>IFERROR(__xludf.DUMMYFUNCTION("""COMPUTED_VALUE"""),"C4 Disposal: Final disposal of waste that cannot be recovered (eg, landfill)")</f>
        <v>C4 Disposal: Final disposal of waste that cannot be recovered (eg, landfill)</v>
      </c>
      <c r="J162" s="378" t="str">
        <f t="shared" si="1"/>
        <v>lca_c4</v>
      </c>
    </row>
    <row r="163">
      <c r="A163" s="374"/>
      <c r="B163" s="374"/>
      <c r="C163" s="374"/>
      <c r="D163" s="374"/>
      <c r="E163" s="374"/>
      <c r="F163" s="374"/>
      <c r="G163" s="374" t="s">
        <v>988</v>
      </c>
      <c r="H163" s="374" t="s">
        <v>1385</v>
      </c>
      <c r="I163" s="374" t="str">
        <f>IFERROR(__xludf.DUMMYFUNCTION("""COMPUTED_VALUE"""),"D Benefits and Loads Beyond the System Boundary")</f>
        <v>D Benefits and Loads Beyond the System Boundary</v>
      </c>
      <c r="J163" s="378" t="str">
        <f t="shared" si="1"/>
        <v>lca_d</v>
      </c>
    </row>
    <row r="164">
      <c r="A164" s="374"/>
      <c r="B164" s="374"/>
      <c r="C164" s="374"/>
      <c r="D164" s="374"/>
      <c r="E164" s="374"/>
      <c r="F164" s="374"/>
      <c r="G164" s="374" t="s">
        <v>989</v>
      </c>
      <c r="H164" s="374" t="s">
        <v>1386</v>
      </c>
      <c r="I164" s="374" t="str">
        <f>IFERROR(__xludf.DUMMYFUNCTION("""COMPUTED_VALUE"""),"D1 Reuse, Recovery, and Recycling Potential: Net benefits or loads resulting from reusing or recycling materials (avoided emissions)")</f>
        <v>D1 Reuse, Recovery, and Recycling Potential: Net benefits or loads resulting from reusing or recycling materials (avoided emissions)</v>
      </c>
      <c r="J164" s="378" t="str">
        <f t="shared" si="1"/>
        <v>lca_d1</v>
      </c>
    </row>
    <row r="165">
      <c r="A165" s="374"/>
      <c r="B165" s="374"/>
      <c r="C165" s="374"/>
      <c r="D165" s="374"/>
      <c r="E165" s="374"/>
      <c r="F165" s="374"/>
      <c r="G165" s="374" t="s">
        <v>990</v>
      </c>
      <c r="H165" s="374" t="s">
        <v>1387</v>
      </c>
      <c r="I165" s="374" t="str">
        <f>IFERROR(__xludf.DUMMYFUNCTION("""COMPUTED_VALUE"""),"D2 Exported Energy (or Energy Recovery Potential)")</f>
        <v>D2 Exported Energy (or Energy Recovery Potential)</v>
      </c>
      <c r="J165" s="378" t="str">
        <f t="shared" si="1"/>
        <v>lca_d2</v>
      </c>
    </row>
    <row r="166">
      <c r="A166" s="374"/>
      <c r="B166" s="374"/>
      <c r="C166" s="374"/>
      <c r="D166" s="374"/>
      <c r="E166" s="374"/>
      <c r="F166" s="374"/>
      <c r="G166" s="374" t="s">
        <v>991</v>
      </c>
      <c r="H166" s="374" t="s">
        <v>1388</v>
      </c>
      <c r="I166" s="374" t="str">
        <f>IFERROR(__xludf.DUMMYFUNCTION("""COMPUTED_VALUE"""),"Service life (years)")</f>
        <v>Service life (years)</v>
      </c>
      <c r="J166" s="378" t="str">
        <f t="shared" si="1"/>
        <v>lca_service_life</v>
      </c>
    </row>
    <row r="167">
      <c r="A167" s="374"/>
      <c r="B167" s="374"/>
      <c r="C167" s="374"/>
      <c r="D167" s="374"/>
      <c r="E167" s="374"/>
      <c r="F167" s="374"/>
      <c r="G167" s="374" t="s">
        <v>992</v>
      </c>
      <c r="H167" s="374" t="s">
        <v>1389</v>
      </c>
      <c r="I167" s="374" t="str">
        <f>IFERROR(__xludf.DUMMYFUNCTION("""COMPUTED_VALUE"""),"Share of Layer (%)")</f>
        <v>Share of Layer (%)</v>
      </c>
      <c r="J167" s="378" t="str">
        <f t="shared" si="1"/>
        <v>share_layer</v>
      </c>
    </row>
    <row r="168">
      <c r="A168" s="374"/>
      <c r="B168" s="374"/>
      <c r="C168" s="374"/>
      <c r="D168" s="374"/>
      <c r="E168" s="374"/>
      <c r="F168" s="374"/>
      <c r="G168" s="374" t="s">
        <v>993</v>
      </c>
      <c r="H168" s="374" t="s">
        <v>1390</v>
      </c>
      <c r="I168" s="374" t="str">
        <f>IFERROR(__xludf.DUMMYFUNCTION("""COMPUTED_VALUE"""),"LCA stages")</f>
        <v>LCA stages</v>
      </c>
      <c r="J168" s="378" t="str">
        <f t="shared" si="1"/>
        <v>lca_stages</v>
      </c>
    </row>
    <row r="169">
      <c r="A169" s="374"/>
      <c r="B169" s="374"/>
      <c r="C169" s="374"/>
      <c r="D169" s="374"/>
      <c r="E169" s="374"/>
      <c r="F169" s="374"/>
      <c r="G169" s="374" t="s">
        <v>994</v>
      </c>
      <c r="H169" s="374" t="s">
        <v>1391</v>
      </c>
      <c r="I169" s="374" t="str">
        <f>IFERROR(__xludf.DUMMYFUNCTION("""COMPUTED_VALUE"""),"LCA modules")</f>
        <v>LCA modules</v>
      </c>
      <c r="J169" s="378" t="str">
        <f t="shared" si="1"/>
        <v>lca_module</v>
      </c>
    </row>
    <row r="170">
      <c r="A170" s="374"/>
      <c r="B170" s="374"/>
      <c r="C170" s="374"/>
      <c r="D170" s="374"/>
      <c r="E170" s="374"/>
      <c r="F170" s="374"/>
      <c r="G170" s="374" t="s">
        <v>995</v>
      </c>
      <c r="H170" s="374" t="s">
        <v>1392</v>
      </c>
      <c r="I170" s="374" t="str">
        <f>IFERROR(__xludf.DUMMYFUNCTION("""COMPUTED_VALUE"""),"GWP-total 
A1-A3
")</f>
        <v>GWP-total 
A1-A3
</v>
      </c>
      <c r="J170" s="378" t="str">
        <f t="shared" si="1"/>
        <v>gwp_total_a1-a3</v>
      </c>
    </row>
    <row r="171">
      <c r="A171" s="374"/>
      <c r="B171" s="374"/>
      <c r="C171" s="374"/>
      <c r="D171" s="374"/>
      <c r="E171" s="374"/>
      <c r="F171" s="374"/>
      <c r="G171" s="374" t="s">
        <v>996</v>
      </c>
      <c r="H171" s="374" t="s">
        <v>1393</v>
      </c>
      <c r="I171" s="374" t="str">
        <f>IFERROR(__xludf.DUMMYFUNCTION("""COMPUTED_VALUE"""),"GWP-total 
A4
")</f>
        <v>GWP-total 
A4
</v>
      </c>
      <c r="J171" s="378" t="str">
        <f t="shared" si="1"/>
        <v>gwp_total_a4</v>
      </c>
    </row>
    <row r="172">
      <c r="A172" s="374"/>
      <c r="B172" s="374"/>
      <c r="C172" s="374"/>
      <c r="D172" s="374"/>
      <c r="E172" s="374"/>
      <c r="F172" s="374"/>
      <c r="G172" s="374" t="s">
        <v>997</v>
      </c>
      <c r="H172" s="374" t="s">
        <v>1394</v>
      </c>
      <c r="I172" s="374" t="str">
        <f>IFERROR(__xludf.DUMMYFUNCTION("""COMPUTED_VALUE"""),"GWP-total 
A5
")</f>
        <v>GWP-total 
A5
</v>
      </c>
      <c r="J172" s="378" t="str">
        <f t="shared" si="1"/>
        <v>gwp_total_a5</v>
      </c>
    </row>
    <row r="173">
      <c r="A173" s="374"/>
      <c r="B173" s="374"/>
      <c r="C173" s="374"/>
      <c r="D173" s="374"/>
      <c r="E173" s="374"/>
      <c r="F173" s="374"/>
      <c r="G173" s="374" t="s">
        <v>998</v>
      </c>
      <c r="H173" s="374" t="s">
        <v>1395</v>
      </c>
      <c r="I173" s="374" t="str">
        <f>IFERROR(__xludf.DUMMYFUNCTION("""COMPUTED_VALUE"""),"GWP-total 
B1
")</f>
        <v>GWP-total 
B1
</v>
      </c>
      <c r="J173" s="378" t="str">
        <f t="shared" si="1"/>
        <v>gwp_total_b1</v>
      </c>
    </row>
    <row r="174">
      <c r="A174" s="374"/>
      <c r="B174" s="374"/>
      <c r="C174" s="374"/>
      <c r="D174" s="374"/>
      <c r="E174" s="374"/>
      <c r="F174" s="374"/>
      <c r="G174" s="374" t="s">
        <v>999</v>
      </c>
      <c r="H174" s="374" t="s">
        <v>1396</v>
      </c>
      <c r="I174" s="374" t="str">
        <f>IFERROR(__xludf.DUMMYFUNCTION("""COMPUTED_VALUE"""),"GWP-total 
B2
")</f>
        <v>GWP-total 
B2
</v>
      </c>
      <c r="J174" s="378" t="str">
        <f t="shared" si="1"/>
        <v>gwp_total_b2</v>
      </c>
    </row>
    <row r="175">
      <c r="A175" s="374"/>
      <c r="B175" s="374"/>
      <c r="C175" s="374"/>
      <c r="D175" s="374"/>
      <c r="E175" s="374"/>
      <c r="F175" s="374"/>
      <c r="G175" s="374" t="s">
        <v>1000</v>
      </c>
      <c r="H175" s="374" t="s">
        <v>1397</v>
      </c>
      <c r="I175" s="374" t="str">
        <f>IFERROR(__xludf.DUMMYFUNCTION("""COMPUTED_VALUE"""),"GWP-total 
B3
")</f>
        <v>GWP-total 
B3
</v>
      </c>
      <c r="J175" s="378" t="str">
        <f t="shared" si="1"/>
        <v>gwp_total_b3</v>
      </c>
    </row>
    <row r="176">
      <c r="A176" s="374"/>
      <c r="B176" s="374"/>
      <c r="C176" s="374"/>
      <c r="D176" s="374"/>
      <c r="E176" s="374"/>
      <c r="F176" s="374"/>
      <c r="G176" s="374" t="s">
        <v>1001</v>
      </c>
      <c r="H176" s="374" t="s">
        <v>1398</v>
      </c>
      <c r="I176" s="374" t="str">
        <f>IFERROR(__xludf.DUMMYFUNCTION("""COMPUTED_VALUE"""),"GWP-total 
B4
")</f>
        <v>GWP-total 
B4
</v>
      </c>
      <c r="J176" s="378" t="str">
        <f t="shared" si="1"/>
        <v>gwp_total_b4</v>
      </c>
    </row>
    <row r="177">
      <c r="A177" s="374"/>
      <c r="B177" s="374"/>
      <c r="C177" s="374"/>
      <c r="D177" s="374"/>
      <c r="E177" s="374"/>
      <c r="F177" s="374"/>
      <c r="G177" s="374" t="s">
        <v>1002</v>
      </c>
      <c r="H177" s="374" t="s">
        <v>1399</v>
      </c>
      <c r="I177" s="374" t="str">
        <f>IFERROR(__xludf.DUMMYFUNCTION("""COMPUTED_VALUE"""),"GWP-total 
B5
")</f>
        <v>GWP-total 
B5
</v>
      </c>
      <c r="J177" s="378" t="str">
        <f t="shared" si="1"/>
        <v>gwp_total_b5</v>
      </c>
    </row>
    <row r="178">
      <c r="A178" s="374"/>
      <c r="B178" s="374"/>
      <c r="C178" s="374"/>
      <c r="D178" s="374"/>
      <c r="E178" s="374"/>
      <c r="F178" s="374"/>
      <c r="G178" s="374" t="s">
        <v>1003</v>
      </c>
      <c r="H178" s="374" t="s">
        <v>1400</v>
      </c>
      <c r="I178" s="374" t="str">
        <f>IFERROR(__xludf.DUMMYFUNCTION("""COMPUTED_VALUE"""),"GWP-total 
B6
")</f>
        <v>GWP-total 
B6
</v>
      </c>
      <c r="J178" s="378" t="str">
        <f t="shared" si="1"/>
        <v>gwp_total_b6</v>
      </c>
    </row>
    <row r="179">
      <c r="A179" s="374"/>
      <c r="B179" s="374"/>
      <c r="C179" s="374"/>
      <c r="D179" s="374"/>
      <c r="E179" s="374"/>
      <c r="F179" s="374"/>
      <c r="G179" s="374" t="s">
        <v>1004</v>
      </c>
      <c r="H179" s="374" t="s">
        <v>1401</v>
      </c>
      <c r="I179" s="374" t="str">
        <f>IFERROR(__xludf.DUMMYFUNCTION("""COMPUTED_VALUE"""),"GWP-total 
C1
")</f>
        <v>GWP-total 
C1
</v>
      </c>
      <c r="J179" s="378" t="str">
        <f t="shared" si="1"/>
        <v>gwp_total_c1</v>
      </c>
    </row>
    <row r="180">
      <c r="A180" s="374"/>
      <c r="B180" s="374"/>
      <c r="C180" s="374"/>
      <c r="D180" s="374"/>
      <c r="E180" s="374"/>
      <c r="F180" s="374"/>
      <c r="G180" s="374" t="s">
        <v>1005</v>
      </c>
      <c r="H180" s="374" t="s">
        <v>1402</v>
      </c>
      <c r="I180" s="374" t="str">
        <f>IFERROR(__xludf.DUMMYFUNCTION("""COMPUTED_VALUE"""),"GWP-total 
C2
")</f>
        <v>GWP-total 
C2
</v>
      </c>
      <c r="J180" s="378" t="str">
        <f t="shared" si="1"/>
        <v>gwp_total_c2</v>
      </c>
    </row>
    <row r="181">
      <c r="A181" s="374"/>
      <c r="B181" s="374"/>
      <c r="C181" s="374"/>
      <c r="D181" s="374"/>
      <c r="E181" s="374"/>
      <c r="F181" s="374"/>
      <c r="G181" s="374" t="s">
        <v>1006</v>
      </c>
      <c r="H181" s="374" t="s">
        <v>1403</v>
      </c>
      <c r="I181" s="374" t="str">
        <f>IFERROR(__xludf.DUMMYFUNCTION("""COMPUTED_VALUE"""),"GWP-total 
C3
")</f>
        <v>GWP-total 
C3
</v>
      </c>
      <c r="J181" s="378" t="str">
        <f t="shared" si="1"/>
        <v>gwp_total_c3</v>
      </c>
    </row>
    <row r="182">
      <c r="A182" s="374"/>
      <c r="B182" s="374"/>
      <c r="C182" s="374"/>
      <c r="D182" s="374"/>
      <c r="E182" s="374"/>
      <c r="F182" s="374"/>
      <c r="G182" s="374" t="s">
        <v>1007</v>
      </c>
      <c r="H182" s="374" t="s">
        <v>1404</v>
      </c>
      <c r="I182" s="374" t="str">
        <f>IFERROR(__xludf.DUMMYFUNCTION("""COMPUTED_VALUE"""),"GWP-total 
C4
")</f>
        <v>GWP-total 
C4
</v>
      </c>
      <c r="J182" s="378" t="str">
        <f t="shared" si="1"/>
        <v>gwp_total_c4</v>
      </c>
    </row>
    <row r="183">
      <c r="A183" s="374"/>
      <c r="B183" s="374"/>
      <c r="C183" s="374"/>
      <c r="D183" s="374"/>
      <c r="E183" s="374"/>
      <c r="F183" s="374"/>
      <c r="G183" s="374" t="s">
        <v>1008</v>
      </c>
      <c r="H183" s="374" t="s">
        <v>1405</v>
      </c>
      <c r="I183" s="374" t="str">
        <f>IFERROR(__xludf.DUMMYFUNCTION("""COMPUTED_VALUE"""),"GWP-total 
D")</f>
        <v>GWP-total 
D</v>
      </c>
      <c r="J183" s="378" t="str">
        <f t="shared" si="1"/>
        <v>gwp_total_d</v>
      </c>
    </row>
    <row r="184">
      <c r="A184" s="374"/>
      <c r="B184" s="374"/>
      <c r="C184" s="374"/>
      <c r="D184" s="374"/>
      <c r="E184" s="374"/>
      <c r="F184" s="374"/>
      <c r="G184" s="374" t="s">
        <v>1009</v>
      </c>
      <c r="H184" s="374" t="s">
        <v>1406</v>
      </c>
      <c r="I184" s="374" t="str">
        <f>IFERROR(__xludf.DUMMYFUNCTION("""COMPUTED_VALUE"""),"GWP-total 
D1")</f>
        <v>GWP-total 
D1</v>
      </c>
      <c r="J184" s="378" t="str">
        <f t="shared" si="1"/>
        <v>gwp_total_d1</v>
      </c>
    </row>
    <row r="185">
      <c r="A185" s="374"/>
      <c r="B185" s="374"/>
      <c r="C185" s="374"/>
      <c r="D185" s="374"/>
      <c r="E185" s="374"/>
      <c r="F185" s="374"/>
      <c r="G185" s="374" t="s">
        <v>1010</v>
      </c>
      <c r="H185" s="374" t="s">
        <v>1407</v>
      </c>
      <c r="I185" s="374" t="str">
        <f>IFERROR(__xludf.DUMMYFUNCTION("""COMPUTED_VALUE"""),"GWP-total 
D2")</f>
        <v>GWP-total 
D2</v>
      </c>
      <c r="J185" s="378" t="str">
        <f t="shared" si="1"/>
        <v>gwp_total_d2</v>
      </c>
    </row>
    <row r="186">
      <c r="A186" s="374"/>
      <c r="B186" s="374"/>
      <c r="C186" s="374"/>
      <c r="D186" s="374"/>
      <c r="E186" s="374"/>
      <c r="F186" s="374"/>
      <c r="G186" s="374" t="s">
        <v>1011</v>
      </c>
      <c r="H186" s="374" t="s">
        <v>1408</v>
      </c>
      <c r="I186" s="374" t="str">
        <f>IFERROR(__xludf.DUMMYFUNCTION("""COMPUTED_VALUE"""),"GWP-total
")</f>
        <v>GWP-total
</v>
      </c>
      <c r="J186" s="378" t="str">
        <f t="shared" si="1"/>
        <v>gwp_total</v>
      </c>
    </row>
    <row r="187">
      <c r="A187" s="374"/>
      <c r="B187" s="374"/>
      <c r="C187" s="374"/>
      <c r="D187" s="374"/>
      <c r="E187" s="374"/>
      <c r="F187" s="374"/>
      <c r="G187" s="374" t="s">
        <v>1012</v>
      </c>
      <c r="H187" s="374" t="s">
        <v>1409</v>
      </c>
      <c r="I187" s="374" t="str">
        <f>IFERROR(__xludf.DUMMYFUNCTION("""COMPUTED_VALUE"""),"GWPf
A1-A3
")</f>
        <v>GWPf
A1-A3
</v>
      </c>
      <c r="J187" s="378" t="str">
        <f t="shared" si="1"/>
        <v>gwp_f_a1-a3</v>
      </c>
    </row>
    <row r="188">
      <c r="A188" s="374"/>
      <c r="B188" s="374"/>
      <c r="C188" s="374"/>
      <c r="D188" s="374"/>
      <c r="E188" s="374"/>
      <c r="F188" s="374"/>
      <c r="G188" s="374" t="s">
        <v>1013</v>
      </c>
      <c r="H188" s="374" t="s">
        <v>1410</v>
      </c>
      <c r="I188" s="374" t="str">
        <f>IFERROR(__xludf.DUMMYFUNCTION("""COMPUTED_VALUE"""),"GWPf
A4
")</f>
        <v>GWPf
A4
</v>
      </c>
      <c r="J188" s="378" t="str">
        <f t="shared" si="1"/>
        <v>gwp_f_a4</v>
      </c>
    </row>
    <row r="189">
      <c r="A189" s="374"/>
      <c r="B189" s="374"/>
      <c r="C189" s="374"/>
      <c r="D189" s="374"/>
      <c r="E189" s="374"/>
      <c r="F189" s="374"/>
      <c r="G189" s="374" t="s">
        <v>1013</v>
      </c>
      <c r="H189" s="374" t="s">
        <v>1411</v>
      </c>
      <c r="I189" s="374" t="str">
        <f>IFERROR(__xludf.DUMMYFUNCTION("""COMPUTED_VALUE"""),"GWPf
A5
")</f>
        <v>GWPf
A5
</v>
      </c>
      <c r="J189" s="378" t="str">
        <f t="shared" si="1"/>
        <v>gwp_f_a5</v>
      </c>
    </row>
    <row r="190">
      <c r="A190" s="374"/>
      <c r="B190" s="374"/>
      <c r="C190" s="374"/>
      <c r="D190" s="374"/>
      <c r="E190" s="374"/>
      <c r="F190" s="374"/>
      <c r="G190" s="374" t="s">
        <v>1014</v>
      </c>
      <c r="H190" s="374" t="s">
        <v>1412</v>
      </c>
      <c r="I190" s="374" t="str">
        <f>IFERROR(__xludf.DUMMYFUNCTION("""COMPUTED_VALUE"""),"GWPf
B1
")</f>
        <v>GWPf
B1
</v>
      </c>
      <c r="J190" s="378" t="str">
        <f t="shared" si="1"/>
        <v>gwp_f_b1</v>
      </c>
    </row>
    <row r="191">
      <c r="A191" s="374"/>
      <c r="B191" s="374"/>
      <c r="C191" s="374"/>
      <c r="D191" s="374"/>
      <c r="E191" s="374"/>
      <c r="F191" s="374"/>
      <c r="G191" s="374" t="s">
        <v>1015</v>
      </c>
      <c r="H191" s="374" t="s">
        <v>1413</v>
      </c>
      <c r="I191" s="374" t="str">
        <f>IFERROR(__xludf.DUMMYFUNCTION("""COMPUTED_VALUE"""),"GWPf
B2
")</f>
        <v>GWPf
B2
</v>
      </c>
      <c r="J191" s="378" t="str">
        <f t="shared" si="1"/>
        <v>gwp_f_b2</v>
      </c>
    </row>
    <row r="192">
      <c r="A192" s="374"/>
      <c r="B192" s="374"/>
      <c r="C192" s="374"/>
      <c r="D192" s="374"/>
      <c r="E192" s="374"/>
      <c r="F192" s="374"/>
      <c r="G192" s="374" t="s">
        <v>1016</v>
      </c>
      <c r="H192" s="374" t="s">
        <v>1414</v>
      </c>
      <c r="I192" s="374" t="str">
        <f>IFERROR(__xludf.DUMMYFUNCTION("""COMPUTED_VALUE"""),"GWPf
B3
")</f>
        <v>GWPf
B3
</v>
      </c>
      <c r="J192" s="378" t="str">
        <f t="shared" si="1"/>
        <v>gwp_f_b3</v>
      </c>
    </row>
    <row r="193">
      <c r="A193" s="374"/>
      <c r="B193" s="374"/>
      <c r="C193" s="374"/>
      <c r="D193" s="374"/>
      <c r="E193" s="374"/>
      <c r="F193" s="374"/>
      <c r="G193" s="374" t="s">
        <v>1017</v>
      </c>
      <c r="H193" s="374" t="s">
        <v>1415</v>
      </c>
      <c r="I193" s="374" t="str">
        <f>IFERROR(__xludf.DUMMYFUNCTION("""COMPUTED_VALUE"""),"GWPf
B4
")</f>
        <v>GWPf
B4
</v>
      </c>
      <c r="J193" s="378" t="str">
        <f t="shared" si="1"/>
        <v>gwp_f_b4</v>
      </c>
    </row>
    <row r="194">
      <c r="A194" s="374"/>
      <c r="B194" s="374"/>
      <c r="C194" s="374"/>
      <c r="D194" s="374"/>
      <c r="E194" s="374"/>
      <c r="F194" s="374"/>
      <c r="G194" s="374" t="s">
        <v>1018</v>
      </c>
      <c r="H194" s="374" t="s">
        <v>1416</v>
      </c>
      <c r="I194" s="374" t="str">
        <f>IFERROR(__xludf.DUMMYFUNCTION("""COMPUTED_VALUE"""),"GWPf
B5
")</f>
        <v>GWPf
B5
</v>
      </c>
      <c r="J194" s="378" t="str">
        <f t="shared" si="1"/>
        <v>gwp_f_b5</v>
      </c>
    </row>
    <row r="195">
      <c r="A195" s="374"/>
      <c r="B195" s="374"/>
      <c r="C195" s="374"/>
      <c r="D195" s="374"/>
      <c r="E195" s="374"/>
      <c r="F195" s="374"/>
      <c r="G195" s="374" t="s">
        <v>1019</v>
      </c>
      <c r="H195" s="374" t="s">
        <v>1417</v>
      </c>
      <c r="I195" s="374" t="str">
        <f>IFERROR(__xludf.DUMMYFUNCTION("""COMPUTED_VALUE"""),"GWPf
B6
")</f>
        <v>GWPf
B6
</v>
      </c>
      <c r="J195" s="378" t="str">
        <f t="shared" si="1"/>
        <v>gwp_f_b6</v>
      </c>
    </row>
    <row r="196">
      <c r="A196" s="374"/>
      <c r="B196" s="374"/>
      <c r="C196" s="374"/>
      <c r="D196" s="374"/>
      <c r="E196" s="374"/>
      <c r="F196" s="374"/>
      <c r="G196" s="374" t="s">
        <v>1020</v>
      </c>
      <c r="H196" s="374" t="s">
        <v>1418</v>
      </c>
      <c r="I196" s="374" t="str">
        <f>IFERROR(__xludf.DUMMYFUNCTION("""COMPUTED_VALUE"""),"GWPf
C1
")</f>
        <v>GWPf
C1
</v>
      </c>
      <c r="J196" s="378" t="str">
        <f t="shared" si="1"/>
        <v>gwp_f_c1</v>
      </c>
    </row>
    <row r="197">
      <c r="A197" s="374"/>
      <c r="B197" s="374"/>
      <c r="C197" s="374"/>
      <c r="D197" s="374"/>
      <c r="E197" s="374"/>
      <c r="F197" s="374"/>
      <c r="G197" s="374" t="s">
        <v>1021</v>
      </c>
      <c r="H197" s="374" t="s">
        <v>1419</v>
      </c>
      <c r="I197" s="374" t="str">
        <f>IFERROR(__xludf.DUMMYFUNCTION("""COMPUTED_VALUE"""),"GWPf
C2
")</f>
        <v>GWPf
C2
</v>
      </c>
      <c r="J197" s="378" t="str">
        <f t="shared" si="1"/>
        <v>gwp_f_c2</v>
      </c>
    </row>
    <row r="198">
      <c r="A198" s="374"/>
      <c r="B198" s="374"/>
      <c r="C198" s="374"/>
      <c r="D198" s="374"/>
      <c r="E198" s="374"/>
      <c r="F198" s="374"/>
      <c r="G198" s="374" t="s">
        <v>1022</v>
      </c>
      <c r="H198" s="374" t="s">
        <v>1420</v>
      </c>
      <c r="I198" s="374" t="str">
        <f>IFERROR(__xludf.DUMMYFUNCTION("""COMPUTED_VALUE"""),"GWPf
C3
")</f>
        <v>GWPf
C3
</v>
      </c>
      <c r="J198" s="378" t="str">
        <f t="shared" si="1"/>
        <v>gwp_f_c3</v>
      </c>
    </row>
    <row r="199">
      <c r="A199" s="374"/>
      <c r="B199" s="374"/>
      <c r="C199" s="374"/>
      <c r="D199" s="374"/>
      <c r="E199" s="374"/>
      <c r="F199" s="374"/>
      <c r="G199" s="374" t="s">
        <v>1023</v>
      </c>
      <c r="H199" s="374" t="s">
        <v>1421</v>
      </c>
      <c r="I199" s="374" t="str">
        <f>IFERROR(__xludf.DUMMYFUNCTION("""COMPUTED_VALUE"""),"GWPf
C4
")</f>
        <v>GWPf
C4
</v>
      </c>
      <c r="J199" s="378" t="str">
        <f t="shared" si="1"/>
        <v>gwp_f_c4</v>
      </c>
    </row>
    <row r="200">
      <c r="A200" s="374"/>
      <c r="B200" s="374"/>
      <c r="C200" s="374"/>
      <c r="D200" s="374"/>
      <c r="E200" s="374"/>
      <c r="F200" s="374"/>
      <c r="G200" s="374" t="s">
        <v>1024</v>
      </c>
      <c r="H200" s="374" t="s">
        <v>1422</v>
      </c>
      <c r="I200" s="374" t="str">
        <f>IFERROR(__xludf.DUMMYFUNCTION("""COMPUTED_VALUE"""),"GWPf
D")</f>
        <v>GWPf
D</v>
      </c>
      <c r="J200" s="378" t="str">
        <f t="shared" si="1"/>
        <v>gwp_f_d</v>
      </c>
    </row>
    <row r="201">
      <c r="A201" s="374"/>
      <c r="B201" s="374"/>
      <c r="C201" s="374"/>
      <c r="D201" s="374"/>
      <c r="E201" s="374"/>
      <c r="F201" s="374"/>
      <c r="G201" s="374" t="s">
        <v>1025</v>
      </c>
      <c r="H201" s="374" t="s">
        <v>1423</v>
      </c>
      <c r="I201" s="374" t="str">
        <f>IFERROR(__xludf.DUMMYFUNCTION("""COMPUTED_VALUE"""),"GWPf
D1")</f>
        <v>GWPf
D1</v>
      </c>
      <c r="J201" s="378" t="str">
        <f t="shared" si="1"/>
        <v>gwp_f_d1</v>
      </c>
    </row>
    <row r="202">
      <c r="A202" s="374"/>
      <c r="B202" s="374"/>
      <c r="C202" s="374"/>
      <c r="D202" s="374"/>
      <c r="E202" s="374"/>
      <c r="F202" s="374"/>
      <c r="G202" s="374" t="s">
        <v>1026</v>
      </c>
      <c r="H202" s="374" t="s">
        <v>1424</v>
      </c>
      <c r="I202" s="374" t="str">
        <f>IFERROR(__xludf.DUMMYFUNCTION("""COMPUTED_VALUE"""),"GWPf
D2")</f>
        <v>GWPf
D2</v>
      </c>
      <c r="J202" s="378" t="str">
        <f t="shared" si="1"/>
        <v>gwp_f_d2</v>
      </c>
    </row>
    <row r="203">
      <c r="A203" s="374"/>
      <c r="B203" s="374"/>
      <c r="C203" s="374"/>
      <c r="D203" s="374"/>
      <c r="E203" s="374"/>
      <c r="F203" s="374"/>
      <c r="G203" s="374" t="s">
        <v>1027</v>
      </c>
      <c r="H203" s="374" t="s">
        <v>1425</v>
      </c>
      <c r="I203" s="374" t="str">
        <f>IFERROR(__xludf.DUMMYFUNCTION("""COMPUTED_VALUE"""),"GWPf
")</f>
        <v>GWPf
</v>
      </c>
      <c r="J203" s="378" t="str">
        <f t="shared" si="1"/>
        <v>gwp_f_total</v>
      </c>
    </row>
    <row r="204">
      <c r="A204" s="374"/>
      <c r="B204" s="374"/>
      <c r="C204" s="374"/>
      <c r="D204" s="374"/>
      <c r="E204" s="374"/>
      <c r="F204" s="374"/>
      <c r="G204" s="374" t="s">
        <v>1028</v>
      </c>
      <c r="H204" s="374" t="s">
        <v>1426</v>
      </c>
      <c r="I204" s="374" t="str">
        <f>IFERROR(__xludf.DUMMYFUNCTION("""COMPUTED_VALUE"""),"GWPb 
A1-A3
")</f>
        <v>GWPb 
A1-A3
</v>
      </c>
      <c r="J204" s="378" t="str">
        <f t="shared" si="1"/>
        <v>gwp_b_a1-a3</v>
      </c>
    </row>
    <row r="205">
      <c r="A205" s="374"/>
      <c r="B205" s="374"/>
      <c r="C205" s="374"/>
      <c r="D205" s="374"/>
      <c r="E205" s="374"/>
      <c r="F205" s="374"/>
      <c r="G205" s="374" t="s">
        <v>1029</v>
      </c>
      <c r="H205" s="374" t="s">
        <v>1427</v>
      </c>
      <c r="I205" s="374" t="str">
        <f>IFERROR(__xludf.DUMMYFUNCTION("""COMPUTED_VALUE"""),"GWPb 
A4
")</f>
        <v>GWPb 
A4
</v>
      </c>
      <c r="J205" s="378" t="str">
        <f t="shared" si="1"/>
        <v>gwp_b_a4</v>
      </c>
    </row>
    <row r="206">
      <c r="A206" s="374"/>
      <c r="B206" s="374"/>
      <c r="C206" s="374"/>
      <c r="D206" s="374"/>
      <c r="E206" s="374"/>
      <c r="F206" s="374"/>
      <c r="G206" s="374" t="s">
        <v>1029</v>
      </c>
      <c r="H206" s="374" t="s">
        <v>1428</v>
      </c>
      <c r="I206" s="374" t="str">
        <f>IFERROR(__xludf.DUMMYFUNCTION("""COMPUTED_VALUE"""),"GWPb 
A5
")</f>
        <v>GWPb 
A5
</v>
      </c>
      <c r="J206" s="378" t="str">
        <f t="shared" si="1"/>
        <v>gwp_b_a5</v>
      </c>
    </row>
    <row r="207">
      <c r="A207" s="374"/>
      <c r="B207" s="374"/>
      <c r="C207" s="374"/>
      <c r="D207" s="374"/>
      <c r="E207" s="374"/>
      <c r="F207" s="374"/>
      <c r="G207" s="374" t="s">
        <v>1030</v>
      </c>
      <c r="H207" s="374" t="s">
        <v>1429</v>
      </c>
      <c r="I207" s="374" t="str">
        <f>IFERROR(__xludf.DUMMYFUNCTION("""COMPUTED_VALUE"""),"GWPb 
B1
")</f>
        <v>GWPb 
B1
</v>
      </c>
      <c r="J207" s="378" t="str">
        <f t="shared" si="1"/>
        <v>gwp_b_b1</v>
      </c>
    </row>
    <row r="208">
      <c r="A208" s="374"/>
      <c r="B208" s="374"/>
      <c r="C208" s="374"/>
      <c r="D208" s="374"/>
      <c r="E208" s="374"/>
      <c r="F208" s="374"/>
      <c r="G208" s="374" t="s">
        <v>1031</v>
      </c>
      <c r="H208" s="374" t="s">
        <v>1430</v>
      </c>
      <c r="I208" s="374" t="str">
        <f>IFERROR(__xludf.DUMMYFUNCTION("""COMPUTED_VALUE"""),"GWPb 
B2
")</f>
        <v>GWPb 
B2
</v>
      </c>
      <c r="J208" s="378" t="str">
        <f t="shared" si="1"/>
        <v>gwp_b_b2</v>
      </c>
    </row>
    <row r="209">
      <c r="A209" s="374"/>
      <c r="B209" s="374"/>
      <c r="C209" s="374"/>
      <c r="D209" s="374"/>
      <c r="E209" s="374"/>
      <c r="F209" s="374"/>
      <c r="G209" s="374" t="s">
        <v>1032</v>
      </c>
      <c r="H209" s="374" t="s">
        <v>1431</v>
      </c>
      <c r="I209" s="374" t="str">
        <f>IFERROR(__xludf.DUMMYFUNCTION("""COMPUTED_VALUE"""),"GWPb 
B3
")</f>
        <v>GWPb 
B3
</v>
      </c>
      <c r="J209" s="378" t="str">
        <f t="shared" si="1"/>
        <v>gwp_b_b3</v>
      </c>
    </row>
    <row r="210">
      <c r="A210" s="374"/>
      <c r="B210" s="374"/>
      <c r="C210" s="374"/>
      <c r="D210" s="374"/>
      <c r="E210" s="374"/>
      <c r="F210" s="374"/>
      <c r="G210" s="374" t="s">
        <v>1033</v>
      </c>
      <c r="H210" s="374" t="s">
        <v>1432</v>
      </c>
      <c r="I210" s="374" t="str">
        <f>IFERROR(__xludf.DUMMYFUNCTION("""COMPUTED_VALUE"""),"GWPb 
B4
")</f>
        <v>GWPb 
B4
</v>
      </c>
      <c r="J210" s="378" t="str">
        <f t="shared" si="1"/>
        <v>gwp_b_b4</v>
      </c>
    </row>
    <row r="211">
      <c r="A211" s="374"/>
      <c r="B211" s="374"/>
      <c r="C211" s="374"/>
      <c r="D211" s="374"/>
      <c r="E211" s="374"/>
      <c r="F211" s="374"/>
      <c r="G211" s="374" t="s">
        <v>1034</v>
      </c>
      <c r="H211" s="374" t="s">
        <v>1433</v>
      </c>
      <c r="I211" s="374" t="str">
        <f>IFERROR(__xludf.DUMMYFUNCTION("""COMPUTED_VALUE"""),"GWPb 
B5
")</f>
        <v>GWPb 
B5
</v>
      </c>
      <c r="J211" s="378" t="str">
        <f t="shared" si="1"/>
        <v>gwp_b_b5</v>
      </c>
    </row>
    <row r="212">
      <c r="A212" s="374"/>
      <c r="B212" s="374"/>
      <c r="C212" s="374"/>
      <c r="D212" s="374"/>
      <c r="E212" s="374"/>
      <c r="F212" s="374"/>
      <c r="G212" s="374" t="s">
        <v>1035</v>
      </c>
      <c r="H212" s="374" t="s">
        <v>1434</v>
      </c>
      <c r="I212" s="374" t="str">
        <f>IFERROR(__xludf.DUMMYFUNCTION("""COMPUTED_VALUE"""),"GWPb 
B6
")</f>
        <v>GWPb 
B6
</v>
      </c>
      <c r="J212" s="378" t="str">
        <f t="shared" si="1"/>
        <v>gwp_b_b6</v>
      </c>
    </row>
    <row r="213">
      <c r="A213" s="374"/>
      <c r="B213" s="374"/>
      <c r="C213" s="374"/>
      <c r="D213" s="374"/>
      <c r="E213" s="374"/>
      <c r="F213" s="374"/>
      <c r="G213" s="374" t="s">
        <v>1036</v>
      </c>
      <c r="H213" s="374" t="s">
        <v>1435</v>
      </c>
      <c r="I213" s="374" t="str">
        <f>IFERROR(__xludf.DUMMYFUNCTION("""COMPUTED_VALUE"""),"GWPb 
C1
")</f>
        <v>GWPb 
C1
</v>
      </c>
      <c r="J213" s="378" t="str">
        <f t="shared" si="1"/>
        <v>gwp_b_c1</v>
      </c>
    </row>
    <row r="214">
      <c r="A214" s="374"/>
      <c r="B214" s="374"/>
      <c r="C214" s="374"/>
      <c r="D214" s="374"/>
      <c r="E214" s="374"/>
      <c r="F214" s="374"/>
      <c r="G214" s="374" t="s">
        <v>1037</v>
      </c>
      <c r="H214" s="374" t="s">
        <v>1436</v>
      </c>
      <c r="I214" s="374" t="str">
        <f>IFERROR(__xludf.DUMMYFUNCTION("""COMPUTED_VALUE"""),"GWPb 
C2
")</f>
        <v>GWPb 
C2
</v>
      </c>
      <c r="J214" s="378" t="str">
        <f t="shared" si="1"/>
        <v>gwp_b_c2</v>
      </c>
    </row>
    <row r="215">
      <c r="A215" s="374"/>
      <c r="B215" s="374"/>
      <c r="C215" s="374"/>
      <c r="D215" s="374"/>
      <c r="E215" s="374"/>
      <c r="F215" s="374"/>
      <c r="G215" s="374" t="s">
        <v>1038</v>
      </c>
      <c r="H215" s="374" t="s">
        <v>1437</v>
      </c>
      <c r="I215" s="374" t="str">
        <f>IFERROR(__xludf.DUMMYFUNCTION("""COMPUTED_VALUE"""),"GWPb 
C3
")</f>
        <v>GWPb 
C3
</v>
      </c>
      <c r="J215" s="378" t="str">
        <f t="shared" si="1"/>
        <v>gwp_b_c3</v>
      </c>
    </row>
    <row r="216">
      <c r="A216" s="374"/>
      <c r="B216" s="374"/>
      <c r="C216" s="374"/>
      <c r="D216" s="374"/>
      <c r="E216" s="374"/>
      <c r="F216" s="374"/>
      <c r="G216" s="374" t="s">
        <v>1039</v>
      </c>
      <c r="H216" s="374" t="s">
        <v>1438</v>
      </c>
      <c r="I216" s="374" t="str">
        <f>IFERROR(__xludf.DUMMYFUNCTION("""COMPUTED_VALUE"""),"GWPb 
C4
")</f>
        <v>GWPb 
C4
</v>
      </c>
      <c r="J216" s="378" t="str">
        <f t="shared" si="1"/>
        <v>gwp_b_c4</v>
      </c>
    </row>
    <row r="217">
      <c r="A217" s="374"/>
      <c r="B217" s="374"/>
      <c r="C217" s="374"/>
      <c r="D217" s="374"/>
      <c r="E217" s="374"/>
      <c r="F217" s="374"/>
      <c r="G217" s="374" t="s">
        <v>1040</v>
      </c>
      <c r="H217" s="374" t="s">
        <v>1439</v>
      </c>
      <c r="I217" s="374" t="str">
        <f>IFERROR(__xludf.DUMMYFUNCTION("""COMPUTED_VALUE"""),"GWPb 
D")</f>
        <v>GWPb 
D</v>
      </c>
      <c r="J217" s="378" t="str">
        <f t="shared" si="1"/>
        <v>gwp_b_d</v>
      </c>
    </row>
    <row r="218">
      <c r="A218" s="374"/>
      <c r="B218" s="374"/>
      <c r="C218" s="374"/>
      <c r="D218" s="374"/>
      <c r="E218" s="374"/>
      <c r="F218" s="374"/>
      <c r="G218" s="374" t="s">
        <v>1041</v>
      </c>
      <c r="H218" s="374" t="s">
        <v>1440</v>
      </c>
      <c r="I218" s="374" t="str">
        <f>IFERROR(__xludf.DUMMYFUNCTION("""COMPUTED_VALUE"""),"GWPb 
D1")</f>
        <v>GWPb 
D1</v>
      </c>
      <c r="J218" s="378" t="str">
        <f t="shared" si="1"/>
        <v>gwp_b_d1</v>
      </c>
    </row>
    <row r="219">
      <c r="A219" s="374"/>
      <c r="B219" s="374"/>
      <c r="C219" s="374"/>
      <c r="D219" s="374"/>
      <c r="E219" s="374"/>
      <c r="F219" s="374"/>
      <c r="G219" s="374" t="s">
        <v>1042</v>
      </c>
      <c r="H219" s="374" t="s">
        <v>1441</v>
      </c>
      <c r="I219" s="374" t="str">
        <f>IFERROR(__xludf.DUMMYFUNCTION("""COMPUTED_VALUE"""),"GWPb 
D2")</f>
        <v>GWPb 
D2</v>
      </c>
      <c r="J219" s="378" t="str">
        <f t="shared" si="1"/>
        <v>gwp_b_d2</v>
      </c>
    </row>
    <row r="220">
      <c r="A220" s="374"/>
      <c r="B220" s="374"/>
      <c r="C220" s="374"/>
      <c r="D220" s="374"/>
      <c r="E220" s="374"/>
      <c r="F220" s="374"/>
      <c r="G220" s="374" t="s">
        <v>1043</v>
      </c>
      <c r="H220" s="374" t="s">
        <v>1442</v>
      </c>
      <c r="I220" s="374" t="str">
        <f>IFERROR(__xludf.DUMMYFUNCTION("""COMPUTED_VALUE"""),"GWPb
")</f>
        <v>GWPb
</v>
      </c>
      <c r="J220" s="378" t="str">
        <f t="shared" si="1"/>
        <v>gwp_b_total</v>
      </c>
    </row>
    <row r="221">
      <c r="A221" s="374"/>
      <c r="B221" s="374"/>
      <c r="C221" s="374"/>
      <c r="D221" s="374"/>
      <c r="E221" s="374"/>
      <c r="F221" s="374"/>
      <c r="G221" s="374" t="s">
        <v>1044</v>
      </c>
      <c r="H221" s="374" t="s">
        <v>1443</v>
      </c>
      <c r="I221" s="374" t="str">
        <f>IFERROR(__xludf.DUMMYFUNCTION("""COMPUTED_VALUE"""),"GWPluc
A1-A3
")</f>
        <v>GWPluc
A1-A3
</v>
      </c>
      <c r="J221" s="378" t="str">
        <f t="shared" si="1"/>
        <v>gwp_luc_a1-a3</v>
      </c>
    </row>
    <row r="222">
      <c r="A222" s="374"/>
      <c r="B222" s="374"/>
      <c r="C222" s="374"/>
      <c r="D222" s="374"/>
      <c r="E222" s="374"/>
      <c r="F222" s="374"/>
      <c r="G222" s="374" t="s">
        <v>1045</v>
      </c>
      <c r="H222" s="374" t="s">
        <v>1444</v>
      </c>
      <c r="I222" s="374" t="str">
        <f>IFERROR(__xludf.DUMMYFUNCTION("""COMPUTED_VALUE"""),"GWPluc
A4
")</f>
        <v>GWPluc
A4
</v>
      </c>
      <c r="J222" s="378" t="str">
        <f t="shared" si="1"/>
        <v>gwp_luc_a4</v>
      </c>
    </row>
    <row r="223">
      <c r="A223" s="374"/>
      <c r="B223" s="374"/>
      <c r="C223" s="374"/>
      <c r="D223" s="374"/>
      <c r="E223" s="374"/>
      <c r="F223" s="374"/>
      <c r="G223" s="374" t="s">
        <v>1046</v>
      </c>
      <c r="H223" s="374" t="s">
        <v>1445</v>
      </c>
      <c r="I223" s="374" t="str">
        <f>IFERROR(__xludf.DUMMYFUNCTION("""COMPUTED_VALUE"""),"GWPluc
A5
")</f>
        <v>GWPluc
A5
</v>
      </c>
      <c r="J223" s="378" t="str">
        <f t="shared" si="1"/>
        <v>gwp_luc_a5</v>
      </c>
    </row>
    <row r="224">
      <c r="A224" s="374"/>
      <c r="B224" s="374"/>
      <c r="C224" s="374"/>
      <c r="D224" s="374"/>
      <c r="E224" s="374"/>
      <c r="F224" s="374"/>
      <c r="G224" s="374" t="s">
        <v>1047</v>
      </c>
      <c r="H224" s="374" t="s">
        <v>1446</v>
      </c>
      <c r="I224" s="374" t="str">
        <f>IFERROR(__xludf.DUMMYFUNCTION("""COMPUTED_VALUE"""),"GWPluc
B1
")</f>
        <v>GWPluc
B1
</v>
      </c>
      <c r="J224" s="378" t="str">
        <f t="shared" si="1"/>
        <v>gwp_luc_b1</v>
      </c>
    </row>
    <row r="225">
      <c r="A225" s="374"/>
      <c r="B225" s="374"/>
      <c r="C225" s="374"/>
      <c r="D225" s="374"/>
      <c r="E225" s="374"/>
      <c r="F225" s="374"/>
      <c r="G225" s="374" t="s">
        <v>1048</v>
      </c>
      <c r="H225" s="374" t="s">
        <v>1447</v>
      </c>
      <c r="I225" s="374" t="str">
        <f>IFERROR(__xludf.DUMMYFUNCTION("""COMPUTED_VALUE"""),"GWPluc
B2
")</f>
        <v>GWPluc
B2
</v>
      </c>
      <c r="J225" s="378" t="str">
        <f t="shared" si="1"/>
        <v>gwp_luc_b2</v>
      </c>
    </row>
    <row r="226">
      <c r="A226" s="374"/>
      <c r="B226" s="374"/>
      <c r="C226" s="374"/>
      <c r="D226" s="374"/>
      <c r="E226" s="374"/>
      <c r="F226" s="374"/>
      <c r="G226" s="374" t="s">
        <v>1049</v>
      </c>
      <c r="H226" s="374" t="s">
        <v>1448</v>
      </c>
      <c r="I226" s="374" t="str">
        <f>IFERROR(__xludf.DUMMYFUNCTION("""COMPUTED_VALUE"""),"GWPluc
B3
")</f>
        <v>GWPluc
B3
</v>
      </c>
      <c r="J226" s="378" t="str">
        <f t="shared" si="1"/>
        <v>gwp_luc_b3</v>
      </c>
    </row>
    <row r="227">
      <c r="A227" s="374"/>
      <c r="B227" s="374"/>
      <c r="C227" s="374"/>
      <c r="D227" s="374"/>
      <c r="E227" s="374"/>
      <c r="F227" s="374"/>
      <c r="G227" s="374" t="s">
        <v>1050</v>
      </c>
      <c r="H227" s="374" t="s">
        <v>1449</v>
      </c>
      <c r="I227" s="374" t="str">
        <f>IFERROR(__xludf.DUMMYFUNCTION("""COMPUTED_VALUE"""),"GWPluc
B4
")</f>
        <v>GWPluc
B4
</v>
      </c>
      <c r="J227" s="378" t="str">
        <f t="shared" si="1"/>
        <v>gwp_luc_b4</v>
      </c>
    </row>
    <row r="228">
      <c r="A228" s="374"/>
      <c r="B228" s="374"/>
      <c r="C228" s="374"/>
      <c r="D228" s="374"/>
      <c r="E228" s="374"/>
      <c r="F228" s="374"/>
      <c r="G228" s="374" t="s">
        <v>1051</v>
      </c>
      <c r="H228" s="374" t="s">
        <v>1450</v>
      </c>
      <c r="I228" s="374" t="str">
        <f>IFERROR(__xludf.DUMMYFUNCTION("""COMPUTED_VALUE"""),"GWPluc
B5
")</f>
        <v>GWPluc
B5
</v>
      </c>
      <c r="J228" s="378" t="str">
        <f t="shared" si="1"/>
        <v>gwp_luc_b5</v>
      </c>
    </row>
    <row r="229">
      <c r="A229" s="374"/>
      <c r="B229" s="374"/>
      <c r="C229" s="374"/>
      <c r="D229" s="374"/>
      <c r="E229" s="374"/>
      <c r="F229" s="374"/>
      <c r="G229" s="374" t="s">
        <v>1052</v>
      </c>
      <c r="H229" s="374" t="s">
        <v>1451</v>
      </c>
      <c r="I229" s="374" t="str">
        <f>IFERROR(__xludf.DUMMYFUNCTION("""COMPUTED_VALUE"""),"GWPluc
B6
")</f>
        <v>GWPluc
B6
</v>
      </c>
      <c r="J229" s="378" t="str">
        <f t="shared" si="1"/>
        <v>gwp_luc_b6</v>
      </c>
    </row>
    <row r="230">
      <c r="A230" s="374"/>
      <c r="B230" s="374"/>
      <c r="C230" s="374"/>
      <c r="D230" s="374"/>
      <c r="E230" s="374"/>
      <c r="F230" s="374"/>
      <c r="G230" s="374" t="s">
        <v>1053</v>
      </c>
      <c r="H230" s="374" t="s">
        <v>1452</v>
      </c>
      <c r="I230" s="374" t="str">
        <f>IFERROR(__xludf.DUMMYFUNCTION("""COMPUTED_VALUE"""),"GWPluc
C1
")</f>
        <v>GWPluc
C1
</v>
      </c>
      <c r="J230" s="378" t="str">
        <f t="shared" si="1"/>
        <v>gwp_luc_c1</v>
      </c>
    </row>
    <row r="231">
      <c r="A231" s="374"/>
      <c r="B231" s="374"/>
      <c r="C231" s="374"/>
      <c r="D231" s="374"/>
      <c r="E231" s="374"/>
      <c r="F231" s="374"/>
      <c r="G231" s="374" t="s">
        <v>1054</v>
      </c>
      <c r="H231" s="374" t="s">
        <v>1453</v>
      </c>
      <c r="I231" s="374" t="str">
        <f>IFERROR(__xludf.DUMMYFUNCTION("""COMPUTED_VALUE"""),"GWPluc
C2
")</f>
        <v>GWPluc
C2
</v>
      </c>
      <c r="J231" s="378" t="str">
        <f t="shared" si="1"/>
        <v>gwp_luc_c2</v>
      </c>
    </row>
    <row r="232">
      <c r="A232" s="374"/>
      <c r="B232" s="374"/>
      <c r="C232" s="374"/>
      <c r="D232" s="374"/>
      <c r="E232" s="374"/>
      <c r="F232" s="374"/>
      <c r="G232" s="374" t="s">
        <v>1055</v>
      </c>
      <c r="H232" s="374" t="s">
        <v>1454</v>
      </c>
      <c r="I232" s="374" t="str">
        <f>IFERROR(__xludf.DUMMYFUNCTION("""COMPUTED_VALUE"""),"GWPluc
C3
")</f>
        <v>GWPluc
C3
</v>
      </c>
      <c r="J232" s="378" t="str">
        <f t="shared" si="1"/>
        <v>gwp_luc_c3</v>
      </c>
    </row>
    <row r="233">
      <c r="A233" s="374"/>
      <c r="B233" s="374"/>
      <c r="C233" s="374"/>
      <c r="D233" s="374"/>
      <c r="E233" s="374"/>
      <c r="F233" s="374"/>
      <c r="G233" s="374" t="s">
        <v>1056</v>
      </c>
      <c r="H233" s="374" t="s">
        <v>1455</v>
      </c>
      <c r="I233" s="374" t="str">
        <f>IFERROR(__xludf.DUMMYFUNCTION("""COMPUTED_VALUE"""),"GWPluc
C4
")</f>
        <v>GWPluc
C4
</v>
      </c>
      <c r="J233" s="378" t="str">
        <f t="shared" si="1"/>
        <v>gwp_luc_c4</v>
      </c>
    </row>
    <row r="234">
      <c r="A234" s="374"/>
      <c r="B234" s="374"/>
      <c r="C234" s="374"/>
      <c r="D234" s="374"/>
      <c r="E234" s="374"/>
      <c r="F234" s="374"/>
      <c r="G234" s="374" t="s">
        <v>1057</v>
      </c>
      <c r="H234" s="374" t="s">
        <v>1456</v>
      </c>
      <c r="I234" s="374" t="str">
        <f>IFERROR(__xludf.DUMMYFUNCTION("""COMPUTED_VALUE"""),"GWPluc
D")</f>
        <v>GWPluc
D</v>
      </c>
      <c r="J234" s="378" t="str">
        <f t="shared" si="1"/>
        <v>gwp_luc_d</v>
      </c>
    </row>
    <row r="235">
      <c r="A235" s="374"/>
      <c r="B235" s="374"/>
      <c r="C235" s="374"/>
      <c r="D235" s="374"/>
      <c r="E235" s="374"/>
      <c r="F235" s="374"/>
      <c r="G235" s="374" t="s">
        <v>1058</v>
      </c>
      <c r="H235" s="374" t="s">
        <v>1457</v>
      </c>
      <c r="I235" s="374" t="str">
        <f>IFERROR(__xludf.DUMMYFUNCTION("""COMPUTED_VALUE"""),"GWPluc
D1")</f>
        <v>GWPluc
D1</v>
      </c>
      <c r="J235" s="378" t="str">
        <f t="shared" si="1"/>
        <v>gwp_luc_d1</v>
      </c>
    </row>
    <row r="236">
      <c r="A236" s="374"/>
      <c r="B236" s="374"/>
      <c r="C236" s="374"/>
      <c r="D236" s="374"/>
      <c r="E236" s="374"/>
      <c r="F236" s="374"/>
      <c r="G236" s="374" t="s">
        <v>1059</v>
      </c>
      <c r="H236" s="374" t="s">
        <v>1458</v>
      </c>
      <c r="I236" s="374" t="str">
        <f>IFERROR(__xludf.DUMMYFUNCTION("""COMPUTED_VALUE"""),"GWPluc
D2")</f>
        <v>GWPluc
D2</v>
      </c>
      <c r="J236" s="378" t="str">
        <f t="shared" si="1"/>
        <v>gwp_luc_d2</v>
      </c>
    </row>
    <row r="237">
      <c r="A237" s="374"/>
      <c r="B237" s="374"/>
      <c r="C237" s="374"/>
      <c r="D237" s="374"/>
      <c r="E237" s="374"/>
      <c r="F237" s="374"/>
      <c r="G237" s="374" t="s">
        <v>1060</v>
      </c>
      <c r="H237" s="374" t="s">
        <v>1459</v>
      </c>
      <c r="I237" s="374" t="str">
        <f>IFERROR(__xludf.DUMMYFUNCTION("""COMPUTED_VALUE"""),"GWPluc
")</f>
        <v>GWPluc
</v>
      </c>
      <c r="J237" s="378" t="str">
        <f t="shared" si="1"/>
        <v>gwp_luc_total</v>
      </c>
    </row>
    <row r="238">
      <c r="A238" s="374"/>
      <c r="B238" s="374"/>
      <c r="C238" s="374"/>
      <c r="D238" s="374"/>
      <c r="E238" s="374"/>
      <c r="F238" s="374"/>
      <c r="G238" s="374" t="s">
        <v>1061</v>
      </c>
      <c r="H238" s="374" t="s">
        <v>1460</v>
      </c>
      <c r="I238" s="374" t="str">
        <f>IFERROR(__xludf.DUMMYFUNCTION("""COMPUTED_VALUE"""),"ODP
A1-A3
")</f>
        <v>ODP
A1-A3
</v>
      </c>
      <c r="J238" s="378" t="str">
        <f t="shared" si="1"/>
        <v>odp_a1-a3</v>
      </c>
    </row>
    <row r="239">
      <c r="A239" s="374"/>
      <c r="B239" s="374"/>
      <c r="C239" s="374"/>
      <c r="D239" s="374"/>
      <c r="E239" s="374"/>
      <c r="F239" s="374"/>
      <c r="G239" s="374" t="s">
        <v>1062</v>
      </c>
      <c r="H239" s="374" t="s">
        <v>1461</v>
      </c>
      <c r="I239" s="374" t="str">
        <f>IFERROR(__xludf.DUMMYFUNCTION("""COMPUTED_VALUE"""),"ODP
A4
")</f>
        <v>ODP
A4
</v>
      </c>
      <c r="J239" s="378" t="str">
        <f t="shared" si="1"/>
        <v>odp_a4</v>
      </c>
    </row>
    <row r="240">
      <c r="A240" s="374"/>
      <c r="B240" s="374"/>
      <c r="C240" s="374"/>
      <c r="D240" s="374"/>
      <c r="E240" s="374"/>
      <c r="F240" s="374"/>
      <c r="G240" s="374" t="s">
        <v>1063</v>
      </c>
      <c r="H240" s="374" t="s">
        <v>1462</v>
      </c>
      <c r="I240" s="374" t="str">
        <f>IFERROR(__xludf.DUMMYFUNCTION("""COMPUTED_VALUE"""),"ODP
A5
")</f>
        <v>ODP
A5
</v>
      </c>
      <c r="J240" s="378" t="str">
        <f t="shared" si="1"/>
        <v>odp_a5</v>
      </c>
    </row>
    <row r="241">
      <c r="A241" s="374"/>
      <c r="B241" s="374"/>
      <c r="C241" s="374"/>
      <c r="D241" s="374"/>
      <c r="E241" s="374"/>
      <c r="F241" s="374"/>
      <c r="G241" s="374" t="s">
        <v>1064</v>
      </c>
      <c r="H241" s="374" t="s">
        <v>1463</v>
      </c>
      <c r="I241" s="374" t="str">
        <f>IFERROR(__xludf.DUMMYFUNCTION("""COMPUTED_VALUE"""),"ODP
B1")</f>
        <v>ODP
B1</v>
      </c>
      <c r="J241" s="378" t="str">
        <f t="shared" si="1"/>
        <v>odp_b1</v>
      </c>
    </row>
    <row r="242">
      <c r="A242" s="374"/>
      <c r="B242" s="374"/>
      <c r="C242" s="374"/>
      <c r="D242" s="374"/>
      <c r="E242" s="374"/>
      <c r="F242" s="374"/>
      <c r="G242" s="374" t="s">
        <v>1065</v>
      </c>
      <c r="H242" s="374" t="s">
        <v>1464</v>
      </c>
      <c r="I242" s="374" t="str">
        <f>IFERROR(__xludf.DUMMYFUNCTION("""COMPUTED_VALUE"""),"ODP
B2
")</f>
        <v>ODP
B2
</v>
      </c>
      <c r="J242" s="378" t="str">
        <f t="shared" si="1"/>
        <v>odp_b2</v>
      </c>
    </row>
    <row r="243">
      <c r="A243" s="374"/>
      <c r="B243" s="374"/>
      <c r="C243" s="374"/>
      <c r="D243" s="374"/>
      <c r="E243" s="374"/>
      <c r="F243" s="374"/>
      <c r="G243" s="374" t="s">
        <v>1066</v>
      </c>
      <c r="H243" s="374" t="s">
        <v>1465</v>
      </c>
      <c r="I243" s="374" t="str">
        <f>IFERROR(__xludf.DUMMYFUNCTION("""COMPUTED_VALUE"""),"ODP
B3
")</f>
        <v>ODP
B3
</v>
      </c>
      <c r="J243" s="378" t="str">
        <f t="shared" si="1"/>
        <v>odp_b3</v>
      </c>
    </row>
    <row r="244">
      <c r="A244" s="374"/>
      <c r="B244" s="374"/>
      <c r="C244" s="374"/>
      <c r="D244" s="374"/>
      <c r="E244" s="374"/>
      <c r="F244" s="374"/>
      <c r="G244" s="374" t="s">
        <v>1067</v>
      </c>
      <c r="H244" s="374" t="s">
        <v>1466</v>
      </c>
      <c r="I244" s="374" t="str">
        <f>IFERROR(__xludf.DUMMYFUNCTION("""COMPUTED_VALUE"""),"ODP
B4
")</f>
        <v>ODP
B4
</v>
      </c>
      <c r="J244" s="378" t="str">
        <f t="shared" si="1"/>
        <v>odp_b4</v>
      </c>
    </row>
    <row r="245">
      <c r="A245" s="374"/>
      <c r="B245" s="374"/>
      <c r="C245" s="374"/>
      <c r="D245" s="374"/>
      <c r="E245" s="374"/>
      <c r="F245" s="374"/>
      <c r="G245" s="374" t="s">
        <v>1068</v>
      </c>
      <c r="H245" s="374" t="s">
        <v>1467</v>
      </c>
      <c r="I245" s="374" t="str">
        <f>IFERROR(__xludf.DUMMYFUNCTION("""COMPUTED_VALUE"""),"ODP
B5
")</f>
        <v>ODP
B5
</v>
      </c>
      <c r="J245" s="378" t="str">
        <f t="shared" si="1"/>
        <v>odp_b5</v>
      </c>
    </row>
    <row r="246">
      <c r="A246" s="374"/>
      <c r="B246" s="374"/>
      <c r="C246" s="374"/>
      <c r="D246" s="374"/>
      <c r="E246" s="374"/>
      <c r="F246" s="374"/>
      <c r="G246" s="374" t="s">
        <v>1069</v>
      </c>
      <c r="H246" s="374" t="s">
        <v>1468</v>
      </c>
      <c r="I246" s="374" t="str">
        <f>IFERROR(__xludf.DUMMYFUNCTION("""COMPUTED_VALUE"""),"ODP
B6
")</f>
        <v>ODP
B6
</v>
      </c>
      <c r="J246" s="378" t="str">
        <f t="shared" si="1"/>
        <v>odp_b6</v>
      </c>
    </row>
    <row r="247">
      <c r="A247" s="374"/>
      <c r="B247" s="374"/>
      <c r="C247" s="374"/>
      <c r="D247" s="374"/>
      <c r="E247" s="374"/>
      <c r="F247" s="374"/>
      <c r="G247" s="374" t="s">
        <v>1070</v>
      </c>
      <c r="H247" s="374" t="s">
        <v>1469</v>
      </c>
      <c r="I247" s="374" t="str">
        <f>IFERROR(__xludf.DUMMYFUNCTION("""COMPUTED_VALUE"""),"ODP
C1
")</f>
        <v>ODP
C1
</v>
      </c>
      <c r="J247" s="378" t="str">
        <f t="shared" si="1"/>
        <v>odp_c1</v>
      </c>
    </row>
    <row r="248">
      <c r="A248" s="374"/>
      <c r="B248" s="374"/>
      <c r="C248" s="374"/>
      <c r="D248" s="374"/>
      <c r="E248" s="374"/>
      <c r="F248" s="374"/>
      <c r="G248" s="374" t="s">
        <v>1071</v>
      </c>
      <c r="H248" s="374" t="s">
        <v>1470</v>
      </c>
      <c r="I248" s="374" t="str">
        <f>IFERROR(__xludf.DUMMYFUNCTION("""COMPUTED_VALUE"""),"ODP
C2
")</f>
        <v>ODP
C2
</v>
      </c>
      <c r="J248" s="378" t="str">
        <f t="shared" si="1"/>
        <v>odp_c2</v>
      </c>
    </row>
    <row r="249">
      <c r="A249" s="374"/>
      <c r="B249" s="374"/>
      <c r="C249" s="374"/>
      <c r="D249" s="374"/>
      <c r="E249" s="374"/>
      <c r="F249" s="374"/>
      <c r="G249" s="374" t="s">
        <v>1072</v>
      </c>
      <c r="H249" s="374" t="s">
        <v>1471</v>
      </c>
      <c r="I249" s="374" t="str">
        <f>IFERROR(__xludf.DUMMYFUNCTION("""COMPUTED_VALUE"""),"ODP
C3
")</f>
        <v>ODP
C3
</v>
      </c>
      <c r="J249" s="378" t="str">
        <f t="shared" si="1"/>
        <v>odp_c3</v>
      </c>
    </row>
    <row r="250">
      <c r="A250" s="374"/>
      <c r="B250" s="374"/>
      <c r="C250" s="374"/>
      <c r="D250" s="374"/>
      <c r="E250" s="374"/>
      <c r="F250" s="374"/>
      <c r="G250" s="374" t="s">
        <v>1073</v>
      </c>
      <c r="H250" s="374" t="s">
        <v>1472</v>
      </c>
      <c r="I250" s="374" t="str">
        <f>IFERROR(__xludf.DUMMYFUNCTION("""COMPUTED_VALUE"""),"ODP
C4
")</f>
        <v>ODP
C4
</v>
      </c>
      <c r="J250" s="378" t="str">
        <f t="shared" si="1"/>
        <v>odp_c4</v>
      </c>
    </row>
    <row r="251">
      <c r="A251" s="374"/>
      <c r="B251" s="374"/>
      <c r="C251" s="374"/>
      <c r="D251" s="374"/>
      <c r="E251" s="374"/>
      <c r="F251" s="374"/>
      <c r="G251" s="374" t="s">
        <v>1074</v>
      </c>
      <c r="H251" s="374" t="s">
        <v>1473</v>
      </c>
      <c r="I251" s="374" t="str">
        <f>IFERROR(__xludf.DUMMYFUNCTION("""COMPUTED_VALUE"""),"ODP
D")</f>
        <v>ODP
D</v>
      </c>
      <c r="J251" s="378" t="str">
        <f t="shared" si="1"/>
        <v>odp_d</v>
      </c>
    </row>
    <row r="252">
      <c r="A252" s="374"/>
      <c r="B252" s="374"/>
      <c r="C252" s="374"/>
      <c r="D252" s="374"/>
      <c r="E252" s="374"/>
      <c r="F252" s="374"/>
      <c r="G252" s="374" t="s">
        <v>1075</v>
      </c>
      <c r="H252" s="374" t="s">
        <v>1474</v>
      </c>
      <c r="I252" s="374" t="str">
        <f>IFERROR(__xludf.DUMMYFUNCTION("""COMPUTED_VALUE"""),"ODP
D1")</f>
        <v>ODP
D1</v>
      </c>
      <c r="J252" s="378" t="str">
        <f t="shared" si="1"/>
        <v>odp_d1</v>
      </c>
    </row>
    <row r="253">
      <c r="A253" s="374"/>
      <c r="B253" s="374"/>
      <c r="C253" s="374"/>
      <c r="D253" s="374"/>
      <c r="E253" s="374"/>
      <c r="F253" s="374"/>
      <c r="G253" s="374" t="s">
        <v>1076</v>
      </c>
      <c r="H253" s="374" t="s">
        <v>1475</v>
      </c>
      <c r="I253" s="374" t="str">
        <f>IFERROR(__xludf.DUMMYFUNCTION("""COMPUTED_VALUE"""),"ODP
D2")</f>
        <v>ODP
D2</v>
      </c>
      <c r="J253" s="378" t="str">
        <f t="shared" si="1"/>
        <v>odp_d2</v>
      </c>
    </row>
    <row r="254">
      <c r="A254" s="374"/>
      <c r="B254" s="374"/>
      <c r="C254" s="374"/>
      <c r="D254" s="374"/>
      <c r="E254" s="374"/>
      <c r="F254" s="374"/>
      <c r="G254" s="374" t="s">
        <v>1077</v>
      </c>
      <c r="H254" s="374" t="s">
        <v>1476</v>
      </c>
      <c r="I254" s="374" t="str">
        <f>IFERROR(__xludf.DUMMYFUNCTION("""COMPUTED_VALUE"""),"ODP
")</f>
        <v>ODP
</v>
      </c>
      <c r="J254" s="378" t="str">
        <f t="shared" si="1"/>
        <v>odp_total</v>
      </c>
    </row>
    <row r="255">
      <c r="A255" s="374"/>
      <c r="B255" s="374"/>
      <c r="C255" s="374"/>
      <c r="D255" s="374"/>
      <c r="E255" s="374"/>
      <c r="F255" s="374"/>
      <c r="G255" s="374" t="s">
        <v>1078</v>
      </c>
      <c r="H255" s="374" t="s">
        <v>1477</v>
      </c>
      <c r="I255" s="374" t="str">
        <f>IFERROR(__xludf.DUMMYFUNCTION("""COMPUTED_VALUE"""),"AP
A1-A3
")</f>
        <v>AP
A1-A3
</v>
      </c>
      <c r="J255" s="378" t="str">
        <f t="shared" si="1"/>
        <v>ap_a1-a3</v>
      </c>
    </row>
    <row r="256">
      <c r="A256" s="374"/>
      <c r="B256" s="374"/>
      <c r="C256" s="374"/>
      <c r="D256" s="374"/>
      <c r="E256" s="374"/>
      <c r="F256" s="374"/>
      <c r="G256" s="374" t="s">
        <v>1079</v>
      </c>
      <c r="H256" s="374" t="s">
        <v>1478</v>
      </c>
      <c r="I256" s="374" t="str">
        <f>IFERROR(__xludf.DUMMYFUNCTION("""COMPUTED_VALUE"""),"AP
A4
")</f>
        <v>AP
A4
</v>
      </c>
      <c r="J256" s="378" t="str">
        <f t="shared" si="1"/>
        <v>ap_a4</v>
      </c>
    </row>
    <row r="257">
      <c r="A257" s="374"/>
      <c r="B257" s="374"/>
      <c r="C257" s="374"/>
      <c r="D257" s="374"/>
      <c r="E257" s="374"/>
      <c r="F257" s="374"/>
      <c r="G257" s="374" t="s">
        <v>1080</v>
      </c>
      <c r="H257" s="374" t="s">
        <v>1479</v>
      </c>
      <c r="I257" s="374" t="str">
        <f>IFERROR(__xludf.DUMMYFUNCTION("""COMPUTED_VALUE"""),"AP
A5
")</f>
        <v>AP
A5
</v>
      </c>
      <c r="J257" s="378" t="str">
        <f t="shared" si="1"/>
        <v>ap_a5</v>
      </c>
    </row>
    <row r="258">
      <c r="A258" s="374"/>
      <c r="B258" s="374"/>
      <c r="C258" s="374"/>
      <c r="D258" s="374"/>
      <c r="E258" s="374"/>
      <c r="F258" s="374"/>
      <c r="G258" s="374" t="s">
        <v>1081</v>
      </c>
      <c r="H258" s="374" t="s">
        <v>1480</v>
      </c>
      <c r="I258" s="374" t="str">
        <f>IFERROR(__xludf.DUMMYFUNCTION("""COMPUTED_VALUE"""),"AP
B1
")</f>
        <v>AP
B1
</v>
      </c>
      <c r="J258" s="378" t="str">
        <f t="shared" si="1"/>
        <v>ap_b1</v>
      </c>
    </row>
    <row r="259">
      <c r="A259" s="374"/>
      <c r="B259" s="374"/>
      <c r="C259" s="374"/>
      <c r="D259" s="374"/>
      <c r="E259" s="374"/>
      <c r="F259" s="374"/>
      <c r="G259" s="374" t="s">
        <v>1082</v>
      </c>
      <c r="H259" s="374" t="s">
        <v>1481</v>
      </c>
      <c r="I259" s="374" t="str">
        <f>IFERROR(__xludf.DUMMYFUNCTION("""COMPUTED_VALUE"""),"AP
B2
")</f>
        <v>AP
B2
</v>
      </c>
      <c r="J259" s="378" t="str">
        <f t="shared" si="1"/>
        <v>ap_b2</v>
      </c>
    </row>
    <row r="260">
      <c r="A260" s="374"/>
      <c r="B260" s="374"/>
      <c r="C260" s="374"/>
      <c r="D260" s="374"/>
      <c r="E260" s="374"/>
      <c r="F260" s="374"/>
      <c r="G260" s="374" t="s">
        <v>1083</v>
      </c>
      <c r="H260" s="374" t="s">
        <v>1482</v>
      </c>
      <c r="I260" s="374" t="str">
        <f>IFERROR(__xludf.DUMMYFUNCTION("""COMPUTED_VALUE"""),"AP
B3
")</f>
        <v>AP
B3
</v>
      </c>
      <c r="J260" s="378" t="str">
        <f t="shared" si="1"/>
        <v>ap_b3</v>
      </c>
    </row>
    <row r="261">
      <c r="A261" s="374"/>
      <c r="B261" s="374"/>
      <c r="C261" s="374"/>
      <c r="D261" s="374"/>
      <c r="E261" s="374"/>
      <c r="F261" s="374"/>
      <c r="G261" s="374" t="s">
        <v>1084</v>
      </c>
      <c r="H261" s="374" t="s">
        <v>1483</v>
      </c>
      <c r="I261" s="374" t="str">
        <f>IFERROR(__xludf.DUMMYFUNCTION("""COMPUTED_VALUE"""),"AP
B4
")</f>
        <v>AP
B4
</v>
      </c>
      <c r="J261" s="378" t="str">
        <f t="shared" si="1"/>
        <v>ap_b4</v>
      </c>
    </row>
    <row r="262">
      <c r="A262" s="374"/>
      <c r="B262" s="374"/>
      <c r="C262" s="374"/>
      <c r="D262" s="374"/>
      <c r="E262" s="374"/>
      <c r="F262" s="374"/>
      <c r="G262" s="374" t="s">
        <v>1085</v>
      </c>
      <c r="H262" s="374" t="s">
        <v>1484</v>
      </c>
      <c r="I262" s="374" t="str">
        <f>IFERROR(__xludf.DUMMYFUNCTION("""COMPUTED_VALUE"""),"AP
B6
")</f>
        <v>AP
B6
</v>
      </c>
      <c r="J262" s="378" t="str">
        <f t="shared" si="1"/>
        <v>ap_b5</v>
      </c>
    </row>
    <row r="263">
      <c r="A263" s="374"/>
      <c r="B263" s="374"/>
      <c r="C263" s="374"/>
      <c r="D263" s="374"/>
      <c r="E263" s="374"/>
      <c r="F263" s="374"/>
      <c r="G263" s="374" t="s">
        <v>1086</v>
      </c>
      <c r="H263" s="374" t="s">
        <v>1485</v>
      </c>
      <c r="I263" s="374" t="str">
        <f>IFERROR(__xludf.DUMMYFUNCTION("""COMPUTED_VALUE"""),"AP
C1
")</f>
        <v>AP
C1
</v>
      </c>
      <c r="J263" s="378" t="str">
        <f t="shared" si="1"/>
        <v>ap_c1</v>
      </c>
    </row>
    <row r="264">
      <c r="A264" s="374"/>
      <c r="B264" s="374"/>
      <c r="C264" s="374"/>
      <c r="D264" s="374"/>
      <c r="E264" s="374"/>
      <c r="F264" s="374"/>
      <c r="G264" s="374" t="s">
        <v>1087</v>
      </c>
      <c r="H264" s="374" t="s">
        <v>1486</v>
      </c>
      <c r="I264" s="374" t="str">
        <f>IFERROR(__xludf.DUMMYFUNCTION("""COMPUTED_VALUE"""),"AP
C2
")</f>
        <v>AP
C2
</v>
      </c>
      <c r="J264" s="378" t="str">
        <f t="shared" si="1"/>
        <v>ap_c2</v>
      </c>
    </row>
    <row r="265">
      <c r="A265" s="374"/>
      <c r="B265" s="374"/>
      <c r="C265" s="374"/>
      <c r="D265" s="374"/>
      <c r="E265" s="374"/>
      <c r="F265" s="374"/>
      <c r="G265" s="374" t="s">
        <v>1088</v>
      </c>
      <c r="H265" s="374" t="s">
        <v>1487</v>
      </c>
      <c r="I265" s="374" t="str">
        <f>IFERROR(__xludf.DUMMYFUNCTION("""COMPUTED_VALUE"""),"AP
C3
")</f>
        <v>AP
C3
</v>
      </c>
      <c r="J265" s="378" t="str">
        <f t="shared" si="1"/>
        <v>ap_c3</v>
      </c>
    </row>
    <row r="266">
      <c r="A266" s="374"/>
      <c r="B266" s="374"/>
      <c r="C266" s="374"/>
      <c r="D266" s="374"/>
      <c r="E266" s="374"/>
      <c r="F266" s="374"/>
      <c r="G266" s="374" t="s">
        <v>1089</v>
      </c>
      <c r="H266" s="374" t="s">
        <v>1488</v>
      </c>
      <c r="I266" s="374" t="str">
        <f>IFERROR(__xludf.DUMMYFUNCTION("""COMPUTED_VALUE"""),"AP
C4
")</f>
        <v>AP
C4
</v>
      </c>
      <c r="J266" s="378" t="str">
        <f t="shared" si="1"/>
        <v>ap_c4</v>
      </c>
    </row>
    <row r="267">
      <c r="A267" s="374"/>
      <c r="B267" s="374"/>
      <c r="C267" s="374"/>
      <c r="D267" s="374"/>
      <c r="E267" s="374"/>
      <c r="F267" s="374"/>
      <c r="G267" s="374" t="s">
        <v>1090</v>
      </c>
      <c r="H267" s="374" t="s">
        <v>1489</v>
      </c>
      <c r="I267" s="374" t="str">
        <f>IFERROR(__xludf.DUMMYFUNCTION("""COMPUTED_VALUE"""),"AP
D
")</f>
        <v>AP
D
</v>
      </c>
      <c r="J267" s="378" t="str">
        <f t="shared" si="1"/>
        <v>ap_d</v>
      </c>
    </row>
    <row r="268">
      <c r="A268" s="374"/>
      <c r="B268" s="374"/>
      <c r="C268" s="374"/>
      <c r="D268" s="374"/>
      <c r="E268" s="374"/>
      <c r="F268" s="374"/>
      <c r="G268" s="374" t="s">
        <v>1091</v>
      </c>
      <c r="H268" s="374" t="s">
        <v>1490</v>
      </c>
      <c r="I268" s="374" t="str">
        <f>IFERROR(__xludf.DUMMYFUNCTION("""COMPUTED_VALUE"""),"AP
D1
")</f>
        <v>AP
D1
</v>
      </c>
      <c r="J268" s="378" t="str">
        <f t="shared" si="1"/>
        <v>ap_d1</v>
      </c>
    </row>
    <row r="269">
      <c r="A269" s="374"/>
      <c r="B269" s="374"/>
      <c r="C269" s="374"/>
      <c r="D269" s="374"/>
      <c r="E269" s="374"/>
      <c r="F269" s="374"/>
      <c r="G269" s="374" t="s">
        <v>1092</v>
      </c>
      <c r="H269" s="374" t="s">
        <v>1491</v>
      </c>
      <c r="I269" s="374" t="str">
        <f>IFERROR(__xludf.DUMMYFUNCTION("""COMPUTED_VALUE"""),"AP
D2
")</f>
        <v>AP
D2
</v>
      </c>
      <c r="J269" s="378" t="str">
        <f t="shared" si="1"/>
        <v>ap_d2</v>
      </c>
    </row>
    <row r="270">
      <c r="A270" s="374"/>
      <c r="B270" s="374"/>
      <c r="C270" s="374"/>
      <c r="D270" s="374"/>
      <c r="E270" s="374"/>
      <c r="F270" s="374"/>
      <c r="G270" s="374" t="s">
        <v>1093</v>
      </c>
      <c r="H270" s="374" t="s">
        <v>1492</v>
      </c>
      <c r="I270" s="374" t="str">
        <f>IFERROR(__xludf.DUMMYFUNCTION("""COMPUTED_VALUE"""),"AP
")</f>
        <v>AP
</v>
      </c>
      <c r="J270" s="378" t="str">
        <f t="shared" si="1"/>
        <v>ap_total</v>
      </c>
    </row>
    <row r="271">
      <c r="A271" s="374"/>
      <c r="B271" s="374"/>
      <c r="C271" s="374"/>
      <c r="D271" s="374"/>
      <c r="E271" s="374"/>
      <c r="F271" s="374"/>
      <c r="G271" s="374" t="s">
        <v>1094</v>
      </c>
      <c r="H271" s="374" t="s">
        <v>1493</v>
      </c>
      <c r="I271" s="374" t="str">
        <f>IFERROR(__xludf.DUMMYFUNCTION("""COMPUTED_VALUE"""),"EP 
A1-A3
")</f>
        <v>EP 
A1-A3
</v>
      </c>
      <c r="J271" s="378" t="str">
        <f t="shared" si="1"/>
        <v>ep_a1-a3</v>
      </c>
    </row>
    <row r="272">
      <c r="A272" s="374"/>
      <c r="B272" s="374"/>
      <c r="C272" s="374"/>
      <c r="D272" s="374"/>
      <c r="E272" s="374"/>
      <c r="F272" s="374"/>
      <c r="G272" s="374" t="s">
        <v>1095</v>
      </c>
      <c r="H272" s="374" t="s">
        <v>1494</v>
      </c>
      <c r="I272" s="374" t="str">
        <f>IFERROR(__xludf.DUMMYFUNCTION("""COMPUTED_VALUE"""),"EP
A4
")</f>
        <v>EP
A4
</v>
      </c>
      <c r="J272" s="378" t="str">
        <f t="shared" si="1"/>
        <v>ep_a4</v>
      </c>
    </row>
    <row r="273">
      <c r="A273" s="374"/>
      <c r="B273" s="374"/>
      <c r="C273" s="374"/>
      <c r="D273" s="374"/>
      <c r="E273" s="374"/>
      <c r="F273" s="374"/>
      <c r="G273" s="374" t="s">
        <v>1096</v>
      </c>
      <c r="H273" s="374" t="s">
        <v>1495</v>
      </c>
      <c r="I273" s="374" t="str">
        <f>IFERROR(__xludf.DUMMYFUNCTION("""COMPUTED_VALUE"""),"EP 
A5
")</f>
        <v>EP 
A5
</v>
      </c>
      <c r="J273" s="378" t="str">
        <f t="shared" si="1"/>
        <v>ep_a5</v>
      </c>
    </row>
    <row r="274">
      <c r="A274" s="374"/>
      <c r="B274" s="374"/>
      <c r="C274" s="374"/>
      <c r="D274" s="374"/>
      <c r="E274" s="374"/>
      <c r="F274" s="374"/>
      <c r="G274" s="374" t="s">
        <v>1097</v>
      </c>
      <c r="H274" s="374" t="s">
        <v>1496</v>
      </c>
      <c r="I274" s="374" t="str">
        <f>IFERROR(__xludf.DUMMYFUNCTION("""COMPUTED_VALUE"""),"EP
B1
")</f>
        <v>EP
B1
</v>
      </c>
      <c r="J274" s="378" t="str">
        <f t="shared" si="1"/>
        <v>ep_b1</v>
      </c>
    </row>
    <row r="275">
      <c r="A275" s="374"/>
      <c r="B275" s="374"/>
      <c r="C275" s="374"/>
      <c r="D275" s="374"/>
      <c r="E275" s="374"/>
      <c r="F275" s="374"/>
      <c r="G275" s="374" t="s">
        <v>1098</v>
      </c>
      <c r="H275" s="374" t="s">
        <v>1497</v>
      </c>
      <c r="I275" s="374" t="str">
        <f>IFERROR(__xludf.DUMMYFUNCTION("""COMPUTED_VALUE"""),"EP 
B2
")</f>
        <v>EP 
B2
</v>
      </c>
      <c r="J275" s="378" t="str">
        <f t="shared" si="1"/>
        <v>ep_b2</v>
      </c>
    </row>
    <row r="276">
      <c r="A276" s="374"/>
      <c r="B276" s="374"/>
      <c r="C276" s="374"/>
      <c r="D276" s="374"/>
      <c r="E276" s="374"/>
      <c r="F276" s="374"/>
      <c r="G276" s="374" t="s">
        <v>1099</v>
      </c>
      <c r="H276" s="374" t="s">
        <v>1498</v>
      </c>
      <c r="I276" s="374" t="str">
        <f>IFERROR(__xludf.DUMMYFUNCTION("""COMPUTED_VALUE"""),"EP 
B3
")</f>
        <v>EP 
B3
</v>
      </c>
      <c r="J276" s="378" t="str">
        <f t="shared" si="1"/>
        <v>ep_b3</v>
      </c>
    </row>
    <row r="277">
      <c r="A277" s="374"/>
      <c r="B277" s="374"/>
      <c r="C277" s="374"/>
      <c r="D277" s="374"/>
      <c r="E277" s="374"/>
      <c r="F277" s="374"/>
      <c r="G277" s="374" t="s">
        <v>1100</v>
      </c>
      <c r="H277" s="374" t="s">
        <v>1499</v>
      </c>
      <c r="I277" s="374" t="str">
        <f>IFERROR(__xludf.DUMMYFUNCTION("""COMPUTED_VALUE"""),"EP
B4
")</f>
        <v>EP
B4
</v>
      </c>
      <c r="J277" s="378" t="str">
        <f t="shared" si="1"/>
        <v>ep_b4</v>
      </c>
    </row>
    <row r="278">
      <c r="A278" s="374"/>
      <c r="B278" s="374"/>
      <c r="C278" s="374"/>
      <c r="D278" s="374"/>
      <c r="E278" s="374"/>
      <c r="F278" s="374"/>
      <c r="G278" s="374" t="s">
        <v>1101</v>
      </c>
      <c r="H278" s="374" t="s">
        <v>1500</v>
      </c>
      <c r="I278" s="374" t="str">
        <f>IFERROR(__xludf.DUMMYFUNCTION("""COMPUTED_VALUE"""),"EP 
B5
")</f>
        <v>EP 
B5
</v>
      </c>
      <c r="J278" s="378" t="str">
        <f t="shared" si="1"/>
        <v>ep_b5</v>
      </c>
    </row>
    <row r="279">
      <c r="A279" s="374"/>
      <c r="B279" s="374"/>
      <c r="C279" s="374"/>
      <c r="D279" s="374"/>
      <c r="E279" s="374"/>
      <c r="F279" s="374"/>
      <c r="G279" s="374" t="s">
        <v>1102</v>
      </c>
      <c r="H279" s="374" t="s">
        <v>1501</v>
      </c>
      <c r="I279" s="374" t="str">
        <f>IFERROR(__xludf.DUMMYFUNCTION("""COMPUTED_VALUE"""),"EP 
B6
")</f>
        <v>EP 
B6
</v>
      </c>
      <c r="J279" s="378" t="str">
        <f t="shared" si="1"/>
        <v>ep_b6</v>
      </c>
    </row>
    <row r="280">
      <c r="A280" s="374"/>
      <c r="B280" s="374"/>
      <c r="C280" s="374"/>
      <c r="D280" s="374"/>
      <c r="E280" s="374"/>
      <c r="F280" s="374"/>
      <c r="G280" s="374" t="s">
        <v>1103</v>
      </c>
      <c r="H280" s="374" t="s">
        <v>1502</v>
      </c>
      <c r="I280" s="374" t="str">
        <f>IFERROR(__xludf.DUMMYFUNCTION("""COMPUTED_VALUE"""),"EP 
C1
")</f>
        <v>EP 
C1
</v>
      </c>
      <c r="J280" s="378" t="str">
        <f t="shared" si="1"/>
        <v>ep_c1</v>
      </c>
    </row>
    <row r="281">
      <c r="A281" s="374"/>
      <c r="B281" s="374"/>
      <c r="C281" s="374"/>
      <c r="D281" s="374"/>
      <c r="E281" s="374"/>
      <c r="F281" s="374"/>
      <c r="G281" s="374" t="s">
        <v>1104</v>
      </c>
      <c r="H281" s="374" t="s">
        <v>1503</v>
      </c>
      <c r="I281" s="374" t="str">
        <f>IFERROR(__xludf.DUMMYFUNCTION("""COMPUTED_VALUE"""),"EP 
C2
")</f>
        <v>EP 
C2
</v>
      </c>
      <c r="J281" s="378" t="str">
        <f t="shared" si="1"/>
        <v>ep_c2</v>
      </c>
    </row>
    <row r="282">
      <c r="A282" s="374"/>
      <c r="B282" s="374"/>
      <c r="C282" s="374"/>
      <c r="D282" s="374"/>
      <c r="E282" s="374"/>
      <c r="F282" s="374"/>
      <c r="G282" s="374" t="s">
        <v>1105</v>
      </c>
      <c r="H282" s="374" t="s">
        <v>1504</v>
      </c>
      <c r="I282" s="374" t="str">
        <f>IFERROR(__xludf.DUMMYFUNCTION("""COMPUTED_VALUE"""),"EP 
C3
")</f>
        <v>EP 
C3
</v>
      </c>
      <c r="J282" s="378" t="str">
        <f t="shared" si="1"/>
        <v>ep_c3</v>
      </c>
    </row>
    <row r="283">
      <c r="A283" s="374"/>
      <c r="B283" s="374"/>
      <c r="C283" s="374"/>
      <c r="D283" s="374"/>
      <c r="E283" s="374"/>
      <c r="F283" s="374"/>
      <c r="G283" s="374" t="s">
        <v>1106</v>
      </c>
      <c r="H283" s="374" t="s">
        <v>1505</v>
      </c>
      <c r="I283" s="374" t="str">
        <f>IFERROR(__xludf.DUMMYFUNCTION("""COMPUTED_VALUE"""),"EP 
C4
")</f>
        <v>EP 
C4
</v>
      </c>
      <c r="J283" s="378" t="str">
        <f t="shared" si="1"/>
        <v>ep_c4</v>
      </c>
    </row>
    <row r="284">
      <c r="A284" s="374"/>
      <c r="B284" s="374"/>
      <c r="C284" s="374"/>
      <c r="D284" s="374"/>
      <c r="E284" s="374"/>
      <c r="F284" s="374"/>
      <c r="G284" s="374" t="s">
        <v>1107</v>
      </c>
      <c r="H284" s="374" t="s">
        <v>1506</v>
      </c>
      <c r="I284" s="374" t="str">
        <f>IFERROR(__xludf.DUMMYFUNCTION("""COMPUTED_VALUE"""),"EP
D
")</f>
        <v>EP
D
</v>
      </c>
      <c r="J284" s="378" t="str">
        <f t="shared" si="1"/>
        <v>ep_d</v>
      </c>
    </row>
    <row r="285">
      <c r="A285" s="374"/>
      <c r="B285" s="374"/>
      <c r="C285" s="374"/>
      <c r="D285" s="374"/>
      <c r="E285" s="374"/>
      <c r="F285" s="374"/>
      <c r="G285" s="374" t="s">
        <v>1108</v>
      </c>
      <c r="H285" s="374" t="s">
        <v>1507</v>
      </c>
      <c r="I285" s="374" t="str">
        <f>IFERROR(__xludf.DUMMYFUNCTION("""COMPUTED_VALUE"""),"EP 
D1
")</f>
        <v>EP 
D1
</v>
      </c>
      <c r="J285" s="378" t="str">
        <f t="shared" si="1"/>
        <v>ep_d1</v>
      </c>
    </row>
    <row r="286">
      <c r="A286" s="374"/>
      <c r="B286" s="374"/>
      <c r="C286" s="374"/>
      <c r="D286" s="374"/>
      <c r="E286" s="374"/>
      <c r="F286" s="374"/>
      <c r="G286" s="374" t="s">
        <v>1109</v>
      </c>
      <c r="H286" s="374" t="s">
        <v>1508</v>
      </c>
      <c r="I286" s="374" t="str">
        <f>IFERROR(__xludf.DUMMYFUNCTION("""COMPUTED_VALUE"""),"EP
D2
")</f>
        <v>EP
D2
</v>
      </c>
      <c r="J286" s="378" t="str">
        <f t="shared" si="1"/>
        <v>ep_d2</v>
      </c>
    </row>
    <row r="287">
      <c r="A287" s="374"/>
      <c r="B287" s="374"/>
      <c r="C287" s="374"/>
      <c r="D287" s="374"/>
      <c r="E287" s="374"/>
      <c r="F287" s="374"/>
      <c r="G287" s="374" t="s">
        <v>1110</v>
      </c>
      <c r="H287" s="374" t="s">
        <v>1509</v>
      </c>
      <c r="I287" s="374" t="str">
        <f>IFERROR(__xludf.DUMMYFUNCTION("""COMPUTED_VALUE"""),"EP 
")</f>
        <v>EP 
</v>
      </c>
      <c r="J287" s="378" t="str">
        <f t="shared" si="1"/>
        <v>ep_total</v>
      </c>
    </row>
    <row r="288">
      <c r="A288" s="374"/>
      <c r="B288" s="374"/>
      <c r="C288" s="374"/>
      <c r="D288" s="374"/>
      <c r="E288" s="374"/>
      <c r="F288" s="374"/>
      <c r="G288" s="374" t="s">
        <v>1111</v>
      </c>
      <c r="H288" s="374" t="s">
        <v>1510</v>
      </c>
      <c r="I288" s="374" t="str">
        <f>IFERROR(__xludf.DUMMYFUNCTION("""COMPUTED_VALUE"""),"EPfw 
A1-A3
")</f>
        <v>EPfw 
A1-A3
</v>
      </c>
      <c r="J288" s="378" t="str">
        <f t="shared" si="1"/>
        <v>ep_af_a1-a3</v>
      </c>
    </row>
    <row r="289">
      <c r="A289" s="374"/>
      <c r="B289" s="374"/>
      <c r="C289" s="374"/>
      <c r="D289" s="374"/>
      <c r="E289" s="374"/>
      <c r="F289" s="374"/>
      <c r="G289" s="374" t="s">
        <v>1112</v>
      </c>
      <c r="H289" s="374" t="s">
        <v>1511</v>
      </c>
      <c r="I289" s="374" t="str">
        <f>IFERROR(__xludf.DUMMYFUNCTION("""COMPUTED_VALUE"""),"EPfw 
A4
")</f>
        <v>EPfw 
A4
</v>
      </c>
      <c r="J289" s="378" t="str">
        <f t="shared" si="1"/>
        <v>ep_af_a4</v>
      </c>
    </row>
    <row r="290">
      <c r="A290" s="374"/>
      <c r="B290" s="374"/>
      <c r="C290" s="374"/>
      <c r="D290" s="374"/>
      <c r="E290" s="374"/>
      <c r="F290" s="374"/>
      <c r="G290" s="374" t="s">
        <v>1113</v>
      </c>
      <c r="H290" s="374" t="s">
        <v>1512</v>
      </c>
      <c r="I290" s="374" t="str">
        <f>IFERROR(__xludf.DUMMYFUNCTION("""COMPUTED_VALUE"""),"EPfw 
A5
")</f>
        <v>EPfw 
A5
</v>
      </c>
      <c r="J290" s="378" t="str">
        <f t="shared" si="1"/>
        <v>ep_af_a5</v>
      </c>
    </row>
    <row r="291">
      <c r="A291" s="374"/>
      <c r="B291" s="374"/>
      <c r="C291" s="374"/>
      <c r="D291" s="374"/>
      <c r="E291" s="374"/>
      <c r="F291" s="374"/>
      <c r="G291" s="374" t="s">
        <v>1114</v>
      </c>
      <c r="H291" s="374" t="s">
        <v>1513</v>
      </c>
      <c r="I291" s="374" t="str">
        <f>IFERROR(__xludf.DUMMYFUNCTION("""COMPUTED_VALUE"""),"EPfw 
B1
")</f>
        <v>EPfw 
B1
</v>
      </c>
      <c r="J291" s="378" t="str">
        <f t="shared" si="1"/>
        <v>ep_af_b1</v>
      </c>
    </row>
    <row r="292">
      <c r="A292" s="374"/>
      <c r="B292" s="374"/>
      <c r="C292" s="374"/>
      <c r="D292" s="374"/>
      <c r="E292" s="374"/>
      <c r="F292" s="374"/>
      <c r="G292" s="374" t="s">
        <v>1115</v>
      </c>
      <c r="H292" s="374" t="s">
        <v>1514</v>
      </c>
      <c r="I292" s="374" t="str">
        <f>IFERROR(__xludf.DUMMYFUNCTION("""COMPUTED_VALUE"""),"EPfw 
B2
")</f>
        <v>EPfw 
B2
</v>
      </c>
      <c r="J292" s="378" t="str">
        <f t="shared" si="1"/>
        <v>ep_af_b2</v>
      </c>
    </row>
    <row r="293">
      <c r="A293" s="374"/>
      <c r="B293" s="374"/>
      <c r="C293" s="374"/>
      <c r="D293" s="374"/>
      <c r="E293" s="374"/>
      <c r="F293" s="374"/>
      <c r="G293" s="374" t="s">
        <v>1116</v>
      </c>
      <c r="H293" s="374" t="s">
        <v>1515</v>
      </c>
      <c r="I293" s="374" t="str">
        <f>IFERROR(__xludf.DUMMYFUNCTION("""COMPUTED_VALUE"""),"EPfw 
B3
")</f>
        <v>EPfw 
B3
</v>
      </c>
      <c r="J293" s="378" t="str">
        <f t="shared" si="1"/>
        <v>ep_af_b3</v>
      </c>
    </row>
    <row r="294">
      <c r="A294" s="374"/>
      <c r="B294" s="374"/>
      <c r="C294" s="374"/>
      <c r="D294" s="374"/>
      <c r="E294" s="374"/>
      <c r="F294" s="374"/>
      <c r="G294" s="374" t="s">
        <v>1117</v>
      </c>
      <c r="H294" s="374" t="s">
        <v>1516</v>
      </c>
      <c r="I294" s="374" t="str">
        <f>IFERROR(__xludf.DUMMYFUNCTION("""COMPUTED_VALUE"""),"EPfw 
B4
")</f>
        <v>EPfw 
B4
</v>
      </c>
      <c r="J294" s="378" t="str">
        <f t="shared" si="1"/>
        <v>ep_af_b4</v>
      </c>
    </row>
    <row r="295">
      <c r="A295" s="374"/>
      <c r="B295" s="374"/>
      <c r="C295" s="374"/>
      <c r="D295" s="374"/>
      <c r="E295" s="374"/>
      <c r="F295" s="374"/>
      <c r="G295" s="374" t="s">
        <v>1118</v>
      </c>
      <c r="H295" s="374" t="s">
        <v>1517</v>
      </c>
      <c r="I295" s="374" t="str">
        <f>IFERROR(__xludf.DUMMYFUNCTION("""COMPUTED_VALUE"""),"EPfw 
B5
")</f>
        <v>EPfw 
B5
</v>
      </c>
      <c r="J295" s="378" t="str">
        <f t="shared" si="1"/>
        <v>ep_af_b5</v>
      </c>
    </row>
    <row r="296">
      <c r="A296" s="374"/>
      <c r="B296" s="374"/>
      <c r="C296" s="374"/>
      <c r="D296" s="374"/>
      <c r="E296" s="374"/>
      <c r="F296" s="374"/>
      <c r="G296" s="374" t="s">
        <v>1119</v>
      </c>
      <c r="H296" s="374" t="s">
        <v>1518</v>
      </c>
      <c r="I296" s="374" t="str">
        <f>IFERROR(__xludf.DUMMYFUNCTION("""COMPUTED_VALUE"""),"EPfw 
B6
")</f>
        <v>EPfw 
B6
</v>
      </c>
      <c r="J296" s="378" t="str">
        <f t="shared" si="1"/>
        <v>ep_af_b6</v>
      </c>
    </row>
    <row r="297">
      <c r="A297" s="374"/>
      <c r="B297" s="374"/>
      <c r="C297" s="374"/>
      <c r="D297" s="374"/>
      <c r="E297" s="374"/>
      <c r="F297" s="374"/>
      <c r="G297" s="374" t="s">
        <v>1120</v>
      </c>
      <c r="H297" s="374" t="s">
        <v>1519</v>
      </c>
      <c r="I297" s="374" t="str">
        <f>IFERROR(__xludf.DUMMYFUNCTION("""COMPUTED_VALUE"""),"EPfw 
C1
")</f>
        <v>EPfw 
C1
</v>
      </c>
      <c r="J297" s="378" t="str">
        <f t="shared" si="1"/>
        <v>ep_af_c1</v>
      </c>
    </row>
    <row r="298">
      <c r="A298" s="374"/>
      <c r="B298" s="374"/>
      <c r="C298" s="374"/>
      <c r="D298" s="374"/>
      <c r="E298" s="374"/>
      <c r="F298" s="374"/>
      <c r="G298" s="374" t="s">
        <v>1121</v>
      </c>
      <c r="H298" s="374" t="s">
        <v>1520</v>
      </c>
      <c r="I298" s="374" t="str">
        <f>IFERROR(__xludf.DUMMYFUNCTION("""COMPUTED_VALUE"""),"EPfw 
C2
")</f>
        <v>EPfw 
C2
</v>
      </c>
      <c r="J298" s="378" t="str">
        <f t="shared" si="1"/>
        <v>ep_af_c2</v>
      </c>
    </row>
    <row r="299">
      <c r="A299" s="374"/>
      <c r="B299" s="374"/>
      <c r="C299" s="374"/>
      <c r="D299" s="374"/>
      <c r="E299" s="374"/>
      <c r="F299" s="374"/>
      <c r="G299" s="374" t="s">
        <v>1122</v>
      </c>
      <c r="H299" s="374" t="s">
        <v>1521</v>
      </c>
      <c r="I299" s="374" t="str">
        <f>IFERROR(__xludf.DUMMYFUNCTION("""COMPUTED_VALUE"""),"EPfw 
C3
")</f>
        <v>EPfw 
C3
</v>
      </c>
      <c r="J299" s="378" t="str">
        <f t="shared" si="1"/>
        <v>ep_af_c3</v>
      </c>
    </row>
    <row r="300">
      <c r="A300" s="374"/>
      <c r="B300" s="374"/>
      <c r="C300" s="374"/>
      <c r="D300" s="374"/>
      <c r="E300" s="374"/>
      <c r="F300" s="374"/>
      <c r="G300" s="374" t="s">
        <v>1123</v>
      </c>
      <c r="H300" s="374" t="s">
        <v>1522</v>
      </c>
      <c r="I300" s="374" t="str">
        <f>IFERROR(__xludf.DUMMYFUNCTION("""COMPUTED_VALUE"""),"EPfw 
C4
")</f>
        <v>EPfw 
C4
</v>
      </c>
      <c r="J300" s="378" t="str">
        <f t="shared" si="1"/>
        <v>ep_af_c4</v>
      </c>
    </row>
    <row r="301">
      <c r="A301" s="374"/>
      <c r="B301" s="374"/>
      <c r="C301" s="374"/>
      <c r="D301" s="374"/>
      <c r="E301" s="374"/>
      <c r="F301" s="374"/>
      <c r="G301" s="374" t="s">
        <v>1124</v>
      </c>
      <c r="H301" s="374" t="s">
        <v>1523</v>
      </c>
      <c r="I301" s="374" t="str">
        <f>IFERROR(__xludf.DUMMYFUNCTION("""COMPUTED_VALUE"""),"EPfw 
D
")</f>
        <v>EPfw 
D
</v>
      </c>
      <c r="J301" s="378" t="str">
        <f t="shared" si="1"/>
        <v>ep_af_d</v>
      </c>
    </row>
    <row r="302">
      <c r="A302" s="374"/>
      <c r="B302" s="374"/>
      <c r="C302" s="374"/>
      <c r="D302" s="374"/>
      <c r="E302" s="374"/>
      <c r="F302" s="374"/>
      <c r="G302" s="374" t="s">
        <v>1125</v>
      </c>
      <c r="H302" s="374" t="s">
        <v>1524</v>
      </c>
      <c r="I302" s="374" t="str">
        <f>IFERROR(__xludf.DUMMYFUNCTION("""COMPUTED_VALUE"""),"EPfw 
D1
")</f>
        <v>EPfw 
D1
</v>
      </c>
      <c r="J302" s="378" t="str">
        <f t="shared" si="1"/>
        <v>ep_af_d1</v>
      </c>
    </row>
    <row r="303">
      <c r="A303" s="374"/>
      <c r="B303" s="374"/>
      <c r="C303" s="374"/>
      <c r="D303" s="374"/>
      <c r="E303" s="374"/>
      <c r="F303" s="374"/>
      <c r="G303" s="374" t="s">
        <v>1126</v>
      </c>
      <c r="H303" s="374" t="s">
        <v>1525</v>
      </c>
      <c r="I303" s="374" t="str">
        <f>IFERROR(__xludf.DUMMYFUNCTION("""COMPUTED_VALUE"""),"EPfw 
D2
")</f>
        <v>EPfw 
D2
</v>
      </c>
      <c r="J303" s="378" t="str">
        <f t="shared" si="1"/>
        <v>ep_af_d2</v>
      </c>
    </row>
    <row r="304">
      <c r="A304" s="374"/>
      <c r="B304" s="374"/>
      <c r="C304" s="374"/>
      <c r="D304" s="374"/>
      <c r="E304" s="374"/>
      <c r="F304" s="374"/>
      <c r="G304" s="374" t="s">
        <v>1127</v>
      </c>
      <c r="H304" s="374" t="s">
        <v>1526</v>
      </c>
      <c r="I304" s="374" t="str">
        <f>IFERROR(__xludf.DUMMYFUNCTION("""COMPUTED_VALUE"""),"EPfw
")</f>
        <v>EPfw
</v>
      </c>
      <c r="J304" s="378" t="str">
        <f t="shared" si="1"/>
        <v>ep_af_total</v>
      </c>
    </row>
    <row r="305">
      <c r="A305" s="374"/>
      <c r="B305" s="374"/>
      <c r="C305" s="374"/>
      <c r="D305" s="374"/>
      <c r="E305" s="374"/>
      <c r="F305" s="374"/>
      <c r="G305" s="374" t="s">
        <v>1128</v>
      </c>
      <c r="H305" s="374" t="s">
        <v>1527</v>
      </c>
      <c r="I305" s="374" t="str">
        <f>IFERROR(__xludf.DUMMYFUNCTION("""COMPUTED_VALUE"""),"EPm
A1-A3
")</f>
        <v>EPm
A1-A3
</v>
      </c>
      <c r="J305" s="378" t="str">
        <f t="shared" si="1"/>
        <v>ep_am_a1-a3</v>
      </c>
    </row>
    <row r="306">
      <c r="A306" s="374"/>
      <c r="B306" s="374"/>
      <c r="C306" s="374"/>
      <c r="D306" s="374"/>
      <c r="E306" s="374"/>
      <c r="F306" s="374"/>
      <c r="G306" s="374" t="s">
        <v>1129</v>
      </c>
      <c r="H306" s="374" t="s">
        <v>1528</v>
      </c>
      <c r="I306" s="374" t="str">
        <f>IFERROR(__xludf.DUMMYFUNCTION("""COMPUTED_VALUE"""),"EPm
A4
")</f>
        <v>EPm
A4
</v>
      </c>
      <c r="J306" s="378" t="str">
        <f t="shared" si="1"/>
        <v>ep_am_a4</v>
      </c>
    </row>
    <row r="307">
      <c r="A307" s="374"/>
      <c r="B307" s="374"/>
      <c r="C307" s="374"/>
      <c r="D307" s="374"/>
      <c r="E307" s="374"/>
      <c r="F307" s="374"/>
      <c r="G307" s="374" t="s">
        <v>1130</v>
      </c>
      <c r="H307" s="374" t="s">
        <v>1529</v>
      </c>
      <c r="I307" s="374" t="str">
        <f>IFERROR(__xludf.DUMMYFUNCTION("""COMPUTED_VALUE"""),"EPm
A5
")</f>
        <v>EPm
A5
</v>
      </c>
      <c r="J307" s="378" t="str">
        <f t="shared" si="1"/>
        <v>ep_am_a5</v>
      </c>
    </row>
    <row r="308">
      <c r="A308" s="374"/>
      <c r="B308" s="374"/>
      <c r="C308" s="374"/>
      <c r="D308" s="374"/>
      <c r="E308" s="374"/>
      <c r="F308" s="374"/>
      <c r="G308" s="374" t="s">
        <v>1131</v>
      </c>
      <c r="H308" s="374" t="s">
        <v>1530</v>
      </c>
      <c r="I308" s="374" t="str">
        <f>IFERROR(__xludf.DUMMYFUNCTION("""COMPUTED_VALUE"""),"EPm
B1
")</f>
        <v>EPm
B1
</v>
      </c>
      <c r="J308" s="378" t="str">
        <f t="shared" si="1"/>
        <v>ep_am_b1</v>
      </c>
    </row>
    <row r="309">
      <c r="A309" s="374"/>
      <c r="B309" s="374"/>
      <c r="C309" s="374"/>
      <c r="D309" s="374"/>
      <c r="E309" s="374"/>
      <c r="F309" s="374"/>
      <c r="G309" s="374" t="s">
        <v>1132</v>
      </c>
      <c r="H309" s="374" t="s">
        <v>1531</v>
      </c>
      <c r="I309" s="374" t="str">
        <f>IFERROR(__xludf.DUMMYFUNCTION("""COMPUTED_VALUE"""),"EPm
B2
")</f>
        <v>EPm
B2
</v>
      </c>
      <c r="J309" s="378" t="str">
        <f t="shared" si="1"/>
        <v>ep_am_b2</v>
      </c>
    </row>
    <row r="310">
      <c r="A310" s="374"/>
      <c r="B310" s="374"/>
      <c r="C310" s="374"/>
      <c r="D310" s="374"/>
      <c r="E310" s="374"/>
      <c r="F310" s="374"/>
      <c r="G310" s="374" t="s">
        <v>1133</v>
      </c>
      <c r="H310" s="374" t="s">
        <v>1532</v>
      </c>
      <c r="I310" s="374" t="str">
        <f>IFERROR(__xludf.DUMMYFUNCTION("""COMPUTED_VALUE"""),"EPm
B3
")</f>
        <v>EPm
B3
</v>
      </c>
      <c r="J310" s="378" t="str">
        <f t="shared" si="1"/>
        <v>ep_am_b3</v>
      </c>
    </row>
    <row r="311">
      <c r="A311" s="374"/>
      <c r="B311" s="374"/>
      <c r="C311" s="374"/>
      <c r="D311" s="374"/>
      <c r="E311" s="374"/>
      <c r="F311" s="374"/>
      <c r="G311" s="374" t="s">
        <v>1134</v>
      </c>
      <c r="H311" s="374" t="s">
        <v>1533</v>
      </c>
      <c r="I311" s="374" t="str">
        <f>IFERROR(__xludf.DUMMYFUNCTION("""COMPUTED_VALUE"""),"EPm
B4
")</f>
        <v>EPm
B4
</v>
      </c>
      <c r="J311" s="378" t="str">
        <f t="shared" si="1"/>
        <v>ep_am_b4</v>
      </c>
    </row>
    <row r="312">
      <c r="A312" s="374"/>
      <c r="B312" s="374"/>
      <c r="C312" s="374"/>
      <c r="D312" s="374"/>
      <c r="E312" s="374"/>
      <c r="F312" s="374"/>
      <c r="G312" s="374" t="s">
        <v>1135</v>
      </c>
      <c r="H312" s="374" t="s">
        <v>1534</v>
      </c>
      <c r="I312" s="374" t="str">
        <f>IFERROR(__xludf.DUMMYFUNCTION("""COMPUTED_VALUE"""),"EPm
B5
")</f>
        <v>EPm
B5
</v>
      </c>
      <c r="J312" s="378" t="str">
        <f t="shared" si="1"/>
        <v>ep_am_b5</v>
      </c>
    </row>
    <row r="313">
      <c r="A313" s="374"/>
      <c r="B313" s="374"/>
      <c r="C313" s="374"/>
      <c r="D313" s="374"/>
      <c r="E313" s="374"/>
      <c r="F313" s="374"/>
      <c r="G313" s="374" t="s">
        <v>1136</v>
      </c>
      <c r="H313" s="374" t="s">
        <v>1535</v>
      </c>
      <c r="I313" s="374" t="str">
        <f>IFERROR(__xludf.DUMMYFUNCTION("""COMPUTED_VALUE"""),"EPm
B6
")</f>
        <v>EPm
B6
</v>
      </c>
      <c r="J313" s="378" t="str">
        <f t="shared" si="1"/>
        <v>ep_am_b6</v>
      </c>
    </row>
    <row r="314">
      <c r="A314" s="374"/>
      <c r="B314" s="374"/>
      <c r="C314" s="374"/>
      <c r="D314" s="374"/>
      <c r="E314" s="374"/>
      <c r="F314" s="374"/>
      <c r="G314" s="374" t="s">
        <v>1137</v>
      </c>
      <c r="H314" s="374" t="s">
        <v>1536</v>
      </c>
      <c r="I314" s="374" t="str">
        <f>IFERROR(__xludf.DUMMYFUNCTION("""COMPUTED_VALUE"""),"EPm
C1
")</f>
        <v>EPm
C1
</v>
      </c>
      <c r="J314" s="378" t="str">
        <f t="shared" si="1"/>
        <v>ep_am_c1</v>
      </c>
    </row>
    <row r="315">
      <c r="A315" s="374"/>
      <c r="B315" s="374"/>
      <c r="C315" s="374"/>
      <c r="D315" s="374"/>
      <c r="E315" s="374"/>
      <c r="F315" s="374"/>
      <c r="G315" s="374" t="s">
        <v>1138</v>
      </c>
      <c r="H315" s="374" t="s">
        <v>1537</v>
      </c>
      <c r="I315" s="374" t="str">
        <f>IFERROR(__xludf.DUMMYFUNCTION("""COMPUTED_VALUE"""),"EPm
C2
")</f>
        <v>EPm
C2
</v>
      </c>
      <c r="J315" s="378" t="str">
        <f t="shared" si="1"/>
        <v>ep_am_c2</v>
      </c>
    </row>
    <row r="316">
      <c r="A316" s="374"/>
      <c r="B316" s="374"/>
      <c r="C316" s="374"/>
      <c r="D316" s="374"/>
      <c r="E316" s="374"/>
      <c r="F316" s="374"/>
      <c r="G316" s="374" t="s">
        <v>1139</v>
      </c>
      <c r="H316" s="374" t="s">
        <v>1538</v>
      </c>
      <c r="I316" s="374" t="str">
        <f>IFERROR(__xludf.DUMMYFUNCTION("""COMPUTED_VALUE"""),"EPm
C3
")</f>
        <v>EPm
C3
</v>
      </c>
      <c r="J316" s="378" t="str">
        <f t="shared" si="1"/>
        <v>ep_am_c3</v>
      </c>
    </row>
    <row r="317">
      <c r="A317" s="374"/>
      <c r="B317" s="374"/>
      <c r="C317" s="374"/>
      <c r="D317" s="374"/>
      <c r="E317" s="374"/>
      <c r="F317" s="374"/>
      <c r="G317" s="374" t="s">
        <v>1140</v>
      </c>
      <c r="H317" s="374" t="s">
        <v>1539</v>
      </c>
      <c r="I317" s="374" t="str">
        <f>IFERROR(__xludf.DUMMYFUNCTION("""COMPUTED_VALUE"""),"EPm
C4
")</f>
        <v>EPm
C4
</v>
      </c>
      <c r="J317" s="378" t="str">
        <f t="shared" si="1"/>
        <v>ep_am_c4</v>
      </c>
    </row>
    <row r="318">
      <c r="A318" s="374"/>
      <c r="B318" s="374"/>
      <c r="C318" s="374"/>
      <c r="D318" s="374"/>
      <c r="E318" s="374"/>
      <c r="F318" s="374"/>
      <c r="G318" s="374" t="s">
        <v>1141</v>
      </c>
      <c r="H318" s="374" t="s">
        <v>1540</v>
      </c>
      <c r="I318" s="374" t="str">
        <f>IFERROR(__xludf.DUMMYFUNCTION("""COMPUTED_VALUE"""),"EPm
D
")</f>
        <v>EPm
D
</v>
      </c>
      <c r="J318" s="378" t="str">
        <f t="shared" si="1"/>
        <v>ep_am_d</v>
      </c>
    </row>
    <row r="319">
      <c r="A319" s="374"/>
      <c r="B319" s="374"/>
      <c r="C319" s="374"/>
      <c r="D319" s="374"/>
      <c r="E319" s="374"/>
      <c r="F319" s="374"/>
      <c r="G319" s="374" t="s">
        <v>1142</v>
      </c>
      <c r="H319" s="374" t="s">
        <v>1541</v>
      </c>
      <c r="I319" s="374" t="str">
        <f>IFERROR(__xludf.DUMMYFUNCTION("""COMPUTED_VALUE"""),"EPm
D1
")</f>
        <v>EPm
D1
</v>
      </c>
      <c r="J319" s="378" t="str">
        <f t="shared" si="1"/>
        <v>ep_am_d1</v>
      </c>
    </row>
    <row r="320">
      <c r="A320" s="374"/>
      <c r="B320" s="374"/>
      <c r="C320" s="374"/>
      <c r="D320" s="374"/>
      <c r="E320" s="374"/>
      <c r="F320" s="374"/>
      <c r="G320" s="374" t="s">
        <v>1143</v>
      </c>
      <c r="H320" s="374" t="s">
        <v>1542</v>
      </c>
      <c r="I320" s="374" t="str">
        <f>IFERROR(__xludf.DUMMYFUNCTION("""COMPUTED_VALUE"""),"EPm
D2
")</f>
        <v>EPm
D2
</v>
      </c>
      <c r="J320" s="378" t="str">
        <f t="shared" si="1"/>
        <v>ep_am_d2</v>
      </c>
    </row>
    <row r="321">
      <c r="A321" s="374"/>
      <c r="B321" s="374"/>
      <c r="C321" s="374"/>
      <c r="D321" s="374"/>
      <c r="E321" s="374"/>
      <c r="F321" s="374"/>
      <c r="G321" s="374" t="s">
        <v>1144</v>
      </c>
      <c r="H321" s="374" t="s">
        <v>1543</v>
      </c>
      <c r="I321" s="374" t="str">
        <f>IFERROR(__xludf.DUMMYFUNCTION("""COMPUTED_VALUE"""),"EPm
")</f>
        <v>EPm
</v>
      </c>
      <c r="J321" s="378" t="str">
        <f t="shared" si="1"/>
        <v>ep_am_total</v>
      </c>
    </row>
    <row r="322">
      <c r="A322" s="374"/>
      <c r="B322" s="374"/>
      <c r="C322" s="374"/>
      <c r="D322" s="374"/>
      <c r="E322" s="374"/>
      <c r="F322" s="374"/>
      <c r="G322" s="374" t="s">
        <v>1145</v>
      </c>
      <c r="H322" s="374" t="s">
        <v>1544</v>
      </c>
      <c r="I322" s="374" t="str">
        <f>IFERROR(__xludf.DUMMYFUNCTION("""COMPUTED_VALUE"""),"EPt 
A1-A3
")</f>
        <v>EPt 
A1-A3
</v>
      </c>
      <c r="J322" s="378" t="str">
        <f t="shared" si="1"/>
        <v>ep_t_a1-a3</v>
      </c>
    </row>
    <row r="323">
      <c r="A323" s="374"/>
      <c r="B323" s="374"/>
      <c r="C323" s="374"/>
      <c r="D323" s="374"/>
      <c r="E323" s="374"/>
      <c r="F323" s="374"/>
      <c r="G323" s="374" t="s">
        <v>1146</v>
      </c>
      <c r="H323" s="374" t="s">
        <v>1545</v>
      </c>
      <c r="I323" s="374" t="str">
        <f>IFERROR(__xludf.DUMMYFUNCTION("""COMPUTED_VALUE"""),"EPt 
A4
")</f>
        <v>EPt 
A4
</v>
      </c>
      <c r="J323" s="378" t="str">
        <f t="shared" si="1"/>
        <v>ep_t_a4</v>
      </c>
    </row>
    <row r="324">
      <c r="A324" s="374"/>
      <c r="B324" s="374"/>
      <c r="C324" s="374"/>
      <c r="D324" s="374"/>
      <c r="E324" s="374"/>
      <c r="F324" s="374"/>
      <c r="G324" s="374" t="s">
        <v>1147</v>
      </c>
      <c r="H324" s="374" t="s">
        <v>1546</v>
      </c>
      <c r="I324" s="374" t="str">
        <f>IFERROR(__xludf.DUMMYFUNCTION("""COMPUTED_VALUE"""),"EPt 
A5
")</f>
        <v>EPt 
A5
</v>
      </c>
      <c r="J324" s="378" t="str">
        <f t="shared" si="1"/>
        <v>ep_t_a5</v>
      </c>
    </row>
    <row r="325">
      <c r="A325" s="374"/>
      <c r="B325" s="374"/>
      <c r="C325" s="374"/>
      <c r="D325" s="374"/>
      <c r="E325" s="374"/>
      <c r="F325" s="374"/>
      <c r="G325" s="374" t="s">
        <v>1148</v>
      </c>
      <c r="H325" s="374" t="s">
        <v>1547</v>
      </c>
      <c r="I325" s="374" t="str">
        <f>IFERROR(__xludf.DUMMYFUNCTION("""COMPUTED_VALUE"""),"EPt 
B1
")</f>
        <v>EPt 
B1
</v>
      </c>
      <c r="J325" s="378" t="str">
        <f t="shared" si="1"/>
        <v>ep_t_b1</v>
      </c>
    </row>
    <row r="326">
      <c r="A326" s="374"/>
      <c r="B326" s="374"/>
      <c r="C326" s="374"/>
      <c r="D326" s="374"/>
      <c r="E326" s="374"/>
      <c r="F326" s="374"/>
      <c r="G326" s="374" t="s">
        <v>1149</v>
      </c>
      <c r="H326" s="374" t="s">
        <v>1548</v>
      </c>
      <c r="I326" s="374" t="str">
        <f>IFERROR(__xludf.DUMMYFUNCTION("""COMPUTED_VALUE"""),"EPt 
B2
")</f>
        <v>EPt 
B2
</v>
      </c>
      <c r="J326" s="378" t="str">
        <f t="shared" si="1"/>
        <v>ep_t_b2</v>
      </c>
    </row>
    <row r="327">
      <c r="A327" s="374"/>
      <c r="B327" s="374"/>
      <c r="C327" s="374"/>
      <c r="D327" s="374"/>
      <c r="E327" s="374"/>
      <c r="F327" s="374"/>
      <c r="G327" s="374" t="s">
        <v>1150</v>
      </c>
      <c r="H327" s="374" t="s">
        <v>1549</v>
      </c>
      <c r="I327" s="374" t="str">
        <f>IFERROR(__xludf.DUMMYFUNCTION("""COMPUTED_VALUE"""),"EPt 
B3
")</f>
        <v>EPt 
B3
</v>
      </c>
      <c r="J327" s="378" t="str">
        <f t="shared" si="1"/>
        <v>ep_t_b3</v>
      </c>
    </row>
    <row r="328">
      <c r="A328" s="374"/>
      <c r="B328" s="374"/>
      <c r="C328" s="374"/>
      <c r="D328" s="374"/>
      <c r="E328" s="374"/>
      <c r="F328" s="374"/>
      <c r="G328" s="374" t="s">
        <v>1151</v>
      </c>
      <c r="H328" s="374" t="s">
        <v>1550</v>
      </c>
      <c r="I328" s="374" t="str">
        <f>IFERROR(__xludf.DUMMYFUNCTION("""COMPUTED_VALUE"""),"EPt 
B4
")</f>
        <v>EPt 
B4
</v>
      </c>
      <c r="J328" s="378" t="str">
        <f t="shared" si="1"/>
        <v>ep_t_b4</v>
      </c>
    </row>
    <row r="329">
      <c r="A329" s="374"/>
      <c r="B329" s="374"/>
      <c r="C329" s="374"/>
      <c r="D329" s="374"/>
      <c r="E329" s="374"/>
      <c r="F329" s="374"/>
      <c r="G329" s="374" t="s">
        <v>1152</v>
      </c>
      <c r="H329" s="374" t="s">
        <v>1551</v>
      </c>
      <c r="I329" s="374" t="str">
        <f>IFERROR(__xludf.DUMMYFUNCTION("""COMPUTED_VALUE"""),"EPt 
B5
")</f>
        <v>EPt 
B5
</v>
      </c>
      <c r="J329" s="378" t="str">
        <f t="shared" si="1"/>
        <v>ep_t_b5</v>
      </c>
    </row>
    <row r="330">
      <c r="A330" s="374"/>
      <c r="B330" s="374"/>
      <c r="C330" s="374"/>
      <c r="D330" s="374"/>
      <c r="E330" s="374"/>
      <c r="F330" s="374"/>
      <c r="G330" s="374" t="s">
        <v>1153</v>
      </c>
      <c r="H330" s="374" t="s">
        <v>1552</v>
      </c>
      <c r="I330" s="374" t="str">
        <f>IFERROR(__xludf.DUMMYFUNCTION("""COMPUTED_VALUE"""),"EPt 
B6
")</f>
        <v>EPt 
B6
</v>
      </c>
      <c r="J330" s="378" t="str">
        <f t="shared" si="1"/>
        <v>ep_t_b6</v>
      </c>
    </row>
    <row r="331">
      <c r="A331" s="374"/>
      <c r="B331" s="374"/>
      <c r="C331" s="374"/>
      <c r="D331" s="374"/>
      <c r="E331" s="374"/>
      <c r="F331" s="374"/>
      <c r="G331" s="374" t="s">
        <v>1154</v>
      </c>
      <c r="H331" s="374" t="s">
        <v>1553</v>
      </c>
      <c r="I331" s="374" t="str">
        <f>IFERROR(__xludf.DUMMYFUNCTION("""COMPUTED_VALUE"""),"EPt 
C1
")</f>
        <v>EPt 
C1
</v>
      </c>
      <c r="J331" s="378" t="str">
        <f t="shared" si="1"/>
        <v>ep_t_c1</v>
      </c>
    </row>
    <row r="332">
      <c r="A332" s="374"/>
      <c r="B332" s="374"/>
      <c r="C332" s="374"/>
      <c r="D332" s="374"/>
      <c r="E332" s="374"/>
      <c r="F332" s="374"/>
      <c r="G332" s="374" t="s">
        <v>1155</v>
      </c>
      <c r="H332" s="374" t="s">
        <v>1554</v>
      </c>
      <c r="I332" s="374" t="str">
        <f>IFERROR(__xludf.DUMMYFUNCTION("""COMPUTED_VALUE"""),"EPt 
C2
")</f>
        <v>EPt 
C2
</v>
      </c>
      <c r="J332" s="378" t="str">
        <f t="shared" si="1"/>
        <v>ep_t_c2</v>
      </c>
    </row>
    <row r="333">
      <c r="A333" s="374"/>
      <c r="B333" s="374"/>
      <c r="C333" s="374"/>
      <c r="D333" s="374"/>
      <c r="E333" s="374"/>
      <c r="F333" s="374"/>
      <c r="G333" s="374" t="s">
        <v>1156</v>
      </c>
      <c r="H333" s="374" t="s">
        <v>1555</v>
      </c>
      <c r="I333" s="374" t="str">
        <f>IFERROR(__xludf.DUMMYFUNCTION("""COMPUTED_VALUE"""),"EPt 
C3
")</f>
        <v>EPt 
C3
</v>
      </c>
      <c r="J333" s="378" t="str">
        <f t="shared" si="1"/>
        <v>ep_t_c3</v>
      </c>
    </row>
    <row r="334">
      <c r="A334" s="374"/>
      <c r="B334" s="374"/>
      <c r="C334" s="374"/>
      <c r="D334" s="374"/>
      <c r="E334" s="374"/>
      <c r="F334" s="374"/>
      <c r="G334" s="374" t="s">
        <v>1157</v>
      </c>
      <c r="H334" s="374" t="s">
        <v>1556</v>
      </c>
      <c r="I334" s="374" t="str">
        <f>IFERROR(__xludf.DUMMYFUNCTION("""COMPUTED_VALUE"""),"EPt 
C4
")</f>
        <v>EPt 
C4
</v>
      </c>
      <c r="J334" s="378" t="str">
        <f t="shared" si="1"/>
        <v>ep_t_c4</v>
      </c>
    </row>
    <row r="335">
      <c r="A335" s="374"/>
      <c r="B335" s="374"/>
      <c r="C335" s="374"/>
      <c r="D335" s="374"/>
      <c r="E335" s="374"/>
      <c r="F335" s="374"/>
      <c r="G335" s="374" t="s">
        <v>1158</v>
      </c>
      <c r="H335" s="374" t="s">
        <v>1557</v>
      </c>
      <c r="I335" s="374" t="str">
        <f>IFERROR(__xludf.DUMMYFUNCTION("""COMPUTED_VALUE"""),"EPt 
D
")</f>
        <v>EPt 
D
</v>
      </c>
      <c r="J335" s="378" t="str">
        <f t="shared" si="1"/>
        <v>ep_t_d</v>
      </c>
    </row>
    <row r="336">
      <c r="A336" s="374"/>
      <c r="B336" s="374"/>
      <c r="C336" s="374"/>
      <c r="D336" s="374"/>
      <c r="E336" s="374"/>
      <c r="F336" s="374"/>
      <c r="G336" s="374" t="s">
        <v>1159</v>
      </c>
      <c r="H336" s="374" t="s">
        <v>1558</v>
      </c>
      <c r="I336" s="374" t="str">
        <f>IFERROR(__xludf.DUMMYFUNCTION("""COMPUTED_VALUE"""),"EPt 
D1
")</f>
        <v>EPt 
D1
</v>
      </c>
      <c r="J336" s="378" t="str">
        <f t="shared" si="1"/>
        <v>ep_t_d1</v>
      </c>
    </row>
    <row r="337">
      <c r="A337" s="374"/>
      <c r="B337" s="374"/>
      <c r="C337" s="374"/>
      <c r="D337" s="374"/>
      <c r="E337" s="374"/>
      <c r="F337" s="374"/>
      <c r="G337" s="374" t="s">
        <v>1160</v>
      </c>
      <c r="H337" s="374" t="s">
        <v>1559</v>
      </c>
      <c r="I337" s="374" t="str">
        <f>IFERROR(__xludf.DUMMYFUNCTION("""COMPUTED_VALUE"""),"EPt 
D2
")</f>
        <v>EPt 
D2
</v>
      </c>
      <c r="J337" s="378" t="str">
        <f t="shared" si="1"/>
        <v>ep_t_d2</v>
      </c>
    </row>
    <row r="338">
      <c r="A338" s="374"/>
      <c r="B338" s="374"/>
      <c r="C338" s="374"/>
      <c r="D338" s="374"/>
      <c r="E338" s="374"/>
      <c r="F338" s="374"/>
      <c r="G338" s="374" t="s">
        <v>1161</v>
      </c>
      <c r="H338" s="374" t="s">
        <v>1560</v>
      </c>
      <c r="I338" s="374" t="str">
        <f>IFERROR(__xludf.DUMMYFUNCTION("""COMPUTED_VALUE"""),"EPt
")</f>
        <v>EPt
</v>
      </c>
      <c r="J338" s="378" t="str">
        <f t="shared" si="1"/>
        <v>ep_t_total</v>
      </c>
    </row>
    <row r="339">
      <c r="A339" s="374"/>
      <c r="B339" s="374"/>
      <c r="C339" s="374"/>
      <c r="D339" s="374"/>
      <c r="E339" s="374"/>
      <c r="F339" s="374"/>
      <c r="G339" s="374" t="s">
        <v>1162</v>
      </c>
      <c r="H339" s="374" t="s">
        <v>1561</v>
      </c>
      <c r="I339" s="374" t="str">
        <f>IFERROR(__xludf.DUMMYFUNCTION("""COMPUTED_VALUE"""),"POCP
A1-A3
")</f>
        <v>POCP
A1-A3
</v>
      </c>
      <c r="J339" s="378" t="str">
        <f t="shared" si="1"/>
        <v>pocp_a1-a3</v>
      </c>
    </row>
    <row r="340">
      <c r="A340" s="374"/>
      <c r="B340" s="374"/>
      <c r="C340" s="374"/>
      <c r="D340" s="374"/>
      <c r="E340" s="374"/>
      <c r="F340" s="374"/>
      <c r="G340" s="374" t="s">
        <v>1163</v>
      </c>
      <c r="H340" s="374" t="s">
        <v>1562</v>
      </c>
      <c r="I340" s="374" t="str">
        <f>IFERROR(__xludf.DUMMYFUNCTION("""COMPUTED_VALUE"""),"POCP
A4
")</f>
        <v>POCP
A4
</v>
      </c>
      <c r="J340" s="378" t="str">
        <f t="shared" si="1"/>
        <v>pocp_a4</v>
      </c>
    </row>
    <row r="341">
      <c r="A341" s="374"/>
      <c r="B341" s="374"/>
      <c r="C341" s="374"/>
      <c r="D341" s="374"/>
      <c r="E341" s="374"/>
      <c r="F341" s="374"/>
      <c r="G341" s="374" t="s">
        <v>1164</v>
      </c>
      <c r="H341" s="374" t="s">
        <v>1563</v>
      </c>
      <c r="I341" s="374" t="str">
        <f>IFERROR(__xludf.DUMMYFUNCTION("""COMPUTED_VALUE"""),"POCP
A5
")</f>
        <v>POCP
A5
</v>
      </c>
      <c r="J341" s="378" t="str">
        <f t="shared" si="1"/>
        <v>pocp_a5</v>
      </c>
    </row>
    <row r="342">
      <c r="A342" s="374"/>
      <c r="B342" s="374"/>
      <c r="C342" s="374"/>
      <c r="D342" s="374"/>
      <c r="E342" s="374"/>
      <c r="F342" s="374"/>
      <c r="G342" s="374" t="s">
        <v>1165</v>
      </c>
      <c r="H342" s="374" t="s">
        <v>1564</v>
      </c>
      <c r="I342" s="374" t="str">
        <f>IFERROR(__xludf.DUMMYFUNCTION("""COMPUTED_VALUE"""),"POCP
B1
")</f>
        <v>POCP
B1
</v>
      </c>
      <c r="J342" s="378" t="str">
        <f t="shared" si="1"/>
        <v>pocp_b1</v>
      </c>
    </row>
    <row r="343">
      <c r="A343" s="374"/>
      <c r="B343" s="374"/>
      <c r="C343" s="374"/>
      <c r="D343" s="374"/>
      <c r="E343" s="374"/>
      <c r="F343" s="374"/>
      <c r="G343" s="374" t="s">
        <v>1166</v>
      </c>
      <c r="H343" s="374" t="s">
        <v>1565</v>
      </c>
      <c r="I343" s="374" t="str">
        <f>IFERROR(__xludf.DUMMYFUNCTION("""COMPUTED_VALUE"""),"POCP
B2
")</f>
        <v>POCP
B2
</v>
      </c>
      <c r="J343" s="378" t="str">
        <f t="shared" si="1"/>
        <v>pocp_b2</v>
      </c>
    </row>
    <row r="344">
      <c r="A344" s="374"/>
      <c r="B344" s="374"/>
      <c r="C344" s="374"/>
      <c r="D344" s="374"/>
      <c r="E344" s="374"/>
      <c r="F344" s="374"/>
      <c r="G344" s="374" t="s">
        <v>1167</v>
      </c>
      <c r="H344" s="374" t="s">
        <v>1566</v>
      </c>
      <c r="I344" s="374" t="str">
        <f>IFERROR(__xludf.DUMMYFUNCTION("""COMPUTED_VALUE"""),"POCP
B3
")</f>
        <v>POCP
B3
</v>
      </c>
      <c r="J344" s="378" t="str">
        <f t="shared" si="1"/>
        <v>pocp_b3</v>
      </c>
    </row>
    <row r="345">
      <c r="A345" s="374"/>
      <c r="B345" s="374"/>
      <c r="C345" s="374"/>
      <c r="D345" s="374"/>
      <c r="E345" s="374"/>
      <c r="F345" s="374"/>
      <c r="G345" s="374" t="s">
        <v>1168</v>
      </c>
      <c r="H345" s="374" t="s">
        <v>1567</v>
      </c>
      <c r="I345" s="374" t="str">
        <f>IFERROR(__xludf.DUMMYFUNCTION("""COMPUTED_VALUE"""),"POCP
B4
")</f>
        <v>POCP
B4
</v>
      </c>
      <c r="J345" s="378" t="str">
        <f t="shared" si="1"/>
        <v>pocp_b4</v>
      </c>
    </row>
    <row r="346">
      <c r="A346" s="374"/>
      <c r="B346" s="374"/>
      <c r="C346" s="374"/>
      <c r="D346" s="374"/>
      <c r="E346" s="374"/>
      <c r="F346" s="374"/>
      <c r="G346" s="374" t="s">
        <v>1169</v>
      </c>
      <c r="H346" s="374" t="s">
        <v>1568</v>
      </c>
      <c r="I346" s="374" t="str">
        <f>IFERROR(__xludf.DUMMYFUNCTION("""COMPUTED_VALUE"""),"POCP
B6
")</f>
        <v>POCP
B6
</v>
      </c>
      <c r="J346" s="378" t="str">
        <f t="shared" si="1"/>
        <v>pocp_b5</v>
      </c>
    </row>
    <row r="347">
      <c r="A347" s="374"/>
      <c r="B347" s="374"/>
      <c r="C347" s="374"/>
      <c r="D347" s="374"/>
      <c r="E347" s="374"/>
      <c r="F347" s="374"/>
      <c r="G347" s="374" t="s">
        <v>1170</v>
      </c>
      <c r="H347" s="374" t="s">
        <v>1569</v>
      </c>
      <c r="I347" s="374" t="str">
        <f>IFERROR(__xludf.DUMMYFUNCTION("""COMPUTED_VALUE"""),"POCP
C1
")</f>
        <v>POCP
C1
</v>
      </c>
      <c r="J347" s="378" t="str">
        <f t="shared" si="1"/>
        <v>pocp_c1</v>
      </c>
    </row>
    <row r="348">
      <c r="A348" s="374"/>
      <c r="B348" s="374"/>
      <c r="C348" s="374"/>
      <c r="D348" s="374"/>
      <c r="E348" s="374"/>
      <c r="F348" s="374"/>
      <c r="G348" s="374" t="s">
        <v>1171</v>
      </c>
      <c r="H348" s="374" t="s">
        <v>1570</v>
      </c>
      <c r="I348" s="374" t="str">
        <f>IFERROR(__xludf.DUMMYFUNCTION("""COMPUTED_VALUE"""),"POCP
C2
")</f>
        <v>POCP
C2
</v>
      </c>
      <c r="J348" s="378" t="str">
        <f t="shared" si="1"/>
        <v>pocp_c2</v>
      </c>
    </row>
    <row r="349">
      <c r="A349" s="374"/>
      <c r="B349" s="374"/>
      <c r="C349" s="374"/>
      <c r="D349" s="374"/>
      <c r="E349" s="374"/>
      <c r="F349" s="374"/>
      <c r="G349" s="374" t="s">
        <v>1172</v>
      </c>
      <c r="H349" s="374" t="s">
        <v>1571</v>
      </c>
      <c r="I349" s="374" t="str">
        <f>IFERROR(__xludf.DUMMYFUNCTION("""COMPUTED_VALUE"""),"POCP
C3
")</f>
        <v>POCP
C3
</v>
      </c>
      <c r="J349" s="378" t="str">
        <f t="shared" si="1"/>
        <v>pocp_c3</v>
      </c>
    </row>
    <row r="350">
      <c r="A350" s="374"/>
      <c r="B350" s="374"/>
      <c r="C350" s="374"/>
      <c r="D350" s="374"/>
      <c r="E350" s="374"/>
      <c r="F350" s="374"/>
      <c r="G350" s="374" t="s">
        <v>1173</v>
      </c>
      <c r="H350" s="374" t="s">
        <v>1572</v>
      </c>
      <c r="I350" s="374" t="str">
        <f>IFERROR(__xludf.DUMMYFUNCTION("""COMPUTED_VALUE"""),"POCP
C4
")</f>
        <v>POCP
C4
</v>
      </c>
      <c r="J350" s="378" t="str">
        <f t="shared" si="1"/>
        <v>pocp_c4</v>
      </c>
    </row>
    <row r="351">
      <c r="A351" s="374"/>
      <c r="B351" s="374"/>
      <c r="C351" s="374"/>
      <c r="D351" s="374"/>
      <c r="E351" s="374"/>
      <c r="F351" s="374"/>
      <c r="G351" s="374"/>
      <c r="H351" s="374"/>
      <c r="I351" s="374" t="str">
        <f>IFERROR(__xludf.DUMMYFUNCTION("""COMPUTED_VALUE"""),"POCP
D
")</f>
        <v>POCP
D
</v>
      </c>
      <c r="J351" s="378" t="str">
        <f t="shared" si="1"/>
        <v>pocp_d</v>
      </c>
    </row>
    <row r="352">
      <c r="A352" s="374"/>
      <c r="B352" s="374"/>
      <c r="C352" s="374"/>
      <c r="D352" s="374"/>
      <c r="E352" s="374"/>
      <c r="F352" s="374"/>
      <c r="G352" s="374"/>
      <c r="H352" s="374"/>
      <c r="I352" s="374" t="str">
        <f>IFERROR(__xludf.DUMMYFUNCTION("""COMPUTED_VALUE"""),"POCP
D1
")</f>
        <v>POCP
D1
</v>
      </c>
      <c r="J352" s="378" t="str">
        <f t="shared" si="1"/>
        <v>pocp_d1</v>
      </c>
    </row>
    <row r="353">
      <c r="A353" s="374"/>
      <c r="B353" s="374"/>
      <c r="C353" s="374"/>
      <c r="D353" s="374"/>
      <c r="E353" s="374"/>
      <c r="F353" s="374"/>
      <c r="G353" s="374"/>
      <c r="H353" s="374"/>
      <c r="I353" s="374" t="str">
        <f>IFERROR(__xludf.DUMMYFUNCTION("""COMPUTED_VALUE"""),"POCP
D2
")</f>
        <v>POCP
D2
</v>
      </c>
      <c r="J353" s="378" t="str">
        <f t="shared" si="1"/>
        <v>pocp_d2</v>
      </c>
    </row>
    <row r="354">
      <c r="A354" s="374"/>
      <c r="B354" s="374"/>
      <c r="C354" s="374"/>
      <c r="D354" s="374"/>
      <c r="E354" s="374"/>
      <c r="F354" s="374"/>
      <c r="G354" s="374"/>
      <c r="H354" s="374"/>
      <c r="I354" s="374" t="str">
        <f>IFERROR(__xludf.DUMMYFUNCTION("""COMPUTED_VALUE"""),"POCP
")</f>
        <v>POCP
</v>
      </c>
      <c r="J354" s="378" t="str">
        <f t="shared" si="1"/>
        <v>pocp_total</v>
      </c>
    </row>
    <row r="355">
      <c r="A355" s="374"/>
      <c r="B355" s="374"/>
      <c r="C355" s="374"/>
      <c r="D355" s="374"/>
      <c r="E355" s="374"/>
      <c r="F355" s="374"/>
      <c r="G355" s="374"/>
      <c r="H355" s="374"/>
      <c r="I355" s="374" t="str">
        <f>IFERROR(__xludf.DUMMYFUNCTION("""COMPUTED_VALUE"""),"SFP
A1-A3
")</f>
        <v>SFP
A1-A3
</v>
      </c>
      <c r="J355" s="378" t="str">
        <f t="shared" si="1"/>
        <v>sfp_a1-a3</v>
      </c>
    </row>
    <row r="356">
      <c r="A356" s="374"/>
      <c r="B356" s="374"/>
      <c r="C356" s="374"/>
      <c r="D356" s="374"/>
      <c r="E356" s="374"/>
      <c r="F356" s="374"/>
      <c r="G356" s="374"/>
      <c r="H356" s="374"/>
      <c r="I356" s="374" t="str">
        <f>IFERROR(__xludf.DUMMYFUNCTION("""COMPUTED_VALUE"""),"SFP
A4
")</f>
        <v>SFP
A4
</v>
      </c>
      <c r="J356" s="378" t="str">
        <f t="shared" si="1"/>
        <v>sfp_a4</v>
      </c>
    </row>
    <row r="357">
      <c r="A357" s="374"/>
      <c r="B357" s="374"/>
      <c r="C357" s="374"/>
      <c r="D357" s="374"/>
      <c r="E357" s="374"/>
      <c r="F357" s="374"/>
      <c r="G357" s="374"/>
      <c r="H357" s="374"/>
      <c r="I357" s="374" t="str">
        <f>IFERROR(__xludf.DUMMYFUNCTION("""COMPUTED_VALUE"""),"SFP
A5
")</f>
        <v>SFP
A5
</v>
      </c>
      <c r="J357" s="378" t="str">
        <f t="shared" si="1"/>
        <v>sfp_a5</v>
      </c>
    </row>
    <row r="358">
      <c r="A358" s="374"/>
      <c r="B358" s="374"/>
      <c r="C358" s="374"/>
      <c r="D358" s="374"/>
      <c r="E358" s="374"/>
      <c r="F358" s="374"/>
      <c r="G358" s="374"/>
      <c r="H358" s="374"/>
      <c r="I358" s="374" t="str">
        <f>IFERROR(__xludf.DUMMYFUNCTION("""COMPUTED_VALUE"""),"SFP
B1
")</f>
        <v>SFP
B1
</v>
      </c>
      <c r="J358" s="378" t="str">
        <f t="shared" si="1"/>
        <v>sfp_b1</v>
      </c>
    </row>
    <row r="359">
      <c r="A359" s="374"/>
      <c r="B359" s="374"/>
      <c r="C359" s="374"/>
      <c r="D359" s="374"/>
      <c r="E359" s="374"/>
      <c r="F359" s="374"/>
      <c r="G359" s="374"/>
      <c r="H359" s="374"/>
      <c r="I359" s="374" t="str">
        <f>IFERROR(__xludf.DUMMYFUNCTION("""COMPUTED_VALUE"""),"SFP
B2
")</f>
        <v>SFP
B2
</v>
      </c>
      <c r="J359" s="378" t="str">
        <f t="shared" si="1"/>
        <v>sfp_b2</v>
      </c>
    </row>
    <row r="360">
      <c r="A360" s="374"/>
      <c r="B360" s="374"/>
      <c r="C360" s="374"/>
      <c r="D360" s="374"/>
      <c r="E360" s="374"/>
      <c r="F360" s="374"/>
      <c r="G360" s="374"/>
      <c r="H360" s="374"/>
      <c r="I360" s="374" t="str">
        <f>IFERROR(__xludf.DUMMYFUNCTION("""COMPUTED_VALUE"""),"SFP
B3
")</f>
        <v>SFP
B3
</v>
      </c>
      <c r="J360" s="378" t="str">
        <f t="shared" si="1"/>
        <v>sfp_b3</v>
      </c>
    </row>
    <row r="361">
      <c r="A361" s="374"/>
      <c r="B361" s="374"/>
      <c r="C361" s="374"/>
      <c r="D361" s="374"/>
      <c r="E361" s="374"/>
      <c r="F361" s="374"/>
      <c r="G361" s="374"/>
      <c r="H361" s="374"/>
      <c r="I361" s="374" t="str">
        <f>IFERROR(__xludf.DUMMYFUNCTION("""COMPUTED_VALUE"""),"SFP
B4
")</f>
        <v>SFP
B4
</v>
      </c>
      <c r="J361" s="378" t="str">
        <f t="shared" si="1"/>
        <v>sfp_b4</v>
      </c>
    </row>
    <row r="362">
      <c r="A362" s="374"/>
      <c r="B362" s="374"/>
      <c r="C362" s="374"/>
      <c r="D362" s="374"/>
      <c r="E362" s="374"/>
      <c r="F362" s="374"/>
      <c r="G362" s="374"/>
      <c r="H362" s="374"/>
      <c r="I362" s="374" t="str">
        <f>IFERROR(__xludf.DUMMYFUNCTION("""COMPUTED_VALUE"""),"SFP
B6
")</f>
        <v>SFP
B6
</v>
      </c>
      <c r="J362" s="378" t="str">
        <f t="shared" si="1"/>
        <v>sfp_b5</v>
      </c>
    </row>
    <row r="363">
      <c r="A363" s="374"/>
      <c r="B363" s="374"/>
      <c r="C363" s="374"/>
      <c r="D363" s="374"/>
      <c r="E363" s="374"/>
      <c r="F363" s="374"/>
      <c r="G363" s="374"/>
      <c r="H363" s="374"/>
      <c r="I363" s="374" t="str">
        <f>IFERROR(__xludf.DUMMYFUNCTION("""COMPUTED_VALUE"""),"SFP
C1
")</f>
        <v>SFP
C1
</v>
      </c>
      <c r="J363" s="378" t="str">
        <f t="shared" si="1"/>
        <v>sfp_c1</v>
      </c>
    </row>
    <row r="364">
      <c r="A364" s="374"/>
      <c r="B364" s="374"/>
      <c r="C364" s="374"/>
      <c r="D364" s="374"/>
      <c r="E364" s="374"/>
      <c r="F364" s="374"/>
      <c r="G364" s="374"/>
      <c r="H364" s="374"/>
      <c r="I364" s="374" t="str">
        <f>IFERROR(__xludf.DUMMYFUNCTION("""COMPUTED_VALUE"""),"SFP
C2
")</f>
        <v>SFP
C2
</v>
      </c>
      <c r="J364" s="378" t="str">
        <f t="shared" si="1"/>
        <v>sfp_c2</v>
      </c>
    </row>
    <row r="365">
      <c r="A365" s="374"/>
      <c r="B365" s="374"/>
      <c r="C365" s="374"/>
      <c r="D365" s="374"/>
      <c r="E365" s="374"/>
      <c r="F365" s="374"/>
      <c r="G365" s="374"/>
      <c r="H365" s="374"/>
      <c r="I365" s="374" t="str">
        <f>IFERROR(__xludf.DUMMYFUNCTION("""COMPUTED_VALUE"""),"SFP
C3
")</f>
        <v>SFP
C3
</v>
      </c>
      <c r="J365" s="378" t="str">
        <f t="shared" si="1"/>
        <v>sfp_c3</v>
      </c>
    </row>
    <row r="366">
      <c r="A366" s="374"/>
      <c r="B366" s="374"/>
      <c r="C366" s="374"/>
      <c r="D366" s="374"/>
      <c r="E366" s="374"/>
      <c r="F366" s="374"/>
      <c r="G366" s="374"/>
      <c r="H366" s="374"/>
      <c r="I366" s="374" t="str">
        <f>IFERROR(__xludf.DUMMYFUNCTION("""COMPUTED_VALUE"""),"SFP
C4
")</f>
        <v>SFP
C4
</v>
      </c>
      <c r="J366" s="378" t="str">
        <f t="shared" si="1"/>
        <v>sfp_c4</v>
      </c>
    </row>
    <row r="367">
      <c r="A367" s="374"/>
      <c r="B367" s="374"/>
      <c r="C367" s="374"/>
      <c r="D367" s="374"/>
      <c r="E367" s="374"/>
      <c r="F367" s="374"/>
      <c r="G367" s="374"/>
      <c r="H367" s="374"/>
      <c r="I367" s="374" t="str">
        <f>IFERROR(__xludf.DUMMYFUNCTION("""COMPUTED_VALUE"""),"SFP
D
")</f>
        <v>SFP
D
</v>
      </c>
      <c r="J367" s="378" t="str">
        <f t="shared" si="1"/>
        <v>sfp_d</v>
      </c>
    </row>
    <row r="368">
      <c r="A368" s="374"/>
      <c r="B368" s="374"/>
      <c r="C368" s="374"/>
      <c r="D368" s="374"/>
      <c r="E368" s="374"/>
      <c r="F368" s="374"/>
      <c r="G368" s="374"/>
      <c r="H368" s="374"/>
      <c r="I368" s="374" t="str">
        <f>IFERROR(__xludf.DUMMYFUNCTION("""COMPUTED_VALUE"""),"SFP
D1
")</f>
        <v>SFP
D1
</v>
      </c>
      <c r="J368" s="378" t="str">
        <f t="shared" si="1"/>
        <v>sfp_d1</v>
      </c>
    </row>
    <row r="369">
      <c r="A369" s="374"/>
      <c r="B369" s="374"/>
      <c r="C369" s="374"/>
      <c r="D369" s="374"/>
      <c r="E369" s="374"/>
      <c r="F369" s="374"/>
      <c r="G369" s="374"/>
      <c r="H369" s="374"/>
      <c r="I369" s="374" t="str">
        <f>IFERROR(__xludf.DUMMYFUNCTION("""COMPUTED_VALUE"""),"SFP
D2
")</f>
        <v>SFP
D2
</v>
      </c>
      <c r="J369" s="378" t="str">
        <f t="shared" si="1"/>
        <v>sfp_d2</v>
      </c>
    </row>
    <row r="370">
      <c r="A370" s="374"/>
      <c r="B370" s="374"/>
      <c r="C370" s="374"/>
      <c r="D370" s="374"/>
      <c r="E370" s="374"/>
      <c r="F370" s="374"/>
      <c r="G370" s="374"/>
      <c r="H370" s="374"/>
      <c r="I370" s="374" t="str">
        <f>IFERROR(__xludf.DUMMYFUNCTION("""COMPUTED_VALUE"""),"SFP
")</f>
        <v>SFP
</v>
      </c>
      <c r="J370" s="378" t="str">
        <f t="shared" si="1"/>
        <v>sfp_total</v>
      </c>
    </row>
    <row r="371">
      <c r="A371" s="374"/>
      <c r="B371" s="374"/>
      <c r="C371" s="374"/>
      <c r="D371" s="374"/>
      <c r="E371" s="374"/>
      <c r="F371" s="374"/>
      <c r="G371" s="374"/>
      <c r="H371" s="374"/>
      <c r="I371" s="374" t="str">
        <f>IFERROR(__xludf.DUMMYFUNCTION("""COMPUTED_VALUE"""),"POFP
A1-A3
")</f>
        <v>POFP
A1-A3
</v>
      </c>
      <c r="J371" s="378" t="str">
        <f t="shared" si="1"/>
        <v>pofp_a1-a3</v>
      </c>
    </row>
    <row r="372">
      <c r="A372" s="374"/>
      <c r="B372" s="374"/>
      <c r="C372" s="374"/>
      <c r="D372" s="374"/>
      <c r="E372" s="374"/>
      <c r="F372" s="374"/>
      <c r="G372" s="374"/>
      <c r="H372" s="374"/>
      <c r="I372" s="374" t="str">
        <f>IFERROR(__xludf.DUMMYFUNCTION("""COMPUTED_VALUE"""),"POFP
A4
")</f>
        <v>POFP
A4
</v>
      </c>
      <c r="J372" s="378" t="str">
        <f t="shared" si="1"/>
        <v>pofp_a4</v>
      </c>
    </row>
    <row r="373">
      <c r="A373" s="374"/>
      <c r="B373" s="374"/>
      <c r="C373" s="374"/>
      <c r="D373" s="374"/>
      <c r="E373" s="374"/>
      <c r="F373" s="374"/>
      <c r="G373" s="374"/>
      <c r="H373" s="374"/>
      <c r="I373" s="374" t="str">
        <f>IFERROR(__xludf.DUMMYFUNCTION("""COMPUTED_VALUE"""),"POFP
A5
")</f>
        <v>POFP
A5
</v>
      </c>
      <c r="J373" s="378" t="str">
        <f t="shared" si="1"/>
        <v>pofp_a5</v>
      </c>
    </row>
    <row r="374">
      <c r="A374" s="374"/>
      <c r="B374" s="374"/>
      <c r="C374" s="374"/>
      <c r="D374" s="374"/>
      <c r="E374" s="374"/>
      <c r="F374" s="374"/>
      <c r="G374" s="374"/>
      <c r="H374" s="374"/>
      <c r="I374" s="374" t="str">
        <f>IFERROR(__xludf.DUMMYFUNCTION("""COMPUTED_VALUE"""),"POFP
B1
")</f>
        <v>POFP
B1
</v>
      </c>
      <c r="J374" s="378" t="str">
        <f t="shared" si="1"/>
        <v>pofp_b1</v>
      </c>
    </row>
    <row r="375">
      <c r="A375" s="374"/>
      <c r="B375" s="374"/>
      <c r="C375" s="374"/>
      <c r="D375" s="374"/>
      <c r="E375" s="374"/>
      <c r="F375" s="374"/>
      <c r="G375" s="374"/>
      <c r="H375" s="374"/>
      <c r="I375" s="374" t="str">
        <f>IFERROR(__xludf.DUMMYFUNCTION("""COMPUTED_VALUE"""),"POFP
B2
")</f>
        <v>POFP
B2
</v>
      </c>
      <c r="J375" s="378" t="str">
        <f t="shared" si="1"/>
        <v>pofp_b2</v>
      </c>
    </row>
    <row r="376">
      <c r="A376" s="374"/>
      <c r="B376" s="374"/>
      <c r="C376" s="374"/>
      <c r="D376" s="374"/>
      <c r="E376" s="374"/>
      <c r="F376" s="374"/>
      <c r="G376" s="374"/>
      <c r="H376" s="374"/>
      <c r="I376" s="374" t="str">
        <f>IFERROR(__xludf.DUMMYFUNCTION("""COMPUTED_VALUE"""),"POFP
B3
")</f>
        <v>POFP
B3
</v>
      </c>
      <c r="J376" s="378" t="str">
        <f t="shared" si="1"/>
        <v>pofp_b3</v>
      </c>
    </row>
    <row r="377">
      <c r="A377" s="374"/>
      <c r="B377" s="374"/>
      <c r="C377" s="374"/>
      <c r="D377" s="374"/>
      <c r="E377" s="374"/>
      <c r="F377" s="374"/>
      <c r="G377" s="374"/>
      <c r="H377" s="374"/>
      <c r="I377" s="374" t="str">
        <f>IFERROR(__xludf.DUMMYFUNCTION("""COMPUTED_VALUE"""),"POFP
B4
")</f>
        <v>POFP
B4
</v>
      </c>
      <c r="J377" s="378" t="str">
        <f t="shared" si="1"/>
        <v>pofp_b4</v>
      </c>
    </row>
    <row r="378">
      <c r="A378" s="374"/>
      <c r="B378" s="374"/>
      <c r="C378" s="374"/>
      <c r="D378" s="374"/>
      <c r="E378" s="374"/>
      <c r="F378" s="374"/>
      <c r="G378" s="374"/>
      <c r="H378" s="374"/>
      <c r="I378" s="374" t="str">
        <f>IFERROR(__xludf.DUMMYFUNCTION("""COMPUTED_VALUE"""),"POFP
B5
")</f>
        <v>POFP
B5
</v>
      </c>
      <c r="J378" s="378" t="str">
        <f t="shared" si="1"/>
        <v>pofp_b5</v>
      </c>
    </row>
    <row r="379">
      <c r="A379" s="374"/>
      <c r="B379" s="374"/>
      <c r="C379" s="374"/>
      <c r="D379" s="374"/>
      <c r="E379" s="374"/>
      <c r="F379" s="374"/>
      <c r="G379" s="374"/>
      <c r="H379" s="374"/>
      <c r="I379" s="374" t="str">
        <f>IFERROR(__xludf.DUMMYFUNCTION("""COMPUTED_VALUE"""),"POFP
B6
")</f>
        <v>POFP
B6
</v>
      </c>
      <c r="J379" s="378" t="str">
        <f t="shared" si="1"/>
        <v>pofp_b6</v>
      </c>
    </row>
    <row r="380">
      <c r="A380" s="374"/>
      <c r="B380" s="374"/>
      <c r="C380" s="374"/>
      <c r="D380" s="374"/>
      <c r="E380" s="374"/>
      <c r="F380" s="374"/>
      <c r="G380" s="374"/>
      <c r="H380" s="374"/>
      <c r="I380" s="374" t="str">
        <f>IFERROR(__xludf.DUMMYFUNCTION("""COMPUTED_VALUE"""),"POFP
C1
")</f>
        <v>POFP
C1
</v>
      </c>
      <c r="J380" s="378" t="str">
        <f t="shared" si="1"/>
        <v>pofp_c1</v>
      </c>
    </row>
    <row r="381">
      <c r="A381" s="374"/>
      <c r="B381" s="374"/>
      <c r="C381" s="374"/>
      <c r="D381" s="374"/>
      <c r="E381" s="374"/>
      <c r="F381" s="374"/>
      <c r="G381" s="374"/>
      <c r="H381" s="374"/>
      <c r="I381" s="374" t="str">
        <f>IFERROR(__xludf.DUMMYFUNCTION("""COMPUTED_VALUE"""),"POFP
C2
")</f>
        <v>POFP
C2
</v>
      </c>
      <c r="J381" s="378" t="str">
        <f t="shared" si="1"/>
        <v>pofp_c2</v>
      </c>
    </row>
    <row r="382">
      <c r="A382" s="374"/>
      <c r="B382" s="374"/>
      <c r="C382" s="374"/>
      <c r="D382" s="374"/>
      <c r="E382" s="374"/>
      <c r="F382" s="374"/>
      <c r="G382" s="374"/>
      <c r="H382" s="374"/>
      <c r="I382" s="374" t="str">
        <f>IFERROR(__xludf.DUMMYFUNCTION("""COMPUTED_VALUE"""),"POFP
C3
")</f>
        <v>POFP
C3
</v>
      </c>
      <c r="J382" s="378" t="str">
        <f t="shared" si="1"/>
        <v>pofp_c3</v>
      </c>
    </row>
    <row r="383">
      <c r="A383" s="374"/>
      <c r="B383" s="374"/>
      <c r="C383" s="374"/>
      <c r="D383" s="374"/>
      <c r="E383" s="374"/>
      <c r="F383" s="374"/>
      <c r="G383" s="374"/>
      <c r="H383" s="374"/>
      <c r="I383" s="374" t="str">
        <f>IFERROR(__xludf.DUMMYFUNCTION("""COMPUTED_VALUE"""),"POFP
C4
")</f>
        <v>POFP
C4
</v>
      </c>
      <c r="J383" s="378" t="str">
        <f t="shared" si="1"/>
        <v>pofp_c4</v>
      </c>
    </row>
    <row r="384">
      <c r="A384" s="374"/>
      <c r="B384" s="374"/>
      <c r="C384" s="374"/>
      <c r="D384" s="374"/>
      <c r="E384" s="374"/>
      <c r="F384" s="374"/>
      <c r="G384" s="374"/>
      <c r="H384" s="374"/>
      <c r="I384" s="374" t="str">
        <f>IFERROR(__xludf.DUMMYFUNCTION("""COMPUTED_VALUE"""),"POFP
D
")</f>
        <v>POFP
D
</v>
      </c>
      <c r="J384" s="378" t="str">
        <f t="shared" si="1"/>
        <v>pofp_d</v>
      </c>
    </row>
    <row r="385">
      <c r="A385" s="374"/>
      <c r="B385" s="374"/>
      <c r="C385" s="374"/>
      <c r="D385" s="374"/>
      <c r="E385" s="374"/>
      <c r="F385" s="374"/>
      <c r="G385" s="374"/>
      <c r="H385" s="374"/>
      <c r="I385" s="374" t="str">
        <f>IFERROR(__xludf.DUMMYFUNCTION("""COMPUTED_VALUE"""),"POFP
D1
")</f>
        <v>POFP
D1
</v>
      </c>
      <c r="J385" s="378" t="str">
        <f t="shared" si="1"/>
        <v>pofp_d1</v>
      </c>
    </row>
    <row r="386">
      <c r="A386" s="374"/>
      <c r="B386" s="374"/>
      <c r="C386" s="374"/>
      <c r="D386" s="374"/>
      <c r="E386" s="374"/>
      <c r="F386" s="374"/>
      <c r="G386" s="374"/>
      <c r="H386" s="374"/>
      <c r="I386" s="374" t="str">
        <f>IFERROR(__xludf.DUMMYFUNCTION("""COMPUTED_VALUE"""),"POFP
D2
")</f>
        <v>POFP
D2
</v>
      </c>
      <c r="J386" s="378" t="str">
        <f t="shared" si="1"/>
        <v>pofp_d2</v>
      </c>
    </row>
    <row r="387">
      <c r="A387" s="374"/>
      <c r="B387" s="374"/>
      <c r="C387" s="374"/>
      <c r="D387" s="374"/>
      <c r="E387" s="374"/>
      <c r="F387" s="374"/>
      <c r="G387" s="374"/>
      <c r="H387" s="374"/>
      <c r="I387" s="374" t="str">
        <f>IFERROR(__xludf.DUMMYFUNCTION("""COMPUTED_VALUE"""),"POFP
")</f>
        <v>POFP
</v>
      </c>
      <c r="J387" s="378" t="str">
        <f t="shared" si="1"/>
        <v>pofp_total</v>
      </c>
    </row>
    <row r="388">
      <c r="A388" s="374"/>
      <c r="B388" s="374"/>
      <c r="C388" s="374"/>
      <c r="D388" s="374"/>
      <c r="E388" s="374"/>
      <c r="F388" s="374"/>
      <c r="G388" s="374"/>
      <c r="H388" s="374"/>
      <c r="I388" s="374" t="str">
        <f>IFERROR(__xludf.DUMMYFUNCTION("""COMPUTED_VALUE"""),"ADPmm
A1-A3")</f>
        <v>ADPmm
A1-A3</v>
      </c>
      <c r="J388" s="378" t="str">
        <f t="shared" si="1"/>
        <v>adpmm_a1-a3</v>
      </c>
    </row>
    <row r="389">
      <c r="A389" s="374"/>
      <c r="B389" s="374"/>
      <c r="C389" s="374"/>
      <c r="D389" s="374"/>
      <c r="E389" s="374"/>
      <c r="F389" s="374"/>
      <c r="G389" s="374"/>
      <c r="H389" s="374"/>
      <c r="I389" s="374" t="str">
        <f>IFERROR(__xludf.DUMMYFUNCTION("""COMPUTED_VALUE"""),"ADPmm
A4
")</f>
        <v>ADPmm
A4
</v>
      </c>
      <c r="J389" s="378" t="str">
        <f t="shared" si="1"/>
        <v>adpmm_a4</v>
      </c>
    </row>
    <row r="390">
      <c r="A390" s="374"/>
      <c r="B390" s="374"/>
      <c r="C390" s="374"/>
      <c r="D390" s="374"/>
      <c r="E390" s="374"/>
      <c r="F390" s="374"/>
      <c r="G390" s="374"/>
      <c r="H390" s="374"/>
      <c r="I390" s="374" t="str">
        <f>IFERROR(__xludf.DUMMYFUNCTION("""COMPUTED_VALUE"""),"ARDP  - Minerals and Metals
A5
")</f>
        <v>ARDP  - Minerals and Metals
A5
</v>
      </c>
      <c r="J390" s="378" t="str">
        <f t="shared" si="1"/>
        <v>adpmm_a5</v>
      </c>
    </row>
    <row r="391">
      <c r="A391" s="374"/>
      <c r="B391" s="374"/>
      <c r="C391" s="374"/>
      <c r="D391" s="374"/>
      <c r="E391" s="374"/>
      <c r="F391" s="374"/>
      <c r="G391" s="374"/>
      <c r="H391" s="374"/>
      <c r="I391" s="374" t="str">
        <f>IFERROR(__xludf.DUMMYFUNCTION("""COMPUTED_VALUE"""),"ADPmm
B1
")</f>
        <v>ADPmm
B1
</v>
      </c>
      <c r="J391" s="378" t="str">
        <f t="shared" si="1"/>
        <v>adpmm_b1</v>
      </c>
    </row>
    <row r="392">
      <c r="A392" s="374"/>
      <c r="B392" s="374"/>
      <c r="C392" s="374"/>
      <c r="D392" s="374"/>
      <c r="E392" s="374"/>
      <c r="F392" s="374"/>
      <c r="G392" s="374"/>
      <c r="H392" s="374"/>
      <c r="I392" s="374" t="str">
        <f>IFERROR(__xludf.DUMMYFUNCTION("""COMPUTED_VALUE"""),"ADPmm
B2
")</f>
        <v>ADPmm
B2
</v>
      </c>
      <c r="J392" s="378" t="str">
        <f t="shared" si="1"/>
        <v>adpmm_b2</v>
      </c>
    </row>
    <row r="393">
      <c r="A393" s="374"/>
      <c r="B393" s="374"/>
      <c r="C393" s="374"/>
      <c r="D393" s="374"/>
      <c r="E393" s="374"/>
      <c r="F393" s="374"/>
      <c r="G393" s="374"/>
      <c r="H393" s="374"/>
      <c r="I393" s="374" t="str">
        <f>IFERROR(__xludf.DUMMYFUNCTION("""COMPUTED_VALUE"""),"ADPmm
B3
")</f>
        <v>ADPmm
B3
</v>
      </c>
      <c r="J393" s="378" t="str">
        <f t="shared" si="1"/>
        <v>adpmm_b3</v>
      </c>
    </row>
    <row r="394">
      <c r="A394" s="374"/>
      <c r="B394" s="374"/>
      <c r="C394" s="374"/>
      <c r="D394" s="374"/>
      <c r="E394" s="374"/>
      <c r="F394" s="374"/>
      <c r="G394" s="374"/>
      <c r="H394" s="374"/>
      <c r="I394" s="374" t="str">
        <f>IFERROR(__xludf.DUMMYFUNCTION("""COMPUTED_VALUE"""),"ADPmm
B4
")</f>
        <v>ADPmm
B4
</v>
      </c>
      <c r="J394" s="378" t="str">
        <f t="shared" si="1"/>
        <v>adpmm_b4</v>
      </c>
    </row>
    <row r="395">
      <c r="A395" s="374"/>
      <c r="B395" s="374"/>
      <c r="C395" s="374"/>
      <c r="D395" s="374"/>
      <c r="E395" s="374"/>
      <c r="F395" s="374"/>
      <c r="G395" s="374"/>
      <c r="H395" s="374"/>
      <c r="I395" s="374" t="str">
        <f>IFERROR(__xludf.DUMMYFUNCTION("""COMPUTED_VALUE"""),"ADPmm
B5
")</f>
        <v>ADPmm
B5
</v>
      </c>
      <c r="J395" s="378" t="str">
        <f t="shared" si="1"/>
        <v>adpmm_b5</v>
      </c>
    </row>
    <row r="396">
      <c r="A396" s="374"/>
      <c r="B396" s="374"/>
      <c r="C396" s="374"/>
      <c r="D396" s="374"/>
      <c r="E396" s="374"/>
      <c r="F396" s="374"/>
      <c r="G396" s="374"/>
      <c r="H396" s="374"/>
      <c r="I396" s="374" t="str">
        <f>IFERROR(__xludf.DUMMYFUNCTION("""COMPUTED_VALUE"""),"ADPmm
B6
")</f>
        <v>ADPmm
B6
</v>
      </c>
      <c r="J396" s="378" t="str">
        <f t="shared" si="1"/>
        <v>adpmm_b6</v>
      </c>
    </row>
    <row r="397">
      <c r="A397" s="374"/>
      <c r="B397" s="374"/>
      <c r="C397" s="374"/>
      <c r="D397" s="374"/>
      <c r="E397" s="374"/>
      <c r="F397" s="374"/>
      <c r="G397" s="374"/>
      <c r="H397" s="374"/>
      <c r="I397" s="374" t="str">
        <f>IFERROR(__xludf.DUMMYFUNCTION("""COMPUTED_VALUE"""),"ADPmm
C1
")</f>
        <v>ADPmm
C1
</v>
      </c>
      <c r="J397" s="378" t="str">
        <f t="shared" si="1"/>
        <v>adpmm_c1</v>
      </c>
    </row>
    <row r="398">
      <c r="A398" s="374"/>
      <c r="B398" s="374"/>
      <c r="C398" s="374"/>
      <c r="D398" s="374"/>
      <c r="E398" s="374"/>
      <c r="F398" s="374"/>
      <c r="G398" s="374"/>
      <c r="H398" s="374"/>
      <c r="I398" s="374" t="str">
        <f>IFERROR(__xludf.DUMMYFUNCTION("""COMPUTED_VALUE"""),"ADPmm
C2
")</f>
        <v>ADPmm
C2
</v>
      </c>
      <c r="J398" s="378" t="str">
        <f t="shared" si="1"/>
        <v>adpmm_c2</v>
      </c>
    </row>
    <row r="399">
      <c r="A399" s="374"/>
      <c r="B399" s="374"/>
      <c r="C399" s="374"/>
      <c r="D399" s="374"/>
      <c r="E399" s="374"/>
      <c r="F399" s="374"/>
      <c r="G399" s="374"/>
      <c r="H399" s="374"/>
      <c r="I399" s="374" t="str">
        <f>IFERROR(__xludf.DUMMYFUNCTION("""COMPUTED_VALUE"""),"ADPmm
C3
")</f>
        <v>ADPmm
C3
</v>
      </c>
      <c r="J399" s="378" t="str">
        <f t="shared" si="1"/>
        <v>adpmm_c3</v>
      </c>
    </row>
    <row r="400">
      <c r="A400" s="374"/>
      <c r="B400" s="374"/>
      <c r="C400" s="374"/>
      <c r="D400" s="374"/>
      <c r="E400" s="374"/>
      <c r="F400" s="374"/>
      <c r="G400" s="374"/>
      <c r="H400" s="374"/>
      <c r="I400" s="374" t="str">
        <f>IFERROR(__xludf.DUMMYFUNCTION("""COMPUTED_VALUE"""),"ADPmm
C4
")</f>
        <v>ADPmm
C4
</v>
      </c>
      <c r="J400" s="378" t="str">
        <f t="shared" si="1"/>
        <v>adpmm_c4</v>
      </c>
    </row>
    <row r="401">
      <c r="A401" s="374"/>
      <c r="B401" s="374"/>
      <c r="C401" s="374"/>
      <c r="D401" s="374"/>
      <c r="E401" s="374"/>
      <c r="F401" s="374"/>
      <c r="G401" s="374"/>
      <c r="H401" s="374"/>
      <c r="I401" s="374" t="str">
        <f>IFERROR(__xludf.DUMMYFUNCTION("""COMPUTED_VALUE"""),"ADPmm
D
")</f>
        <v>ADPmm
D
</v>
      </c>
      <c r="J401" s="378" t="str">
        <f t="shared" si="1"/>
        <v>adpmm_d</v>
      </c>
    </row>
    <row r="402">
      <c r="A402" s="374"/>
      <c r="B402" s="374"/>
      <c r="C402" s="374"/>
      <c r="D402" s="374"/>
      <c r="E402" s="374"/>
      <c r="F402" s="374"/>
      <c r="G402" s="374"/>
      <c r="H402" s="374"/>
      <c r="I402" s="374" t="str">
        <f>IFERROR(__xludf.DUMMYFUNCTION("""COMPUTED_VALUE"""),"ADPmm
D1
")</f>
        <v>ADPmm
D1
</v>
      </c>
      <c r="J402" s="378" t="str">
        <f t="shared" si="1"/>
        <v>adpmm_d1</v>
      </c>
    </row>
    <row r="403">
      <c r="A403" s="374"/>
      <c r="B403" s="374"/>
      <c r="C403" s="374"/>
      <c r="D403" s="374"/>
      <c r="E403" s="374"/>
      <c r="F403" s="374"/>
      <c r="G403" s="374"/>
      <c r="H403" s="374"/>
      <c r="I403" s="374" t="str">
        <f>IFERROR(__xludf.DUMMYFUNCTION("""COMPUTED_VALUE"""),"ADPmm
D2
")</f>
        <v>ADPmm
D2
</v>
      </c>
      <c r="J403" s="378" t="str">
        <f t="shared" si="1"/>
        <v>adpmm_d2</v>
      </c>
    </row>
    <row r="404">
      <c r="A404" s="374"/>
      <c r="B404" s="374"/>
      <c r="C404" s="374"/>
      <c r="D404" s="374"/>
      <c r="E404" s="374"/>
      <c r="F404" s="374"/>
      <c r="G404" s="374"/>
      <c r="H404" s="374"/>
      <c r="I404" s="374" t="str">
        <f>IFERROR(__xludf.DUMMYFUNCTION("""COMPUTED_VALUE"""),"ADPmm
")</f>
        <v>ADPmm
</v>
      </c>
      <c r="J404" s="378" t="str">
        <f t="shared" si="1"/>
        <v>adpmm_total</v>
      </c>
    </row>
    <row r="405">
      <c r="A405" s="374"/>
      <c r="B405" s="374"/>
      <c r="C405" s="374"/>
      <c r="D405" s="374"/>
      <c r="E405" s="374"/>
      <c r="F405" s="374"/>
      <c r="G405" s="374"/>
      <c r="H405" s="374"/>
      <c r="I405" s="374" t="str">
        <f>IFERROR(__xludf.DUMMYFUNCTION("""COMPUTED_VALUE"""),"ADPf
A1-A3
")</f>
        <v>ADPf
A1-A3
</v>
      </c>
      <c r="J405" s="378" t="str">
        <f t="shared" si="1"/>
        <v>adpf_a1-a3</v>
      </c>
    </row>
    <row r="406">
      <c r="A406" s="374"/>
      <c r="B406" s="374"/>
      <c r="C406" s="374"/>
      <c r="D406" s="374"/>
      <c r="E406" s="374"/>
      <c r="F406" s="374"/>
      <c r="G406" s="374"/>
      <c r="H406" s="374"/>
      <c r="I406" s="374" t="str">
        <f>IFERROR(__xludf.DUMMYFUNCTION("""COMPUTED_VALUE"""),"ADPf
A4
")</f>
        <v>ADPf
A4
</v>
      </c>
      <c r="J406" s="378" t="str">
        <f t="shared" si="1"/>
        <v>adpf_a4</v>
      </c>
    </row>
    <row r="407">
      <c r="A407" s="374"/>
      <c r="B407" s="374"/>
      <c r="C407" s="374"/>
      <c r="D407" s="374"/>
      <c r="E407" s="374"/>
      <c r="F407" s="374"/>
      <c r="G407" s="374"/>
      <c r="H407" s="374"/>
      <c r="I407" s="374" t="str">
        <f>IFERROR(__xludf.DUMMYFUNCTION("""COMPUTED_VALUE"""),"ADPf
A5
")</f>
        <v>ADPf
A5
</v>
      </c>
      <c r="J407" s="378" t="str">
        <f t="shared" si="1"/>
        <v>adpf_a5</v>
      </c>
    </row>
    <row r="408">
      <c r="A408" s="374"/>
      <c r="B408" s="374"/>
      <c r="C408" s="374"/>
      <c r="D408" s="374"/>
      <c r="E408" s="374"/>
      <c r="F408" s="374"/>
      <c r="G408" s="374"/>
      <c r="H408" s="374"/>
      <c r="I408" s="374" t="str">
        <f>IFERROR(__xludf.DUMMYFUNCTION("""COMPUTED_VALUE"""),"ADPf
B1
")</f>
        <v>ADPf
B1
</v>
      </c>
      <c r="J408" s="378" t="str">
        <f t="shared" si="1"/>
        <v>adpf_b1</v>
      </c>
    </row>
    <row r="409">
      <c r="A409" s="374"/>
      <c r="B409" s="374"/>
      <c r="C409" s="374"/>
      <c r="D409" s="374"/>
      <c r="E409" s="374"/>
      <c r="F409" s="374"/>
      <c r="G409" s="374"/>
      <c r="H409" s="374"/>
      <c r="I409" s="374" t="str">
        <f>IFERROR(__xludf.DUMMYFUNCTION("""COMPUTED_VALUE"""),"ADPf
B2
")</f>
        <v>ADPf
B2
</v>
      </c>
      <c r="J409" s="378" t="str">
        <f t="shared" si="1"/>
        <v>adpf_b2</v>
      </c>
    </row>
    <row r="410">
      <c r="A410" s="374"/>
      <c r="B410" s="374"/>
      <c r="C410" s="374"/>
      <c r="D410" s="374"/>
      <c r="E410" s="374"/>
      <c r="F410" s="374"/>
      <c r="G410" s="374"/>
      <c r="H410" s="374"/>
      <c r="I410" s="374" t="str">
        <f>IFERROR(__xludf.DUMMYFUNCTION("""COMPUTED_VALUE"""),"ADPf
B3
")</f>
        <v>ADPf
B3
</v>
      </c>
      <c r="J410" s="378" t="str">
        <f t="shared" si="1"/>
        <v>adpf_b3</v>
      </c>
    </row>
    <row r="411">
      <c r="A411" s="374"/>
      <c r="B411" s="374"/>
      <c r="C411" s="374"/>
      <c r="D411" s="374"/>
      <c r="E411" s="374"/>
      <c r="F411" s="374"/>
      <c r="G411" s="374"/>
      <c r="H411" s="374"/>
      <c r="I411" s="374" t="str">
        <f>IFERROR(__xludf.DUMMYFUNCTION("""COMPUTED_VALUE"""),"ADPf
B4
")</f>
        <v>ADPf
B4
</v>
      </c>
      <c r="J411" s="378" t="str">
        <f t="shared" si="1"/>
        <v>adpf_b4</v>
      </c>
    </row>
    <row r="412">
      <c r="A412" s="374"/>
      <c r="B412" s="374"/>
      <c r="C412" s="374"/>
      <c r="D412" s="374"/>
      <c r="E412" s="374"/>
      <c r="F412" s="374"/>
      <c r="G412" s="374"/>
      <c r="H412" s="374"/>
      <c r="I412" s="374" t="str">
        <f>IFERROR(__xludf.DUMMYFUNCTION("""COMPUTED_VALUE"""),"ADPf
B5
")</f>
        <v>ADPf
B5
</v>
      </c>
      <c r="J412" s="378" t="str">
        <f t="shared" si="1"/>
        <v>adpf_b5</v>
      </c>
    </row>
    <row r="413">
      <c r="A413" s="374"/>
      <c r="B413" s="374"/>
      <c r="C413" s="374"/>
      <c r="D413" s="374"/>
      <c r="E413" s="374"/>
      <c r="F413" s="374"/>
      <c r="G413" s="374"/>
      <c r="H413" s="374"/>
      <c r="I413" s="374" t="str">
        <f>IFERROR(__xludf.DUMMYFUNCTION("""COMPUTED_VALUE"""),"ADPf
B6
")</f>
        <v>ADPf
B6
</v>
      </c>
      <c r="J413" s="378" t="str">
        <f t="shared" si="1"/>
        <v>adpf_b6</v>
      </c>
    </row>
    <row r="414">
      <c r="A414" s="374"/>
      <c r="B414" s="374"/>
      <c r="C414" s="374"/>
      <c r="D414" s="374"/>
      <c r="E414" s="374"/>
      <c r="F414" s="374"/>
      <c r="G414" s="374"/>
      <c r="H414" s="374"/>
      <c r="I414" s="374" t="str">
        <f>IFERROR(__xludf.DUMMYFUNCTION("""COMPUTED_VALUE"""),"ADPf
C1
")</f>
        <v>ADPf
C1
</v>
      </c>
      <c r="J414" s="378" t="str">
        <f t="shared" si="1"/>
        <v>adpf_c1</v>
      </c>
    </row>
    <row r="415">
      <c r="A415" s="374"/>
      <c r="B415" s="374"/>
      <c r="C415" s="374"/>
      <c r="D415" s="374"/>
      <c r="E415" s="374"/>
      <c r="F415" s="374"/>
      <c r="G415" s="374"/>
      <c r="H415" s="374"/>
      <c r="I415" s="374" t="str">
        <f>IFERROR(__xludf.DUMMYFUNCTION("""COMPUTED_VALUE"""),"ADPf
C2
")</f>
        <v>ADPf
C2
</v>
      </c>
      <c r="J415" s="378" t="str">
        <f t="shared" si="1"/>
        <v>adpf_c2</v>
      </c>
    </row>
    <row r="416">
      <c r="A416" s="374"/>
      <c r="B416" s="374"/>
      <c r="C416" s="374"/>
      <c r="D416" s="374"/>
      <c r="E416" s="374"/>
      <c r="F416" s="374"/>
      <c r="G416" s="374"/>
      <c r="H416" s="374"/>
      <c r="I416" s="374" t="str">
        <f>IFERROR(__xludf.DUMMYFUNCTION("""COMPUTED_VALUE"""),"ADPf
C3
")</f>
        <v>ADPf
C3
</v>
      </c>
      <c r="J416" s="378" t="str">
        <f t="shared" si="1"/>
        <v>adpf_c3</v>
      </c>
    </row>
    <row r="417">
      <c r="A417" s="374"/>
      <c r="B417" s="374"/>
      <c r="C417" s="374"/>
      <c r="D417" s="374"/>
      <c r="E417" s="374"/>
      <c r="F417" s="374"/>
      <c r="G417" s="374"/>
      <c r="H417" s="374"/>
      <c r="I417" s="374" t="str">
        <f>IFERROR(__xludf.DUMMYFUNCTION("""COMPUTED_VALUE"""),"ADPf
C4
")</f>
        <v>ADPf
C4
</v>
      </c>
      <c r="J417" s="378" t="str">
        <f t="shared" si="1"/>
        <v>adpf_c4</v>
      </c>
    </row>
    <row r="418">
      <c r="A418" s="374"/>
      <c r="B418" s="374"/>
      <c r="C418" s="374"/>
      <c r="D418" s="374"/>
      <c r="E418" s="374"/>
      <c r="F418" s="374"/>
      <c r="G418" s="374"/>
      <c r="H418" s="374"/>
      <c r="I418" s="374" t="str">
        <f>IFERROR(__xludf.DUMMYFUNCTION("""COMPUTED_VALUE"""),"ADPf
D
")</f>
        <v>ADPf
D
</v>
      </c>
      <c r="J418" s="378" t="str">
        <f t="shared" si="1"/>
        <v>adpf_d</v>
      </c>
    </row>
    <row r="419">
      <c r="A419" s="374"/>
      <c r="B419" s="374"/>
      <c r="C419" s="374"/>
      <c r="D419" s="374"/>
      <c r="E419" s="374"/>
      <c r="F419" s="374"/>
      <c r="G419" s="374"/>
      <c r="H419" s="374"/>
      <c r="I419" s="374" t="str">
        <f>IFERROR(__xludf.DUMMYFUNCTION("""COMPUTED_VALUE"""),"ADPf
D1
")</f>
        <v>ADPf
D1
</v>
      </c>
      <c r="J419" s="378" t="str">
        <f t="shared" si="1"/>
        <v>adpf_d1</v>
      </c>
    </row>
    <row r="420">
      <c r="A420" s="374"/>
      <c r="B420" s="374"/>
      <c r="C420" s="374"/>
      <c r="D420" s="374"/>
      <c r="E420" s="374"/>
      <c r="F420" s="374"/>
      <c r="G420" s="374"/>
      <c r="H420" s="374"/>
      <c r="I420" s="374" t="str">
        <f>IFERROR(__xludf.DUMMYFUNCTION("""COMPUTED_VALUE"""),"ADPf
D2
")</f>
        <v>ADPf
D2
</v>
      </c>
      <c r="J420" s="378" t="str">
        <f t="shared" si="1"/>
        <v>adpf_d2</v>
      </c>
    </row>
    <row r="421">
      <c r="A421" s="374"/>
      <c r="B421" s="374"/>
      <c r="C421" s="374"/>
      <c r="D421" s="374"/>
      <c r="E421" s="374"/>
      <c r="F421" s="374"/>
      <c r="G421" s="374"/>
      <c r="H421" s="374"/>
      <c r="I421" s="374" t="str">
        <f>IFERROR(__xludf.DUMMYFUNCTION("""COMPUTED_VALUE"""),"ADPf
")</f>
        <v>ADPf
</v>
      </c>
      <c r="J421" s="378" t="str">
        <f t="shared" si="1"/>
        <v>adpf_total</v>
      </c>
    </row>
    <row r="422">
      <c r="A422" s="374"/>
      <c r="B422" s="374"/>
      <c r="C422" s="374"/>
      <c r="D422" s="374"/>
      <c r="E422" s="374"/>
      <c r="F422" s="374"/>
      <c r="G422" s="374"/>
      <c r="H422" s="374"/>
      <c r="I422" s="374" t="str">
        <f>IFERROR(__xludf.DUMMYFUNCTION("""COMPUTED_VALUE"""),"WDP
A1-A3
")</f>
        <v>WDP
A1-A3
</v>
      </c>
      <c r="J422" s="378" t="str">
        <f t="shared" si="1"/>
        <v>wdp_a1-a3</v>
      </c>
    </row>
    <row r="423">
      <c r="A423" s="374"/>
      <c r="B423" s="374"/>
      <c r="C423" s="374"/>
      <c r="D423" s="374"/>
      <c r="E423" s="374"/>
      <c r="F423" s="374"/>
      <c r="G423" s="374"/>
      <c r="H423" s="374"/>
      <c r="I423" s="374" t="str">
        <f>IFERROR(__xludf.DUMMYFUNCTION("""COMPUTED_VALUE"""),"WDP
A4
")</f>
        <v>WDP
A4
</v>
      </c>
      <c r="J423" s="378" t="str">
        <f t="shared" si="1"/>
        <v>wdp_a4</v>
      </c>
    </row>
    <row r="424">
      <c r="A424" s="374"/>
      <c r="B424" s="374"/>
      <c r="C424" s="374"/>
      <c r="D424" s="374"/>
      <c r="E424" s="374"/>
      <c r="F424" s="374"/>
      <c r="G424" s="374"/>
      <c r="H424" s="374"/>
      <c r="I424" s="374" t="str">
        <f>IFERROR(__xludf.DUMMYFUNCTION("""COMPUTED_VALUE"""),"WDP
A5
")</f>
        <v>WDP
A5
</v>
      </c>
      <c r="J424" s="378" t="str">
        <f t="shared" si="1"/>
        <v>wdp_a5</v>
      </c>
    </row>
    <row r="425">
      <c r="A425" s="374"/>
      <c r="B425" s="374"/>
      <c r="C425" s="374"/>
      <c r="D425" s="374"/>
      <c r="E425" s="374"/>
      <c r="F425" s="374"/>
      <c r="G425" s="374"/>
      <c r="H425" s="374"/>
      <c r="I425" s="374" t="str">
        <f>IFERROR(__xludf.DUMMYFUNCTION("""COMPUTED_VALUE"""),"WDP
B1")</f>
        <v>WDP
B1</v>
      </c>
      <c r="J425" s="378" t="str">
        <f t="shared" si="1"/>
        <v>wdp_b1</v>
      </c>
    </row>
    <row r="426">
      <c r="A426" s="374"/>
      <c r="B426" s="374"/>
      <c r="C426" s="374"/>
      <c r="D426" s="374"/>
      <c r="E426" s="374"/>
      <c r="F426" s="374"/>
      <c r="G426" s="374"/>
      <c r="H426" s="374"/>
      <c r="I426" s="374" t="str">
        <f>IFERROR(__xludf.DUMMYFUNCTION("""COMPUTED_VALUE"""),"WDP
B2
")</f>
        <v>WDP
B2
</v>
      </c>
      <c r="J426" s="378" t="str">
        <f t="shared" si="1"/>
        <v>wdp_b2</v>
      </c>
    </row>
    <row r="427">
      <c r="A427" s="374"/>
      <c r="B427" s="374"/>
      <c r="C427" s="374"/>
      <c r="D427" s="374"/>
      <c r="E427" s="374"/>
      <c r="F427" s="374"/>
      <c r="G427" s="374"/>
      <c r="H427" s="374"/>
      <c r="I427" s="374" t="str">
        <f>IFERROR(__xludf.DUMMYFUNCTION("""COMPUTED_VALUE"""),"WDP
B3
")</f>
        <v>WDP
B3
</v>
      </c>
      <c r="J427" s="378" t="str">
        <f t="shared" si="1"/>
        <v>wdp_b3</v>
      </c>
    </row>
    <row r="428">
      <c r="A428" s="374"/>
      <c r="B428" s="374"/>
      <c r="C428" s="374"/>
      <c r="D428" s="374"/>
      <c r="E428" s="374"/>
      <c r="F428" s="374"/>
      <c r="G428" s="374"/>
      <c r="H428" s="374"/>
      <c r="I428" s="374" t="str">
        <f>IFERROR(__xludf.DUMMYFUNCTION("""COMPUTED_VALUE"""),"WDP
B4
")</f>
        <v>WDP
B4
</v>
      </c>
      <c r="J428" s="378" t="str">
        <f t="shared" si="1"/>
        <v>wdp_b4</v>
      </c>
    </row>
    <row r="429">
      <c r="A429" s="374"/>
      <c r="B429" s="374"/>
      <c r="C429" s="374"/>
      <c r="D429" s="374"/>
      <c r="E429" s="374"/>
      <c r="F429" s="374"/>
      <c r="G429" s="374"/>
      <c r="H429" s="374"/>
      <c r="I429" s="374" t="str">
        <f>IFERROR(__xludf.DUMMYFUNCTION("""COMPUTED_VALUE"""),"WDP
B5
")</f>
        <v>WDP
B5
</v>
      </c>
      <c r="J429" s="378" t="str">
        <f t="shared" si="1"/>
        <v>wdp_b5</v>
      </c>
    </row>
    <row r="430">
      <c r="A430" s="374"/>
      <c r="B430" s="374"/>
      <c r="C430" s="374"/>
      <c r="D430" s="374"/>
      <c r="E430" s="374"/>
      <c r="F430" s="374"/>
      <c r="G430" s="374"/>
      <c r="H430" s="374"/>
      <c r="I430" s="374" t="str">
        <f>IFERROR(__xludf.DUMMYFUNCTION("""COMPUTED_VALUE"""),"WDP
B6
")</f>
        <v>WDP
B6
</v>
      </c>
      <c r="J430" s="378" t="str">
        <f t="shared" si="1"/>
        <v>wdp_b6</v>
      </c>
    </row>
    <row r="431">
      <c r="A431" s="374"/>
      <c r="B431" s="374"/>
      <c r="C431" s="374"/>
      <c r="D431" s="374"/>
      <c r="E431" s="374"/>
      <c r="F431" s="374"/>
      <c r="G431" s="374"/>
      <c r="H431" s="374"/>
      <c r="I431" s="374" t="str">
        <f>IFERROR(__xludf.DUMMYFUNCTION("""COMPUTED_VALUE"""),"WDP
C1
")</f>
        <v>WDP
C1
</v>
      </c>
      <c r="J431" s="378" t="str">
        <f t="shared" si="1"/>
        <v>wdp_c1</v>
      </c>
    </row>
    <row r="432">
      <c r="A432" s="374"/>
      <c r="B432" s="374"/>
      <c r="C432" s="374"/>
      <c r="D432" s="374"/>
      <c r="E432" s="374"/>
      <c r="F432" s="374"/>
      <c r="G432" s="374"/>
      <c r="H432" s="374"/>
      <c r="I432" s="374" t="str">
        <f>IFERROR(__xludf.DUMMYFUNCTION("""COMPUTED_VALUE"""),"WDP
C2
")</f>
        <v>WDP
C2
</v>
      </c>
      <c r="J432" s="378" t="str">
        <f t="shared" si="1"/>
        <v>wdp_c2</v>
      </c>
    </row>
    <row r="433">
      <c r="A433" s="374"/>
      <c r="B433" s="374"/>
      <c r="C433" s="374"/>
      <c r="D433" s="374"/>
      <c r="E433" s="374"/>
      <c r="F433" s="374"/>
      <c r="G433" s="374"/>
      <c r="H433" s="374"/>
      <c r="I433" s="374" t="str">
        <f>IFERROR(__xludf.DUMMYFUNCTION("""COMPUTED_VALUE"""),"WDP
C3
")</f>
        <v>WDP
C3
</v>
      </c>
      <c r="J433" s="378" t="str">
        <f t="shared" si="1"/>
        <v>wdp_c3</v>
      </c>
    </row>
    <row r="434">
      <c r="A434" s="374"/>
      <c r="B434" s="374"/>
      <c r="C434" s="374"/>
      <c r="D434" s="374"/>
      <c r="E434" s="374"/>
      <c r="F434" s="374"/>
      <c r="G434" s="374"/>
      <c r="H434" s="374"/>
      <c r="I434" s="374" t="str">
        <f>IFERROR(__xludf.DUMMYFUNCTION("""COMPUTED_VALUE"""),"WDP
C4
")</f>
        <v>WDP
C4
</v>
      </c>
      <c r="J434" s="378" t="str">
        <f t="shared" si="1"/>
        <v>wdp_c4</v>
      </c>
    </row>
    <row r="435">
      <c r="A435" s="374"/>
      <c r="B435" s="374"/>
      <c r="C435" s="374"/>
      <c r="D435" s="374"/>
      <c r="E435" s="374"/>
      <c r="F435" s="374"/>
      <c r="G435" s="374"/>
      <c r="H435" s="374"/>
      <c r="I435" s="374" t="str">
        <f>IFERROR(__xludf.DUMMYFUNCTION("""COMPUTED_VALUE"""),"WDP
D")</f>
        <v>WDP
D</v>
      </c>
      <c r="J435" s="378" t="str">
        <f t="shared" si="1"/>
        <v>wdp_d</v>
      </c>
    </row>
    <row r="436">
      <c r="A436" s="374"/>
      <c r="B436" s="374"/>
      <c r="C436" s="374"/>
      <c r="D436" s="374"/>
      <c r="E436" s="374"/>
      <c r="F436" s="374"/>
      <c r="G436" s="374"/>
      <c r="H436" s="374"/>
      <c r="I436" s="374" t="str">
        <f>IFERROR(__xludf.DUMMYFUNCTION("""COMPUTED_VALUE"""),"WDP
D1")</f>
        <v>WDP
D1</v>
      </c>
      <c r="J436" s="378" t="str">
        <f t="shared" si="1"/>
        <v>wdp_d1</v>
      </c>
    </row>
    <row r="437">
      <c r="A437" s="374"/>
      <c r="B437" s="374"/>
      <c r="C437" s="374"/>
      <c r="D437" s="374"/>
      <c r="E437" s="374"/>
      <c r="F437" s="374"/>
      <c r="G437" s="374"/>
      <c r="H437" s="374"/>
      <c r="I437" s="374" t="str">
        <f>IFERROR(__xludf.DUMMYFUNCTION("""COMPUTED_VALUE"""),"WDP
D2")</f>
        <v>WDP
D2</v>
      </c>
      <c r="J437" s="378" t="str">
        <f t="shared" si="1"/>
        <v>wdp_d2</v>
      </c>
    </row>
    <row r="438">
      <c r="A438" s="374"/>
      <c r="B438" s="374"/>
      <c r="C438" s="374"/>
      <c r="D438" s="374"/>
      <c r="E438" s="374"/>
      <c r="F438" s="374"/>
      <c r="G438" s="374"/>
      <c r="H438" s="374"/>
      <c r="I438" s="374" t="str">
        <f>IFERROR(__xludf.DUMMYFUNCTION("""COMPUTED_VALUE"""),"WDP
")</f>
        <v>WDP
</v>
      </c>
      <c r="J438" s="378" t="str">
        <f t="shared" si="1"/>
        <v>wdp_total</v>
      </c>
    </row>
    <row r="439">
      <c r="A439" s="374"/>
      <c r="B439" s="374"/>
      <c r="C439" s="374"/>
      <c r="D439" s="374"/>
      <c r="E439" s="374"/>
      <c r="F439" s="374"/>
      <c r="G439" s="374"/>
      <c r="H439" s="374"/>
      <c r="I439" s="374" t="str">
        <f>IFERROR(__xludf.DUMMYFUNCTION("""COMPUTED_VALUE"""),"PERE
A1-A3
")</f>
        <v>PERE
A1-A3
</v>
      </c>
      <c r="J439" s="378" t="str">
        <f t="shared" si="1"/>
        <v>pere_a1-a3</v>
      </c>
    </row>
    <row r="440">
      <c r="A440" s="374"/>
      <c r="B440" s="374"/>
      <c r="C440" s="374"/>
      <c r="D440" s="374"/>
      <c r="E440" s="374"/>
      <c r="F440" s="374"/>
      <c r="G440" s="374"/>
      <c r="H440" s="374"/>
      <c r="I440" s="374" t="str">
        <f>IFERROR(__xludf.DUMMYFUNCTION("""COMPUTED_VALUE"""),"PERE
A4
")</f>
        <v>PERE
A4
</v>
      </c>
      <c r="J440" s="378" t="str">
        <f t="shared" si="1"/>
        <v>pere_a4</v>
      </c>
    </row>
    <row r="441">
      <c r="A441" s="374"/>
      <c r="B441" s="374"/>
      <c r="C441" s="374"/>
      <c r="D441" s="374"/>
      <c r="E441" s="374"/>
      <c r="F441" s="374"/>
      <c r="G441" s="374"/>
      <c r="H441" s="374"/>
      <c r="I441" s="374" t="str">
        <f>IFERROR(__xludf.DUMMYFUNCTION("""COMPUTED_VALUE"""),"PERE
A5
")</f>
        <v>PERE
A5
</v>
      </c>
      <c r="J441" s="378" t="str">
        <f t="shared" si="1"/>
        <v>pere_a5</v>
      </c>
    </row>
    <row r="442">
      <c r="A442" s="374"/>
      <c r="B442" s="374"/>
      <c r="C442" s="374"/>
      <c r="D442" s="374"/>
      <c r="E442" s="374"/>
      <c r="F442" s="374"/>
      <c r="G442" s="374"/>
      <c r="H442" s="374"/>
      <c r="I442" s="374" t="str">
        <f>IFERROR(__xludf.DUMMYFUNCTION("""COMPUTED_VALUE"""),"PERE
B1")</f>
        <v>PERE
B1</v>
      </c>
      <c r="J442" s="378" t="str">
        <f t="shared" si="1"/>
        <v>pere_b1</v>
      </c>
    </row>
    <row r="443">
      <c r="A443" s="374"/>
      <c r="B443" s="374"/>
      <c r="C443" s="374"/>
      <c r="D443" s="374"/>
      <c r="E443" s="374"/>
      <c r="F443" s="374"/>
      <c r="G443" s="374"/>
      <c r="H443" s="374"/>
      <c r="I443" s="374" t="str">
        <f>IFERROR(__xludf.DUMMYFUNCTION("""COMPUTED_VALUE"""),"PERE
B2
")</f>
        <v>PERE
B2
</v>
      </c>
      <c r="J443" s="378" t="str">
        <f t="shared" si="1"/>
        <v>pere_b2</v>
      </c>
    </row>
    <row r="444">
      <c r="A444" s="374"/>
      <c r="B444" s="374"/>
      <c r="C444" s="374"/>
      <c r="D444" s="374"/>
      <c r="E444" s="374"/>
      <c r="F444" s="374"/>
      <c r="G444" s="374"/>
      <c r="H444" s="374"/>
      <c r="I444" s="374" t="str">
        <f>IFERROR(__xludf.DUMMYFUNCTION("""COMPUTED_VALUE"""),"PERE
B3
")</f>
        <v>PERE
B3
</v>
      </c>
      <c r="J444" s="378" t="str">
        <f t="shared" si="1"/>
        <v>pere_b3</v>
      </c>
    </row>
    <row r="445">
      <c r="A445" s="374"/>
      <c r="B445" s="374"/>
      <c r="C445" s="374"/>
      <c r="D445" s="374"/>
      <c r="E445" s="374"/>
      <c r="F445" s="374"/>
      <c r="G445" s="374"/>
      <c r="H445" s="374"/>
      <c r="I445" s="374" t="str">
        <f>IFERROR(__xludf.DUMMYFUNCTION("""COMPUTED_VALUE"""),"PERE
B4
")</f>
        <v>PERE
B4
</v>
      </c>
      <c r="J445" s="378" t="str">
        <f t="shared" si="1"/>
        <v>pere_b4</v>
      </c>
    </row>
    <row r="446">
      <c r="A446" s="374"/>
      <c r="B446" s="374"/>
      <c r="C446" s="374"/>
      <c r="D446" s="374"/>
      <c r="E446" s="374"/>
      <c r="F446" s="374"/>
      <c r="G446" s="374"/>
      <c r="H446" s="374"/>
      <c r="I446" s="374" t="str">
        <f>IFERROR(__xludf.DUMMYFUNCTION("""COMPUTED_VALUE"""),"PERE
B5
")</f>
        <v>PERE
B5
</v>
      </c>
      <c r="J446" s="378" t="str">
        <f t="shared" si="1"/>
        <v>pere_b5</v>
      </c>
    </row>
    <row r="447">
      <c r="A447" s="374"/>
      <c r="B447" s="374"/>
      <c r="C447" s="374"/>
      <c r="D447" s="374"/>
      <c r="E447" s="374"/>
      <c r="F447" s="374"/>
      <c r="G447" s="374"/>
      <c r="H447" s="374"/>
      <c r="I447" s="374" t="str">
        <f>IFERROR(__xludf.DUMMYFUNCTION("""COMPUTED_VALUE"""),"PERE
B6
")</f>
        <v>PERE
B6
</v>
      </c>
      <c r="J447" s="378" t="str">
        <f t="shared" si="1"/>
        <v>pere_b6</v>
      </c>
    </row>
    <row r="448">
      <c r="A448" s="374"/>
      <c r="B448" s="374"/>
      <c r="C448" s="374"/>
      <c r="D448" s="374"/>
      <c r="E448" s="374"/>
      <c r="F448" s="374"/>
      <c r="G448" s="374"/>
      <c r="H448" s="374"/>
      <c r="I448" s="374" t="str">
        <f>IFERROR(__xludf.DUMMYFUNCTION("""COMPUTED_VALUE"""),"PERE
C1
")</f>
        <v>PERE
C1
</v>
      </c>
      <c r="J448" s="378" t="str">
        <f t="shared" si="1"/>
        <v>pere_c1</v>
      </c>
    </row>
    <row r="449">
      <c r="A449" s="374"/>
      <c r="B449" s="374"/>
      <c r="C449" s="374"/>
      <c r="D449" s="374"/>
      <c r="E449" s="374"/>
      <c r="F449" s="374"/>
      <c r="G449" s="374"/>
      <c r="H449" s="374"/>
      <c r="I449" s="374" t="str">
        <f>IFERROR(__xludf.DUMMYFUNCTION("""COMPUTED_VALUE"""),"PERE
C2
")</f>
        <v>PERE
C2
</v>
      </c>
      <c r="J449" s="378" t="str">
        <f t="shared" si="1"/>
        <v>pere_c2</v>
      </c>
    </row>
    <row r="450">
      <c r="A450" s="374"/>
      <c r="B450" s="374"/>
      <c r="C450" s="374"/>
      <c r="D450" s="374"/>
      <c r="E450" s="374"/>
      <c r="F450" s="374"/>
      <c r="G450" s="374"/>
      <c r="H450" s="374"/>
      <c r="I450" s="374" t="str">
        <f>IFERROR(__xludf.DUMMYFUNCTION("""COMPUTED_VALUE"""),"PERE
C3
")</f>
        <v>PERE
C3
</v>
      </c>
      <c r="J450" s="378" t="str">
        <f t="shared" si="1"/>
        <v>pere_c3</v>
      </c>
    </row>
    <row r="451">
      <c r="A451" s="374"/>
      <c r="B451" s="374"/>
      <c r="C451" s="374"/>
      <c r="D451" s="374"/>
      <c r="E451" s="374"/>
      <c r="F451" s="374"/>
      <c r="G451" s="374"/>
      <c r="H451" s="374"/>
      <c r="I451" s="374" t="str">
        <f>IFERROR(__xludf.DUMMYFUNCTION("""COMPUTED_VALUE"""),"PERE
C4
")</f>
        <v>PERE
C4
</v>
      </c>
      <c r="J451" s="378" t="str">
        <f t="shared" si="1"/>
        <v>pere_c4</v>
      </c>
    </row>
    <row r="452">
      <c r="A452" s="374"/>
      <c r="B452" s="374"/>
      <c r="C452" s="374"/>
      <c r="D452" s="374"/>
      <c r="E452" s="374"/>
      <c r="F452" s="374"/>
      <c r="G452" s="374"/>
      <c r="H452" s="374"/>
      <c r="I452" s="374" t="str">
        <f>IFERROR(__xludf.DUMMYFUNCTION("""COMPUTED_VALUE"""),"PERE
D")</f>
        <v>PERE
D</v>
      </c>
      <c r="J452" s="378" t="str">
        <f t="shared" si="1"/>
        <v>pere_d</v>
      </c>
    </row>
    <row r="453">
      <c r="A453" s="374"/>
      <c r="B453" s="374"/>
      <c r="C453" s="374"/>
      <c r="D453" s="374"/>
      <c r="E453" s="374"/>
      <c r="F453" s="374"/>
      <c r="G453" s="374"/>
      <c r="H453" s="374"/>
      <c r="I453" s="374" t="str">
        <f>IFERROR(__xludf.DUMMYFUNCTION("""COMPUTED_VALUE"""),"PERE
D1")</f>
        <v>PERE
D1</v>
      </c>
      <c r="J453" s="378" t="str">
        <f t="shared" si="1"/>
        <v>pere_d1</v>
      </c>
    </row>
    <row r="454">
      <c r="A454" s="374"/>
      <c r="B454" s="374"/>
      <c r="C454" s="374"/>
      <c r="D454" s="374"/>
      <c r="E454" s="374"/>
      <c r="F454" s="374"/>
      <c r="G454" s="374"/>
      <c r="H454" s="374"/>
      <c r="I454" s="374" t="str">
        <f>IFERROR(__xludf.DUMMYFUNCTION("""COMPUTED_VALUE"""),"PERE
D2")</f>
        <v>PERE
D2</v>
      </c>
      <c r="J454" s="378" t="str">
        <f t="shared" si="1"/>
        <v>pere_d2</v>
      </c>
    </row>
    <row r="455">
      <c r="A455" s="374"/>
      <c r="B455" s="374"/>
      <c r="C455" s="374"/>
      <c r="D455" s="374"/>
      <c r="E455" s="374"/>
      <c r="F455" s="374"/>
      <c r="G455" s="374"/>
      <c r="H455" s="374"/>
      <c r="I455" s="374" t="str">
        <f>IFERROR(__xludf.DUMMYFUNCTION("""COMPUTED_VALUE"""),"PERE
")</f>
        <v>PERE
</v>
      </c>
      <c r="J455" s="378" t="str">
        <f t="shared" si="1"/>
        <v>pere_total</v>
      </c>
    </row>
    <row r="456">
      <c r="A456" s="374"/>
      <c r="B456" s="374"/>
      <c r="C456" s="374"/>
      <c r="D456" s="374"/>
      <c r="E456" s="374"/>
      <c r="F456" s="374"/>
      <c r="G456" s="374"/>
      <c r="H456" s="374"/>
      <c r="I456" s="374" t="str">
        <f>IFERROR(__xludf.DUMMYFUNCTION("""COMPUTED_VALUE"""),"PENRE
A1-A3
")</f>
        <v>PENRE
A1-A3
</v>
      </c>
      <c r="J456" s="378" t="str">
        <f t="shared" si="1"/>
        <v>penre_a1-a3</v>
      </c>
    </row>
    <row r="457">
      <c r="A457" s="374"/>
      <c r="B457" s="374"/>
      <c r="C457" s="374"/>
      <c r="D457" s="374"/>
      <c r="E457" s="374"/>
      <c r="F457" s="374"/>
      <c r="G457" s="374"/>
      <c r="H457" s="374"/>
      <c r="I457" s="374" t="str">
        <f>IFERROR(__xludf.DUMMYFUNCTION("""COMPUTED_VALUE"""),"PENRE
A4
")</f>
        <v>PENRE
A4
</v>
      </c>
      <c r="J457" s="378" t="str">
        <f t="shared" si="1"/>
        <v>penre_a4</v>
      </c>
    </row>
    <row r="458">
      <c r="A458" s="374"/>
      <c r="B458" s="374"/>
      <c r="C458" s="374"/>
      <c r="D458" s="374"/>
      <c r="E458" s="374"/>
      <c r="F458" s="374"/>
      <c r="G458" s="374"/>
      <c r="H458" s="374"/>
      <c r="I458" s="374" t="str">
        <f>IFERROR(__xludf.DUMMYFUNCTION("""COMPUTED_VALUE"""),"PENRE
A5
")</f>
        <v>PENRE
A5
</v>
      </c>
      <c r="J458" s="378" t="str">
        <f t="shared" si="1"/>
        <v>penre_a5</v>
      </c>
    </row>
    <row r="459">
      <c r="A459" s="374"/>
      <c r="B459" s="374"/>
      <c r="C459" s="374"/>
      <c r="D459" s="374"/>
      <c r="E459" s="374"/>
      <c r="F459" s="374"/>
      <c r="G459" s="374"/>
      <c r="H459" s="374"/>
      <c r="I459" s="374" t="str">
        <f>IFERROR(__xludf.DUMMYFUNCTION("""COMPUTED_VALUE"""),"PENRE
B1")</f>
        <v>PENRE
B1</v>
      </c>
      <c r="J459" s="378" t="str">
        <f t="shared" si="1"/>
        <v>penre_b1</v>
      </c>
    </row>
    <row r="460">
      <c r="A460" s="374"/>
      <c r="B460" s="374"/>
      <c r="C460" s="374"/>
      <c r="D460" s="374"/>
      <c r="E460" s="374"/>
      <c r="F460" s="374"/>
      <c r="G460" s="374"/>
      <c r="H460" s="374"/>
      <c r="I460" s="374" t="str">
        <f>IFERROR(__xludf.DUMMYFUNCTION("""COMPUTED_VALUE"""),"PENRE
B2
")</f>
        <v>PENRE
B2
</v>
      </c>
      <c r="J460" s="378" t="str">
        <f t="shared" si="1"/>
        <v>penre_b2</v>
      </c>
    </row>
    <row r="461">
      <c r="A461" s="374"/>
      <c r="B461" s="374"/>
      <c r="C461" s="374"/>
      <c r="D461" s="374"/>
      <c r="E461" s="374"/>
      <c r="F461" s="374"/>
      <c r="G461" s="374"/>
      <c r="H461" s="374"/>
      <c r="I461" s="374" t="str">
        <f>IFERROR(__xludf.DUMMYFUNCTION("""COMPUTED_VALUE"""),"PENRE
B3
")</f>
        <v>PENRE
B3
</v>
      </c>
      <c r="J461" s="378" t="str">
        <f t="shared" si="1"/>
        <v>penre_b3</v>
      </c>
    </row>
    <row r="462">
      <c r="A462" s="374"/>
      <c r="B462" s="374"/>
      <c r="C462" s="374"/>
      <c r="D462" s="374"/>
      <c r="E462" s="374"/>
      <c r="F462" s="374"/>
      <c r="G462" s="374"/>
      <c r="H462" s="374"/>
      <c r="I462" s="374" t="str">
        <f>IFERROR(__xludf.DUMMYFUNCTION("""COMPUTED_VALUE"""),"PENRE
B4
")</f>
        <v>PENRE
B4
</v>
      </c>
      <c r="J462" s="378" t="str">
        <f t="shared" si="1"/>
        <v>penre_b4</v>
      </c>
    </row>
    <row r="463">
      <c r="A463" s="374"/>
      <c r="B463" s="374"/>
      <c r="C463" s="374"/>
      <c r="D463" s="374"/>
      <c r="E463" s="374"/>
      <c r="F463" s="374"/>
      <c r="G463" s="374"/>
      <c r="H463" s="374"/>
      <c r="I463" s="374" t="str">
        <f>IFERROR(__xludf.DUMMYFUNCTION("""COMPUTED_VALUE"""),"PENRE
B5
")</f>
        <v>PENRE
B5
</v>
      </c>
      <c r="J463" s="378" t="str">
        <f t="shared" si="1"/>
        <v>penre_b5</v>
      </c>
    </row>
    <row r="464">
      <c r="A464" s="374"/>
      <c r="B464" s="374"/>
      <c r="C464" s="374"/>
      <c r="D464" s="374"/>
      <c r="E464" s="374"/>
      <c r="F464" s="374"/>
      <c r="G464" s="374"/>
      <c r="H464" s="374"/>
      <c r="I464" s="374" t="str">
        <f>IFERROR(__xludf.DUMMYFUNCTION("""COMPUTED_VALUE"""),"PENRE
B6
")</f>
        <v>PENRE
B6
</v>
      </c>
      <c r="J464" s="378" t="str">
        <f t="shared" si="1"/>
        <v>penre_b6</v>
      </c>
    </row>
    <row r="465">
      <c r="A465" s="374"/>
      <c r="B465" s="374"/>
      <c r="C465" s="374"/>
      <c r="D465" s="374"/>
      <c r="E465" s="374"/>
      <c r="F465" s="374"/>
      <c r="G465" s="374"/>
      <c r="H465" s="374"/>
      <c r="I465" s="374" t="str">
        <f>IFERROR(__xludf.DUMMYFUNCTION("""COMPUTED_VALUE"""),"PENRE
C1
")</f>
        <v>PENRE
C1
</v>
      </c>
      <c r="J465" s="378" t="str">
        <f t="shared" si="1"/>
        <v>penre_c1</v>
      </c>
    </row>
    <row r="466">
      <c r="A466" s="374"/>
      <c r="B466" s="374"/>
      <c r="C466" s="374"/>
      <c r="D466" s="374"/>
      <c r="E466" s="374"/>
      <c r="F466" s="374"/>
      <c r="G466" s="374"/>
      <c r="H466" s="374"/>
      <c r="I466" s="374" t="str">
        <f>IFERROR(__xludf.DUMMYFUNCTION("""COMPUTED_VALUE"""),"PENRE
C2
")</f>
        <v>PENRE
C2
</v>
      </c>
      <c r="J466" s="378" t="str">
        <f t="shared" si="1"/>
        <v>penre_c2</v>
      </c>
    </row>
    <row r="467">
      <c r="A467" s="374"/>
      <c r="B467" s="374"/>
      <c r="C467" s="374"/>
      <c r="D467" s="374"/>
      <c r="E467" s="374"/>
      <c r="F467" s="374"/>
      <c r="G467" s="374"/>
      <c r="H467" s="374"/>
      <c r="I467" s="374" t="str">
        <f>IFERROR(__xludf.DUMMYFUNCTION("""COMPUTED_VALUE"""),"PENRE
C3
")</f>
        <v>PENRE
C3
</v>
      </c>
      <c r="J467" s="378" t="str">
        <f t="shared" si="1"/>
        <v>penre_c3</v>
      </c>
    </row>
    <row r="468">
      <c r="A468" s="374"/>
      <c r="B468" s="374"/>
      <c r="C468" s="374"/>
      <c r="D468" s="374"/>
      <c r="E468" s="374"/>
      <c r="F468" s="374"/>
      <c r="G468" s="374"/>
      <c r="H468" s="374"/>
      <c r="I468" s="374" t="str">
        <f>IFERROR(__xludf.DUMMYFUNCTION("""COMPUTED_VALUE"""),"PENRE
C4
")</f>
        <v>PENRE
C4
</v>
      </c>
      <c r="J468" s="378" t="str">
        <f t="shared" si="1"/>
        <v>penre_c4</v>
      </c>
    </row>
    <row r="469">
      <c r="A469" s="374"/>
      <c r="B469" s="374"/>
      <c r="C469" s="374"/>
      <c r="D469" s="374"/>
      <c r="E469" s="374"/>
      <c r="F469" s="374"/>
      <c r="G469" s="374"/>
      <c r="H469" s="374"/>
      <c r="I469" s="374" t="str">
        <f>IFERROR(__xludf.DUMMYFUNCTION("""COMPUTED_VALUE"""),"PENRE
D")</f>
        <v>PENRE
D</v>
      </c>
      <c r="J469" s="378" t="str">
        <f t="shared" si="1"/>
        <v>penre_d</v>
      </c>
    </row>
    <row r="470">
      <c r="A470" s="374"/>
      <c r="B470" s="374"/>
      <c r="C470" s="374"/>
      <c r="D470" s="374"/>
      <c r="E470" s="374"/>
      <c r="F470" s="374"/>
      <c r="G470" s="374"/>
      <c r="H470" s="374"/>
      <c r="I470" s="374" t="str">
        <f>IFERROR(__xludf.DUMMYFUNCTION("""COMPUTED_VALUE"""),"PENRE
D1")</f>
        <v>PENRE
D1</v>
      </c>
      <c r="J470" s="378" t="str">
        <f t="shared" si="1"/>
        <v>penre_d1</v>
      </c>
    </row>
    <row r="471">
      <c r="A471" s="374"/>
      <c r="B471" s="374"/>
      <c r="C471" s="374"/>
      <c r="D471" s="374"/>
      <c r="E471" s="374"/>
      <c r="F471" s="374"/>
      <c r="G471" s="374"/>
      <c r="H471" s="374"/>
      <c r="I471" s="374" t="str">
        <f>IFERROR(__xludf.DUMMYFUNCTION("""COMPUTED_VALUE"""),"PENRE
D2")</f>
        <v>PENRE
D2</v>
      </c>
      <c r="J471" s="378" t="str">
        <f t="shared" si="1"/>
        <v>penre_d2</v>
      </c>
    </row>
    <row r="472">
      <c r="A472" s="374"/>
      <c r="B472" s="374"/>
      <c r="C472" s="374"/>
      <c r="D472" s="374"/>
      <c r="E472" s="374"/>
      <c r="F472" s="374"/>
      <c r="G472" s="374"/>
      <c r="H472" s="374"/>
      <c r="I472" s="374" t="str">
        <f>IFERROR(__xludf.DUMMYFUNCTION("""COMPUTED_VALUE"""),"PENRE
")</f>
        <v>PENRE
</v>
      </c>
      <c r="J472" s="378" t="str">
        <f t="shared" si="1"/>
        <v>penre_total</v>
      </c>
    </row>
    <row r="473">
      <c r="A473" s="374"/>
      <c r="B473" s="374"/>
      <c r="C473" s="374"/>
      <c r="D473" s="374"/>
      <c r="E473" s="374"/>
      <c r="F473" s="374"/>
      <c r="G473" s="374"/>
      <c r="H473" s="374"/>
      <c r="I473" s="374" t="str">
        <f>IFERROR(__xludf.DUMMYFUNCTION("""COMPUTED_VALUE"""),"PERT
A1-A3
")</f>
        <v>PERT
A1-A3
</v>
      </c>
      <c r="J473" s="378" t="str">
        <f t="shared" si="1"/>
        <v>pert_a1-a3</v>
      </c>
    </row>
    <row r="474">
      <c r="A474" s="374"/>
      <c r="B474" s="374"/>
      <c r="C474" s="374"/>
      <c r="D474" s="374"/>
      <c r="E474" s="374"/>
      <c r="F474" s="374"/>
      <c r="G474" s="374"/>
      <c r="H474" s="374"/>
      <c r="I474" s="374" t="str">
        <f>IFERROR(__xludf.DUMMYFUNCTION("""COMPUTED_VALUE"""),"PERT
A4
")</f>
        <v>PERT
A4
</v>
      </c>
      <c r="J474" s="378" t="str">
        <f t="shared" si="1"/>
        <v>pert_a4</v>
      </c>
    </row>
    <row r="475">
      <c r="A475" s="374"/>
      <c r="B475" s="374"/>
      <c r="C475" s="374"/>
      <c r="D475" s="374"/>
      <c r="E475" s="374"/>
      <c r="F475" s="374"/>
      <c r="G475" s="374"/>
      <c r="H475" s="374"/>
      <c r="I475" s="374" t="str">
        <f>IFERROR(__xludf.DUMMYFUNCTION("""COMPUTED_VALUE"""),"PERT
A5
")</f>
        <v>PERT
A5
</v>
      </c>
      <c r="J475" s="378" t="str">
        <f t="shared" si="1"/>
        <v>pert_a5</v>
      </c>
    </row>
    <row r="476">
      <c r="A476" s="374"/>
      <c r="B476" s="374"/>
      <c r="C476" s="374"/>
      <c r="D476" s="374"/>
      <c r="E476" s="374"/>
      <c r="F476" s="374"/>
      <c r="G476" s="374"/>
      <c r="H476" s="374"/>
      <c r="I476" s="374" t="str">
        <f>IFERROR(__xludf.DUMMYFUNCTION("""COMPUTED_VALUE"""),"PERT
B1")</f>
        <v>PERT
B1</v>
      </c>
      <c r="J476" s="378" t="str">
        <f t="shared" si="1"/>
        <v>pert_b1</v>
      </c>
    </row>
    <row r="477">
      <c r="A477" s="374"/>
      <c r="B477" s="374"/>
      <c r="C477" s="374"/>
      <c r="D477" s="374"/>
      <c r="E477" s="374"/>
      <c r="F477" s="374"/>
      <c r="G477" s="374"/>
      <c r="H477" s="374"/>
      <c r="I477" s="374" t="str">
        <f>IFERROR(__xludf.DUMMYFUNCTION("""COMPUTED_VALUE"""),"PERT
B2
")</f>
        <v>PERT
B2
</v>
      </c>
      <c r="J477" s="378" t="str">
        <f t="shared" si="1"/>
        <v>pert_b2</v>
      </c>
    </row>
    <row r="478">
      <c r="A478" s="374"/>
      <c r="B478" s="374"/>
      <c r="C478" s="374"/>
      <c r="D478" s="374"/>
      <c r="E478" s="374"/>
      <c r="F478" s="374"/>
      <c r="G478" s="374"/>
      <c r="H478" s="374"/>
      <c r="I478" s="374" t="str">
        <f>IFERROR(__xludf.DUMMYFUNCTION("""COMPUTED_VALUE"""),"PERT
B3
")</f>
        <v>PERT
B3
</v>
      </c>
      <c r="J478" s="378" t="str">
        <f t="shared" si="1"/>
        <v>pert_b3</v>
      </c>
    </row>
    <row r="479">
      <c r="A479" s="374"/>
      <c r="B479" s="374"/>
      <c r="C479" s="374"/>
      <c r="D479" s="374"/>
      <c r="E479" s="374"/>
      <c r="F479" s="374"/>
      <c r="G479" s="374"/>
      <c r="H479" s="374"/>
      <c r="I479" s="374" t="str">
        <f>IFERROR(__xludf.DUMMYFUNCTION("""COMPUTED_VALUE"""),"PERT
B4
")</f>
        <v>PERT
B4
</v>
      </c>
      <c r="J479" s="378" t="str">
        <f t="shared" si="1"/>
        <v>pert_b4</v>
      </c>
    </row>
    <row r="480">
      <c r="A480" s="374"/>
      <c r="B480" s="374"/>
      <c r="C480" s="374"/>
      <c r="D480" s="374"/>
      <c r="E480" s="374"/>
      <c r="F480" s="374"/>
      <c r="G480" s="374"/>
      <c r="H480" s="374"/>
      <c r="I480" s="374" t="str">
        <f>IFERROR(__xludf.DUMMYFUNCTION("""COMPUTED_VALUE"""),"PERT
B5
")</f>
        <v>PERT
B5
</v>
      </c>
      <c r="J480" s="378" t="str">
        <f t="shared" si="1"/>
        <v>pert_b5</v>
      </c>
    </row>
    <row r="481">
      <c r="A481" s="374"/>
      <c r="B481" s="374"/>
      <c r="C481" s="374"/>
      <c r="D481" s="374"/>
      <c r="E481" s="374"/>
      <c r="F481" s="374"/>
      <c r="G481" s="374"/>
      <c r="H481" s="374"/>
      <c r="I481" s="374" t="str">
        <f>IFERROR(__xludf.DUMMYFUNCTION("""COMPUTED_VALUE"""),"PERT
B6
")</f>
        <v>PERT
B6
</v>
      </c>
      <c r="J481" s="378" t="str">
        <f t="shared" si="1"/>
        <v>pert_b6</v>
      </c>
    </row>
    <row r="482">
      <c r="A482" s="374"/>
      <c r="B482" s="374"/>
      <c r="C482" s="374"/>
      <c r="D482" s="374"/>
      <c r="E482" s="374"/>
      <c r="F482" s="374"/>
      <c r="G482" s="374"/>
      <c r="H482" s="374"/>
      <c r="I482" s="374" t="str">
        <f>IFERROR(__xludf.DUMMYFUNCTION("""COMPUTED_VALUE"""),"PERT
C1
")</f>
        <v>PERT
C1
</v>
      </c>
      <c r="J482" s="378" t="str">
        <f t="shared" si="1"/>
        <v>pert_c1</v>
      </c>
    </row>
    <row r="483">
      <c r="A483" s="374"/>
      <c r="B483" s="374"/>
      <c r="C483" s="374"/>
      <c r="D483" s="374"/>
      <c r="E483" s="374"/>
      <c r="F483" s="374"/>
      <c r="G483" s="374"/>
      <c r="H483" s="374"/>
      <c r="I483" s="374" t="str">
        <f>IFERROR(__xludf.DUMMYFUNCTION("""COMPUTED_VALUE"""),"PERT
C2
")</f>
        <v>PERT
C2
</v>
      </c>
      <c r="J483" s="378" t="str">
        <f t="shared" si="1"/>
        <v>pert_c2</v>
      </c>
    </row>
    <row r="484">
      <c r="A484" s="374"/>
      <c r="B484" s="374"/>
      <c r="C484" s="374"/>
      <c r="D484" s="374"/>
      <c r="E484" s="374"/>
      <c r="F484" s="374"/>
      <c r="G484" s="374"/>
      <c r="H484" s="374"/>
      <c r="I484" s="374" t="str">
        <f>IFERROR(__xludf.DUMMYFUNCTION("""COMPUTED_VALUE"""),"PERT
C3
")</f>
        <v>PERT
C3
</v>
      </c>
      <c r="J484" s="378" t="str">
        <f t="shared" si="1"/>
        <v>pert_c3</v>
      </c>
    </row>
    <row r="485">
      <c r="A485" s="374"/>
      <c r="B485" s="374"/>
      <c r="C485" s="374"/>
      <c r="D485" s="374"/>
      <c r="E485" s="374"/>
      <c r="F485" s="374"/>
      <c r="G485" s="374"/>
      <c r="H485" s="374"/>
      <c r="I485" s="374" t="str">
        <f>IFERROR(__xludf.DUMMYFUNCTION("""COMPUTED_VALUE"""),"PERT
C4
")</f>
        <v>PERT
C4
</v>
      </c>
      <c r="J485" s="378" t="str">
        <f t="shared" si="1"/>
        <v>pert_c4</v>
      </c>
    </row>
    <row r="486">
      <c r="A486" s="374"/>
      <c r="B486" s="374"/>
      <c r="C486" s="374"/>
      <c r="D486" s="374"/>
      <c r="E486" s="374"/>
      <c r="F486" s="374"/>
      <c r="G486" s="374"/>
      <c r="H486" s="374"/>
      <c r="I486" s="374" t="str">
        <f>IFERROR(__xludf.DUMMYFUNCTION("""COMPUTED_VALUE"""),"PERT
D")</f>
        <v>PERT
D</v>
      </c>
      <c r="J486" s="378" t="str">
        <f t="shared" si="1"/>
        <v>pert_d</v>
      </c>
    </row>
    <row r="487">
      <c r="A487" s="374"/>
      <c r="B487" s="374"/>
      <c r="C487" s="374"/>
      <c r="D487" s="374"/>
      <c r="E487" s="374"/>
      <c r="F487" s="374"/>
      <c r="G487" s="374"/>
      <c r="H487" s="374"/>
      <c r="I487" s="374" t="str">
        <f>IFERROR(__xludf.DUMMYFUNCTION("""COMPUTED_VALUE"""),"PERT
D1")</f>
        <v>PERT
D1</v>
      </c>
      <c r="J487" s="378" t="str">
        <f t="shared" si="1"/>
        <v>pert_d1</v>
      </c>
    </row>
    <row r="488">
      <c r="A488" s="374"/>
      <c r="B488" s="374"/>
      <c r="C488" s="374"/>
      <c r="D488" s="374"/>
      <c r="E488" s="374"/>
      <c r="F488" s="374"/>
      <c r="G488" s="374"/>
      <c r="H488" s="374"/>
      <c r="I488" s="374" t="str">
        <f>IFERROR(__xludf.DUMMYFUNCTION("""COMPUTED_VALUE"""),"PERT
D2")</f>
        <v>PERT
D2</v>
      </c>
      <c r="J488" s="378" t="str">
        <f t="shared" si="1"/>
        <v>pert_d2</v>
      </c>
    </row>
    <row r="489">
      <c r="A489" s="374"/>
      <c r="B489" s="374"/>
      <c r="C489" s="374"/>
      <c r="D489" s="374"/>
      <c r="E489" s="374"/>
      <c r="F489" s="374"/>
      <c r="G489" s="374"/>
      <c r="H489" s="374"/>
      <c r="I489" s="374" t="str">
        <f>IFERROR(__xludf.DUMMYFUNCTION("""COMPUTED_VALUE"""),"PERT
")</f>
        <v>PERT
</v>
      </c>
      <c r="J489" s="378" t="str">
        <f t="shared" si="1"/>
        <v>pert_total</v>
      </c>
    </row>
    <row r="490">
      <c r="A490" s="374"/>
      <c r="B490" s="374"/>
      <c r="C490" s="374"/>
      <c r="D490" s="374"/>
      <c r="E490" s="374"/>
      <c r="F490" s="374"/>
      <c r="G490" s="374"/>
      <c r="H490" s="374"/>
      <c r="I490" s="374" t="str">
        <f>IFERROR(__xludf.DUMMYFUNCTION("""COMPUTED_VALUE"""),"PENRT
A1-A3
")</f>
        <v>PENRT
A1-A3
</v>
      </c>
      <c r="J490" s="378" t="str">
        <f t="shared" si="1"/>
        <v>penrt_a1-a3</v>
      </c>
    </row>
    <row r="491">
      <c r="A491" s="374"/>
      <c r="B491" s="374"/>
      <c r="C491" s="374"/>
      <c r="D491" s="374"/>
      <c r="E491" s="374"/>
      <c r="F491" s="374"/>
      <c r="G491" s="374"/>
      <c r="H491" s="374"/>
      <c r="I491" s="374" t="str">
        <f>IFERROR(__xludf.DUMMYFUNCTION("""COMPUTED_VALUE"""),"PENRT
A4
")</f>
        <v>PENRT
A4
</v>
      </c>
      <c r="J491" s="378" t="str">
        <f t="shared" si="1"/>
        <v>penrt_a4</v>
      </c>
    </row>
    <row r="492">
      <c r="A492" s="374"/>
      <c r="B492" s="374"/>
      <c r="C492" s="374"/>
      <c r="D492" s="374"/>
      <c r="E492" s="374"/>
      <c r="F492" s="374"/>
      <c r="G492" s="374"/>
      <c r="H492" s="374"/>
      <c r="I492" s="374" t="str">
        <f>IFERROR(__xludf.DUMMYFUNCTION("""COMPUTED_VALUE"""),"PENRT
A5
")</f>
        <v>PENRT
A5
</v>
      </c>
      <c r="J492" s="378" t="str">
        <f t="shared" si="1"/>
        <v>penrt_a5</v>
      </c>
    </row>
    <row r="493">
      <c r="A493" s="374"/>
      <c r="B493" s="374"/>
      <c r="C493" s="374"/>
      <c r="D493" s="374"/>
      <c r="E493" s="374"/>
      <c r="F493" s="374"/>
      <c r="G493" s="374"/>
      <c r="H493" s="374"/>
      <c r="I493" s="374" t="str">
        <f>IFERROR(__xludf.DUMMYFUNCTION("""COMPUTED_VALUE"""),"PENRT
B1")</f>
        <v>PENRT
B1</v>
      </c>
      <c r="J493" s="378" t="str">
        <f t="shared" si="1"/>
        <v>penrt_b1</v>
      </c>
    </row>
    <row r="494">
      <c r="A494" s="374"/>
      <c r="B494" s="374"/>
      <c r="C494" s="374"/>
      <c r="D494" s="374"/>
      <c r="E494" s="374"/>
      <c r="F494" s="374"/>
      <c r="G494" s="374"/>
      <c r="H494" s="374"/>
      <c r="I494" s="374" t="str">
        <f>IFERROR(__xludf.DUMMYFUNCTION("""COMPUTED_VALUE"""),"PENRT
B2
")</f>
        <v>PENRT
B2
</v>
      </c>
      <c r="J494" s="378" t="str">
        <f t="shared" si="1"/>
        <v>penrt_b2</v>
      </c>
    </row>
    <row r="495">
      <c r="A495" s="374"/>
      <c r="B495" s="374"/>
      <c r="C495" s="374"/>
      <c r="D495" s="374"/>
      <c r="E495" s="374"/>
      <c r="F495" s="374"/>
      <c r="G495" s="374"/>
      <c r="H495" s="374"/>
      <c r="I495" s="374" t="str">
        <f>IFERROR(__xludf.DUMMYFUNCTION("""COMPUTED_VALUE"""),"PENRT
B3
")</f>
        <v>PENRT
B3
</v>
      </c>
      <c r="J495" s="378" t="str">
        <f t="shared" si="1"/>
        <v>penrt_b3</v>
      </c>
    </row>
    <row r="496">
      <c r="A496" s="374"/>
      <c r="B496" s="374"/>
      <c r="C496" s="374"/>
      <c r="D496" s="374"/>
      <c r="E496" s="374"/>
      <c r="F496" s="374"/>
      <c r="G496" s="374"/>
      <c r="H496" s="374"/>
      <c r="I496" s="374" t="str">
        <f>IFERROR(__xludf.DUMMYFUNCTION("""COMPUTED_VALUE"""),"PENRT
B4
")</f>
        <v>PENRT
B4
</v>
      </c>
      <c r="J496" s="378" t="str">
        <f t="shared" si="1"/>
        <v>penrt_b4</v>
      </c>
    </row>
    <row r="497">
      <c r="A497" s="374"/>
      <c r="B497" s="374"/>
      <c r="C497" s="374"/>
      <c r="D497" s="374"/>
      <c r="E497" s="374"/>
      <c r="F497" s="374"/>
      <c r="G497" s="374"/>
      <c r="H497" s="374"/>
      <c r="I497" s="374" t="str">
        <f>IFERROR(__xludf.DUMMYFUNCTION("""COMPUTED_VALUE"""),"PENRT
B5
")</f>
        <v>PENRT
B5
</v>
      </c>
      <c r="J497" s="378" t="str">
        <f t="shared" si="1"/>
        <v>penrt_b5</v>
      </c>
    </row>
    <row r="498">
      <c r="A498" s="374"/>
      <c r="B498" s="374"/>
      <c r="C498" s="374"/>
      <c r="D498" s="374"/>
      <c r="E498" s="374"/>
      <c r="F498" s="374"/>
      <c r="G498" s="374"/>
      <c r="H498" s="374"/>
      <c r="I498" s="374" t="str">
        <f>IFERROR(__xludf.DUMMYFUNCTION("""COMPUTED_VALUE"""),"PENRT
B6
")</f>
        <v>PENRT
B6
</v>
      </c>
      <c r="J498" s="378" t="str">
        <f t="shared" si="1"/>
        <v>penrt_b6</v>
      </c>
    </row>
    <row r="499">
      <c r="A499" s="374"/>
      <c r="B499" s="374"/>
      <c r="C499" s="374"/>
      <c r="D499" s="374"/>
      <c r="E499" s="374"/>
      <c r="F499" s="374"/>
      <c r="G499" s="374"/>
      <c r="H499" s="374"/>
      <c r="I499" s="374" t="str">
        <f>IFERROR(__xludf.DUMMYFUNCTION("""COMPUTED_VALUE"""),"PENRT
C1
")</f>
        <v>PENRT
C1
</v>
      </c>
      <c r="J499" s="378" t="str">
        <f t="shared" si="1"/>
        <v>penrt_c1</v>
      </c>
    </row>
    <row r="500">
      <c r="A500" s="374"/>
      <c r="B500" s="374"/>
      <c r="C500" s="374"/>
      <c r="D500" s="374"/>
      <c r="E500" s="374"/>
      <c r="F500" s="374"/>
      <c r="G500" s="374"/>
      <c r="H500" s="374"/>
      <c r="I500" s="374" t="str">
        <f>IFERROR(__xludf.DUMMYFUNCTION("""COMPUTED_VALUE"""),"PENRT
C2
")</f>
        <v>PENRT
C2
</v>
      </c>
      <c r="J500" s="378" t="str">
        <f t="shared" si="1"/>
        <v>penrt_c2</v>
      </c>
    </row>
    <row r="501">
      <c r="A501" s="374"/>
      <c r="B501" s="374"/>
      <c r="C501" s="374"/>
      <c r="D501" s="374"/>
      <c r="E501" s="374"/>
      <c r="F501" s="374"/>
      <c r="G501" s="374"/>
      <c r="H501" s="374"/>
      <c r="I501" s="374" t="str">
        <f>IFERROR(__xludf.DUMMYFUNCTION("""COMPUTED_VALUE"""),"PENRT
C3
")</f>
        <v>PENRT
C3
</v>
      </c>
      <c r="J501" s="378" t="str">
        <f t="shared" si="1"/>
        <v>penrt_c3</v>
      </c>
    </row>
    <row r="502">
      <c r="A502" s="374"/>
      <c r="B502" s="374"/>
      <c r="C502" s="374"/>
      <c r="D502" s="374"/>
      <c r="E502" s="374"/>
      <c r="F502" s="374"/>
      <c r="G502" s="374"/>
      <c r="H502" s="374"/>
      <c r="I502" s="374" t="str">
        <f>IFERROR(__xludf.DUMMYFUNCTION("""COMPUTED_VALUE"""),"PENRT
C4
")</f>
        <v>PENRT
C4
</v>
      </c>
      <c r="J502" s="378" t="str">
        <f t="shared" si="1"/>
        <v>penrt_c4</v>
      </c>
    </row>
    <row r="503">
      <c r="A503" s="374"/>
      <c r="B503" s="374"/>
      <c r="C503" s="374"/>
      <c r="D503" s="374"/>
      <c r="E503" s="374"/>
      <c r="F503" s="374"/>
      <c r="G503" s="374"/>
      <c r="H503" s="374"/>
      <c r="I503" s="374" t="str">
        <f>IFERROR(__xludf.DUMMYFUNCTION("""COMPUTED_VALUE"""),"PENRT
D")</f>
        <v>PENRT
D</v>
      </c>
      <c r="J503" s="378" t="str">
        <f t="shared" si="1"/>
        <v>penrt_d</v>
      </c>
    </row>
    <row r="504">
      <c r="A504" s="374"/>
      <c r="B504" s="374"/>
      <c r="C504" s="374"/>
      <c r="D504" s="374"/>
      <c r="E504" s="374"/>
      <c r="F504" s="374"/>
      <c r="G504" s="374"/>
      <c r="H504" s="374"/>
      <c r="I504" s="374" t="str">
        <f>IFERROR(__xludf.DUMMYFUNCTION("""COMPUTED_VALUE"""),"PENRT
D1")</f>
        <v>PENRT
D1</v>
      </c>
      <c r="J504" s="378" t="str">
        <f t="shared" si="1"/>
        <v>penrt_d1</v>
      </c>
    </row>
    <row r="505">
      <c r="A505" s="374"/>
      <c r="B505" s="374"/>
      <c r="C505" s="374"/>
      <c r="D505" s="374"/>
      <c r="E505" s="374"/>
      <c r="F505" s="374"/>
      <c r="G505" s="374"/>
      <c r="H505" s="374"/>
      <c r="I505" s="374" t="str">
        <f>IFERROR(__xludf.DUMMYFUNCTION("""COMPUTED_VALUE"""),"PENRT
D2")</f>
        <v>PENRT
D2</v>
      </c>
      <c r="J505" s="378" t="str">
        <f t="shared" si="1"/>
        <v>penrt_d2</v>
      </c>
    </row>
    <row r="506">
      <c r="I506" s="380" t="str">
        <f>IFERROR(__xludf.DUMMYFUNCTION("""COMPUTED_VALUE"""),"PENRT
")</f>
        <v>PENRT
</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0"/>
  <cols>
    <col customWidth="1" min="1" max="1" width="55.75"/>
    <col customWidth="1" min="2" max="2" width="21.25"/>
    <col customWidth="1" min="3" max="3" width="23.25"/>
    <col customWidth="1" min="4" max="20" width="14.75"/>
  </cols>
  <sheetData>
    <row r="1">
      <c r="A1" s="381" t="s">
        <v>44</v>
      </c>
      <c r="B1" s="381" t="s">
        <v>3331</v>
      </c>
      <c r="C1" s="381" t="s">
        <v>3332</v>
      </c>
    </row>
    <row r="5">
      <c r="A5" s="382" t="s">
        <v>3333</v>
      </c>
      <c r="C5" s="382" t="s">
        <v>3334</v>
      </c>
    </row>
    <row r="7">
      <c r="A7" s="382" t="s">
        <v>3335</v>
      </c>
      <c r="C7" s="382" t="s">
        <v>3336</v>
      </c>
    </row>
    <row r="8">
      <c r="C8" s="382" t="s">
        <v>3337</v>
      </c>
    </row>
    <row r="10">
      <c r="C10" s="382" t="s">
        <v>3338</v>
      </c>
    </row>
    <row r="11">
      <c r="C11" s="382" t="s">
        <v>98</v>
      </c>
    </row>
    <row r="12">
      <c r="C12" s="382" t="s">
        <v>99</v>
      </c>
    </row>
    <row r="13">
      <c r="C13" s="382" t="s">
        <v>3339</v>
      </c>
    </row>
    <row r="14">
      <c r="C14" s="382" t="s">
        <v>3340</v>
      </c>
    </row>
    <row r="15">
      <c r="C15" s="382" t="s">
        <v>3341</v>
      </c>
    </row>
    <row r="16">
      <c r="C16" s="382" t="s">
        <v>3342</v>
      </c>
    </row>
    <row r="19">
      <c r="A19" s="381" t="s">
        <v>1612</v>
      </c>
    </row>
    <row r="20">
      <c r="B20" s="75" t="s">
        <v>107</v>
      </c>
      <c r="F20" s="382" t="s">
        <v>3343</v>
      </c>
    </row>
    <row r="21">
      <c r="B21" s="75" t="s">
        <v>619</v>
      </c>
    </row>
    <row r="22">
      <c r="B22" s="75" t="s">
        <v>153</v>
      </c>
    </row>
    <row r="23">
      <c r="B23" s="75" t="s">
        <v>190</v>
      </c>
    </row>
    <row r="24">
      <c r="B24" s="75" t="s">
        <v>1638</v>
      </c>
    </row>
    <row r="25">
      <c r="B25" s="75" t="s">
        <v>1661</v>
      </c>
    </row>
    <row r="26">
      <c r="B26" s="75" t="s">
        <v>1688</v>
      </c>
    </row>
    <row r="27">
      <c r="B27" s="75" t="s">
        <v>1720</v>
      </c>
    </row>
    <row r="28">
      <c r="B28" s="75" t="s">
        <v>1744</v>
      </c>
    </row>
    <row r="29">
      <c r="B29" s="75" t="s">
        <v>1768</v>
      </c>
    </row>
    <row r="30">
      <c r="B30" s="75" t="s">
        <v>1791</v>
      </c>
    </row>
    <row r="31">
      <c r="B31" s="75" t="s">
        <v>1809</v>
      </c>
    </row>
    <row r="32">
      <c r="B32" s="75" t="s">
        <v>1826</v>
      </c>
    </row>
    <row r="33">
      <c r="B33" s="75" t="s">
        <v>1841</v>
      </c>
    </row>
    <row r="35">
      <c r="B35" s="75" t="s">
        <v>1857</v>
      </c>
    </row>
    <row r="36">
      <c r="B36" s="75" t="s">
        <v>1871</v>
      </c>
    </row>
    <row r="39">
      <c r="A39" s="382">
        <v>0.0</v>
      </c>
      <c r="B39" s="75" t="s">
        <v>1622</v>
      </c>
      <c r="D39" s="75" t="s">
        <v>3344</v>
      </c>
    </row>
    <row r="40">
      <c r="A40" s="75">
        <v>1.0</v>
      </c>
      <c r="B40" s="75" t="s">
        <v>201</v>
      </c>
      <c r="D40" s="75" t="s">
        <v>3345</v>
      </c>
    </row>
    <row r="41">
      <c r="A41" s="75">
        <v>2.0</v>
      </c>
      <c r="B41" s="75" t="s">
        <v>1671</v>
      </c>
      <c r="D41" s="75" t="s">
        <v>3346</v>
      </c>
    </row>
    <row r="42">
      <c r="A42" s="75">
        <v>3.0</v>
      </c>
      <c r="B42" s="75" t="s">
        <v>1698</v>
      </c>
      <c r="D42" s="75" t="s">
        <v>3347</v>
      </c>
    </row>
    <row r="43">
      <c r="A43" s="75">
        <v>4.0</v>
      </c>
      <c r="B43" s="75" t="s">
        <v>1728</v>
      </c>
      <c r="D43" s="75" t="s">
        <v>3348</v>
      </c>
    </row>
    <row r="44">
      <c r="A44" s="75">
        <v>5.0</v>
      </c>
      <c r="B44" s="75" t="s">
        <v>1753</v>
      </c>
      <c r="D44" s="75" t="s">
        <v>3349</v>
      </c>
    </row>
    <row r="45">
      <c r="A45" s="75">
        <v>6.0</v>
      </c>
      <c r="B45" s="75" t="s">
        <v>1777</v>
      </c>
      <c r="D45" s="75" t="s">
        <v>3350</v>
      </c>
    </row>
    <row r="46">
      <c r="A46" s="75">
        <v>7.0</v>
      </c>
      <c r="B46" s="75" t="s">
        <v>1798</v>
      </c>
      <c r="D46" s="75" t="s">
        <v>3351</v>
      </c>
    </row>
    <row r="47">
      <c r="A47" s="75">
        <v>8.0</v>
      </c>
      <c r="B47" s="75" t="s">
        <v>1817</v>
      </c>
      <c r="D47" s="75" t="s">
        <v>3352</v>
      </c>
    </row>
    <row r="50">
      <c r="A50" s="381" t="s">
        <v>1613</v>
      </c>
      <c r="B50" s="382"/>
    </row>
    <row r="51">
      <c r="B51" s="75" t="s">
        <v>1639</v>
      </c>
    </row>
    <row r="52">
      <c r="B52" s="75" t="s">
        <v>332</v>
      </c>
    </row>
    <row r="53">
      <c r="B53" s="75" t="s">
        <v>1689</v>
      </c>
    </row>
    <row r="54">
      <c r="B54" s="75" t="s">
        <v>1721</v>
      </c>
    </row>
    <row r="55">
      <c r="B55" s="75" t="s">
        <v>1745</v>
      </c>
    </row>
    <row r="56">
      <c r="B56" s="75" t="s">
        <v>1769</v>
      </c>
    </row>
    <row r="59">
      <c r="A59" s="383" t="s">
        <v>3353</v>
      </c>
    </row>
    <row r="60">
      <c r="A60" s="75" t="s">
        <v>3354</v>
      </c>
    </row>
    <row r="61">
      <c r="A61" s="384" t="s">
        <v>3355</v>
      </c>
    </row>
    <row r="62">
      <c r="A62" s="75" t="s">
        <v>3356</v>
      </c>
      <c r="B62" s="75" t="s">
        <v>3357</v>
      </c>
      <c r="C62" s="75" t="s">
        <v>3358</v>
      </c>
    </row>
    <row r="63">
      <c r="B63" s="75" t="s">
        <v>3359</v>
      </c>
    </row>
    <row r="64">
      <c r="A64" s="75" t="s">
        <v>3360</v>
      </c>
      <c r="B64" s="75" t="s">
        <v>3361</v>
      </c>
    </row>
    <row r="65">
      <c r="A65" s="384" t="s">
        <v>3362</v>
      </c>
    </row>
    <row r="66">
      <c r="A66" s="384" t="s">
        <v>3363</v>
      </c>
      <c r="B66" s="75" t="s">
        <v>3364</v>
      </c>
    </row>
    <row r="67">
      <c r="A67" s="384" t="s">
        <v>3365</v>
      </c>
    </row>
    <row r="68">
      <c r="A68" s="75" t="s">
        <v>3366</v>
      </c>
    </row>
    <row r="69">
      <c r="A69" s="75" t="s">
        <v>3367</v>
      </c>
    </row>
    <row r="70">
      <c r="A70" s="384" t="s">
        <v>3368</v>
      </c>
    </row>
    <row r="71">
      <c r="A71" s="75" t="s">
        <v>3369</v>
      </c>
    </row>
    <row r="72">
      <c r="A72" s="75" t="s">
        <v>3370</v>
      </c>
    </row>
    <row r="73">
      <c r="A73" s="75" t="s">
        <v>3371</v>
      </c>
      <c r="B73" s="75" t="s">
        <v>3372</v>
      </c>
    </row>
    <row r="74">
      <c r="A74" s="75" t="s">
        <v>3373</v>
      </c>
      <c r="B74" s="75" t="s">
        <v>3374</v>
      </c>
    </row>
    <row r="75">
      <c r="A75" s="75" t="s">
        <v>750</v>
      </c>
    </row>
    <row r="77">
      <c r="A77" s="75" t="s">
        <v>3375</v>
      </c>
    </row>
    <row r="78">
      <c r="A78" s="75" t="s">
        <v>3376</v>
      </c>
      <c r="B78" s="75" t="s">
        <v>3377</v>
      </c>
    </row>
    <row r="79">
      <c r="A79" s="75" t="s">
        <v>3378</v>
      </c>
    </row>
    <row r="81">
      <c r="A81" s="75" t="s">
        <v>3379</v>
      </c>
    </row>
    <row r="82">
      <c r="A82" s="75" t="s">
        <v>3380</v>
      </c>
    </row>
    <row r="84">
      <c r="A84" s="383" t="s">
        <v>3381</v>
      </c>
    </row>
    <row r="85">
      <c r="A85" s="75" t="s">
        <v>3382</v>
      </c>
    </row>
    <row r="86">
      <c r="A86" s="75" t="s">
        <v>3383</v>
      </c>
    </row>
    <row r="89">
      <c r="A89" s="383" t="s">
        <v>3384</v>
      </c>
    </row>
    <row r="90">
      <c r="A90" s="384" t="s">
        <v>3385</v>
      </c>
      <c r="B90" s="75" t="s">
        <v>3386</v>
      </c>
    </row>
    <row r="91">
      <c r="A91" s="75" t="s">
        <v>3387</v>
      </c>
      <c r="B91" s="75" t="s">
        <v>3388</v>
      </c>
    </row>
    <row r="92">
      <c r="A92" s="75" t="s">
        <v>3389</v>
      </c>
      <c r="B92" s="75" t="s">
        <v>3390</v>
      </c>
    </row>
    <row r="93">
      <c r="A93" s="75" t="s">
        <v>3391</v>
      </c>
    </row>
    <row r="94">
      <c r="A94" s="384" t="s">
        <v>3392</v>
      </c>
    </row>
    <row r="97">
      <c r="A97" s="383" t="s">
        <v>3393</v>
      </c>
    </row>
    <row r="98">
      <c r="A98" s="385" t="s">
        <v>3394</v>
      </c>
      <c r="B98" s="386"/>
      <c r="C98" s="386"/>
      <c r="D98" s="386"/>
      <c r="E98" s="386"/>
      <c r="F98" s="386"/>
      <c r="G98" s="386"/>
      <c r="H98" s="386"/>
      <c r="I98" s="386"/>
      <c r="J98" s="386"/>
      <c r="K98" s="386"/>
      <c r="L98" s="386"/>
      <c r="M98" s="386"/>
      <c r="N98" s="386"/>
      <c r="O98" s="386"/>
      <c r="P98" s="386"/>
      <c r="Q98" s="386"/>
      <c r="R98" s="386"/>
      <c r="S98" s="386"/>
      <c r="T98" s="386"/>
      <c r="U98" s="386"/>
      <c r="V98" s="386"/>
      <c r="W98" s="386"/>
      <c r="X98" s="386"/>
      <c r="Y98" s="386"/>
      <c r="Z98" s="386"/>
      <c r="AA98" s="386"/>
      <c r="AB98" s="386"/>
      <c r="AC98" s="386"/>
      <c r="AD98" s="386"/>
      <c r="AE98" s="386"/>
      <c r="AF98" s="386"/>
      <c r="AG98" s="386"/>
    </row>
    <row r="99">
      <c r="A99" s="385" t="s">
        <v>3395</v>
      </c>
      <c r="B99" s="386"/>
      <c r="C99" s="386"/>
      <c r="D99" s="386"/>
      <c r="E99" s="386"/>
      <c r="F99" s="386"/>
      <c r="G99" s="386"/>
      <c r="H99" s="386"/>
      <c r="I99" s="386"/>
      <c r="J99" s="386"/>
      <c r="K99" s="386"/>
      <c r="L99" s="386"/>
      <c r="M99" s="386"/>
      <c r="N99" s="386"/>
      <c r="O99" s="386"/>
      <c r="P99" s="386"/>
      <c r="Q99" s="386"/>
      <c r="R99" s="386"/>
      <c r="S99" s="386"/>
      <c r="T99" s="386"/>
      <c r="U99" s="386"/>
      <c r="V99" s="386"/>
      <c r="W99" s="386"/>
      <c r="X99" s="386"/>
      <c r="Y99" s="386"/>
      <c r="Z99" s="386"/>
      <c r="AA99" s="386"/>
      <c r="AB99" s="386"/>
      <c r="AC99" s="386"/>
      <c r="AD99" s="386"/>
      <c r="AE99" s="386"/>
      <c r="AF99" s="386"/>
      <c r="AG99" s="386"/>
    </row>
    <row r="102">
      <c r="A102" s="383" t="s">
        <v>3396</v>
      </c>
    </row>
    <row r="103">
      <c r="A103" s="75" t="s">
        <v>3397</v>
      </c>
    </row>
    <row r="104">
      <c r="A104" s="75" t="s">
        <v>3398</v>
      </c>
    </row>
    <row r="105">
      <c r="A105" s="75" t="s">
        <v>3399</v>
      </c>
    </row>
    <row r="106">
      <c r="A106" s="75" t="s">
        <v>3400</v>
      </c>
    </row>
    <row r="107">
      <c r="A107" s="75" t="s">
        <v>3401</v>
      </c>
    </row>
    <row r="108">
      <c r="A108" s="75" t="s">
        <v>3402</v>
      </c>
    </row>
    <row r="109">
      <c r="A109" s="75" t="s">
        <v>3403</v>
      </c>
      <c r="B109" s="75" t="s">
        <v>3404</v>
      </c>
    </row>
    <row r="110">
      <c r="A110" s="387" t="s">
        <v>3405</v>
      </c>
    </row>
    <row r="111">
      <c r="A111" s="387" t="s">
        <v>3406</v>
      </c>
    </row>
    <row r="112">
      <c r="A112" s="387" t="s">
        <v>3407</v>
      </c>
    </row>
    <row r="114">
      <c r="A114" s="75" t="s">
        <v>3408</v>
      </c>
      <c r="B114" s="75" t="s">
        <v>3409</v>
      </c>
    </row>
    <row r="115">
      <c r="A115" s="75" t="s">
        <v>3410</v>
      </c>
    </row>
    <row r="116">
      <c r="A116" s="75" t="s">
        <v>3411</v>
      </c>
      <c r="B116" s="75" t="s">
        <v>3412</v>
      </c>
    </row>
    <row r="117">
      <c r="A117" s="75" t="s">
        <v>3413</v>
      </c>
    </row>
    <row r="118">
      <c r="A118" s="387" t="s">
        <v>3414</v>
      </c>
    </row>
    <row r="119">
      <c r="A119" s="387" t="s">
        <v>3415</v>
      </c>
    </row>
    <row r="121">
      <c r="A121" s="383" t="s">
        <v>3416</v>
      </c>
      <c r="B121" s="75" t="s">
        <v>3417</v>
      </c>
    </row>
    <row r="122">
      <c r="A122" s="75" t="s">
        <v>3418</v>
      </c>
    </row>
    <row r="123">
      <c r="A123" s="75" t="s">
        <v>3419</v>
      </c>
    </row>
    <row r="124">
      <c r="A124" s="75" t="s">
        <v>3420</v>
      </c>
    </row>
    <row r="125">
      <c r="A125" s="75" t="s">
        <v>3421</v>
      </c>
      <c r="B125" s="75" t="s">
        <v>3422</v>
      </c>
    </row>
    <row r="127">
      <c r="A127" s="75" t="s">
        <v>3423</v>
      </c>
    </row>
    <row r="130">
      <c r="A130" s="383" t="s">
        <v>3424</v>
      </c>
    </row>
    <row r="131">
      <c r="A131" s="75" t="s">
        <v>3425</v>
      </c>
      <c r="B131" s="384" t="s">
        <v>3426</v>
      </c>
    </row>
    <row r="132">
      <c r="B132" s="384" t="s">
        <v>3427</v>
      </c>
    </row>
    <row r="133">
      <c r="B133" s="384" t="s">
        <v>3428</v>
      </c>
    </row>
    <row r="134">
      <c r="B134" s="384" t="s">
        <v>3429</v>
      </c>
    </row>
    <row r="135">
      <c r="B135" s="75" t="s">
        <v>3430</v>
      </c>
      <c r="C135" s="75" t="s">
        <v>3431</v>
      </c>
    </row>
    <row r="136">
      <c r="B136" s="384" t="s">
        <v>3432</v>
      </c>
    </row>
    <row r="137">
      <c r="B137" s="388" t="s">
        <v>3433</v>
      </c>
    </row>
    <row r="140">
      <c r="A140" s="383" t="s">
        <v>3434</v>
      </c>
    </row>
    <row r="141">
      <c r="A141" s="389" t="s">
        <v>3435</v>
      </c>
    </row>
    <row r="142">
      <c r="A142" s="389" t="s">
        <v>3436</v>
      </c>
    </row>
    <row r="144">
      <c r="A144" s="384" t="s">
        <v>3437</v>
      </c>
    </row>
    <row r="145">
      <c r="A145" s="384" t="s">
        <v>3438</v>
      </c>
      <c r="B145" s="384" t="s">
        <v>3439</v>
      </c>
    </row>
    <row r="146">
      <c r="A146" s="390" t="s">
        <v>3440</v>
      </c>
      <c r="B146" s="384" t="s">
        <v>3441</v>
      </c>
    </row>
    <row r="173">
      <c r="A173" s="381" t="s">
        <v>3442</v>
      </c>
    </row>
    <row r="174">
      <c r="B174" s="383" t="s">
        <v>98</v>
      </c>
      <c r="C174" s="383" t="s">
        <v>99</v>
      </c>
      <c r="D174" s="383" t="s">
        <v>100</v>
      </c>
      <c r="E174" s="381" t="s">
        <v>3443</v>
      </c>
      <c r="F174" s="381" t="s">
        <v>3444</v>
      </c>
      <c r="G174" s="382" t="s">
        <v>3332</v>
      </c>
    </row>
    <row r="175">
      <c r="B175" s="382"/>
      <c r="C175" s="382"/>
      <c r="D175" s="391"/>
      <c r="E175" s="392"/>
    </row>
    <row r="176">
      <c r="B176" s="382" t="s">
        <v>35</v>
      </c>
      <c r="C176" s="382" t="s">
        <v>3445</v>
      </c>
      <c r="D176" s="382" t="s">
        <v>3446</v>
      </c>
      <c r="E176" s="393" t="s">
        <v>3447</v>
      </c>
      <c r="F176" s="27" t="s">
        <v>35</v>
      </c>
    </row>
    <row r="177">
      <c r="B177" s="382" t="s">
        <v>3446</v>
      </c>
      <c r="C177" s="382" t="s">
        <v>3448</v>
      </c>
      <c r="E177" s="394" t="s">
        <v>3449</v>
      </c>
      <c r="F177" s="30" t="s">
        <v>37</v>
      </c>
      <c r="G177" s="382" t="s">
        <v>3450</v>
      </c>
    </row>
    <row r="178">
      <c r="B178" s="382" t="s">
        <v>3449</v>
      </c>
      <c r="C178" s="382" t="s">
        <v>3451</v>
      </c>
      <c r="D178" s="395" t="s">
        <v>41</v>
      </c>
      <c r="E178" s="396" t="s">
        <v>41</v>
      </c>
      <c r="F178" s="33" t="s">
        <v>39</v>
      </c>
      <c r="G178" s="382" t="s">
        <v>3452</v>
      </c>
    </row>
    <row r="179">
      <c r="B179" s="382" t="s">
        <v>41</v>
      </c>
      <c r="C179" s="382" t="s">
        <v>3445</v>
      </c>
      <c r="D179" s="397" t="s">
        <v>3453</v>
      </c>
      <c r="F179" s="36" t="s">
        <v>41</v>
      </c>
      <c r="G179" s="382" t="s">
        <v>3454</v>
      </c>
    </row>
    <row r="183">
      <c r="A183" s="398" t="s">
        <v>3455</v>
      </c>
      <c r="B183" s="399"/>
      <c r="C183" s="400" t="s">
        <v>3220</v>
      </c>
      <c r="D183" s="400" t="s">
        <v>3274</v>
      </c>
      <c r="E183" s="400" t="s">
        <v>3256</v>
      </c>
      <c r="F183" s="400" t="s">
        <v>3238</v>
      </c>
      <c r="G183" s="400" t="s">
        <v>3456</v>
      </c>
      <c r="H183" s="400" t="s">
        <v>3457</v>
      </c>
      <c r="I183" s="400" t="s">
        <v>3458</v>
      </c>
      <c r="J183" s="400" t="s">
        <v>3184</v>
      </c>
      <c r="K183" s="400" t="s">
        <v>3166</v>
      </c>
      <c r="L183" s="400" t="s">
        <v>3202</v>
      </c>
      <c r="M183" s="400" t="s">
        <v>3459</v>
      </c>
      <c r="N183" s="400" t="s">
        <v>3460</v>
      </c>
      <c r="O183" s="400" t="s">
        <v>3461</v>
      </c>
      <c r="P183" s="400" t="s">
        <v>3462</v>
      </c>
      <c r="Q183" s="400" t="s">
        <v>3463</v>
      </c>
      <c r="R183" s="400" t="s">
        <v>3464</v>
      </c>
      <c r="S183" s="400" t="s">
        <v>3148</v>
      </c>
      <c r="T183" s="400" t="s">
        <v>3292</v>
      </c>
      <c r="U183" s="400" t="s">
        <v>3310</v>
      </c>
      <c r="V183" s="400" t="s">
        <v>3328</v>
      </c>
    </row>
    <row r="184">
      <c r="A184" s="398" t="s">
        <v>3465</v>
      </c>
      <c r="B184" s="399"/>
      <c r="C184" s="398" t="s">
        <v>3466</v>
      </c>
      <c r="D184" s="401" t="s">
        <v>3467</v>
      </c>
      <c r="E184" s="401" t="s">
        <v>3468</v>
      </c>
      <c r="F184" s="401" t="s">
        <v>3469</v>
      </c>
      <c r="G184" s="398" t="s">
        <v>3456</v>
      </c>
      <c r="H184" s="398" t="s">
        <v>3470</v>
      </c>
      <c r="I184" s="398" t="s">
        <v>3471</v>
      </c>
      <c r="J184" s="401" t="s">
        <v>3472</v>
      </c>
      <c r="K184" s="401" t="s">
        <v>3473</v>
      </c>
      <c r="L184" s="401" t="s">
        <v>3474</v>
      </c>
      <c r="M184" s="401" t="s">
        <v>3475</v>
      </c>
      <c r="N184" s="401" t="s">
        <v>3476</v>
      </c>
      <c r="O184" s="401" t="s">
        <v>3130</v>
      </c>
      <c r="P184" s="401" t="s">
        <v>3477</v>
      </c>
      <c r="Q184" s="401" t="s">
        <v>3478</v>
      </c>
      <c r="R184" s="401" t="s">
        <v>3479</v>
      </c>
      <c r="S184" s="398" t="s">
        <v>3148</v>
      </c>
      <c r="T184" s="398" t="s">
        <v>3292</v>
      </c>
      <c r="U184" s="398" t="s">
        <v>3310</v>
      </c>
      <c r="V184" s="398" t="s">
        <v>3328</v>
      </c>
    </row>
    <row r="185">
      <c r="A185" s="402" t="s">
        <v>3480</v>
      </c>
      <c r="B185" s="402" t="s">
        <v>3481</v>
      </c>
      <c r="C185" s="402" t="s">
        <v>1211</v>
      </c>
      <c r="D185" s="403" t="s">
        <v>3482</v>
      </c>
      <c r="E185" s="403" t="s">
        <v>3482</v>
      </c>
      <c r="F185" s="403" t="s">
        <v>3482</v>
      </c>
      <c r="G185" s="402" t="s">
        <v>3483</v>
      </c>
      <c r="H185" s="402" t="s">
        <v>3484</v>
      </c>
      <c r="I185" s="402" t="s">
        <v>1214</v>
      </c>
      <c r="J185" s="403" t="s">
        <v>3482</v>
      </c>
      <c r="K185" s="403" t="s">
        <v>3482</v>
      </c>
      <c r="L185" s="403" t="s">
        <v>3482</v>
      </c>
      <c r="M185" s="402" t="s">
        <v>3485</v>
      </c>
      <c r="N185" s="403" t="s">
        <v>3482</v>
      </c>
      <c r="O185" s="403" t="s">
        <v>3482</v>
      </c>
      <c r="P185" s="402" t="s">
        <v>1220</v>
      </c>
      <c r="Q185" s="402" t="s">
        <v>1221</v>
      </c>
      <c r="R185" s="403" t="s">
        <v>3482</v>
      </c>
      <c r="S185" s="404" t="s">
        <v>1221</v>
      </c>
      <c r="T185" s="404" t="s">
        <v>1221</v>
      </c>
      <c r="U185" s="404" t="s">
        <v>1221</v>
      </c>
      <c r="V185" s="404" t="s">
        <v>1221</v>
      </c>
    </row>
    <row r="186">
      <c r="A186" s="405" t="s">
        <v>3480</v>
      </c>
      <c r="B186" s="405" t="s">
        <v>3486</v>
      </c>
      <c r="C186" s="405" t="s">
        <v>1211</v>
      </c>
      <c r="D186" s="406" t="s">
        <v>3482</v>
      </c>
      <c r="E186" s="406" t="s">
        <v>3482</v>
      </c>
      <c r="F186" s="406" t="s">
        <v>3482</v>
      </c>
      <c r="G186" s="405" t="s">
        <v>3487</v>
      </c>
      <c r="H186" s="405" t="s">
        <v>3484</v>
      </c>
      <c r="I186" s="405" t="s">
        <v>3488</v>
      </c>
      <c r="J186" s="406" t="s">
        <v>3482</v>
      </c>
      <c r="K186" s="406" t="s">
        <v>3482</v>
      </c>
      <c r="L186" s="406" t="s">
        <v>3482</v>
      </c>
      <c r="M186" s="405" t="s">
        <v>3489</v>
      </c>
      <c r="N186" s="405" t="s">
        <v>1218</v>
      </c>
      <c r="O186" s="406" t="s">
        <v>3482</v>
      </c>
      <c r="P186" s="406" t="s">
        <v>3482</v>
      </c>
      <c r="Q186" s="405" t="s">
        <v>3490</v>
      </c>
      <c r="R186" s="406" t="s">
        <v>3482</v>
      </c>
      <c r="S186" s="405" t="s">
        <v>1221</v>
      </c>
      <c r="T186" s="405" t="s">
        <v>1221</v>
      </c>
      <c r="U186" s="405" t="s">
        <v>1221</v>
      </c>
      <c r="V186" s="405" t="s">
        <v>1221</v>
      </c>
    </row>
    <row r="187">
      <c r="A187" s="407" t="s">
        <v>3491</v>
      </c>
      <c r="B187" s="399"/>
      <c r="C187" s="407" t="s">
        <v>1211</v>
      </c>
      <c r="D187" s="407" t="s">
        <v>1211</v>
      </c>
      <c r="E187" s="407" t="s">
        <v>1211</v>
      </c>
      <c r="F187" s="407" t="s">
        <v>1211</v>
      </c>
      <c r="G187" s="407" t="s">
        <v>3483</v>
      </c>
      <c r="H187" s="407" t="s">
        <v>3492</v>
      </c>
      <c r="I187" s="408" t="s">
        <v>3482</v>
      </c>
      <c r="J187" s="407" t="s">
        <v>3493</v>
      </c>
      <c r="K187" s="407" t="s">
        <v>3494</v>
      </c>
      <c r="L187" s="407" t="s">
        <v>3495</v>
      </c>
      <c r="M187" s="408" t="s">
        <v>3482</v>
      </c>
      <c r="N187" s="408" t="s">
        <v>3482</v>
      </c>
      <c r="O187" s="407" t="s">
        <v>1219</v>
      </c>
      <c r="P187" s="407" t="s">
        <v>1220</v>
      </c>
      <c r="Q187" s="407" t="s">
        <v>3490</v>
      </c>
      <c r="R187" s="407" t="s">
        <v>1222</v>
      </c>
      <c r="S187" s="408" t="s">
        <v>3482</v>
      </c>
      <c r="T187" s="408" t="s">
        <v>3482</v>
      </c>
      <c r="U187" s="408" t="s">
        <v>3482</v>
      </c>
      <c r="V187" s="408" t="s">
        <v>3482</v>
      </c>
    </row>
    <row r="188">
      <c r="A188" s="399"/>
      <c r="B188" s="399"/>
      <c r="C188" s="399"/>
      <c r="D188" s="399"/>
      <c r="E188" s="399"/>
      <c r="F188" s="399"/>
      <c r="G188" s="399"/>
      <c r="H188" s="399"/>
      <c r="I188" s="399"/>
      <c r="J188" s="399"/>
      <c r="K188" s="399"/>
      <c r="L188" s="399"/>
      <c r="M188" s="399"/>
      <c r="N188" s="399"/>
      <c r="O188" s="399"/>
      <c r="P188" s="399"/>
      <c r="Q188" s="399"/>
      <c r="R188" s="399"/>
      <c r="S188" s="399"/>
      <c r="T188" s="399"/>
      <c r="U188" s="399"/>
      <c r="V188" s="399"/>
    </row>
    <row r="189">
      <c r="A189" s="409" t="s">
        <v>3496</v>
      </c>
      <c r="B189" s="399"/>
      <c r="C189" s="409" t="s">
        <v>1211</v>
      </c>
      <c r="D189" s="409" t="s">
        <v>1211</v>
      </c>
      <c r="E189" s="409" t="s">
        <v>1211</v>
      </c>
      <c r="F189" s="409" t="s">
        <v>1211</v>
      </c>
      <c r="G189" s="409" t="s">
        <v>3487</v>
      </c>
      <c r="H189" s="410" t="s">
        <v>3482</v>
      </c>
      <c r="I189" s="410" t="s">
        <v>3482</v>
      </c>
      <c r="J189" s="409" t="s">
        <v>1215</v>
      </c>
      <c r="K189" s="409" t="s">
        <v>1214</v>
      </c>
      <c r="L189" s="409" t="s">
        <v>3497</v>
      </c>
      <c r="M189" s="410" t="s">
        <v>3482</v>
      </c>
      <c r="N189" s="410" t="s">
        <v>3482</v>
      </c>
      <c r="O189" s="409" t="s">
        <v>1219</v>
      </c>
      <c r="P189" s="409" t="s">
        <v>3498</v>
      </c>
      <c r="Q189" s="409" t="s">
        <v>1221</v>
      </c>
      <c r="R189" s="409" t="s">
        <v>1222</v>
      </c>
      <c r="S189" s="409" t="s">
        <v>1221</v>
      </c>
      <c r="T189" s="409" t="s">
        <v>1221</v>
      </c>
      <c r="U189" s="409" t="s">
        <v>1221</v>
      </c>
      <c r="V189" s="409" t="s">
        <v>1221</v>
      </c>
    </row>
  </sheetData>
  <drawing r:id="rId1"/>
  <tableParts count="1">
    <tablePart r:id="rId3"/>
  </tableParts>
</worksheet>
</file>